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45715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45715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45715</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45715</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45715</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45715</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45715</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45715</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45715</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45715</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45715</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45715</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45715</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45715</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45715</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45715</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45715</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45715</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45715</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45715</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45715</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45715</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45715</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45715</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45715</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45715</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45715</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45715</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45715</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45715</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45715</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45715</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45715</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45715</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45715</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45715</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45715</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45715</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45715</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45715</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45715</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45715</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45715</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45715</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45715</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45715</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21219-2023</t>
        </is>
      </c>
      <c r="B48" s="1" t="n">
        <v>45062</v>
      </c>
      <c r="C48" s="1" t="n">
        <v>45715</v>
      </c>
      <c r="D48" t="inlineStr">
        <is>
          <t>KALMAR LÄN</t>
        </is>
      </c>
      <c r="E48" t="inlineStr">
        <is>
          <t>MÖRBYLÅNGA</t>
        </is>
      </c>
      <c r="G48" t="n">
        <v>3.6</v>
      </c>
      <c r="H48" t="n">
        <v>3</v>
      </c>
      <c r="I48" t="n">
        <v>5</v>
      </c>
      <c r="J48" t="n">
        <v>2</v>
      </c>
      <c r="K48" t="n">
        <v>1</v>
      </c>
      <c r="L48" t="n">
        <v>1</v>
      </c>
      <c r="M48" t="n">
        <v>0</v>
      </c>
      <c r="N48" t="n">
        <v>0</v>
      </c>
      <c r="O48" t="n">
        <v>4</v>
      </c>
      <c r="P48" t="n">
        <v>2</v>
      </c>
      <c r="Q48" t="n">
        <v>11</v>
      </c>
      <c r="R48" s="2" t="inlineStr">
        <is>
          <t>Ask
Munkspindling
Olivbrun spindling
Spillkråka
Murgröna
Platt fjädermossa
Strimspindling
Sårläka
Traslav
Blåsippa
Gullviva</t>
        </is>
      </c>
      <c r="S48">
        <f>HYPERLINK("https://klasma.github.io/Logging_0840/artfynd/A 21219-2023 artfynd.xlsx", "A 21219-2023")</f>
        <v/>
      </c>
      <c r="T48">
        <f>HYPERLINK("https://klasma.github.io/Logging_0840/kartor/A 21219-2023 karta.png", "A 21219-2023")</f>
        <v/>
      </c>
      <c r="V48">
        <f>HYPERLINK("https://klasma.github.io/Logging_0840/klagomål/A 21219-2023 FSC-klagomål.docx", "A 21219-2023")</f>
        <v/>
      </c>
      <c r="W48">
        <f>HYPERLINK("https://klasma.github.io/Logging_0840/klagomålsmail/A 21219-2023 FSC-klagomål mail.docx", "A 21219-2023")</f>
        <v/>
      </c>
      <c r="X48">
        <f>HYPERLINK("https://klasma.github.io/Logging_0840/tillsyn/A 21219-2023 tillsynsbegäran.docx", "A 21219-2023")</f>
        <v/>
      </c>
      <c r="Y48">
        <f>HYPERLINK("https://klasma.github.io/Logging_0840/tillsynsmail/A 21219-2023 tillsynsbegäran mail.docx", "A 21219-2023")</f>
        <v/>
      </c>
      <c r="Z48">
        <f>HYPERLINK("https://klasma.github.io/Logging_0840/fåglar/A 21219-2023 prioriterade fågelarter.docx", "A 21219-2023")</f>
        <v/>
      </c>
    </row>
    <row r="49" ht="15" customHeight="1">
      <c r="A49" t="inlineStr">
        <is>
          <t>A 30150-2023</t>
        </is>
      </c>
      <c r="B49" s="1" t="n">
        <v>45110</v>
      </c>
      <c r="C49" s="1" t="n">
        <v>45715</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65163-2020</t>
        </is>
      </c>
      <c r="B50" s="1" t="n">
        <v>44172</v>
      </c>
      <c r="C50" s="1" t="n">
        <v>45715</v>
      </c>
      <c r="D50" t="inlineStr">
        <is>
          <t>KALMAR LÄN</t>
        </is>
      </c>
      <c r="E50" t="inlineStr">
        <is>
          <t>MÖRBYLÅNGA</t>
        </is>
      </c>
      <c r="G50" t="n">
        <v>16.8</v>
      </c>
      <c r="H50" t="n">
        <v>2</v>
      </c>
      <c r="I50" t="n">
        <v>3</v>
      </c>
      <c r="J50" t="n">
        <v>6</v>
      </c>
      <c r="K50" t="n">
        <v>1</v>
      </c>
      <c r="L50" t="n">
        <v>0</v>
      </c>
      <c r="M50" t="n">
        <v>0</v>
      </c>
      <c r="N50" t="n">
        <v>0</v>
      </c>
      <c r="O50" t="n">
        <v>7</v>
      </c>
      <c r="P50" t="n">
        <v>1</v>
      </c>
      <c r="Q50" t="n">
        <v>10</v>
      </c>
      <c r="R50" s="2" t="inlineStr">
        <is>
          <t>Liten diskröksvamp
Dvärgjordstjärna
Fyrflikig jordstjärna
Fågelarv
Klibbveronika
Mindre hackspett
Rakhorndyvel
Ekoxe
Murgröna
Rödbrun jordstjärna</t>
        </is>
      </c>
      <c r="S50">
        <f>HYPERLINK("https://klasma.github.io/Logging_0840/artfynd/A 65163-2020 artfynd.xlsx", "A 65163-2020")</f>
        <v/>
      </c>
      <c r="T50">
        <f>HYPERLINK("https://klasma.github.io/Logging_0840/kartor/A 65163-2020 karta.png", "A 65163-2020")</f>
        <v/>
      </c>
      <c r="V50">
        <f>HYPERLINK("https://klasma.github.io/Logging_0840/klagomål/A 65163-2020 FSC-klagomål.docx", "A 65163-2020")</f>
        <v/>
      </c>
      <c r="W50">
        <f>HYPERLINK("https://klasma.github.io/Logging_0840/klagomålsmail/A 65163-2020 FSC-klagomål mail.docx", "A 65163-2020")</f>
        <v/>
      </c>
      <c r="X50">
        <f>HYPERLINK("https://klasma.github.io/Logging_0840/tillsyn/A 65163-2020 tillsynsbegäran.docx", "A 65163-2020")</f>
        <v/>
      </c>
      <c r="Y50">
        <f>HYPERLINK("https://klasma.github.io/Logging_0840/tillsynsmail/A 65163-2020 tillsynsbegäran mail.docx", "A 65163-2020")</f>
        <v/>
      </c>
      <c r="Z50">
        <f>HYPERLINK("https://klasma.github.io/Logging_0840/fåglar/A 65163-2020 prioriterade fågelarter.docx", "A 65163-2020")</f>
        <v/>
      </c>
    </row>
    <row r="51" ht="15" customHeight="1">
      <c r="A51" t="inlineStr">
        <is>
          <t>A 67432-2021</t>
        </is>
      </c>
      <c r="B51" s="1" t="n">
        <v>44523</v>
      </c>
      <c r="C51" s="1" t="n">
        <v>45715</v>
      </c>
      <c r="D51" t="inlineStr">
        <is>
          <t>KALMAR LÄN</t>
        </is>
      </c>
      <c r="E51" t="inlineStr">
        <is>
          <t>BORGHOLM</t>
        </is>
      </c>
      <c r="G51" t="n">
        <v>35</v>
      </c>
      <c r="H51" t="n">
        <v>4</v>
      </c>
      <c r="I51" t="n">
        <v>8</v>
      </c>
      <c r="J51" t="n">
        <v>1</v>
      </c>
      <c r="K51" t="n">
        <v>0</v>
      </c>
      <c r="L51" t="n">
        <v>0</v>
      </c>
      <c r="M51" t="n">
        <v>0</v>
      </c>
      <c r="N51" t="n">
        <v>0</v>
      </c>
      <c r="O51" t="n">
        <v>1</v>
      </c>
      <c r="P51" t="n">
        <v>0</v>
      </c>
      <c r="Q51" t="n">
        <v>10</v>
      </c>
      <c r="R51" s="2" t="inlineStr">
        <is>
          <t>Långbensgroda
Diskvaxskivling
Grov baronmossa
Guldlockmossa
Murgröna
Nästrot
Skogsknipprot
Svavelriska
Sårläka
Blåsippa</t>
        </is>
      </c>
      <c r="S51">
        <f>HYPERLINK("https://klasma.github.io/Logging_0885/artfynd/A 67432-2021 artfynd.xlsx", "A 67432-2021")</f>
        <v/>
      </c>
      <c r="T51">
        <f>HYPERLINK("https://klasma.github.io/Logging_0885/kartor/A 67432-2021 karta.png", "A 67432-2021")</f>
        <v/>
      </c>
      <c r="V51">
        <f>HYPERLINK("https://klasma.github.io/Logging_0885/klagomål/A 67432-2021 FSC-klagomål.docx", "A 67432-2021")</f>
        <v/>
      </c>
      <c r="W51">
        <f>HYPERLINK("https://klasma.github.io/Logging_0885/klagomålsmail/A 67432-2021 FSC-klagomål mail.docx", "A 67432-2021")</f>
        <v/>
      </c>
      <c r="X51">
        <f>HYPERLINK("https://klasma.github.io/Logging_0885/tillsyn/A 67432-2021 tillsynsbegäran.docx", "A 67432-2021")</f>
        <v/>
      </c>
      <c r="Y51">
        <f>HYPERLINK("https://klasma.github.io/Logging_0885/tillsynsmail/A 67432-2021 tillsynsbegäran mail.docx", "A 67432-2021")</f>
        <v/>
      </c>
    </row>
    <row r="52" ht="15" customHeight="1">
      <c r="A52" t="inlineStr">
        <is>
          <t>A 21214-2023</t>
        </is>
      </c>
      <c r="B52" s="1" t="n">
        <v>45062</v>
      </c>
      <c r="C52" s="1" t="n">
        <v>45715</v>
      </c>
      <c r="D52" t="inlineStr">
        <is>
          <t>KALMAR LÄN</t>
        </is>
      </c>
      <c r="E52" t="inlineStr">
        <is>
          <t>MÖRBYLÅNGA</t>
        </is>
      </c>
      <c r="G52" t="n">
        <v>3.5</v>
      </c>
      <c r="H52" t="n">
        <v>2</v>
      </c>
      <c r="I52" t="n">
        <v>5</v>
      </c>
      <c r="J52" t="n">
        <v>3</v>
      </c>
      <c r="K52" t="n">
        <v>1</v>
      </c>
      <c r="L52" t="n">
        <v>0</v>
      </c>
      <c r="M52" t="n">
        <v>0</v>
      </c>
      <c r="N52" t="n">
        <v>0</v>
      </c>
      <c r="O52" t="n">
        <v>4</v>
      </c>
      <c r="P52" t="n">
        <v>1</v>
      </c>
      <c r="Q52" t="n">
        <v>10</v>
      </c>
      <c r="R52" s="2" t="inlineStr">
        <is>
          <t>Mjölspindling
Spillkråka
Svart askbastborre
Tallticka
Guldlockmossa
Hasselticka
Mindre märgborre
Murgröna
Sårläka
Blåsippa</t>
        </is>
      </c>
      <c r="S52">
        <f>HYPERLINK("https://klasma.github.io/Logging_0840/artfynd/A 21214-2023 artfynd.xlsx", "A 21214-2023")</f>
        <v/>
      </c>
      <c r="T52">
        <f>HYPERLINK("https://klasma.github.io/Logging_0840/kartor/A 21214-2023 karta.png", "A 21214-2023")</f>
        <v/>
      </c>
      <c r="V52">
        <f>HYPERLINK("https://klasma.github.io/Logging_0840/klagomål/A 21214-2023 FSC-klagomål.docx", "A 21214-2023")</f>
        <v/>
      </c>
      <c r="W52">
        <f>HYPERLINK("https://klasma.github.io/Logging_0840/klagomålsmail/A 21214-2023 FSC-klagomål mail.docx", "A 21214-2023")</f>
        <v/>
      </c>
      <c r="X52">
        <f>HYPERLINK("https://klasma.github.io/Logging_0840/tillsyn/A 21214-2023 tillsynsbegäran.docx", "A 21214-2023")</f>
        <v/>
      </c>
      <c r="Y52">
        <f>HYPERLINK("https://klasma.github.io/Logging_0840/tillsynsmail/A 21214-2023 tillsynsbegäran mail.docx", "A 21214-2023")</f>
        <v/>
      </c>
      <c r="Z52">
        <f>HYPERLINK("https://klasma.github.io/Logging_0840/fåglar/A 21214-2023 prioriterade fågelarter.docx", "A 21214-2023")</f>
        <v/>
      </c>
    </row>
    <row r="53" ht="15" customHeight="1">
      <c r="A53" t="inlineStr">
        <is>
          <t>A 22913-2024</t>
        </is>
      </c>
      <c r="B53" s="1" t="n">
        <v>45448</v>
      </c>
      <c r="C53" s="1" t="n">
        <v>45715</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45715</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45715</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45715</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45715</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45715</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54156-2019</t>
        </is>
      </c>
      <c r="B59" s="1" t="n">
        <v>43753</v>
      </c>
      <c r="C59" s="1" t="n">
        <v>45715</v>
      </c>
      <c r="D59" t="inlineStr">
        <is>
          <t>KALMAR LÄN</t>
        </is>
      </c>
      <c r="E59" t="inlineStr">
        <is>
          <t>HULTSFRED</t>
        </is>
      </c>
      <c r="G59" t="n">
        <v>2</v>
      </c>
      <c r="H59" t="n">
        <v>9</v>
      </c>
      <c r="I59" t="n">
        <v>0</v>
      </c>
      <c r="J59" t="n">
        <v>6</v>
      </c>
      <c r="K59" t="n">
        <v>1</v>
      </c>
      <c r="L59" t="n">
        <v>0</v>
      </c>
      <c r="M59" t="n">
        <v>0</v>
      </c>
      <c r="N59" t="n">
        <v>0</v>
      </c>
      <c r="O59" t="n">
        <v>7</v>
      </c>
      <c r="P59" t="n">
        <v>1</v>
      </c>
      <c r="Q59" t="n">
        <v>9</v>
      </c>
      <c r="R59" s="2" t="inlineStr">
        <is>
          <t>Tofsvipa
Entita
Gulsparv
Spillkråka
Svartvit flugsnappare
Talltita
Ärtsångare
Gråkråka
Gröngöling</t>
        </is>
      </c>
      <c r="S59">
        <f>HYPERLINK("https://klasma.github.io/Logging_0860/artfynd/A 54156-2019 artfynd.xlsx", "A 54156-2019")</f>
        <v/>
      </c>
      <c r="T59">
        <f>HYPERLINK("https://klasma.github.io/Logging_0860/kartor/A 54156-2019 karta.png", "A 54156-2019")</f>
        <v/>
      </c>
      <c r="V59">
        <f>HYPERLINK("https://klasma.github.io/Logging_0860/klagomål/A 54156-2019 FSC-klagomål.docx", "A 54156-2019")</f>
        <v/>
      </c>
      <c r="W59">
        <f>HYPERLINK("https://klasma.github.io/Logging_0860/klagomålsmail/A 54156-2019 FSC-klagomål mail.docx", "A 54156-2019")</f>
        <v/>
      </c>
      <c r="X59">
        <f>HYPERLINK("https://klasma.github.io/Logging_0860/tillsyn/A 54156-2019 tillsynsbegäran.docx", "A 54156-2019")</f>
        <v/>
      </c>
      <c r="Y59">
        <f>HYPERLINK("https://klasma.github.io/Logging_0860/tillsynsmail/A 54156-2019 tillsynsbegäran mail.docx", "A 54156-2019")</f>
        <v/>
      </c>
      <c r="Z59">
        <f>HYPERLINK("https://klasma.github.io/Logging_0860/fåglar/A 54156-2019 prioriterade fågelarter.docx", "A 54156-2019")</f>
        <v/>
      </c>
    </row>
    <row r="60" ht="15" customHeight="1">
      <c r="A60" t="inlineStr">
        <is>
          <t>A 63105-2019</t>
        </is>
      </c>
      <c r="B60" s="1" t="n">
        <v>43791</v>
      </c>
      <c r="C60" s="1" t="n">
        <v>45715</v>
      </c>
      <c r="D60" t="inlineStr">
        <is>
          <t>KALMAR LÄN</t>
        </is>
      </c>
      <c r="E60" t="inlineStr">
        <is>
          <t>VÄSTERVIK</t>
        </is>
      </c>
      <c r="F60" t="inlineStr">
        <is>
          <t>Övriga Aktiebolag</t>
        </is>
      </c>
      <c r="G60" t="n">
        <v>3.6</v>
      </c>
      <c r="H60" t="n">
        <v>2</v>
      </c>
      <c r="I60" t="n">
        <v>2</v>
      </c>
      <c r="J60" t="n">
        <v>4</v>
      </c>
      <c r="K60" t="n">
        <v>0</v>
      </c>
      <c r="L60" t="n">
        <v>1</v>
      </c>
      <c r="M60" t="n">
        <v>0</v>
      </c>
      <c r="N60" t="n">
        <v>0</v>
      </c>
      <c r="O60" t="n">
        <v>5</v>
      </c>
      <c r="P60" t="n">
        <v>1</v>
      </c>
      <c r="Q60" t="n">
        <v>9</v>
      </c>
      <c r="R60" s="2" t="inlineStr">
        <is>
          <t>Ask
Solvända
Sommarfibbla
Svinrot
Vippärt
Tibast
Underviol
Fläcknycklar
Nattviol</t>
        </is>
      </c>
      <c r="S60">
        <f>HYPERLINK("https://klasma.github.io/Logging_0883/artfynd/A 63105-2019 artfynd.xlsx", "A 63105-2019")</f>
        <v/>
      </c>
      <c r="T60">
        <f>HYPERLINK("https://klasma.github.io/Logging_0883/kartor/A 63105-2019 karta.png", "A 63105-2019")</f>
        <v/>
      </c>
      <c r="V60">
        <f>HYPERLINK("https://klasma.github.io/Logging_0883/klagomål/A 63105-2019 FSC-klagomål.docx", "A 63105-2019")</f>
        <v/>
      </c>
      <c r="W60">
        <f>HYPERLINK("https://klasma.github.io/Logging_0883/klagomålsmail/A 63105-2019 FSC-klagomål mail.docx", "A 63105-2019")</f>
        <v/>
      </c>
      <c r="X60">
        <f>HYPERLINK("https://klasma.github.io/Logging_0883/tillsyn/A 63105-2019 tillsynsbegäran.docx", "A 63105-2019")</f>
        <v/>
      </c>
      <c r="Y60">
        <f>HYPERLINK("https://klasma.github.io/Logging_0883/tillsynsmail/A 63105-2019 tillsynsbegäran mail.docx", "A 63105-2019")</f>
        <v/>
      </c>
    </row>
    <row r="61" ht="15" customHeight="1">
      <c r="A61" t="inlineStr">
        <is>
          <t>A 14713-2020</t>
        </is>
      </c>
      <c r="B61" s="1" t="n">
        <v>43909</v>
      </c>
      <c r="C61" s="1" t="n">
        <v>45715</v>
      </c>
      <c r="D61" t="inlineStr">
        <is>
          <t>KALMAR LÄN</t>
        </is>
      </c>
      <c r="E61" t="inlineStr">
        <is>
          <t>BORGHOLM</t>
        </is>
      </c>
      <c r="F61" t="inlineStr">
        <is>
          <t>Sveaskog</t>
        </is>
      </c>
      <c r="G61" t="n">
        <v>6.3</v>
      </c>
      <c r="H61" t="n">
        <v>3</v>
      </c>
      <c r="I61" t="n">
        <v>7</v>
      </c>
      <c r="J61" t="n">
        <v>0</v>
      </c>
      <c r="K61" t="n">
        <v>0</v>
      </c>
      <c r="L61" t="n">
        <v>0</v>
      </c>
      <c r="M61" t="n">
        <v>1</v>
      </c>
      <c r="N61" t="n">
        <v>0</v>
      </c>
      <c r="O61" t="n">
        <v>1</v>
      </c>
      <c r="P61" t="n">
        <v>1</v>
      </c>
      <c r="Q61" t="n">
        <v>9</v>
      </c>
      <c r="R61" s="2" t="inlineStr">
        <is>
          <t>Vresalm
Anisspindling
Blå slemspindling
Murgröna
Skogsknipprot
Strävlosta
Tvåblad
Vårärt
Blåsippa</t>
        </is>
      </c>
      <c r="S61">
        <f>HYPERLINK("https://klasma.github.io/Logging_0885/artfynd/A 14713-2020 artfynd.xlsx", "A 14713-2020")</f>
        <v/>
      </c>
      <c r="T61">
        <f>HYPERLINK("https://klasma.github.io/Logging_0885/kartor/A 14713-2020 karta.png", "A 14713-2020")</f>
        <v/>
      </c>
      <c r="V61">
        <f>HYPERLINK("https://klasma.github.io/Logging_0885/klagomål/A 14713-2020 FSC-klagomål.docx", "A 14713-2020")</f>
        <v/>
      </c>
      <c r="W61">
        <f>HYPERLINK("https://klasma.github.io/Logging_0885/klagomålsmail/A 14713-2020 FSC-klagomål mail.docx", "A 14713-2020")</f>
        <v/>
      </c>
      <c r="X61">
        <f>HYPERLINK("https://klasma.github.io/Logging_0885/tillsyn/A 14713-2020 tillsynsbegäran.docx", "A 14713-2020")</f>
        <v/>
      </c>
      <c r="Y61">
        <f>HYPERLINK("https://klasma.github.io/Logging_0885/tillsynsmail/A 14713-2020 tillsynsbegäran mail.docx", "A 14713-2020")</f>
        <v/>
      </c>
    </row>
    <row r="62" ht="15" customHeight="1">
      <c r="A62" t="inlineStr">
        <is>
          <t>A 60579-2020</t>
        </is>
      </c>
      <c r="B62" s="1" t="n">
        <v>44153</v>
      </c>
      <c r="C62" s="1" t="n">
        <v>45715</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60579-2020 artfynd.xlsx", "A 60579-2020")</f>
        <v/>
      </c>
      <c r="T62">
        <f>HYPERLINK("https://klasma.github.io/Logging_0882/kartor/A 60579-2020 karta.png", "A 60579-2020")</f>
        <v/>
      </c>
      <c r="V62">
        <f>HYPERLINK("https://klasma.github.io/Logging_0882/klagomål/A 60579-2020 FSC-klagomål.docx", "A 60579-2020")</f>
        <v/>
      </c>
      <c r="W62">
        <f>HYPERLINK("https://klasma.github.io/Logging_0882/klagomålsmail/A 60579-2020 FSC-klagomål mail.docx", "A 60579-2020")</f>
        <v/>
      </c>
      <c r="X62">
        <f>HYPERLINK("https://klasma.github.io/Logging_0882/tillsyn/A 60579-2020 tillsynsbegäran.docx", "A 60579-2020")</f>
        <v/>
      </c>
      <c r="Y62">
        <f>HYPERLINK("https://klasma.github.io/Logging_0882/tillsynsmail/A 60579-2020 tillsynsbegäran mail.docx", "A 60579-2020")</f>
        <v/>
      </c>
    </row>
    <row r="63" ht="15" customHeight="1">
      <c r="A63" t="inlineStr">
        <is>
          <t>A 63570-2020</t>
        </is>
      </c>
      <c r="B63" s="1" t="n">
        <v>44165</v>
      </c>
      <c r="C63" s="1" t="n">
        <v>45715</v>
      </c>
      <c r="D63" t="inlineStr">
        <is>
          <t>KALMAR LÄN</t>
        </is>
      </c>
      <c r="E63" t="inlineStr">
        <is>
          <t>OSKARSHAMN</t>
        </is>
      </c>
      <c r="F63" t="inlineStr">
        <is>
          <t>Sveaskog</t>
        </is>
      </c>
      <c r="G63" t="n">
        <v>5.2</v>
      </c>
      <c r="H63" t="n">
        <v>2</v>
      </c>
      <c r="I63" t="n">
        <v>0</v>
      </c>
      <c r="J63" t="n">
        <v>7</v>
      </c>
      <c r="K63" t="n">
        <v>0</v>
      </c>
      <c r="L63" t="n">
        <v>0</v>
      </c>
      <c r="M63" t="n">
        <v>0</v>
      </c>
      <c r="N63" t="n">
        <v>0</v>
      </c>
      <c r="O63" t="n">
        <v>7</v>
      </c>
      <c r="P63" t="n">
        <v>0</v>
      </c>
      <c r="Q63" t="n">
        <v>9</v>
      </c>
      <c r="R63" s="2" t="inlineStr">
        <is>
          <t>Backklöver
Korskovall
Slåtterfibbla
Solvända
Spindelört
Svinrot
Vippärt
Blåsippa
Gullviva</t>
        </is>
      </c>
      <c r="S63">
        <f>HYPERLINK("https://klasma.github.io/Logging_0882/artfynd/A 63570-2020 artfynd.xlsx", "A 63570-2020")</f>
        <v/>
      </c>
      <c r="T63">
        <f>HYPERLINK("https://klasma.github.io/Logging_0882/kartor/A 63570-2020 karta.png", "A 63570-2020")</f>
        <v/>
      </c>
      <c r="V63">
        <f>HYPERLINK("https://klasma.github.io/Logging_0882/klagomål/A 63570-2020 FSC-klagomål.docx", "A 63570-2020")</f>
        <v/>
      </c>
      <c r="W63">
        <f>HYPERLINK("https://klasma.github.io/Logging_0882/klagomålsmail/A 63570-2020 FSC-klagomål mail.docx", "A 63570-2020")</f>
        <v/>
      </c>
      <c r="X63">
        <f>HYPERLINK("https://klasma.github.io/Logging_0882/tillsyn/A 63570-2020 tillsynsbegäran.docx", "A 63570-2020")</f>
        <v/>
      </c>
      <c r="Y63">
        <f>HYPERLINK("https://klasma.github.io/Logging_0882/tillsynsmail/A 63570-2020 tillsynsbegäran mail.docx", "A 63570-2020")</f>
        <v/>
      </c>
    </row>
    <row r="64" ht="15" customHeight="1">
      <c r="A64" t="inlineStr">
        <is>
          <t>A 15252-2021</t>
        </is>
      </c>
      <c r="B64" s="1" t="n">
        <v>44284</v>
      </c>
      <c r="C64" s="1" t="n">
        <v>45715</v>
      </c>
      <c r="D64" t="inlineStr">
        <is>
          <t>KALMAR LÄN</t>
        </is>
      </c>
      <c r="E64" t="inlineStr">
        <is>
          <t>VÄSTERVIK</t>
        </is>
      </c>
      <c r="G64" t="n">
        <v>4.5</v>
      </c>
      <c r="H64" t="n">
        <v>2</v>
      </c>
      <c r="I64" t="n">
        <v>3</v>
      </c>
      <c r="J64" t="n">
        <v>5</v>
      </c>
      <c r="K64" t="n">
        <v>1</v>
      </c>
      <c r="L64" t="n">
        <v>0</v>
      </c>
      <c r="M64" t="n">
        <v>0</v>
      </c>
      <c r="N64" t="n">
        <v>0</v>
      </c>
      <c r="O64" t="n">
        <v>6</v>
      </c>
      <c r="P64" t="n">
        <v>1</v>
      </c>
      <c r="Q64" t="n">
        <v>9</v>
      </c>
      <c r="R64" s="2" t="inlineStr">
        <is>
          <t>Knärot
Motaggsvamp
Spillkråka
Svart taggsvamp
Svartvit taggsvamp
Såpfingersvamp
Dropptaggsvamp
Grönpyrola
Skarp dropptaggsvamp</t>
        </is>
      </c>
      <c r="S64">
        <f>HYPERLINK("https://klasma.github.io/Logging_0883/artfynd/A 15252-2021 artfynd.xlsx", "A 15252-2021")</f>
        <v/>
      </c>
      <c r="T64">
        <f>HYPERLINK("https://klasma.github.io/Logging_0883/kartor/A 15252-2021 karta.png", "A 15252-2021")</f>
        <v/>
      </c>
      <c r="U64">
        <f>HYPERLINK("https://klasma.github.io/Logging_0883/knärot/A 15252-2021 karta knärot.png", "A 15252-2021")</f>
        <v/>
      </c>
      <c r="V64">
        <f>HYPERLINK("https://klasma.github.io/Logging_0883/klagomål/A 15252-2021 FSC-klagomål.docx", "A 15252-2021")</f>
        <v/>
      </c>
      <c r="W64">
        <f>HYPERLINK("https://klasma.github.io/Logging_0883/klagomålsmail/A 15252-2021 FSC-klagomål mail.docx", "A 15252-2021")</f>
        <v/>
      </c>
      <c r="X64">
        <f>HYPERLINK("https://klasma.github.io/Logging_0883/tillsyn/A 15252-2021 tillsynsbegäran.docx", "A 15252-2021")</f>
        <v/>
      </c>
      <c r="Y64">
        <f>HYPERLINK("https://klasma.github.io/Logging_0883/tillsynsmail/A 15252-2021 tillsynsbegäran mail.docx", "A 15252-2021")</f>
        <v/>
      </c>
      <c r="Z64">
        <f>HYPERLINK("https://klasma.github.io/Logging_0883/fåglar/A 15252-2021 prioriterade fågelarter.docx", "A 15252-2021")</f>
        <v/>
      </c>
    </row>
    <row r="65" ht="15" customHeight="1">
      <c r="A65" t="inlineStr">
        <is>
          <t>A 55017-2021</t>
        </is>
      </c>
      <c r="B65" s="1" t="n">
        <v>44474</v>
      </c>
      <c r="C65" s="1" t="n">
        <v>45715</v>
      </c>
      <c r="D65" t="inlineStr">
        <is>
          <t>KALMAR LÄN</t>
        </is>
      </c>
      <c r="E65" t="inlineStr">
        <is>
          <t>VÄSTERVIK</t>
        </is>
      </c>
      <c r="G65" t="n">
        <v>16.4</v>
      </c>
      <c r="H65" t="n">
        <v>4</v>
      </c>
      <c r="I65" t="n">
        <v>3</v>
      </c>
      <c r="J65" t="n">
        <v>4</v>
      </c>
      <c r="K65" t="n">
        <v>1</v>
      </c>
      <c r="L65" t="n">
        <v>0</v>
      </c>
      <c r="M65" t="n">
        <v>0</v>
      </c>
      <c r="N65" t="n">
        <v>0</v>
      </c>
      <c r="O65" t="n">
        <v>5</v>
      </c>
      <c r="P65" t="n">
        <v>1</v>
      </c>
      <c r="Q65" t="n">
        <v>9</v>
      </c>
      <c r="R65" s="2" t="inlineStr">
        <is>
          <t>Knärot
Motaggsvamp
Spillkråka
Tallticka
Talltita
Blåmossa
Fjällig taggsvamp s.str.
Grönpyrola
Tjäder</t>
        </is>
      </c>
      <c r="S65">
        <f>HYPERLINK("https://klasma.github.io/Logging_0883/artfynd/A 55017-2021 artfynd.xlsx", "A 55017-2021")</f>
        <v/>
      </c>
      <c r="T65">
        <f>HYPERLINK("https://klasma.github.io/Logging_0883/kartor/A 55017-2021 karta.png", "A 55017-2021")</f>
        <v/>
      </c>
      <c r="U65">
        <f>HYPERLINK("https://klasma.github.io/Logging_0883/knärot/A 55017-2021 karta knärot.png", "A 55017-2021")</f>
        <v/>
      </c>
      <c r="V65">
        <f>HYPERLINK("https://klasma.github.io/Logging_0883/klagomål/A 55017-2021 FSC-klagomål.docx", "A 55017-2021")</f>
        <v/>
      </c>
      <c r="W65">
        <f>HYPERLINK("https://klasma.github.io/Logging_0883/klagomålsmail/A 55017-2021 FSC-klagomål mail.docx", "A 55017-2021")</f>
        <v/>
      </c>
      <c r="X65">
        <f>HYPERLINK("https://klasma.github.io/Logging_0883/tillsyn/A 55017-2021 tillsynsbegäran.docx", "A 55017-2021")</f>
        <v/>
      </c>
      <c r="Y65">
        <f>HYPERLINK("https://klasma.github.io/Logging_0883/tillsynsmail/A 55017-2021 tillsynsbegäran mail.docx", "A 55017-2021")</f>
        <v/>
      </c>
      <c r="Z65">
        <f>HYPERLINK("https://klasma.github.io/Logging_0883/fåglar/A 55017-2021 prioriterade fågelarter.docx", "A 55017-2021")</f>
        <v/>
      </c>
    </row>
    <row r="66" ht="15" customHeight="1">
      <c r="A66" t="inlineStr">
        <is>
          <t>A 5104-2022</t>
        </is>
      </c>
      <c r="B66" s="1" t="n">
        <v>44593</v>
      </c>
      <c r="C66" s="1" t="n">
        <v>45715</v>
      </c>
      <c r="D66" t="inlineStr">
        <is>
          <t>KALMAR LÄN</t>
        </is>
      </c>
      <c r="E66" t="inlineStr">
        <is>
          <t>OSKARSHAMN</t>
        </is>
      </c>
      <c r="F66" t="inlineStr">
        <is>
          <t>Sveaskog</t>
        </is>
      </c>
      <c r="G66" t="n">
        <v>10.9</v>
      </c>
      <c r="H66" t="n">
        <v>8</v>
      </c>
      <c r="I66" t="n">
        <v>1</v>
      </c>
      <c r="J66" t="n">
        <v>3</v>
      </c>
      <c r="K66" t="n">
        <v>0</v>
      </c>
      <c r="L66" t="n">
        <v>1</v>
      </c>
      <c r="M66" t="n">
        <v>0</v>
      </c>
      <c r="N66" t="n">
        <v>0</v>
      </c>
      <c r="O66" t="n">
        <v>4</v>
      </c>
      <c r="P66" t="n">
        <v>1</v>
      </c>
      <c r="Q66" t="n">
        <v>9</v>
      </c>
      <c r="R66" s="2" t="inlineStr">
        <is>
          <t>Tornseglare
Mindre hackspett
Rödvingetrast
Spillkråka
Björksplintborre
Dvärgpipistrell
Kungsfågel
Sparvuggla
Större brunfladdermus</t>
        </is>
      </c>
      <c r="S66">
        <f>HYPERLINK("https://klasma.github.io/Logging_0882/artfynd/A 5104-2022 artfynd.xlsx", "A 5104-2022")</f>
        <v/>
      </c>
      <c r="T66">
        <f>HYPERLINK("https://klasma.github.io/Logging_0882/kartor/A 5104-2022 karta.png", "A 5104-2022")</f>
        <v/>
      </c>
      <c r="V66">
        <f>HYPERLINK("https://klasma.github.io/Logging_0882/klagomål/A 5104-2022 FSC-klagomål.docx", "A 5104-2022")</f>
        <v/>
      </c>
      <c r="W66">
        <f>HYPERLINK("https://klasma.github.io/Logging_0882/klagomålsmail/A 5104-2022 FSC-klagomål mail.docx", "A 5104-2022")</f>
        <v/>
      </c>
      <c r="X66">
        <f>HYPERLINK("https://klasma.github.io/Logging_0882/tillsyn/A 5104-2022 tillsynsbegäran.docx", "A 5104-2022")</f>
        <v/>
      </c>
      <c r="Y66">
        <f>HYPERLINK("https://klasma.github.io/Logging_0882/tillsynsmail/A 5104-2022 tillsynsbegäran mail.docx", "A 5104-2022")</f>
        <v/>
      </c>
      <c r="Z66">
        <f>HYPERLINK("https://klasma.github.io/Logging_0882/fåglar/A 5104-2022 prioriterade fågelarter.docx", "A 5104-2022")</f>
        <v/>
      </c>
    </row>
    <row r="67" ht="15" customHeight="1">
      <c r="A67" t="inlineStr">
        <is>
          <t>A 37421-2022</t>
        </is>
      </c>
      <c r="B67" s="1" t="n">
        <v>44809</v>
      </c>
      <c r="C67" s="1" t="n">
        <v>45715</v>
      </c>
      <c r="D67" t="inlineStr">
        <is>
          <t>KALMAR LÄN</t>
        </is>
      </c>
      <c r="E67" t="inlineStr">
        <is>
          <t>BORGHOLM</t>
        </is>
      </c>
      <c r="G67" t="n">
        <v>3.4</v>
      </c>
      <c r="H67" t="n">
        <v>6</v>
      </c>
      <c r="I67" t="n">
        <v>5</v>
      </c>
      <c r="J67" t="n">
        <v>3</v>
      </c>
      <c r="K67" t="n">
        <v>0</v>
      </c>
      <c r="L67" t="n">
        <v>0</v>
      </c>
      <c r="M67" t="n">
        <v>0</v>
      </c>
      <c r="N67" t="n">
        <v>0</v>
      </c>
      <c r="O67" t="n">
        <v>3</v>
      </c>
      <c r="P67" t="n">
        <v>0</v>
      </c>
      <c r="Q67" t="n">
        <v>9</v>
      </c>
      <c r="R67" s="2" t="inlineStr">
        <is>
          <t>Bredarun
Höstlåsbräken
Sammetsfrölöpare
Murgröna
Skogsknipprot
Tvåblad
Vit skogslilja
Ögonpyrola
Fläcknycklar</t>
        </is>
      </c>
      <c r="S67">
        <f>HYPERLINK("https://klasma.github.io/Logging_0885/artfynd/A 37421-2022 artfynd.xlsx", "A 37421-2022")</f>
        <v/>
      </c>
      <c r="T67">
        <f>HYPERLINK("https://klasma.github.io/Logging_0885/kartor/A 37421-2022 karta.png", "A 37421-2022")</f>
        <v/>
      </c>
      <c r="V67">
        <f>HYPERLINK("https://klasma.github.io/Logging_0885/klagomål/A 37421-2022 FSC-klagomål.docx", "A 37421-2022")</f>
        <v/>
      </c>
      <c r="W67">
        <f>HYPERLINK("https://klasma.github.io/Logging_0885/klagomålsmail/A 37421-2022 FSC-klagomål mail.docx", "A 37421-2022")</f>
        <v/>
      </c>
      <c r="X67">
        <f>HYPERLINK("https://klasma.github.io/Logging_0885/tillsyn/A 37421-2022 tillsynsbegäran.docx", "A 37421-2022")</f>
        <v/>
      </c>
      <c r="Y67">
        <f>HYPERLINK("https://klasma.github.io/Logging_0885/tillsynsmail/A 37421-2022 tillsynsbegäran mail.docx", "A 37421-2022")</f>
        <v/>
      </c>
    </row>
    <row r="68" ht="15" customHeight="1">
      <c r="A68" t="inlineStr">
        <is>
          <t>A 7475-2023</t>
        </is>
      </c>
      <c r="B68" s="1" t="n">
        <v>44971</v>
      </c>
      <c r="C68" s="1" t="n">
        <v>45715</v>
      </c>
      <c r="D68" t="inlineStr">
        <is>
          <t>KALMAR LÄN</t>
        </is>
      </c>
      <c r="E68" t="inlineStr">
        <is>
          <t>MÖNSTERÅS</t>
        </is>
      </c>
      <c r="G68" t="n">
        <v>3.3</v>
      </c>
      <c r="H68" t="n">
        <v>3</v>
      </c>
      <c r="I68" t="n">
        <v>3</v>
      </c>
      <c r="J68" t="n">
        <v>4</v>
      </c>
      <c r="K68" t="n">
        <v>2</v>
      </c>
      <c r="L68" t="n">
        <v>0</v>
      </c>
      <c r="M68" t="n">
        <v>0</v>
      </c>
      <c r="N68" t="n">
        <v>0</v>
      </c>
      <c r="O68" t="n">
        <v>6</v>
      </c>
      <c r="P68" t="n">
        <v>2</v>
      </c>
      <c r="Q68" t="n">
        <v>9</v>
      </c>
      <c r="R68" s="2" t="inlineStr">
        <is>
          <t>Knärot
Rynkskinn
Grönsångare
Spillkråka
Tallticka
Ullticka
Blåmossa
Grovticka
Grönpyrola</t>
        </is>
      </c>
      <c r="S68">
        <f>HYPERLINK("https://klasma.github.io/Logging_0861/artfynd/A 7475-2023 artfynd.xlsx", "A 7475-2023")</f>
        <v/>
      </c>
      <c r="T68">
        <f>HYPERLINK("https://klasma.github.io/Logging_0861/kartor/A 7475-2023 karta.png", "A 7475-2023")</f>
        <v/>
      </c>
      <c r="U68">
        <f>HYPERLINK("https://klasma.github.io/Logging_0861/knärot/A 7475-2023 karta knärot.png", "A 7475-2023")</f>
        <v/>
      </c>
      <c r="V68">
        <f>HYPERLINK("https://klasma.github.io/Logging_0861/klagomål/A 7475-2023 FSC-klagomål.docx", "A 7475-2023")</f>
        <v/>
      </c>
      <c r="W68">
        <f>HYPERLINK("https://klasma.github.io/Logging_0861/klagomålsmail/A 7475-2023 FSC-klagomål mail.docx", "A 7475-2023")</f>
        <v/>
      </c>
      <c r="X68">
        <f>HYPERLINK("https://klasma.github.io/Logging_0861/tillsyn/A 7475-2023 tillsynsbegäran.docx", "A 7475-2023")</f>
        <v/>
      </c>
      <c r="Y68">
        <f>HYPERLINK("https://klasma.github.io/Logging_0861/tillsynsmail/A 7475-2023 tillsynsbegäran mail.docx", "A 7475-2023")</f>
        <v/>
      </c>
      <c r="Z68">
        <f>HYPERLINK("https://klasma.github.io/Logging_0861/fåglar/A 7475-2023 prioriterade fågelarter.docx", "A 7475-2023")</f>
        <v/>
      </c>
    </row>
    <row r="69" ht="15" customHeight="1">
      <c r="A69" t="inlineStr">
        <is>
          <t>A 52175-2023</t>
        </is>
      </c>
      <c r="B69" s="1" t="n">
        <v>45224</v>
      </c>
      <c r="C69" s="1" t="n">
        <v>45715</v>
      </c>
      <c r="D69" t="inlineStr">
        <is>
          <t>KALMAR LÄN</t>
        </is>
      </c>
      <c r="E69" t="inlineStr">
        <is>
          <t>HÖGSBY</t>
        </is>
      </c>
      <c r="G69" t="n">
        <v>17.1</v>
      </c>
      <c r="H69" t="n">
        <v>1</v>
      </c>
      <c r="I69" t="n">
        <v>4</v>
      </c>
      <c r="J69" t="n">
        <v>5</v>
      </c>
      <c r="K69" t="n">
        <v>0</v>
      </c>
      <c r="L69" t="n">
        <v>0</v>
      </c>
      <c r="M69" t="n">
        <v>0</v>
      </c>
      <c r="N69" t="n">
        <v>0</v>
      </c>
      <c r="O69" t="n">
        <v>5</v>
      </c>
      <c r="P69" t="n">
        <v>0</v>
      </c>
      <c r="Q69" t="n">
        <v>9</v>
      </c>
      <c r="R69" s="2" t="inlineStr">
        <is>
          <t>Dvärgbägarlav
Motaggsvamp
Spillkråka
Tallticka
Vedskivlav
Blomskägglav
Blåmossa
Flagellkvastmossa
Mindre märgborre</t>
        </is>
      </c>
      <c r="S69">
        <f>HYPERLINK("https://klasma.github.io/Logging_0821/artfynd/A 52175-2023 artfynd.xlsx", "A 52175-2023")</f>
        <v/>
      </c>
      <c r="T69">
        <f>HYPERLINK("https://klasma.github.io/Logging_0821/kartor/A 52175-2023 karta.png", "A 52175-2023")</f>
        <v/>
      </c>
      <c r="V69">
        <f>HYPERLINK("https://klasma.github.io/Logging_0821/klagomål/A 52175-2023 FSC-klagomål.docx", "A 52175-2023")</f>
        <v/>
      </c>
      <c r="W69">
        <f>HYPERLINK("https://klasma.github.io/Logging_0821/klagomålsmail/A 52175-2023 FSC-klagomål mail.docx", "A 52175-2023")</f>
        <v/>
      </c>
      <c r="X69">
        <f>HYPERLINK("https://klasma.github.io/Logging_0821/tillsyn/A 52175-2023 tillsynsbegäran.docx", "A 52175-2023")</f>
        <v/>
      </c>
      <c r="Y69">
        <f>HYPERLINK("https://klasma.github.io/Logging_0821/tillsynsmail/A 52175-2023 tillsynsbegäran mail.docx", "A 52175-2023")</f>
        <v/>
      </c>
      <c r="Z69">
        <f>HYPERLINK("https://klasma.github.io/Logging_0821/fåglar/A 52175-2023 prioriterade fågelarter.docx", "A 52175-2023")</f>
        <v/>
      </c>
    </row>
    <row r="70" ht="15" customHeight="1">
      <c r="A70" t="inlineStr">
        <is>
          <t>A 56737-2023</t>
        </is>
      </c>
      <c r="B70" s="1" t="n">
        <v>45244</v>
      </c>
      <c r="C70" s="1" t="n">
        <v>45715</v>
      </c>
      <c r="D70" t="inlineStr">
        <is>
          <t>KALMAR LÄN</t>
        </is>
      </c>
      <c r="E70" t="inlineStr">
        <is>
          <t>VÄSTERVIK</t>
        </is>
      </c>
      <c r="G70" t="n">
        <v>5.5</v>
      </c>
      <c r="H70" t="n">
        <v>2</v>
      </c>
      <c r="I70" t="n">
        <v>4</v>
      </c>
      <c r="J70" t="n">
        <v>4</v>
      </c>
      <c r="K70" t="n">
        <v>1</v>
      </c>
      <c r="L70" t="n">
        <v>0</v>
      </c>
      <c r="M70" t="n">
        <v>0</v>
      </c>
      <c r="N70" t="n">
        <v>0</v>
      </c>
      <c r="O70" t="n">
        <v>5</v>
      </c>
      <c r="P70" t="n">
        <v>1</v>
      </c>
      <c r="Q70" t="n">
        <v>9</v>
      </c>
      <c r="R70" s="2" t="inlineStr">
        <is>
          <t>Knärot
Motaggsvamp
Spillkråka
Tallticka
Ullticka
Blomskägglav
Bronshjon
Fällmossa
Grönpyrola</t>
        </is>
      </c>
      <c r="S70">
        <f>HYPERLINK("https://klasma.github.io/Logging_0883/artfynd/A 56737-2023 artfynd.xlsx", "A 56737-2023")</f>
        <v/>
      </c>
      <c r="T70">
        <f>HYPERLINK("https://klasma.github.io/Logging_0883/kartor/A 56737-2023 karta.png", "A 56737-2023")</f>
        <v/>
      </c>
      <c r="U70">
        <f>HYPERLINK("https://klasma.github.io/Logging_0883/knärot/A 56737-2023 karta knärot.png", "A 56737-2023")</f>
        <v/>
      </c>
      <c r="V70">
        <f>HYPERLINK("https://klasma.github.io/Logging_0883/klagomål/A 56737-2023 FSC-klagomål.docx", "A 56737-2023")</f>
        <v/>
      </c>
      <c r="W70">
        <f>HYPERLINK("https://klasma.github.io/Logging_0883/klagomålsmail/A 56737-2023 FSC-klagomål mail.docx", "A 56737-2023")</f>
        <v/>
      </c>
      <c r="X70">
        <f>HYPERLINK("https://klasma.github.io/Logging_0883/tillsyn/A 56737-2023 tillsynsbegäran.docx", "A 56737-2023")</f>
        <v/>
      </c>
      <c r="Y70">
        <f>HYPERLINK("https://klasma.github.io/Logging_0883/tillsynsmail/A 56737-2023 tillsynsbegäran mail.docx", "A 56737-2023")</f>
        <v/>
      </c>
      <c r="Z70">
        <f>HYPERLINK("https://klasma.github.io/Logging_0883/fåglar/A 56737-2023 prioriterade fågelarter.docx", "A 56737-2023")</f>
        <v/>
      </c>
    </row>
    <row r="71" ht="15" customHeight="1">
      <c r="A71" t="inlineStr">
        <is>
          <t>A 57473-2023</t>
        </is>
      </c>
      <c r="B71" s="1" t="n">
        <v>45246</v>
      </c>
      <c r="C71" s="1" t="n">
        <v>45715</v>
      </c>
      <c r="D71" t="inlineStr">
        <is>
          <t>KALMAR LÄN</t>
        </is>
      </c>
      <c r="E71" t="inlineStr">
        <is>
          <t>MÖNSTERÅS</t>
        </is>
      </c>
      <c r="G71" t="n">
        <v>6.1</v>
      </c>
      <c r="H71" t="n">
        <v>8</v>
      </c>
      <c r="I71" t="n">
        <v>1</v>
      </c>
      <c r="J71" t="n">
        <v>4</v>
      </c>
      <c r="K71" t="n">
        <v>1</v>
      </c>
      <c r="L71" t="n">
        <v>0</v>
      </c>
      <c r="M71" t="n">
        <v>0</v>
      </c>
      <c r="N71" t="n">
        <v>0</v>
      </c>
      <c r="O71" t="n">
        <v>5</v>
      </c>
      <c r="P71" t="n">
        <v>1</v>
      </c>
      <c r="Q71" t="n">
        <v>9</v>
      </c>
      <c r="R71" s="2" t="inlineStr">
        <is>
          <t>Knärot
Barbastell
Brunlångöra
Nordfladdermus
Spillkråka
Blåmossa
Dvärgpipistrell
Större brunfladdermus
Trollpipistrell</t>
        </is>
      </c>
      <c r="S71">
        <f>HYPERLINK("https://klasma.github.io/Logging_0861/artfynd/A 57473-2023 artfynd.xlsx", "A 57473-2023")</f>
        <v/>
      </c>
      <c r="T71">
        <f>HYPERLINK("https://klasma.github.io/Logging_0861/kartor/A 57473-2023 karta.png", "A 57473-2023")</f>
        <v/>
      </c>
      <c r="U71">
        <f>HYPERLINK("https://klasma.github.io/Logging_0861/knärot/A 57473-2023 karta knärot.png", "A 57473-2023")</f>
        <v/>
      </c>
      <c r="V71">
        <f>HYPERLINK("https://klasma.github.io/Logging_0861/klagomål/A 57473-2023 FSC-klagomål.docx", "A 57473-2023")</f>
        <v/>
      </c>
      <c r="W71">
        <f>HYPERLINK("https://klasma.github.io/Logging_0861/klagomålsmail/A 57473-2023 FSC-klagomål mail.docx", "A 57473-2023")</f>
        <v/>
      </c>
      <c r="X71">
        <f>HYPERLINK("https://klasma.github.io/Logging_0861/tillsyn/A 57473-2023 tillsynsbegäran.docx", "A 57473-2023")</f>
        <v/>
      </c>
      <c r="Y71">
        <f>HYPERLINK("https://klasma.github.io/Logging_0861/tillsynsmail/A 57473-2023 tillsynsbegäran mail.docx", "A 57473-2023")</f>
        <v/>
      </c>
      <c r="Z71">
        <f>HYPERLINK("https://klasma.github.io/Logging_0861/fåglar/A 57473-2023 prioriterade fågelarter.docx", "A 57473-2023")</f>
        <v/>
      </c>
    </row>
    <row r="72" ht="15" customHeight="1">
      <c r="A72" t="inlineStr">
        <is>
          <t>A 59540-2023</t>
        </is>
      </c>
      <c r="B72" s="1" t="n">
        <v>45254</v>
      </c>
      <c r="C72" s="1" t="n">
        <v>45715</v>
      </c>
      <c r="D72" t="inlineStr">
        <is>
          <t>KALMAR LÄN</t>
        </is>
      </c>
      <c r="E72" t="inlineStr">
        <is>
          <t>MÖRBYLÅNGA</t>
        </is>
      </c>
      <c r="G72" t="n">
        <v>2.8</v>
      </c>
      <c r="H72" t="n">
        <v>9</v>
      </c>
      <c r="I72" t="n">
        <v>0</v>
      </c>
      <c r="J72" t="n">
        <v>6</v>
      </c>
      <c r="K72" t="n">
        <v>0</v>
      </c>
      <c r="L72" t="n">
        <v>2</v>
      </c>
      <c r="M72" t="n">
        <v>0</v>
      </c>
      <c r="N72" t="n">
        <v>0</v>
      </c>
      <c r="O72" t="n">
        <v>8</v>
      </c>
      <c r="P72" t="n">
        <v>2</v>
      </c>
      <c r="Q72" t="n">
        <v>9</v>
      </c>
      <c r="R72" s="2" t="inlineStr">
        <is>
          <t>Grönfink
Tornseglare
Björktrast
Grönsångare
Rödvingetrast
Spillkråka
Svartvit flugsnappare
Ärtsångare
Nattskärra</t>
        </is>
      </c>
      <c r="S72">
        <f>HYPERLINK("https://klasma.github.io/Logging_0840/artfynd/A 59540-2023 artfynd.xlsx", "A 59540-2023")</f>
        <v/>
      </c>
      <c r="T72">
        <f>HYPERLINK("https://klasma.github.io/Logging_0840/kartor/A 59540-2023 karta.png", "A 59540-2023")</f>
        <v/>
      </c>
      <c r="V72">
        <f>HYPERLINK("https://klasma.github.io/Logging_0840/klagomål/A 59540-2023 FSC-klagomål.docx", "A 59540-2023")</f>
        <v/>
      </c>
      <c r="W72">
        <f>HYPERLINK("https://klasma.github.io/Logging_0840/klagomålsmail/A 59540-2023 FSC-klagomål mail.docx", "A 59540-2023")</f>
        <v/>
      </c>
      <c r="X72">
        <f>HYPERLINK("https://klasma.github.io/Logging_0840/tillsyn/A 59540-2023 tillsynsbegäran.docx", "A 59540-2023")</f>
        <v/>
      </c>
      <c r="Y72">
        <f>HYPERLINK("https://klasma.github.io/Logging_0840/tillsynsmail/A 59540-2023 tillsynsbegäran mail.docx", "A 59540-2023")</f>
        <v/>
      </c>
      <c r="Z72">
        <f>HYPERLINK("https://klasma.github.io/Logging_0840/fåglar/A 59540-2023 prioriterade fågelarter.docx", "A 59540-2023")</f>
        <v/>
      </c>
    </row>
    <row r="73" ht="15" customHeight="1">
      <c r="A73" t="inlineStr">
        <is>
          <t>A 64885-2023</t>
        </is>
      </c>
      <c r="B73" s="1" t="n">
        <v>45282</v>
      </c>
      <c r="C73" s="1" t="n">
        <v>45715</v>
      </c>
      <c r="D73" t="inlineStr">
        <is>
          <t>KALMAR LÄN</t>
        </is>
      </c>
      <c r="E73" t="inlineStr">
        <is>
          <t>VÄSTERVIK</t>
        </is>
      </c>
      <c r="F73" t="inlineStr">
        <is>
          <t>Sveaskog</t>
        </is>
      </c>
      <c r="G73" t="n">
        <v>34</v>
      </c>
      <c r="H73" t="n">
        <v>5</v>
      </c>
      <c r="I73" t="n">
        <v>3</v>
      </c>
      <c r="J73" t="n">
        <v>3</v>
      </c>
      <c r="K73" t="n">
        <v>1</v>
      </c>
      <c r="L73" t="n">
        <v>0</v>
      </c>
      <c r="M73" t="n">
        <v>0</v>
      </c>
      <c r="N73" t="n">
        <v>0</v>
      </c>
      <c r="O73" t="n">
        <v>4</v>
      </c>
      <c r="P73" t="n">
        <v>1</v>
      </c>
      <c r="Q73" t="n">
        <v>9</v>
      </c>
      <c r="R73" s="2" t="inlineStr">
        <is>
          <t>Knärot
Motaggsvamp
Spillkråka
Talltita
Bronshjon
Dropptaggsvamp
Grönpyrola
Tjäder
Revlummer</t>
        </is>
      </c>
      <c r="S73">
        <f>HYPERLINK("https://klasma.github.io/Logging_0883/artfynd/A 64885-2023 artfynd.xlsx", "A 64885-2023")</f>
        <v/>
      </c>
      <c r="T73">
        <f>HYPERLINK("https://klasma.github.io/Logging_0883/kartor/A 64885-2023 karta.png", "A 64885-2023")</f>
        <v/>
      </c>
      <c r="U73">
        <f>HYPERLINK("https://klasma.github.io/Logging_0883/knärot/A 64885-2023 karta knärot.png", "A 64885-2023")</f>
        <v/>
      </c>
      <c r="V73">
        <f>HYPERLINK("https://klasma.github.io/Logging_0883/klagomål/A 64885-2023 FSC-klagomål.docx", "A 64885-2023")</f>
        <v/>
      </c>
      <c r="W73">
        <f>HYPERLINK("https://klasma.github.io/Logging_0883/klagomålsmail/A 64885-2023 FSC-klagomål mail.docx", "A 64885-2023")</f>
        <v/>
      </c>
      <c r="X73">
        <f>HYPERLINK("https://klasma.github.io/Logging_0883/tillsyn/A 64885-2023 tillsynsbegäran.docx", "A 64885-2023")</f>
        <v/>
      </c>
      <c r="Y73">
        <f>HYPERLINK("https://klasma.github.io/Logging_0883/tillsynsmail/A 64885-2023 tillsynsbegäran mail.docx", "A 64885-2023")</f>
        <v/>
      </c>
      <c r="Z73">
        <f>HYPERLINK("https://klasma.github.io/Logging_0883/fåglar/A 64885-2023 prioriterade fågelarter.docx", "A 64885-2023")</f>
        <v/>
      </c>
    </row>
    <row r="74" ht="15" customHeight="1">
      <c r="A74" t="inlineStr">
        <is>
          <t>A 2837-2024</t>
        </is>
      </c>
      <c r="B74" s="1" t="n">
        <v>45314</v>
      </c>
      <c r="C74" s="1" t="n">
        <v>45715</v>
      </c>
      <c r="D74" t="inlineStr">
        <is>
          <t>KALMAR LÄN</t>
        </is>
      </c>
      <c r="E74" t="inlineStr">
        <is>
          <t>VIMMERBY</t>
        </is>
      </c>
      <c r="G74" t="n">
        <v>14.6</v>
      </c>
      <c r="H74" t="n">
        <v>5</v>
      </c>
      <c r="I74" t="n">
        <v>3</v>
      </c>
      <c r="J74" t="n">
        <v>3</v>
      </c>
      <c r="K74" t="n">
        <v>1</v>
      </c>
      <c r="L74" t="n">
        <v>0</v>
      </c>
      <c r="M74" t="n">
        <v>0</v>
      </c>
      <c r="N74" t="n">
        <v>0</v>
      </c>
      <c r="O74" t="n">
        <v>4</v>
      </c>
      <c r="P74" t="n">
        <v>1</v>
      </c>
      <c r="Q74" t="n">
        <v>9</v>
      </c>
      <c r="R74" s="2" t="inlineStr">
        <is>
          <t>Knärot
Spillkråka
Tallticka
Talltita
Blåmossa
Dropptaggsvamp
Grovticka
Kungsfågel
Revlummer</t>
        </is>
      </c>
      <c r="S74">
        <f>HYPERLINK("https://klasma.github.io/Logging_0884/artfynd/A 2837-2024 artfynd.xlsx", "A 2837-2024")</f>
        <v/>
      </c>
      <c r="T74">
        <f>HYPERLINK("https://klasma.github.io/Logging_0884/kartor/A 2837-2024 karta.png", "A 2837-2024")</f>
        <v/>
      </c>
      <c r="U74">
        <f>HYPERLINK("https://klasma.github.io/Logging_0884/knärot/A 2837-2024 karta knärot.png", "A 2837-2024")</f>
        <v/>
      </c>
      <c r="V74">
        <f>HYPERLINK("https://klasma.github.io/Logging_0884/klagomål/A 2837-2024 FSC-klagomål.docx", "A 2837-2024")</f>
        <v/>
      </c>
      <c r="W74">
        <f>HYPERLINK("https://klasma.github.io/Logging_0884/klagomålsmail/A 2837-2024 FSC-klagomål mail.docx", "A 2837-2024")</f>
        <v/>
      </c>
      <c r="X74">
        <f>HYPERLINK("https://klasma.github.io/Logging_0884/tillsyn/A 2837-2024 tillsynsbegäran.docx", "A 2837-2024")</f>
        <v/>
      </c>
      <c r="Y74">
        <f>HYPERLINK("https://klasma.github.io/Logging_0884/tillsynsmail/A 2837-2024 tillsynsbegäran mail.docx", "A 2837-2024")</f>
        <v/>
      </c>
      <c r="Z74">
        <f>HYPERLINK("https://klasma.github.io/Logging_0884/fåglar/A 2837-2024 prioriterade fågelarter.docx", "A 2837-2024")</f>
        <v/>
      </c>
    </row>
    <row r="75" ht="15" customHeight="1">
      <c r="A75" t="inlineStr">
        <is>
          <t>A 20094-2024</t>
        </is>
      </c>
      <c r="B75" s="1" t="n">
        <v>45434</v>
      </c>
      <c r="C75" s="1" t="n">
        <v>45715</v>
      </c>
      <c r="D75" t="inlineStr">
        <is>
          <t>KALMAR LÄN</t>
        </is>
      </c>
      <c r="E75" t="inlineStr">
        <is>
          <t>VÄSTERVIK</t>
        </is>
      </c>
      <c r="G75" t="n">
        <v>6.4</v>
      </c>
      <c r="H75" t="n">
        <v>3</v>
      </c>
      <c r="I75" t="n">
        <v>3</v>
      </c>
      <c r="J75" t="n">
        <v>5</v>
      </c>
      <c r="K75" t="n">
        <v>1</v>
      </c>
      <c r="L75" t="n">
        <v>0</v>
      </c>
      <c r="M75" t="n">
        <v>0</v>
      </c>
      <c r="N75" t="n">
        <v>0</v>
      </c>
      <c r="O75" t="n">
        <v>6</v>
      </c>
      <c r="P75" t="n">
        <v>1</v>
      </c>
      <c r="Q75" t="n">
        <v>9</v>
      </c>
      <c r="R75" s="2" t="inlineStr">
        <is>
          <t>Knärot
Granticka
Grönsångare
Mindre hackspett
Tallticka
Ullticka
Blåmossa
Grönpyrola
Zontaggsvamp</t>
        </is>
      </c>
      <c r="S75">
        <f>HYPERLINK("https://klasma.github.io/Logging_0883/artfynd/A 20094-2024 artfynd.xlsx", "A 20094-2024")</f>
        <v/>
      </c>
      <c r="T75">
        <f>HYPERLINK("https://klasma.github.io/Logging_0883/kartor/A 20094-2024 karta.png", "A 20094-2024")</f>
        <v/>
      </c>
      <c r="U75">
        <f>HYPERLINK("https://klasma.github.io/Logging_0883/knärot/A 20094-2024 karta knärot.png", "A 20094-2024")</f>
        <v/>
      </c>
      <c r="V75">
        <f>HYPERLINK("https://klasma.github.io/Logging_0883/klagomål/A 20094-2024 FSC-klagomål.docx", "A 20094-2024")</f>
        <v/>
      </c>
      <c r="W75">
        <f>HYPERLINK("https://klasma.github.io/Logging_0883/klagomålsmail/A 20094-2024 FSC-klagomål mail.docx", "A 20094-2024")</f>
        <v/>
      </c>
      <c r="X75">
        <f>HYPERLINK("https://klasma.github.io/Logging_0883/tillsyn/A 20094-2024 tillsynsbegäran.docx", "A 20094-2024")</f>
        <v/>
      </c>
      <c r="Y75">
        <f>HYPERLINK("https://klasma.github.io/Logging_0883/tillsynsmail/A 20094-2024 tillsynsbegäran mail.docx", "A 20094-2024")</f>
        <v/>
      </c>
      <c r="Z75">
        <f>HYPERLINK("https://klasma.github.io/Logging_0883/fåglar/A 20094-2024 prioriterade fågelarter.docx", "A 20094-2024")</f>
        <v/>
      </c>
    </row>
    <row r="76" ht="15" customHeight="1">
      <c r="A76" t="inlineStr">
        <is>
          <t>A 24641-2024</t>
        </is>
      </c>
      <c r="B76" s="1" t="n">
        <v>45460</v>
      </c>
      <c r="C76" s="1" t="n">
        <v>45715</v>
      </c>
      <c r="D76" t="inlineStr">
        <is>
          <t>KALMAR LÄN</t>
        </is>
      </c>
      <c r="E76" t="inlineStr">
        <is>
          <t>OSKARSHAMN</t>
        </is>
      </c>
      <c r="G76" t="n">
        <v>5.6</v>
      </c>
      <c r="H76" t="n">
        <v>5</v>
      </c>
      <c r="I76" t="n">
        <v>2</v>
      </c>
      <c r="J76" t="n">
        <v>5</v>
      </c>
      <c r="K76" t="n">
        <v>0</v>
      </c>
      <c r="L76" t="n">
        <v>0</v>
      </c>
      <c r="M76" t="n">
        <v>0</v>
      </c>
      <c r="N76" t="n">
        <v>0</v>
      </c>
      <c r="O76" t="n">
        <v>5</v>
      </c>
      <c r="P76" t="n">
        <v>0</v>
      </c>
      <c r="Q76" t="n">
        <v>9</v>
      </c>
      <c r="R76" s="2" t="inlineStr">
        <is>
          <t>Gropticka
Havsörn
Spillkråka
Tallticka
Talltita
Blomkålssvamp
Blåmossa
Gröngöling
Blåsippa</t>
        </is>
      </c>
      <c r="S76">
        <f>HYPERLINK("https://klasma.github.io/Logging_0882/artfynd/A 24641-2024 artfynd.xlsx", "A 24641-2024")</f>
        <v/>
      </c>
      <c r="T76">
        <f>HYPERLINK("https://klasma.github.io/Logging_0882/kartor/A 24641-2024 karta.png", "A 24641-2024")</f>
        <v/>
      </c>
      <c r="V76">
        <f>HYPERLINK("https://klasma.github.io/Logging_0882/klagomål/A 24641-2024 FSC-klagomål.docx", "A 24641-2024")</f>
        <v/>
      </c>
      <c r="W76">
        <f>HYPERLINK("https://klasma.github.io/Logging_0882/klagomålsmail/A 24641-2024 FSC-klagomål mail.docx", "A 24641-2024")</f>
        <v/>
      </c>
      <c r="X76">
        <f>HYPERLINK("https://klasma.github.io/Logging_0882/tillsyn/A 24641-2024 tillsynsbegäran.docx", "A 24641-2024")</f>
        <v/>
      </c>
      <c r="Y76">
        <f>HYPERLINK("https://klasma.github.io/Logging_0882/tillsynsmail/A 24641-2024 tillsynsbegäran mail.docx", "A 24641-2024")</f>
        <v/>
      </c>
      <c r="Z76">
        <f>HYPERLINK("https://klasma.github.io/Logging_0882/fåglar/A 24641-2024 prioriterade fågelarter.docx", "A 24641-2024")</f>
        <v/>
      </c>
    </row>
    <row r="77" ht="15" customHeight="1">
      <c r="A77" t="inlineStr">
        <is>
          <t>A 25936-2024</t>
        </is>
      </c>
      <c r="B77" s="1" t="n">
        <v>45467</v>
      </c>
      <c r="C77" s="1" t="n">
        <v>45715</v>
      </c>
      <c r="D77" t="inlineStr">
        <is>
          <t>KALMAR LÄN</t>
        </is>
      </c>
      <c r="E77" t="inlineStr">
        <is>
          <t>OSKARSHAMN</t>
        </is>
      </c>
      <c r="G77" t="n">
        <v>6.5</v>
      </c>
      <c r="H77" t="n">
        <v>4</v>
      </c>
      <c r="I77" t="n">
        <v>2</v>
      </c>
      <c r="J77" t="n">
        <v>5</v>
      </c>
      <c r="K77" t="n">
        <v>1</v>
      </c>
      <c r="L77" t="n">
        <v>0</v>
      </c>
      <c r="M77" t="n">
        <v>0</v>
      </c>
      <c r="N77" t="n">
        <v>0</v>
      </c>
      <c r="O77" t="n">
        <v>6</v>
      </c>
      <c r="P77" t="n">
        <v>1</v>
      </c>
      <c r="Q77" t="n">
        <v>9</v>
      </c>
      <c r="R77" s="2" t="inlineStr">
        <is>
          <t>Knärot
Skrovlig taggsvamp
Spillkråka
Tallticka
Talltita
Vedskivlav
Blåmossa
Grönpyrola
Revlummer</t>
        </is>
      </c>
      <c r="S77">
        <f>HYPERLINK("https://klasma.github.io/Logging_0882/artfynd/A 25936-2024 artfynd.xlsx", "A 25936-2024")</f>
        <v/>
      </c>
      <c r="T77">
        <f>HYPERLINK("https://klasma.github.io/Logging_0882/kartor/A 25936-2024 karta.png", "A 25936-2024")</f>
        <v/>
      </c>
      <c r="U77">
        <f>HYPERLINK("https://klasma.github.io/Logging_0882/knärot/A 25936-2024 karta knärot.png", "A 25936-2024")</f>
        <v/>
      </c>
      <c r="V77">
        <f>HYPERLINK("https://klasma.github.io/Logging_0882/klagomål/A 25936-2024 FSC-klagomål.docx", "A 25936-2024")</f>
        <v/>
      </c>
      <c r="W77">
        <f>HYPERLINK("https://klasma.github.io/Logging_0882/klagomålsmail/A 25936-2024 FSC-klagomål mail.docx", "A 25936-2024")</f>
        <v/>
      </c>
      <c r="X77">
        <f>HYPERLINK("https://klasma.github.io/Logging_0882/tillsyn/A 25936-2024 tillsynsbegäran.docx", "A 25936-2024")</f>
        <v/>
      </c>
      <c r="Y77">
        <f>HYPERLINK("https://klasma.github.io/Logging_0882/tillsynsmail/A 25936-2024 tillsynsbegäran mail.docx", "A 25936-2024")</f>
        <v/>
      </c>
      <c r="Z77">
        <f>HYPERLINK("https://klasma.github.io/Logging_0882/fåglar/A 25936-2024 prioriterade fågelarter.docx", "A 25936-2024")</f>
        <v/>
      </c>
    </row>
    <row r="78" ht="15" customHeight="1">
      <c r="A78" t="inlineStr">
        <is>
          <t>A 28212-2024</t>
        </is>
      </c>
      <c r="B78" s="1" t="n">
        <v>45477</v>
      </c>
      <c r="C78" s="1" t="n">
        <v>45715</v>
      </c>
      <c r="D78" t="inlineStr">
        <is>
          <t>KALMAR LÄN</t>
        </is>
      </c>
      <c r="E78" t="inlineStr">
        <is>
          <t>HULTSFRED</t>
        </is>
      </c>
      <c r="G78" t="n">
        <v>3.4</v>
      </c>
      <c r="H78" t="n">
        <v>4</v>
      </c>
      <c r="I78" t="n">
        <v>5</v>
      </c>
      <c r="J78" t="n">
        <v>1</v>
      </c>
      <c r="K78" t="n">
        <v>1</v>
      </c>
      <c r="L78" t="n">
        <v>0</v>
      </c>
      <c r="M78" t="n">
        <v>0</v>
      </c>
      <c r="N78" t="n">
        <v>0</v>
      </c>
      <c r="O78" t="n">
        <v>2</v>
      </c>
      <c r="P78" t="n">
        <v>1</v>
      </c>
      <c r="Q78" t="n">
        <v>9</v>
      </c>
      <c r="R78" s="2" t="inlineStr">
        <is>
          <t>Knärot
Spillkråka
Bronshjon
Dropptaggsvamp
Grönpyrola
Gulnål
Kornig nållav
Vanlig groda
Blåsippa</t>
        </is>
      </c>
      <c r="S78">
        <f>HYPERLINK("https://klasma.github.io/Logging_0860/artfynd/A 28212-2024 artfynd.xlsx", "A 28212-2024")</f>
        <v/>
      </c>
      <c r="T78">
        <f>HYPERLINK("https://klasma.github.io/Logging_0860/kartor/A 28212-2024 karta.png", "A 28212-2024")</f>
        <v/>
      </c>
      <c r="U78">
        <f>HYPERLINK("https://klasma.github.io/Logging_0860/knärot/A 28212-2024 karta knärot.png", "A 28212-2024")</f>
        <v/>
      </c>
      <c r="V78">
        <f>HYPERLINK("https://klasma.github.io/Logging_0860/klagomål/A 28212-2024 FSC-klagomål.docx", "A 28212-2024")</f>
        <v/>
      </c>
      <c r="W78">
        <f>HYPERLINK("https://klasma.github.io/Logging_0860/klagomålsmail/A 28212-2024 FSC-klagomål mail.docx", "A 28212-2024")</f>
        <v/>
      </c>
      <c r="X78">
        <f>HYPERLINK("https://klasma.github.io/Logging_0860/tillsyn/A 28212-2024 tillsynsbegäran.docx", "A 28212-2024")</f>
        <v/>
      </c>
      <c r="Y78">
        <f>HYPERLINK("https://klasma.github.io/Logging_0860/tillsynsmail/A 28212-2024 tillsynsbegäran mail.docx", "A 28212-2024")</f>
        <v/>
      </c>
      <c r="Z78">
        <f>HYPERLINK("https://klasma.github.io/Logging_0860/fåglar/A 28212-2024 prioriterade fågelarter.docx", "A 28212-2024")</f>
        <v/>
      </c>
    </row>
    <row r="79" ht="15" customHeight="1">
      <c r="A79" t="inlineStr">
        <is>
          <t>A 34414-2024</t>
        </is>
      </c>
      <c r="B79" s="1" t="n">
        <v>45525</v>
      </c>
      <c r="C79" s="1" t="n">
        <v>45715</v>
      </c>
      <c r="D79" t="inlineStr">
        <is>
          <t>KALMAR LÄN</t>
        </is>
      </c>
      <c r="E79" t="inlineStr">
        <is>
          <t>VÄSTERVIK</t>
        </is>
      </c>
      <c r="F79" t="inlineStr">
        <is>
          <t>Holmen skog AB</t>
        </is>
      </c>
      <c r="G79" t="n">
        <v>8.9</v>
      </c>
      <c r="H79" t="n">
        <v>2</v>
      </c>
      <c r="I79" t="n">
        <v>4</v>
      </c>
      <c r="J79" t="n">
        <v>4</v>
      </c>
      <c r="K79" t="n">
        <v>1</v>
      </c>
      <c r="L79" t="n">
        <v>0</v>
      </c>
      <c r="M79" t="n">
        <v>0</v>
      </c>
      <c r="N79" t="n">
        <v>0</v>
      </c>
      <c r="O79" t="n">
        <v>5</v>
      </c>
      <c r="P79" t="n">
        <v>1</v>
      </c>
      <c r="Q79" t="n">
        <v>9</v>
      </c>
      <c r="R79" s="2" t="inlineStr">
        <is>
          <t>Knärot
Orange taggsvamp
Svart taggsvamp
Tallticka
Talltita
Blåmossa
Brandticka
Dropptaggsvamp
Zontaggsvamp</t>
        </is>
      </c>
      <c r="S79">
        <f>HYPERLINK("https://klasma.github.io/Logging_0883/artfynd/A 34414-2024 artfynd.xlsx", "A 34414-2024")</f>
        <v/>
      </c>
      <c r="T79">
        <f>HYPERLINK("https://klasma.github.io/Logging_0883/kartor/A 34414-2024 karta.png", "A 34414-2024")</f>
        <v/>
      </c>
      <c r="U79">
        <f>HYPERLINK("https://klasma.github.io/Logging_0883/knärot/A 34414-2024 karta knärot.png", "A 34414-2024")</f>
        <v/>
      </c>
      <c r="V79">
        <f>HYPERLINK("https://klasma.github.io/Logging_0883/klagomål/A 34414-2024 FSC-klagomål.docx", "A 34414-2024")</f>
        <v/>
      </c>
      <c r="W79">
        <f>HYPERLINK("https://klasma.github.io/Logging_0883/klagomålsmail/A 34414-2024 FSC-klagomål mail.docx", "A 34414-2024")</f>
        <v/>
      </c>
      <c r="X79">
        <f>HYPERLINK("https://klasma.github.io/Logging_0883/tillsyn/A 34414-2024 tillsynsbegäran.docx", "A 34414-2024")</f>
        <v/>
      </c>
      <c r="Y79">
        <f>HYPERLINK("https://klasma.github.io/Logging_0883/tillsynsmail/A 34414-2024 tillsynsbegäran mail.docx", "A 34414-2024")</f>
        <v/>
      </c>
      <c r="Z79">
        <f>HYPERLINK("https://klasma.github.io/Logging_0883/fåglar/A 34414-2024 prioriterade fågelarter.docx", "A 34414-2024")</f>
        <v/>
      </c>
    </row>
    <row r="80" ht="15" customHeight="1">
      <c r="A80" t="inlineStr">
        <is>
          <t>A 35134-2024</t>
        </is>
      </c>
      <c r="B80" s="1" t="n">
        <v>45530</v>
      </c>
      <c r="C80" s="1" t="n">
        <v>45715</v>
      </c>
      <c r="D80" t="inlineStr">
        <is>
          <t>KALMAR LÄN</t>
        </is>
      </c>
      <c r="E80" t="inlineStr">
        <is>
          <t>VÄSTERVIK</t>
        </is>
      </c>
      <c r="G80" t="n">
        <v>1.9</v>
      </c>
      <c r="H80" t="n">
        <v>4</v>
      </c>
      <c r="I80" t="n">
        <v>5</v>
      </c>
      <c r="J80" t="n">
        <v>3</v>
      </c>
      <c r="K80" t="n">
        <v>1</v>
      </c>
      <c r="L80" t="n">
        <v>0</v>
      </c>
      <c r="M80" t="n">
        <v>0</v>
      </c>
      <c r="N80" t="n">
        <v>0</v>
      </c>
      <c r="O80" t="n">
        <v>4</v>
      </c>
      <c r="P80" t="n">
        <v>1</v>
      </c>
      <c r="Q80" t="n">
        <v>9</v>
      </c>
      <c r="R80" s="2" t="inlineStr">
        <is>
          <t>Knärot
Entita
Orange taggsvamp
Spillkråka
Blomkålssvamp
Dropptaggsvamp
Grönpyrola
Murgröna
Purpurknipprot</t>
        </is>
      </c>
      <c r="S80">
        <f>HYPERLINK("https://klasma.github.io/Logging_0883/artfynd/A 35134-2024 artfynd.xlsx", "A 35134-2024")</f>
        <v/>
      </c>
      <c r="T80">
        <f>HYPERLINK("https://klasma.github.io/Logging_0883/kartor/A 35134-2024 karta.png", "A 35134-2024")</f>
        <v/>
      </c>
      <c r="U80">
        <f>HYPERLINK("https://klasma.github.io/Logging_0883/knärot/A 35134-2024 karta knärot.png", "A 35134-2024")</f>
        <v/>
      </c>
      <c r="V80">
        <f>HYPERLINK("https://klasma.github.io/Logging_0883/klagomål/A 35134-2024 FSC-klagomål.docx", "A 35134-2024")</f>
        <v/>
      </c>
      <c r="W80">
        <f>HYPERLINK("https://klasma.github.io/Logging_0883/klagomålsmail/A 35134-2024 FSC-klagomål mail.docx", "A 35134-2024")</f>
        <v/>
      </c>
      <c r="X80">
        <f>HYPERLINK("https://klasma.github.io/Logging_0883/tillsyn/A 35134-2024 tillsynsbegäran.docx", "A 35134-2024")</f>
        <v/>
      </c>
      <c r="Y80">
        <f>HYPERLINK("https://klasma.github.io/Logging_0883/tillsynsmail/A 35134-2024 tillsynsbegäran mail.docx", "A 35134-2024")</f>
        <v/>
      </c>
      <c r="Z80">
        <f>HYPERLINK("https://klasma.github.io/Logging_0883/fåglar/A 35134-2024 prioriterade fågelarter.docx", "A 35134-2024")</f>
        <v/>
      </c>
    </row>
    <row r="81" ht="15" customHeight="1">
      <c r="A81" t="inlineStr">
        <is>
          <t>A 58056-2024</t>
        </is>
      </c>
      <c r="B81" s="1" t="n">
        <v>45631</v>
      </c>
      <c r="C81" s="1" t="n">
        <v>45715</v>
      </c>
      <c r="D81" t="inlineStr">
        <is>
          <t>KALMAR LÄN</t>
        </is>
      </c>
      <c r="E81" t="inlineStr">
        <is>
          <t>MÖRBYLÅNGA</t>
        </is>
      </c>
      <c r="G81" t="n">
        <v>7</v>
      </c>
      <c r="H81" t="n">
        <v>5</v>
      </c>
      <c r="I81" t="n">
        <v>2</v>
      </c>
      <c r="J81" t="n">
        <v>3</v>
      </c>
      <c r="K81" t="n">
        <v>0</v>
      </c>
      <c r="L81" t="n">
        <v>1</v>
      </c>
      <c r="M81" t="n">
        <v>0</v>
      </c>
      <c r="N81" t="n">
        <v>0</v>
      </c>
      <c r="O81" t="n">
        <v>4</v>
      </c>
      <c r="P81" t="n">
        <v>1</v>
      </c>
      <c r="Q81" t="n">
        <v>9</v>
      </c>
      <c r="R81" s="2" t="inlineStr">
        <is>
          <t>Ryl
Grådådra
Grönsångare
Spillkråka
Grönpyrola
Murgröna
Gråkråka
Blåsippa
Revlummer</t>
        </is>
      </c>
      <c r="S81">
        <f>HYPERLINK("https://klasma.github.io/Logging_0840/artfynd/A 58056-2024 artfynd.xlsx", "A 58056-2024")</f>
        <v/>
      </c>
      <c r="T81">
        <f>HYPERLINK("https://klasma.github.io/Logging_0840/kartor/A 58056-2024 karta.png", "A 58056-2024")</f>
        <v/>
      </c>
      <c r="V81">
        <f>HYPERLINK("https://klasma.github.io/Logging_0840/klagomål/A 58056-2024 FSC-klagomål.docx", "A 58056-2024")</f>
        <v/>
      </c>
      <c r="W81">
        <f>HYPERLINK("https://klasma.github.io/Logging_0840/klagomålsmail/A 58056-2024 FSC-klagomål mail.docx", "A 58056-2024")</f>
        <v/>
      </c>
      <c r="X81">
        <f>HYPERLINK("https://klasma.github.io/Logging_0840/tillsyn/A 58056-2024 tillsynsbegäran.docx", "A 58056-2024")</f>
        <v/>
      </c>
      <c r="Y81">
        <f>HYPERLINK("https://klasma.github.io/Logging_0840/tillsynsmail/A 58056-2024 tillsynsbegäran mail.docx", "A 58056-2024")</f>
        <v/>
      </c>
      <c r="Z81">
        <f>HYPERLINK("https://klasma.github.io/Logging_0840/fåglar/A 58056-2024 prioriterade fågelarter.docx", "A 58056-2024")</f>
        <v/>
      </c>
    </row>
    <row r="82" ht="15" customHeight="1">
      <c r="A82" t="inlineStr">
        <is>
          <t>A 21915-2019</t>
        </is>
      </c>
      <c r="B82" s="1" t="n">
        <v>43584</v>
      </c>
      <c r="C82" s="1" t="n">
        <v>45715</v>
      </c>
      <c r="D82" t="inlineStr">
        <is>
          <t>KALMAR LÄN</t>
        </is>
      </c>
      <c r="E82" t="inlineStr">
        <is>
          <t>MÖNSTERÅS</t>
        </is>
      </c>
      <c r="G82" t="n">
        <v>2.6</v>
      </c>
      <c r="H82" t="n">
        <v>1</v>
      </c>
      <c r="I82" t="n">
        <v>2</v>
      </c>
      <c r="J82" t="n">
        <v>5</v>
      </c>
      <c r="K82" t="n">
        <v>0</v>
      </c>
      <c r="L82" t="n">
        <v>0</v>
      </c>
      <c r="M82" t="n">
        <v>0</v>
      </c>
      <c r="N82" t="n">
        <v>0</v>
      </c>
      <c r="O82" t="n">
        <v>5</v>
      </c>
      <c r="P82" t="n">
        <v>0</v>
      </c>
      <c r="Q82" t="n">
        <v>8</v>
      </c>
      <c r="R82" s="2" t="inlineStr">
        <is>
          <t>Asppraktbagge
Ekticka
Reliktbock
Rödbrun blankbock
Tallticka
Blanksvart trämyra
Blomkålssvamp
Blåsippa</t>
        </is>
      </c>
      <c r="S82">
        <f>HYPERLINK("https://klasma.github.io/Logging_0861/artfynd/A 21915-2019 artfynd.xlsx", "A 21915-2019")</f>
        <v/>
      </c>
      <c r="T82">
        <f>HYPERLINK("https://klasma.github.io/Logging_0861/kartor/A 21915-2019 karta.png", "A 21915-2019")</f>
        <v/>
      </c>
      <c r="V82">
        <f>HYPERLINK("https://klasma.github.io/Logging_0861/klagomål/A 21915-2019 FSC-klagomål.docx", "A 21915-2019")</f>
        <v/>
      </c>
      <c r="W82">
        <f>HYPERLINK("https://klasma.github.io/Logging_0861/klagomålsmail/A 21915-2019 FSC-klagomål mail.docx", "A 21915-2019")</f>
        <v/>
      </c>
      <c r="X82">
        <f>HYPERLINK("https://klasma.github.io/Logging_0861/tillsyn/A 21915-2019 tillsynsbegäran.docx", "A 21915-2019")</f>
        <v/>
      </c>
      <c r="Y82">
        <f>HYPERLINK("https://klasma.github.io/Logging_0861/tillsynsmail/A 21915-2019 tillsynsbegäran mail.docx", "A 21915-2019")</f>
        <v/>
      </c>
    </row>
    <row r="83" ht="15" customHeight="1">
      <c r="A83" t="inlineStr">
        <is>
          <t>A 47899-2019</t>
        </is>
      </c>
      <c r="B83" s="1" t="n">
        <v>43725</v>
      </c>
      <c r="C83" s="1" t="n">
        <v>45715</v>
      </c>
      <c r="D83" t="inlineStr">
        <is>
          <t>KALMAR LÄN</t>
        </is>
      </c>
      <c r="E83" t="inlineStr">
        <is>
          <t>MÖRBYLÅNGA</t>
        </is>
      </c>
      <c r="G83" t="n">
        <v>3.7</v>
      </c>
      <c r="H83" t="n">
        <v>2</v>
      </c>
      <c r="I83" t="n">
        <v>2</v>
      </c>
      <c r="J83" t="n">
        <v>3</v>
      </c>
      <c r="K83" t="n">
        <v>2</v>
      </c>
      <c r="L83" t="n">
        <v>0</v>
      </c>
      <c r="M83" t="n">
        <v>0</v>
      </c>
      <c r="N83" t="n">
        <v>0</v>
      </c>
      <c r="O83" t="n">
        <v>5</v>
      </c>
      <c r="P83" t="n">
        <v>2</v>
      </c>
      <c r="Q83" t="n">
        <v>8</v>
      </c>
      <c r="R83" s="2" t="inlineStr">
        <is>
          <t>Gulbrunt nejlikfly
Rödbent ögonbock
Ekträdlöpare
Hemicoelus fulvicornis
Mindre ekbock
Ekoxe
Murgröna
Blåsippa</t>
        </is>
      </c>
      <c r="S83">
        <f>HYPERLINK("https://klasma.github.io/Logging_0840/artfynd/A 47899-2019 artfynd.xlsx", "A 47899-2019")</f>
        <v/>
      </c>
      <c r="T83">
        <f>HYPERLINK("https://klasma.github.io/Logging_0840/kartor/A 47899-2019 karta.png", "A 47899-2019")</f>
        <v/>
      </c>
      <c r="V83">
        <f>HYPERLINK("https://klasma.github.io/Logging_0840/klagomål/A 47899-2019 FSC-klagomål.docx", "A 47899-2019")</f>
        <v/>
      </c>
      <c r="W83">
        <f>HYPERLINK("https://klasma.github.io/Logging_0840/klagomålsmail/A 47899-2019 FSC-klagomål mail.docx", "A 47899-2019")</f>
        <v/>
      </c>
      <c r="X83">
        <f>HYPERLINK("https://klasma.github.io/Logging_0840/tillsyn/A 47899-2019 tillsynsbegäran.docx", "A 47899-2019")</f>
        <v/>
      </c>
      <c r="Y83">
        <f>HYPERLINK("https://klasma.github.io/Logging_0840/tillsynsmail/A 47899-2019 tillsynsbegäran mail.docx", "A 47899-2019")</f>
        <v/>
      </c>
    </row>
    <row r="84" ht="15" customHeight="1">
      <c r="A84" t="inlineStr">
        <is>
          <t>A 52048-2019</t>
        </is>
      </c>
      <c r="B84" s="1" t="n">
        <v>43742</v>
      </c>
      <c r="C84" s="1" t="n">
        <v>45715</v>
      </c>
      <c r="D84" t="inlineStr">
        <is>
          <t>KALMAR LÄN</t>
        </is>
      </c>
      <c r="E84" t="inlineStr">
        <is>
          <t>OSKARSHAMN</t>
        </is>
      </c>
      <c r="G84" t="n">
        <v>4.5</v>
      </c>
      <c r="H84" t="n">
        <v>1</v>
      </c>
      <c r="I84" t="n">
        <v>4</v>
      </c>
      <c r="J84" t="n">
        <v>2</v>
      </c>
      <c r="K84" t="n">
        <v>2</v>
      </c>
      <c r="L84" t="n">
        <v>0</v>
      </c>
      <c r="M84" t="n">
        <v>0</v>
      </c>
      <c r="N84" t="n">
        <v>0</v>
      </c>
      <c r="O84" t="n">
        <v>4</v>
      </c>
      <c r="P84" t="n">
        <v>2</v>
      </c>
      <c r="Q84" t="n">
        <v>8</v>
      </c>
      <c r="R84" s="2" t="inlineStr">
        <is>
          <t>Mörk kraterlav
Västlig njurlav
Lunglav
Spillkråka
Blomskägglav
Ekskinn
Fällmossa
Guldlockmossa</t>
        </is>
      </c>
      <c r="S84">
        <f>HYPERLINK("https://klasma.github.io/Logging_0882/artfynd/A 52048-2019 artfynd.xlsx", "A 52048-2019")</f>
        <v/>
      </c>
      <c r="T84">
        <f>HYPERLINK("https://klasma.github.io/Logging_0882/kartor/A 52048-2019 karta.png", "A 52048-2019")</f>
        <v/>
      </c>
      <c r="V84">
        <f>HYPERLINK("https://klasma.github.io/Logging_0882/klagomål/A 52048-2019 FSC-klagomål.docx", "A 52048-2019")</f>
        <v/>
      </c>
      <c r="W84">
        <f>HYPERLINK("https://klasma.github.io/Logging_0882/klagomålsmail/A 52048-2019 FSC-klagomål mail.docx", "A 52048-2019")</f>
        <v/>
      </c>
      <c r="X84">
        <f>HYPERLINK("https://klasma.github.io/Logging_0882/tillsyn/A 52048-2019 tillsynsbegäran.docx", "A 52048-2019")</f>
        <v/>
      </c>
      <c r="Y84">
        <f>HYPERLINK("https://klasma.github.io/Logging_0882/tillsynsmail/A 52048-2019 tillsynsbegäran mail.docx", "A 52048-2019")</f>
        <v/>
      </c>
      <c r="Z84">
        <f>HYPERLINK("https://klasma.github.io/Logging_0882/fåglar/A 52048-2019 prioriterade fågelarter.docx", "A 52048-2019")</f>
        <v/>
      </c>
    </row>
    <row r="85" ht="15" customHeight="1">
      <c r="A85" t="inlineStr">
        <is>
          <t>A 54178-2019</t>
        </is>
      </c>
      <c r="B85" s="1" t="n">
        <v>43753</v>
      </c>
      <c r="C85" s="1" t="n">
        <v>45715</v>
      </c>
      <c r="D85" t="inlineStr">
        <is>
          <t>KALMAR LÄN</t>
        </is>
      </c>
      <c r="E85" t="inlineStr">
        <is>
          <t>VÄSTERVIK</t>
        </is>
      </c>
      <c r="G85" t="n">
        <v>3</v>
      </c>
      <c r="H85" t="n">
        <v>1</v>
      </c>
      <c r="I85" t="n">
        <v>4</v>
      </c>
      <c r="J85" t="n">
        <v>3</v>
      </c>
      <c r="K85" t="n">
        <v>1</v>
      </c>
      <c r="L85" t="n">
        <v>0</v>
      </c>
      <c r="M85" t="n">
        <v>0</v>
      </c>
      <c r="N85" t="n">
        <v>0</v>
      </c>
      <c r="O85" t="n">
        <v>4</v>
      </c>
      <c r="P85" t="n">
        <v>1</v>
      </c>
      <c r="Q85" t="n">
        <v>8</v>
      </c>
      <c r="R85" s="2" t="inlineStr">
        <is>
          <t>Knärot
Motaggsvamp
Orange taggsvamp
Persiljespindling
Blåmossa
Dropptaggsvamp
Rökmusseron
Skarp dropptaggsvamp</t>
        </is>
      </c>
      <c r="S85">
        <f>HYPERLINK("https://klasma.github.io/Logging_0883/artfynd/A 54178-2019 artfynd.xlsx", "A 54178-2019")</f>
        <v/>
      </c>
      <c r="T85">
        <f>HYPERLINK("https://klasma.github.io/Logging_0883/kartor/A 54178-2019 karta.png", "A 54178-2019")</f>
        <v/>
      </c>
      <c r="U85">
        <f>HYPERLINK("https://klasma.github.io/Logging_0883/knärot/A 54178-2019 karta knärot.png", "A 54178-2019")</f>
        <v/>
      </c>
      <c r="V85">
        <f>HYPERLINK("https://klasma.github.io/Logging_0883/klagomål/A 54178-2019 FSC-klagomål.docx", "A 54178-2019")</f>
        <v/>
      </c>
      <c r="W85">
        <f>HYPERLINK("https://klasma.github.io/Logging_0883/klagomålsmail/A 54178-2019 FSC-klagomål mail.docx", "A 54178-2019")</f>
        <v/>
      </c>
      <c r="X85">
        <f>HYPERLINK("https://klasma.github.io/Logging_0883/tillsyn/A 54178-2019 tillsynsbegäran.docx", "A 54178-2019")</f>
        <v/>
      </c>
      <c r="Y85">
        <f>HYPERLINK("https://klasma.github.io/Logging_0883/tillsynsmail/A 54178-2019 tillsynsbegäran mail.docx", "A 54178-2019")</f>
        <v/>
      </c>
    </row>
    <row r="86" ht="15" customHeight="1">
      <c r="A86" t="inlineStr">
        <is>
          <t>A 14767-2020</t>
        </is>
      </c>
      <c r="B86" s="1" t="n">
        <v>43909</v>
      </c>
      <c r="C86" s="1" t="n">
        <v>45715</v>
      </c>
      <c r="D86" t="inlineStr">
        <is>
          <t>KALMAR LÄN</t>
        </is>
      </c>
      <c r="E86" t="inlineStr">
        <is>
          <t>BORGHOLM</t>
        </is>
      </c>
      <c r="F86" t="inlineStr">
        <is>
          <t>Sveaskog</t>
        </is>
      </c>
      <c r="G86" t="n">
        <v>10.7</v>
      </c>
      <c r="H86" t="n">
        <v>3</v>
      </c>
      <c r="I86" t="n">
        <v>0</v>
      </c>
      <c r="J86" t="n">
        <v>6</v>
      </c>
      <c r="K86" t="n">
        <v>0</v>
      </c>
      <c r="L86" t="n">
        <v>0</v>
      </c>
      <c r="M86" t="n">
        <v>0</v>
      </c>
      <c r="N86" t="n">
        <v>0</v>
      </c>
      <c r="O86" t="n">
        <v>6</v>
      </c>
      <c r="P86" t="n">
        <v>0</v>
      </c>
      <c r="Q86" t="n">
        <v>8</v>
      </c>
      <c r="R86" s="2" t="inlineStr">
        <is>
          <t>Backtimjan
Jordtistel
Knölspindel
Långbensgroda
Molnfläcksbock
Solvända
Mindre vattensalamander
Gullviva</t>
        </is>
      </c>
      <c r="S86">
        <f>HYPERLINK("https://klasma.github.io/Logging_0885/artfynd/A 14767-2020 artfynd.xlsx", "A 14767-2020")</f>
        <v/>
      </c>
      <c r="T86">
        <f>HYPERLINK("https://klasma.github.io/Logging_0885/kartor/A 14767-2020 karta.png", "A 14767-2020")</f>
        <v/>
      </c>
      <c r="V86">
        <f>HYPERLINK("https://klasma.github.io/Logging_0885/klagomål/A 14767-2020 FSC-klagomål.docx", "A 14767-2020")</f>
        <v/>
      </c>
      <c r="W86">
        <f>HYPERLINK("https://klasma.github.io/Logging_0885/klagomålsmail/A 14767-2020 FSC-klagomål mail.docx", "A 14767-2020")</f>
        <v/>
      </c>
      <c r="X86">
        <f>HYPERLINK("https://klasma.github.io/Logging_0885/tillsyn/A 14767-2020 tillsynsbegäran.docx", "A 14767-2020")</f>
        <v/>
      </c>
      <c r="Y86">
        <f>HYPERLINK("https://klasma.github.io/Logging_0885/tillsynsmail/A 14767-2020 tillsynsbegäran mail.docx", "A 14767-2020")</f>
        <v/>
      </c>
    </row>
    <row r="87" ht="15" customHeight="1">
      <c r="A87" t="inlineStr">
        <is>
          <t>A 16243-2020</t>
        </is>
      </c>
      <c r="B87" s="1" t="n">
        <v>43917</v>
      </c>
      <c r="C87" s="1" t="n">
        <v>45715</v>
      </c>
      <c r="D87" t="inlineStr">
        <is>
          <t>KALMAR LÄN</t>
        </is>
      </c>
      <c r="E87" t="inlineStr">
        <is>
          <t>VÄSTERVIK</t>
        </is>
      </c>
      <c r="G87" t="n">
        <v>10.2</v>
      </c>
      <c r="H87" t="n">
        <v>0</v>
      </c>
      <c r="I87" t="n">
        <v>2</v>
      </c>
      <c r="J87" t="n">
        <v>5</v>
      </c>
      <c r="K87" t="n">
        <v>1</v>
      </c>
      <c r="L87" t="n">
        <v>0</v>
      </c>
      <c r="M87" t="n">
        <v>0</v>
      </c>
      <c r="N87" t="n">
        <v>0</v>
      </c>
      <c r="O87" t="n">
        <v>6</v>
      </c>
      <c r="P87" t="n">
        <v>1</v>
      </c>
      <c r="Q87" t="n">
        <v>8</v>
      </c>
      <c r="R87" s="2" t="inlineStr">
        <is>
          <t>Raggbock
Dvärgbägarlav
Reliktbock
Tallticka
Vedskivlav
Vintertagging
Blåmossa
Mindre märgborre</t>
        </is>
      </c>
      <c r="S87">
        <f>HYPERLINK("https://klasma.github.io/Logging_0883/artfynd/A 16243-2020 artfynd.xlsx", "A 16243-2020")</f>
        <v/>
      </c>
      <c r="T87">
        <f>HYPERLINK("https://klasma.github.io/Logging_0883/kartor/A 16243-2020 karta.png", "A 16243-2020")</f>
        <v/>
      </c>
      <c r="V87">
        <f>HYPERLINK("https://klasma.github.io/Logging_0883/klagomål/A 16243-2020 FSC-klagomål.docx", "A 16243-2020")</f>
        <v/>
      </c>
      <c r="W87">
        <f>HYPERLINK("https://klasma.github.io/Logging_0883/klagomålsmail/A 16243-2020 FSC-klagomål mail.docx", "A 16243-2020")</f>
        <v/>
      </c>
      <c r="X87">
        <f>HYPERLINK("https://klasma.github.io/Logging_0883/tillsyn/A 16243-2020 tillsynsbegäran.docx", "A 16243-2020")</f>
        <v/>
      </c>
      <c r="Y87">
        <f>HYPERLINK("https://klasma.github.io/Logging_0883/tillsynsmail/A 16243-2020 tillsynsbegäran mail.docx", "A 16243-2020")</f>
        <v/>
      </c>
    </row>
    <row r="88" ht="15" customHeight="1">
      <c r="A88" t="inlineStr">
        <is>
          <t>A 23597-2021</t>
        </is>
      </c>
      <c r="B88" s="1" t="n">
        <v>44334</v>
      </c>
      <c r="C88" s="1" t="n">
        <v>45715</v>
      </c>
      <c r="D88" t="inlineStr">
        <is>
          <t>KALMAR LÄN</t>
        </is>
      </c>
      <c r="E88" t="inlineStr">
        <is>
          <t>HÖGSBY</t>
        </is>
      </c>
      <c r="G88" t="n">
        <v>1.5</v>
      </c>
      <c r="H88" t="n">
        <v>2</v>
      </c>
      <c r="I88" t="n">
        <v>3</v>
      </c>
      <c r="J88" t="n">
        <v>4</v>
      </c>
      <c r="K88" t="n">
        <v>0</v>
      </c>
      <c r="L88" t="n">
        <v>0</v>
      </c>
      <c r="M88" t="n">
        <v>0</v>
      </c>
      <c r="N88" t="n">
        <v>0</v>
      </c>
      <c r="O88" t="n">
        <v>4</v>
      </c>
      <c r="P88" t="n">
        <v>0</v>
      </c>
      <c r="Q88" t="n">
        <v>8</v>
      </c>
      <c r="R88" s="2" t="inlineStr">
        <is>
          <t>Blå taggsvamp
Hapalopilus aurantiacus
Mjölsvärting
Svinrot
Blåmossa
Dropptaggsvamp
Plattlummer
Revlummer</t>
        </is>
      </c>
      <c r="S88">
        <f>HYPERLINK("https://klasma.github.io/Logging_0821/artfynd/A 23597-2021 artfynd.xlsx", "A 23597-2021")</f>
        <v/>
      </c>
      <c r="T88">
        <f>HYPERLINK("https://klasma.github.io/Logging_0821/kartor/A 23597-2021 karta.png", "A 23597-2021")</f>
        <v/>
      </c>
      <c r="V88">
        <f>HYPERLINK("https://klasma.github.io/Logging_0821/klagomål/A 23597-2021 FSC-klagomål.docx", "A 23597-2021")</f>
        <v/>
      </c>
      <c r="W88">
        <f>HYPERLINK("https://klasma.github.io/Logging_0821/klagomålsmail/A 23597-2021 FSC-klagomål mail.docx", "A 23597-2021")</f>
        <v/>
      </c>
      <c r="X88">
        <f>HYPERLINK("https://klasma.github.io/Logging_0821/tillsyn/A 23597-2021 tillsynsbegäran.docx", "A 23597-2021")</f>
        <v/>
      </c>
      <c r="Y88">
        <f>HYPERLINK("https://klasma.github.io/Logging_0821/tillsynsmail/A 23597-2021 tillsynsbegäran mail.docx", "A 23597-2021")</f>
        <v/>
      </c>
    </row>
    <row r="89" ht="15" customHeight="1">
      <c r="A89" t="inlineStr">
        <is>
          <t>A 45095-2021</t>
        </is>
      </c>
      <c r="B89" s="1" t="n">
        <v>44439</v>
      </c>
      <c r="C89" s="1" t="n">
        <v>45715</v>
      </c>
      <c r="D89" t="inlineStr">
        <is>
          <t>KALMAR LÄN</t>
        </is>
      </c>
      <c r="E89" t="inlineStr">
        <is>
          <t>KALMAR</t>
        </is>
      </c>
      <c r="F89" t="inlineStr">
        <is>
          <t>Sveaskog</t>
        </is>
      </c>
      <c r="G89" t="n">
        <v>6.9</v>
      </c>
      <c r="H89" t="n">
        <v>1</v>
      </c>
      <c r="I89" t="n">
        <v>3</v>
      </c>
      <c r="J89" t="n">
        <v>1</v>
      </c>
      <c r="K89" t="n">
        <v>2</v>
      </c>
      <c r="L89" t="n">
        <v>0</v>
      </c>
      <c r="M89" t="n">
        <v>1</v>
      </c>
      <c r="N89" t="n">
        <v>0</v>
      </c>
      <c r="O89" t="n">
        <v>4</v>
      </c>
      <c r="P89" t="n">
        <v>3</v>
      </c>
      <c r="Q89" t="n">
        <v>8</v>
      </c>
      <c r="R89" s="2" t="inlineStr">
        <is>
          <t>Skogsalm
Porslinsblå spindling
Violgubbe
Fyrflikig jordstjärna
Murgröna
Myskmadra
Safsa
Blåsippa</t>
        </is>
      </c>
      <c r="S89">
        <f>HYPERLINK("https://klasma.github.io/Logging_0880/artfynd/A 45095-2021 artfynd.xlsx", "A 45095-2021")</f>
        <v/>
      </c>
      <c r="T89">
        <f>HYPERLINK("https://klasma.github.io/Logging_0880/kartor/A 45095-2021 karta.png", "A 45095-2021")</f>
        <v/>
      </c>
      <c r="V89">
        <f>HYPERLINK("https://klasma.github.io/Logging_0880/klagomål/A 45095-2021 FSC-klagomål.docx", "A 45095-2021")</f>
        <v/>
      </c>
      <c r="W89">
        <f>HYPERLINK("https://klasma.github.io/Logging_0880/klagomålsmail/A 45095-2021 FSC-klagomål mail.docx", "A 45095-2021")</f>
        <v/>
      </c>
      <c r="X89">
        <f>HYPERLINK("https://klasma.github.io/Logging_0880/tillsyn/A 45095-2021 tillsynsbegäran.docx", "A 45095-2021")</f>
        <v/>
      </c>
      <c r="Y89">
        <f>HYPERLINK("https://klasma.github.io/Logging_0880/tillsynsmail/A 45095-2021 tillsynsbegäran mail.docx", "A 45095-2021")</f>
        <v/>
      </c>
    </row>
    <row r="90" ht="15" customHeight="1">
      <c r="A90" t="inlineStr">
        <is>
          <t>A 58854-2021</t>
        </is>
      </c>
      <c r="B90" s="1" t="n">
        <v>44489</v>
      </c>
      <c r="C90" s="1" t="n">
        <v>45715</v>
      </c>
      <c r="D90" t="inlineStr">
        <is>
          <t>KALMAR LÄN</t>
        </is>
      </c>
      <c r="E90" t="inlineStr">
        <is>
          <t>KALMAR</t>
        </is>
      </c>
      <c r="G90" t="n">
        <v>3.7</v>
      </c>
      <c r="H90" t="n">
        <v>1</v>
      </c>
      <c r="I90" t="n">
        <v>2</v>
      </c>
      <c r="J90" t="n">
        <v>3</v>
      </c>
      <c r="K90" t="n">
        <v>2</v>
      </c>
      <c r="L90" t="n">
        <v>1</v>
      </c>
      <c r="M90" t="n">
        <v>0</v>
      </c>
      <c r="N90" t="n">
        <v>0</v>
      </c>
      <c r="O90" t="n">
        <v>6</v>
      </c>
      <c r="P90" t="n">
        <v>3</v>
      </c>
      <c r="Q90" t="n">
        <v>8</v>
      </c>
      <c r="R90" s="2" t="inlineStr">
        <is>
          <t>Tallharticka
Jätteknäppare
Knärot
Gropig brunbagge
Pediacus depressus
Tallticka
Blomkålssvamp
Grovticka</t>
        </is>
      </c>
      <c r="S90">
        <f>HYPERLINK("https://klasma.github.io/Logging_0880/artfynd/A 58854-2021 artfynd.xlsx", "A 58854-2021")</f>
        <v/>
      </c>
      <c r="T90">
        <f>HYPERLINK("https://klasma.github.io/Logging_0880/kartor/A 58854-2021 karta.png", "A 58854-2021")</f>
        <v/>
      </c>
      <c r="U90">
        <f>HYPERLINK("https://klasma.github.io/Logging_0880/knärot/A 58854-2021 karta knärot.png", "A 58854-2021")</f>
        <v/>
      </c>
      <c r="V90">
        <f>HYPERLINK("https://klasma.github.io/Logging_0880/klagomål/A 58854-2021 FSC-klagomål.docx", "A 58854-2021")</f>
        <v/>
      </c>
      <c r="W90">
        <f>HYPERLINK("https://klasma.github.io/Logging_0880/klagomålsmail/A 58854-2021 FSC-klagomål mail.docx", "A 58854-2021")</f>
        <v/>
      </c>
      <c r="X90">
        <f>HYPERLINK("https://klasma.github.io/Logging_0880/tillsyn/A 58854-2021 tillsynsbegäran.docx", "A 58854-2021")</f>
        <v/>
      </c>
      <c r="Y90">
        <f>HYPERLINK("https://klasma.github.io/Logging_0880/tillsynsmail/A 58854-2021 tillsynsbegäran mail.docx", "A 58854-2021")</f>
        <v/>
      </c>
    </row>
    <row r="91" ht="15" customHeight="1">
      <c r="A91" t="inlineStr">
        <is>
          <t>A 4041-2023</t>
        </is>
      </c>
      <c r="B91" s="1" t="n">
        <v>44952</v>
      </c>
      <c r="C91" s="1" t="n">
        <v>45715</v>
      </c>
      <c r="D91" t="inlineStr">
        <is>
          <t>KALMAR LÄN</t>
        </is>
      </c>
      <c r="E91" t="inlineStr">
        <is>
          <t>OSKARSHAMN</t>
        </is>
      </c>
      <c r="F91" t="inlineStr">
        <is>
          <t>Kommuner</t>
        </is>
      </c>
      <c r="G91" t="n">
        <v>1.7</v>
      </c>
      <c r="H91" t="n">
        <v>4</v>
      </c>
      <c r="I91" t="n">
        <v>3</v>
      </c>
      <c r="J91" t="n">
        <v>2</v>
      </c>
      <c r="K91" t="n">
        <v>1</v>
      </c>
      <c r="L91" t="n">
        <v>1</v>
      </c>
      <c r="M91" t="n">
        <v>0</v>
      </c>
      <c r="N91" t="n">
        <v>0</v>
      </c>
      <c r="O91" t="n">
        <v>4</v>
      </c>
      <c r="P91" t="n">
        <v>2</v>
      </c>
      <c r="Q91" t="n">
        <v>8</v>
      </c>
      <c r="R91" s="2" t="inlineStr">
        <is>
          <t>Grönfink
Knärot
Spillkråka
Tallticka
Fjällig taggsvamp s.str.
Granbarkgnagare
Murgröna
Blåsippa</t>
        </is>
      </c>
      <c r="S91">
        <f>HYPERLINK("https://klasma.github.io/Logging_0882/artfynd/A 4041-2023 artfynd.xlsx", "A 4041-2023")</f>
        <v/>
      </c>
      <c r="T91">
        <f>HYPERLINK("https://klasma.github.io/Logging_0882/kartor/A 4041-2023 karta.png", "A 4041-2023")</f>
        <v/>
      </c>
      <c r="U91">
        <f>HYPERLINK("https://klasma.github.io/Logging_0882/knärot/A 4041-2023 karta knärot.png", "A 4041-2023")</f>
        <v/>
      </c>
      <c r="V91">
        <f>HYPERLINK("https://klasma.github.io/Logging_0882/klagomål/A 4041-2023 FSC-klagomål.docx", "A 4041-2023")</f>
        <v/>
      </c>
      <c r="W91">
        <f>HYPERLINK("https://klasma.github.io/Logging_0882/klagomålsmail/A 4041-2023 FSC-klagomål mail.docx", "A 4041-2023")</f>
        <v/>
      </c>
      <c r="X91">
        <f>HYPERLINK("https://klasma.github.io/Logging_0882/tillsyn/A 4041-2023 tillsynsbegäran.docx", "A 4041-2023")</f>
        <v/>
      </c>
      <c r="Y91">
        <f>HYPERLINK("https://klasma.github.io/Logging_0882/tillsynsmail/A 4041-2023 tillsynsbegäran mail.docx", "A 4041-2023")</f>
        <v/>
      </c>
      <c r="Z91">
        <f>HYPERLINK("https://klasma.github.io/Logging_0882/fåglar/A 4041-2023 prioriterade fågelarter.docx", "A 4041-2023")</f>
        <v/>
      </c>
    </row>
    <row r="92" ht="15" customHeight="1">
      <c r="A92" t="inlineStr">
        <is>
          <t>A 8929-2023</t>
        </is>
      </c>
      <c r="B92" s="1" t="n">
        <v>44979</v>
      </c>
      <c r="C92" s="1" t="n">
        <v>45715</v>
      </c>
      <c r="D92" t="inlineStr">
        <is>
          <t>KALMAR LÄN</t>
        </is>
      </c>
      <c r="E92" t="inlineStr">
        <is>
          <t>KALMAR</t>
        </is>
      </c>
      <c r="G92" t="n">
        <v>33.1</v>
      </c>
      <c r="H92" t="n">
        <v>6</v>
      </c>
      <c r="I92" t="n">
        <v>0</v>
      </c>
      <c r="J92" t="n">
        <v>3</v>
      </c>
      <c r="K92" t="n">
        <v>3</v>
      </c>
      <c r="L92" t="n">
        <v>0</v>
      </c>
      <c r="M92" t="n">
        <v>0</v>
      </c>
      <c r="N92" t="n">
        <v>0</v>
      </c>
      <c r="O92" t="n">
        <v>6</v>
      </c>
      <c r="P92" t="n">
        <v>3</v>
      </c>
      <c r="Q92" t="n">
        <v>8</v>
      </c>
      <c r="R92" s="2" t="inlineStr">
        <is>
          <t>Gråtrut
Sandödla
Tofsvipa
Fiskmås
Gullklöver
Kandelabersvamp
Större vattensalamander
Vanlig snok</t>
        </is>
      </c>
      <c r="S92">
        <f>HYPERLINK("https://klasma.github.io/Logging_0880/artfynd/A 8929-2023 artfynd.xlsx", "A 8929-2023")</f>
        <v/>
      </c>
      <c r="T92">
        <f>HYPERLINK("https://klasma.github.io/Logging_0880/kartor/A 8929-2023 karta.png", "A 8929-2023")</f>
        <v/>
      </c>
      <c r="V92">
        <f>HYPERLINK("https://klasma.github.io/Logging_0880/klagomål/A 8929-2023 FSC-klagomål.docx", "A 8929-2023")</f>
        <v/>
      </c>
      <c r="W92">
        <f>HYPERLINK("https://klasma.github.io/Logging_0880/klagomålsmail/A 8929-2023 FSC-klagomål mail.docx", "A 8929-2023")</f>
        <v/>
      </c>
      <c r="X92">
        <f>HYPERLINK("https://klasma.github.io/Logging_0880/tillsyn/A 8929-2023 tillsynsbegäran.docx", "A 8929-2023")</f>
        <v/>
      </c>
      <c r="Y92">
        <f>HYPERLINK("https://klasma.github.io/Logging_0880/tillsynsmail/A 8929-2023 tillsynsbegäran mail.docx", "A 8929-2023")</f>
        <v/>
      </c>
    </row>
    <row r="93" ht="15" customHeight="1">
      <c r="A93" t="inlineStr">
        <is>
          <t>A 38181-2023</t>
        </is>
      </c>
      <c r="B93" s="1" t="n">
        <v>45161</v>
      </c>
      <c r="C93" s="1" t="n">
        <v>45715</v>
      </c>
      <c r="D93" t="inlineStr">
        <is>
          <t>KALMAR LÄN</t>
        </is>
      </c>
      <c r="E93" t="inlineStr">
        <is>
          <t>VÄSTERVIK</t>
        </is>
      </c>
      <c r="G93" t="n">
        <v>4.3</v>
      </c>
      <c r="H93" t="n">
        <v>3</v>
      </c>
      <c r="I93" t="n">
        <v>0</v>
      </c>
      <c r="J93" t="n">
        <v>5</v>
      </c>
      <c r="K93" t="n">
        <v>1</v>
      </c>
      <c r="L93" t="n">
        <v>0</v>
      </c>
      <c r="M93" t="n">
        <v>0</v>
      </c>
      <c r="N93" t="n">
        <v>0</v>
      </c>
      <c r="O93" t="n">
        <v>6</v>
      </c>
      <c r="P93" t="n">
        <v>1</v>
      </c>
      <c r="Q93" t="n">
        <v>8</v>
      </c>
      <c r="R93" s="2" t="inlineStr">
        <is>
          <t>Sandödla
Backstarr
Solvända
Sommarfibbla
Svinrot
Vårstarr
Blåsippa
Gullviva</t>
        </is>
      </c>
      <c r="S93">
        <f>HYPERLINK("https://klasma.github.io/Logging_0883/artfynd/A 38181-2023 artfynd.xlsx", "A 38181-2023")</f>
        <v/>
      </c>
      <c r="T93">
        <f>HYPERLINK("https://klasma.github.io/Logging_0883/kartor/A 38181-2023 karta.png", "A 38181-2023")</f>
        <v/>
      </c>
      <c r="V93">
        <f>HYPERLINK("https://klasma.github.io/Logging_0883/klagomål/A 38181-2023 FSC-klagomål.docx", "A 38181-2023")</f>
        <v/>
      </c>
      <c r="W93">
        <f>HYPERLINK("https://klasma.github.io/Logging_0883/klagomålsmail/A 38181-2023 FSC-klagomål mail.docx", "A 38181-2023")</f>
        <v/>
      </c>
      <c r="X93">
        <f>HYPERLINK("https://klasma.github.io/Logging_0883/tillsyn/A 38181-2023 tillsynsbegäran.docx", "A 38181-2023")</f>
        <v/>
      </c>
      <c r="Y93">
        <f>HYPERLINK("https://klasma.github.io/Logging_0883/tillsynsmail/A 38181-2023 tillsynsbegäran mail.docx", "A 38181-2023")</f>
        <v/>
      </c>
    </row>
    <row r="94" ht="15" customHeight="1">
      <c r="A94" t="inlineStr">
        <is>
          <t>A 52365-2023</t>
        </is>
      </c>
      <c r="B94" s="1" t="n">
        <v>45217</v>
      </c>
      <c r="C94" s="1" t="n">
        <v>45715</v>
      </c>
      <c r="D94" t="inlineStr">
        <is>
          <t>KALMAR LÄN</t>
        </is>
      </c>
      <c r="E94" t="inlineStr">
        <is>
          <t>HÖGSBY</t>
        </is>
      </c>
      <c r="F94" t="inlineStr">
        <is>
          <t>Kommuner</t>
        </is>
      </c>
      <c r="G94" t="n">
        <v>4.7</v>
      </c>
      <c r="H94" t="n">
        <v>8</v>
      </c>
      <c r="I94" t="n">
        <v>0</v>
      </c>
      <c r="J94" t="n">
        <v>5</v>
      </c>
      <c r="K94" t="n">
        <v>0</v>
      </c>
      <c r="L94" t="n">
        <v>0</v>
      </c>
      <c r="M94" t="n">
        <v>0</v>
      </c>
      <c r="N94" t="n">
        <v>0</v>
      </c>
      <c r="O94" t="n">
        <v>5</v>
      </c>
      <c r="P94" t="n">
        <v>0</v>
      </c>
      <c r="Q94" t="n">
        <v>8</v>
      </c>
      <c r="R94" s="2" t="inlineStr">
        <is>
          <t>Barbastell
Brunlångöra
Fransfladdermus
Nordfladdermus
Sydfladdermus
Dvärgpipistrell
Trollpipistrell
Vattenfladdermus</t>
        </is>
      </c>
      <c r="S94">
        <f>HYPERLINK("https://klasma.github.io/Logging_0821/artfynd/A 52365-2023 artfynd.xlsx", "A 52365-2023")</f>
        <v/>
      </c>
      <c r="T94">
        <f>HYPERLINK("https://klasma.github.io/Logging_0821/kartor/A 52365-2023 karta.png", "A 52365-2023")</f>
        <v/>
      </c>
      <c r="V94">
        <f>HYPERLINK("https://klasma.github.io/Logging_0821/klagomål/A 52365-2023 FSC-klagomål.docx", "A 52365-2023")</f>
        <v/>
      </c>
      <c r="W94">
        <f>HYPERLINK("https://klasma.github.io/Logging_0821/klagomålsmail/A 52365-2023 FSC-klagomål mail.docx", "A 52365-2023")</f>
        <v/>
      </c>
      <c r="X94">
        <f>HYPERLINK("https://klasma.github.io/Logging_0821/tillsyn/A 52365-2023 tillsynsbegäran.docx", "A 52365-2023")</f>
        <v/>
      </c>
      <c r="Y94">
        <f>HYPERLINK("https://klasma.github.io/Logging_0821/tillsynsmail/A 52365-2023 tillsynsbegäran mail.docx", "A 52365-2023")</f>
        <v/>
      </c>
    </row>
    <row r="95" ht="15" customHeight="1">
      <c r="A95" t="inlineStr">
        <is>
          <t>A 1182-2024</t>
        </is>
      </c>
      <c r="B95" s="1" t="n">
        <v>45302</v>
      </c>
      <c r="C95" s="1" t="n">
        <v>45715</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45715</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45715</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45715</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45715</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45715</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45715</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45715</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45715</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45715</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45715</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45715</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45715</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45715</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45715</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45715</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45715</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45715</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45715</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45715</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45715</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4183-2024</t>
        </is>
      </c>
      <c r="B116" s="1" t="n">
        <v>45324</v>
      </c>
      <c r="C116" s="1" t="n">
        <v>45715</v>
      </c>
      <c r="D116" t="inlineStr">
        <is>
          <t>KALMAR LÄN</t>
        </is>
      </c>
      <c r="E116" t="inlineStr">
        <is>
          <t>KALMAR</t>
        </is>
      </c>
      <c r="G116" t="n">
        <v>3</v>
      </c>
      <c r="H116" t="n">
        <v>3</v>
      </c>
      <c r="I116" t="n">
        <v>1</v>
      </c>
      <c r="J116" t="n">
        <v>3</v>
      </c>
      <c r="K116" t="n">
        <v>1</v>
      </c>
      <c r="L116" t="n">
        <v>0</v>
      </c>
      <c r="M116" t="n">
        <v>0</v>
      </c>
      <c r="N116" t="n">
        <v>0</v>
      </c>
      <c r="O116" t="n">
        <v>4</v>
      </c>
      <c r="P116" t="n">
        <v>1</v>
      </c>
      <c r="Q116" t="n">
        <v>7</v>
      </c>
      <c r="R116" s="2" t="inlineStr">
        <is>
          <t>Backsippa
Flentimotej
Solvända
Tallticka
Murgröna
Grönvit nattviol
Blåsippa</t>
        </is>
      </c>
      <c r="S116">
        <f>HYPERLINK("https://klasma.github.io/Logging_0880/artfynd/A 4183-2024 artfynd.xlsx", "A 4183-2024")</f>
        <v/>
      </c>
      <c r="T116">
        <f>HYPERLINK("https://klasma.github.io/Logging_0880/kartor/A 4183-2024 karta.png", "A 4183-2024")</f>
        <v/>
      </c>
      <c r="V116">
        <f>HYPERLINK("https://klasma.github.io/Logging_0880/klagomål/A 4183-2024 FSC-klagomål.docx", "A 4183-2024")</f>
        <v/>
      </c>
      <c r="W116">
        <f>HYPERLINK("https://klasma.github.io/Logging_0880/klagomålsmail/A 4183-2024 FSC-klagomål mail.docx", "A 4183-2024")</f>
        <v/>
      </c>
      <c r="X116">
        <f>HYPERLINK("https://klasma.github.io/Logging_0880/tillsyn/A 4183-2024 tillsynsbegäran.docx", "A 4183-2024")</f>
        <v/>
      </c>
      <c r="Y116">
        <f>HYPERLINK("https://klasma.github.io/Logging_0880/tillsynsmail/A 4183-2024 tillsynsbegäran mail.docx", "A 4183-2024")</f>
        <v/>
      </c>
    </row>
    <row r="117" ht="15" customHeight="1">
      <c r="A117" t="inlineStr">
        <is>
          <t>A 12796-2024</t>
        </is>
      </c>
      <c r="B117" s="1" t="n">
        <v>45384</v>
      </c>
      <c r="C117" s="1" t="n">
        <v>45715</v>
      </c>
      <c r="D117" t="inlineStr">
        <is>
          <t>KALMAR LÄN</t>
        </is>
      </c>
      <c r="E117" t="inlineStr">
        <is>
          <t>OSKARSHAMN</t>
        </is>
      </c>
      <c r="G117" t="n">
        <v>14.9</v>
      </c>
      <c r="H117" t="n">
        <v>3</v>
      </c>
      <c r="I117" t="n">
        <v>2</v>
      </c>
      <c r="J117" t="n">
        <v>4</v>
      </c>
      <c r="K117" t="n">
        <v>1</v>
      </c>
      <c r="L117" t="n">
        <v>0</v>
      </c>
      <c r="M117" t="n">
        <v>0</v>
      </c>
      <c r="N117" t="n">
        <v>0</v>
      </c>
      <c r="O117" t="n">
        <v>5</v>
      </c>
      <c r="P117" t="n">
        <v>1</v>
      </c>
      <c r="Q117" t="n">
        <v>7</v>
      </c>
      <c r="R117" s="2" t="inlineStr">
        <is>
          <t>Knärot
Motaggsvamp
Spillkråka
Tallticka
Talltita
Blåmossa
Grönpyrola</t>
        </is>
      </c>
      <c r="S117">
        <f>HYPERLINK("https://klasma.github.io/Logging_0882/artfynd/A 12796-2024 artfynd.xlsx", "A 12796-2024")</f>
        <v/>
      </c>
      <c r="T117">
        <f>HYPERLINK("https://klasma.github.io/Logging_0882/kartor/A 12796-2024 karta.png", "A 12796-2024")</f>
        <v/>
      </c>
      <c r="U117">
        <f>HYPERLINK("https://klasma.github.io/Logging_0882/knärot/A 12796-2024 karta knärot.png", "A 12796-2024")</f>
        <v/>
      </c>
      <c r="V117">
        <f>HYPERLINK("https://klasma.github.io/Logging_0882/klagomål/A 12796-2024 FSC-klagomål.docx", "A 12796-2024")</f>
        <v/>
      </c>
      <c r="W117">
        <f>HYPERLINK("https://klasma.github.io/Logging_0882/klagomålsmail/A 12796-2024 FSC-klagomål mail.docx", "A 12796-2024")</f>
        <v/>
      </c>
      <c r="X117">
        <f>HYPERLINK("https://klasma.github.io/Logging_0882/tillsyn/A 12796-2024 tillsynsbegäran.docx", "A 12796-2024")</f>
        <v/>
      </c>
      <c r="Y117">
        <f>HYPERLINK("https://klasma.github.io/Logging_0882/tillsynsmail/A 12796-2024 tillsynsbegäran mail.docx", "A 12796-2024")</f>
        <v/>
      </c>
      <c r="Z117">
        <f>HYPERLINK("https://klasma.github.io/Logging_0882/fåglar/A 12796-2024 prioriterade fågelarter.docx", "A 12796-2024")</f>
        <v/>
      </c>
    </row>
    <row r="118" ht="15" customHeight="1">
      <c r="A118" t="inlineStr">
        <is>
          <t>A 15095-2024</t>
        </is>
      </c>
      <c r="B118" s="1" t="n">
        <v>45399</v>
      </c>
      <c r="C118" s="1" t="n">
        <v>45715</v>
      </c>
      <c r="D118" t="inlineStr">
        <is>
          <t>KALMAR LÄN</t>
        </is>
      </c>
      <c r="E118" t="inlineStr">
        <is>
          <t>HULTSFRED</t>
        </is>
      </c>
      <c r="G118" t="n">
        <v>1.4</v>
      </c>
      <c r="H118" t="n">
        <v>5</v>
      </c>
      <c r="I118" t="n">
        <v>0</v>
      </c>
      <c r="J118" t="n">
        <v>2</v>
      </c>
      <c r="K118" t="n">
        <v>1</v>
      </c>
      <c r="L118" t="n">
        <v>0</v>
      </c>
      <c r="M118" t="n">
        <v>0</v>
      </c>
      <c r="N118" t="n">
        <v>0</v>
      </c>
      <c r="O118" t="n">
        <v>3</v>
      </c>
      <c r="P118" t="n">
        <v>1</v>
      </c>
      <c r="Q118" t="n">
        <v>7</v>
      </c>
      <c r="R118" s="2" t="inlineStr">
        <is>
          <t>Knärot
Tallticka
Ullticka
Kungsfågel
Skogsduva
Vanlig groda
Revlummer</t>
        </is>
      </c>
      <c r="S118">
        <f>HYPERLINK("https://klasma.github.io/Logging_0860/artfynd/A 15095-2024 artfynd.xlsx", "A 15095-2024")</f>
        <v/>
      </c>
      <c r="T118">
        <f>HYPERLINK("https://klasma.github.io/Logging_0860/kartor/A 15095-2024 karta.png", "A 15095-2024")</f>
        <v/>
      </c>
      <c r="U118">
        <f>HYPERLINK("https://klasma.github.io/Logging_0860/knärot/A 15095-2024 karta knärot.png", "A 15095-2024")</f>
        <v/>
      </c>
      <c r="V118">
        <f>HYPERLINK("https://klasma.github.io/Logging_0860/klagomål/A 15095-2024 FSC-klagomål.docx", "A 15095-2024")</f>
        <v/>
      </c>
      <c r="W118">
        <f>HYPERLINK("https://klasma.github.io/Logging_0860/klagomålsmail/A 15095-2024 FSC-klagomål mail.docx", "A 15095-2024")</f>
        <v/>
      </c>
      <c r="X118">
        <f>HYPERLINK("https://klasma.github.io/Logging_0860/tillsyn/A 15095-2024 tillsynsbegäran.docx", "A 15095-2024")</f>
        <v/>
      </c>
      <c r="Y118">
        <f>HYPERLINK("https://klasma.github.io/Logging_0860/tillsynsmail/A 15095-2024 tillsynsbegäran mail.docx", "A 15095-2024")</f>
        <v/>
      </c>
      <c r="Z118">
        <f>HYPERLINK("https://klasma.github.io/Logging_0860/fåglar/A 15095-2024 prioriterade fågelarter.docx", "A 15095-2024")</f>
        <v/>
      </c>
    </row>
    <row r="119" ht="15" customHeight="1">
      <c r="A119" t="inlineStr">
        <is>
          <t>A 28241-2024</t>
        </is>
      </c>
      <c r="B119" s="1" t="n">
        <v>45477</v>
      </c>
      <c r="C119" s="1" t="n">
        <v>45715</v>
      </c>
      <c r="D119" t="inlineStr">
        <is>
          <t>KALMAR LÄN</t>
        </is>
      </c>
      <c r="E119" t="inlineStr">
        <is>
          <t>VÄSTERVIK</t>
        </is>
      </c>
      <c r="G119" t="n">
        <v>8.1</v>
      </c>
      <c r="H119" t="n">
        <v>3</v>
      </c>
      <c r="I119" t="n">
        <v>2</v>
      </c>
      <c r="J119" t="n">
        <v>3</v>
      </c>
      <c r="K119" t="n">
        <v>1</v>
      </c>
      <c r="L119" t="n">
        <v>1</v>
      </c>
      <c r="M119" t="n">
        <v>0</v>
      </c>
      <c r="N119" t="n">
        <v>0</v>
      </c>
      <c r="O119" t="n">
        <v>5</v>
      </c>
      <c r="P119" t="n">
        <v>2</v>
      </c>
      <c r="Q119" t="n">
        <v>7</v>
      </c>
      <c r="R119" s="2" t="inlineStr">
        <is>
          <t>Ryl
Knärot
Spillkråka
Tallticka
Talltita
Blåmossa
Dropptaggsvamp</t>
        </is>
      </c>
      <c r="S119">
        <f>HYPERLINK("https://klasma.github.io/Logging_0883/artfynd/A 28241-2024 artfynd.xlsx", "A 28241-2024")</f>
        <v/>
      </c>
      <c r="T119">
        <f>HYPERLINK("https://klasma.github.io/Logging_0883/kartor/A 28241-2024 karta.png", "A 28241-2024")</f>
        <v/>
      </c>
      <c r="U119">
        <f>HYPERLINK("https://klasma.github.io/Logging_0883/knärot/A 28241-2024 karta knärot.png", "A 28241-2024")</f>
        <v/>
      </c>
      <c r="V119">
        <f>HYPERLINK("https://klasma.github.io/Logging_0883/klagomål/A 28241-2024 FSC-klagomål.docx", "A 28241-2024")</f>
        <v/>
      </c>
      <c r="W119">
        <f>HYPERLINK("https://klasma.github.io/Logging_0883/klagomålsmail/A 28241-2024 FSC-klagomål mail.docx", "A 28241-2024")</f>
        <v/>
      </c>
      <c r="X119">
        <f>HYPERLINK("https://klasma.github.io/Logging_0883/tillsyn/A 28241-2024 tillsynsbegäran.docx", "A 28241-2024")</f>
        <v/>
      </c>
      <c r="Y119">
        <f>HYPERLINK("https://klasma.github.io/Logging_0883/tillsynsmail/A 28241-2024 tillsynsbegäran mail.docx", "A 28241-2024")</f>
        <v/>
      </c>
      <c r="Z119">
        <f>HYPERLINK("https://klasma.github.io/Logging_0883/fåglar/A 28241-2024 prioriterade fågelarter.docx", "A 28241-2024")</f>
        <v/>
      </c>
    </row>
    <row r="120" ht="15" customHeight="1">
      <c r="A120" t="inlineStr">
        <is>
          <t>A 31082-2024</t>
        </is>
      </c>
      <c r="B120" s="1" t="n">
        <v>45502</v>
      </c>
      <c r="C120" s="1" t="n">
        <v>45715</v>
      </c>
      <c r="D120" t="inlineStr">
        <is>
          <t>KALMAR LÄN</t>
        </is>
      </c>
      <c r="E120" t="inlineStr">
        <is>
          <t>VÄSTERVIK</t>
        </is>
      </c>
      <c r="F120" t="inlineStr">
        <is>
          <t>Holmen skog AB</t>
        </is>
      </c>
      <c r="G120" t="n">
        <v>8</v>
      </c>
      <c r="H120" t="n">
        <v>3</v>
      </c>
      <c r="I120" t="n">
        <v>3</v>
      </c>
      <c r="J120" t="n">
        <v>2</v>
      </c>
      <c r="K120" t="n">
        <v>1</v>
      </c>
      <c r="L120" t="n">
        <v>0</v>
      </c>
      <c r="M120" t="n">
        <v>0</v>
      </c>
      <c r="N120" t="n">
        <v>0</v>
      </c>
      <c r="O120" t="n">
        <v>3</v>
      </c>
      <c r="P120" t="n">
        <v>1</v>
      </c>
      <c r="Q120" t="n">
        <v>7</v>
      </c>
      <c r="R120" s="2" t="inlineStr">
        <is>
          <t>Knärot
Orange taggsvamp
Talltita
Blåmossa
Dropptaggsvamp
Zontaggsvamp
Tjäder</t>
        </is>
      </c>
      <c r="S120">
        <f>HYPERLINK("https://klasma.github.io/Logging_0883/artfynd/A 31082-2024 artfynd.xlsx", "A 31082-2024")</f>
        <v/>
      </c>
      <c r="T120">
        <f>HYPERLINK("https://klasma.github.io/Logging_0883/kartor/A 31082-2024 karta.png", "A 31082-2024")</f>
        <v/>
      </c>
      <c r="U120">
        <f>HYPERLINK("https://klasma.github.io/Logging_0883/knärot/A 31082-2024 karta knärot.png", "A 31082-2024")</f>
        <v/>
      </c>
      <c r="V120">
        <f>HYPERLINK("https://klasma.github.io/Logging_0883/klagomål/A 31082-2024 FSC-klagomål.docx", "A 31082-2024")</f>
        <v/>
      </c>
      <c r="W120">
        <f>HYPERLINK("https://klasma.github.io/Logging_0883/klagomålsmail/A 31082-2024 FSC-klagomål mail.docx", "A 31082-2024")</f>
        <v/>
      </c>
      <c r="X120">
        <f>HYPERLINK("https://klasma.github.io/Logging_0883/tillsyn/A 31082-2024 tillsynsbegäran.docx", "A 31082-2024")</f>
        <v/>
      </c>
      <c r="Y120">
        <f>HYPERLINK("https://klasma.github.io/Logging_0883/tillsynsmail/A 31082-2024 tillsynsbegäran mail.docx", "A 31082-2024")</f>
        <v/>
      </c>
      <c r="Z120">
        <f>HYPERLINK("https://klasma.github.io/Logging_0883/fåglar/A 31082-2024 prioriterade fågelarter.docx", "A 31082-2024")</f>
        <v/>
      </c>
    </row>
    <row r="121" ht="15" customHeight="1">
      <c r="A121" t="inlineStr">
        <is>
          <t>A 34396-2024</t>
        </is>
      </c>
      <c r="B121" s="1" t="n">
        <v>45525</v>
      </c>
      <c r="C121" s="1" t="n">
        <v>45715</v>
      </c>
      <c r="D121" t="inlineStr">
        <is>
          <t>KALMAR LÄN</t>
        </is>
      </c>
      <c r="E121" t="inlineStr">
        <is>
          <t>VÄSTERVIK</t>
        </is>
      </c>
      <c r="F121" t="inlineStr">
        <is>
          <t>Holmen skog AB</t>
        </is>
      </c>
      <c r="G121" t="n">
        <v>14.6</v>
      </c>
      <c r="H121" t="n">
        <v>4</v>
      </c>
      <c r="I121" t="n">
        <v>2</v>
      </c>
      <c r="J121" t="n">
        <v>4</v>
      </c>
      <c r="K121" t="n">
        <v>1</v>
      </c>
      <c r="L121" t="n">
        <v>0</v>
      </c>
      <c r="M121" t="n">
        <v>0</v>
      </c>
      <c r="N121" t="n">
        <v>0</v>
      </c>
      <c r="O121" t="n">
        <v>5</v>
      </c>
      <c r="P121" t="n">
        <v>1</v>
      </c>
      <c r="Q121" t="n">
        <v>7</v>
      </c>
      <c r="R121" s="2" t="inlineStr">
        <is>
          <t>Knärot
Entita
Spillkråka
Svart taggsvamp
Talltita
Blåmossa
Dropptaggsvamp</t>
        </is>
      </c>
      <c r="S121">
        <f>HYPERLINK("https://klasma.github.io/Logging_0883/artfynd/A 34396-2024 artfynd.xlsx", "A 34396-2024")</f>
        <v/>
      </c>
      <c r="T121">
        <f>HYPERLINK("https://klasma.github.io/Logging_0883/kartor/A 34396-2024 karta.png", "A 34396-2024")</f>
        <v/>
      </c>
      <c r="U121">
        <f>HYPERLINK("https://klasma.github.io/Logging_0883/knärot/A 34396-2024 karta knärot.png", "A 34396-2024")</f>
        <v/>
      </c>
      <c r="V121">
        <f>HYPERLINK("https://klasma.github.io/Logging_0883/klagomål/A 34396-2024 FSC-klagomål.docx", "A 34396-2024")</f>
        <v/>
      </c>
      <c r="W121">
        <f>HYPERLINK("https://klasma.github.io/Logging_0883/klagomålsmail/A 34396-2024 FSC-klagomål mail.docx", "A 34396-2024")</f>
        <v/>
      </c>
      <c r="X121">
        <f>HYPERLINK("https://klasma.github.io/Logging_0883/tillsyn/A 34396-2024 tillsynsbegäran.docx", "A 34396-2024")</f>
        <v/>
      </c>
      <c r="Y121">
        <f>HYPERLINK("https://klasma.github.io/Logging_0883/tillsynsmail/A 34396-2024 tillsynsbegäran mail.docx", "A 34396-2024")</f>
        <v/>
      </c>
      <c r="Z121">
        <f>HYPERLINK("https://klasma.github.io/Logging_0883/fåglar/A 34396-2024 prioriterade fågelarter.docx", "A 34396-2024")</f>
        <v/>
      </c>
    </row>
    <row r="122" ht="15" customHeight="1">
      <c r="A122" t="inlineStr">
        <is>
          <t>A 39298-2024</t>
        </is>
      </c>
      <c r="B122" s="1" t="n">
        <v>45551</v>
      </c>
      <c r="C122" s="1" t="n">
        <v>45715</v>
      </c>
      <c r="D122" t="inlineStr">
        <is>
          <t>KALMAR LÄN</t>
        </is>
      </c>
      <c r="E122" t="inlineStr">
        <is>
          <t>VÄSTERVIK</t>
        </is>
      </c>
      <c r="G122" t="n">
        <v>1.2</v>
      </c>
      <c r="H122" t="n">
        <v>3</v>
      </c>
      <c r="I122" t="n">
        <v>5</v>
      </c>
      <c r="J122" t="n">
        <v>1</v>
      </c>
      <c r="K122" t="n">
        <v>1</v>
      </c>
      <c r="L122" t="n">
        <v>0</v>
      </c>
      <c r="M122" t="n">
        <v>0</v>
      </c>
      <c r="N122" t="n">
        <v>0</v>
      </c>
      <c r="O122" t="n">
        <v>2</v>
      </c>
      <c r="P122" t="n">
        <v>1</v>
      </c>
      <c r="Q122" t="n">
        <v>7</v>
      </c>
      <c r="R122" s="2" t="inlineStr">
        <is>
          <t>Knärot
Talltita
Dropptaggsvamp
Grön sköldmossa
Grönpyrola
Rödgul trumpetsvamp
Stubbspretmossa</t>
        </is>
      </c>
      <c r="S122">
        <f>HYPERLINK("https://klasma.github.io/Logging_0883/artfynd/A 39298-2024 artfynd.xlsx", "A 39298-2024")</f>
        <v/>
      </c>
      <c r="T122">
        <f>HYPERLINK("https://klasma.github.io/Logging_0883/kartor/A 39298-2024 karta.png", "A 39298-2024")</f>
        <v/>
      </c>
      <c r="U122">
        <f>HYPERLINK("https://klasma.github.io/Logging_0883/knärot/A 39298-2024 karta knärot.png", "A 39298-2024")</f>
        <v/>
      </c>
      <c r="V122">
        <f>HYPERLINK("https://klasma.github.io/Logging_0883/klagomål/A 39298-2024 FSC-klagomål.docx", "A 39298-2024")</f>
        <v/>
      </c>
      <c r="W122">
        <f>HYPERLINK("https://klasma.github.io/Logging_0883/klagomålsmail/A 39298-2024 FSC-klagomål mail.docx", "A 39298-2024")</f>
        <v/>
      </c>
      <c r="X122">
        <f>HYPERLINK("https://klasma.github.io/Logging_0883/tillsyn/A 39298-2024 tillsynsbegäran.docx", "A 39298-2024")</f>
        <v/>
      </c>
      <c r="Y122">
        <f>HYPERLINK("https://klasma.github.io/Logging_0883/tillsynsmail/A 39298-2024 tillsynsbegäran mail.docx", "A 39298-2024")</f>
        <v/>
      </c>
      <c r="Z122">
        <f>HYPERLINK("https://klasma.github.io/Logging_0883/fåglar/A 39298-2024 prioriterade fågelarter.docx", "A 39298-2024")</f>
        <v/>
      </c>
    </row>
    <row r="123" ht="15" customHeight="1">
      <c r="A123" t="inlineStr">
        <is>
          <t>A 39301-2024</t>
        </is>
      </c>
      <c r="B123" s="1" t="n">
        <v>45551</v>
      </c>
      <c r="C123" s="1" t="n">
        <v>45715</v>
      </c>
      <c r="D123" t="inlineStr">
        <is>
          <t>KALMAR LÄN</t>
        </is>
      </c>
      <c r="E123" t="inlineStr">
        <is>
          <t>VÄSTERVIK</t>
        </is>
      </c>
      <c r="G123" t="n">
        <v>1.5</v>
      </c>
      <c r="H123" t="n">
        <v>4</v>
      </c>
      <c r="I123" t="n">
        <v>1</v>
      </c>
      <c r="J123" t="n">
        <v>4</v>
      </c>
      <c r="K123" t="n">
        <v>1</v>
      </c>
      <c r="L123" t="n">
        <v>0</v>
      </c>
      <c r="M123" t="n">
        <v>0</v>
      </c>
      <c r="N123" t="n">
        <v>0</v>
      </c>
      <c r="O123" t="n">
        <v>5</v>
      </c>
      <c r="P123" t="n">
        <v>1</v>
      </c>
      <c r="Q123" t="n">
        <v>7</v>
      </c>
      <c r="R123" s="2" t="inlineStr">
        <is>
          <t>Blackticka
Gul taggsvamp
Järpe
Talltita
Vedtrappmossa
Grön sköldmossa
Revlummer</t>
        </is>
      </c>
      <c r="S123">
        <f>HYPERLINK("https://klasma.github.io/Logging_0883/artfynd/A 39301-2024 artfynd.xlsx", "A 39301-2024")</f>
        <v/>
      </c>
      <c r="T123">
        <f>HYPERLINK("https://klasma.github.io/Logging_0883/kartor/A 39301-2024 karta.png", "A 39301-2024")</f>
        <v/>
      </c>
      <c r="V123">
        <f>HYPERLINK("https://klasma.github.io/Logging_0883/klagomål/A 39301-2024 FSC-klagomål.docx", "A 39301-2024")</f>
        <v/>
      </c>
      <c r="W123">
        <f>HYPERLINK("https://klasma.github.io/Logging_0883/klagomålsmail/A 39301-2024 FSC-klagomål mail.docx", "A 39301-2024")</f>
        <v/>
      </c>
      <c r="X123">
        <f>HYPERLINK("https://klasma.github.io/Logging_0883/tillsyn/A 39301-2024 tillsynsbegäran.docx", "A 39301-2024")</f>
        <v/>
      </c>
      <c r="Y123">
        <f>HYPERLINK("https://klasma.github.io/Logging_0883/tillsynsmail/A 39301-2024 tillsynsbegäran mail.docx", "A 39301-2024")</f>
        <v/>
      </c>
      <c r="Z123">
        <f>HYPERLINK("https://klasma.github.io/Logging_0883/fåglar/A 39301-2024 prioriterade fågelarter.docx", "A 39301-2024")</f>
        <v/>
      </c>
    </row>
    <row r="124" ht="15" customHeight="1">
      <c r="A124" t="inlineStr">
        <is>
          <t>A 51597-2024</t>
        </is>
      </c>
      <c r="B124" s="1" t="n">
        <v>45604</v>
      </c>
      <c r="C124" s="1" t="n">
        <v>45715</v>
      </c>
      <c r="D124" t="inlineStr">
        <is>
          <t>KALMAR LÄN</t>
        </is>
      </c>
      <c r="E124" t="inlineStr">
        <is>
          <t>VÄSTERVIK</t>
        </is>
      </c>
      <c r="F124" t="inlineStr">
        <is>
          <t>Övriga Aktiebolag</t>
        </is>
      </c>
      <c r="G124" t="n">
        <v>5.5</v>
      </c>
      <c r="H124" t="n">
        <v>4</v>
      </c>
      <c r="I124" t="n">
        <v>1</v>
      </c>
      <c r="J124" t="n">
        <v>4</v>
      </c>
      <c r="K124" t="n">
        <v>1</v>
      </c>
      <c r="L124" t="n">
        <v>0</v>
      </c>
      <c r="M124" t="n">
        <v>0</v>
      </c>
      <c r="N124" t="n">
        <v>0</v>
      </c>
      <c r="O124" t="n">
        <v>5</v>
      </c>
      <c r="P124" t="n">
        <v>1</v>
      </c>
      <c r="Q124" t="n">
        <v>7</v>
      </c>
      <c r="R124" s="2" t="inlineStr">
        <is>
          <t>Knärot
Spillkråka
Tallticka
Talltita
Ullticka
Dropptaggsvamp
Revlummer</t>
        </is>
      </c>
      <c r="S124">
        <f>HYPERLINK("https://klasma.github.io/Logging_0883/artfynd/A 51597-2024 artfynd.xlsx", "A 51597-2024")</f>
        <v/>
      </c>
      <c r="T124">
        <f>HYPERLINK("https://klasma.github.io/Logging_0883/kartor/A 51597-2024 karta.png", "A 51597-2024")</f>
        <v/>
      </c>
      <c r="U124">
        <f>HYPERLINK("https://klasma.github.io/Logging_0883/knärot/A 51597-2024 karta knärot.png", "A 51597-2024")</f>
        <v/>
      </c>
      <c r="V124">
        <f>HYPERLINK("https://klasma.github.io/Logging_0883/klagomål/A 51597-2024 FSC-klagomål.docx", "A 51597-2024")</f>
        <v/>
      </c>
      <c r="W124">
        <f>HYPERLINK("https://klasma.github.io/Logging_0883/klagomålsmail/A 51597-2024 FSC-klagomål mail.docx", "A 51597-2024")</f>
        <v/>
      </c>
      <c r="X124">
        <f>HYPERLINK("https://klasma.github.io/Logging_0883/tillsyn/A 51597-2024 tillsynsbegäran.docx", "A 51597-2024")</f>
        <v/>
      </c>
      <c r="Y124">
        <f>HYPERLINK("https://klasma.github.io/Logging_0883/tillsynsmail/A 51597-2024 tillsynsbegäran mail.docx", "A 51597-2024")</f>
        <v/>
      </c>
      <c r="Z124">
        <f>HYPERLINK("https://klasma.github.io/Logging_0883/fåglar/A 51597-2024 prioriterade fågelarter.docx", "A 51597-2024")</f>
        <v/>
      </c>
    </row>
    <row r="125" ht="15" customHeight="1">
      <c r="A125" t="inlineStr">
        <is>
          <t>A 52918-2024</t>
        </is>
      </c>
      <c r="B125" s="1" t="n">
        <v>45610</v>
      </c>
      <c r="C125" s="1" t="n">
        <v>45715</v>
      </c>
      <c r="D125" t="inlineStr">
        <is>
          <t>KALMAR LÄN</t>
        </is>
      </c>
      <c r="E125" t="inlineStr">
        <is>
          <t>VÄSTERVIK</t>
        </is>
      </c>
      <c r="G125" t="n">
        <v>4.5</v>
      </c>
      <c r="H125" t="n">
        <v>4</v>
      </c>
      <c r="I125" t="n">
        <v>1</v>
      </c>
      <c r="J125" t="n">
        <v>4</v>
      </c>
      <c r="K125" t="n">
        <v>1</v>
      </c>
      <c r="L125" t="n">
        <v>0</v>
      </c>
      <c r="M125" t="n">
        <v>0</v>
      </c>
      <c r="N125" t="n">
        <v>0</v>
      </c>
      <c r="O125" t="n">
        <v>5</v>
      </c>
      <c r="P125" t="n">
        <v>1</v>
      </c>
      <c r="Q125" t="n">
        <v>7</v>
      </c>
      <c r="R125" s="2" t="inlineStr">
        <is>
          <t>Knärot
Mindre hackspett
Motaggsvamp
Tallticka
Talltita
Blodticka
Kungsfågel</t>
        </is>
      </c>
      <c r="S125">
        <f>HYPERLINK("https://klasma.github.io/Logging_0883/artfynd/A 52918-2024 artfynd.xlsx", "A 52918-2024")</f>
        <v/>
      </c>
      <c r="T125">
        <f>HYPERLINK("https://klasma.github.io/Logging_0883/kartor/A 52918-2024 karta.png", "A 52918-2024")</f>
        <v/>
      </c>
      <c r="U125">
        <f>HYPERLINK("https://klasma.github.io/Logging_0883/knärot/A 52918-2024 karta knärot.png", "A 52918-2024")</f>
        <v/>
      </c>
      <c r="V125">
        <f>HYPERLINK("https://klasma.github.io/Logging_0883/klagomål/A 52918-2024 FSC-klagomål.docx", "A 52918-2024")</f>
        <v/>
      </c>
      <c r="W125">
        <f>HYPERLINK("https://klasma.github.io/Logging_0883/klagomålsmail/A 52918-2024 FSC-klagomål mail.docx", "A 52918-2024")</f>
        <v/>
      </c>
      <c r="X125">
        <f>HYPERLINK("https://klasma.github.io/Logging_0883/tillsyn/A 52918-2024 tillsynsbegäran.docx", "A 52918-2024")</f>
        <v/>
      </c>
      <c r="Y125">
        <f>HYPERLINK("https://klasma.github.io/Logging_0883/tillsynsmail/A 52918-2024 tillsynsbegäran mail.docx", "A 52918-2024")</f>
        <v/>
      </c>
      <c r="Z125">
        <f>HYPERLINK("https://klasma.github.io/Logging_0883/fåglar/A 52918-2024 prioriterade fågelarter.docx", "A 52918-2024")</f>
        <v/>
      </c>
    </row>
    <row r="126" ht="15" customHeight="1">
      <c r="A126" t="inlineStr">
        <is>
          <t>A 59457-2024</t>
        </is>
      </c>
      <c r="B126" s="1" t="n">
        <v>45638</v>
      </c>
      <c r="C126" s="1" t="n">
        <v>45715</v>
      </c>
      <c r="D126" t="inlineStr">
        <is>
          <t>KALMAR LÄN</t>
        </is>
      </c>
      <c r="E126" t="inlineStr">
        <is>
          <t>VÄSTERVIK</t>
        </is>
      </c>
      <c r="F126" t="inlineStr">
        <is>
          <t>Holmen skog AB</t>
        </is>
      </c>
      <c r="G126" t="n">
        <v>1.2</v>
      </c>
      <c r="H126" t="n">
        <v>4</v>
      </c>
      <c r="I126" t="n">
        <v>2</v>
      </c>
      <c r="J126" t="n">
        <v>3</v>
      </c>
      <c r="K126" t="n">
        <v>0</v>
      </c>
      <c r="L126" t="n">
        <v>0</v>
      </c>
      <c r="M126" t="n">
        <v>0</v>
      </c>
      <c r="N126" t="n">
        <v>0</v>
      </c>
      <c r="O126" t="n">
        <v>3</v>
      </c>
      <c r="P126" t="n">
        <v>0</v>
      </c>
      <c r="Q126" t="n">
        <v>7</v>
      </c>
      <c r="R126" s="2" t="inlineStr">
        <is>
          <t>Spillkråka
Tallticka
Talltita
Blåmossa
Flagellkvastmossa
Kungsfågel
Revlummer</t>
        </is>
      </c>
      <c r="S126">
        <f>HYPERLINK("https://klasma.github.io/Logging_0883/artfynd/A 59457-2024 artfynd.xlsx", "A 59457-2024")</f>
        <v/>
      </c>
      <c r="T126">
        <f>HYPERLINK("https://klasma.github.io/Logging_0883/kartor/A 59457-2024 karta.png", "A 59457-2024")</f>
        <v/>
      </c>
      <c r="V126">
        <f>HYPERLINK("https://klasma.github.io/Logging_0883/klagomål/A 59457-2024 FSC-klagomål.docx", "A 59457-2024")</f>
        <v/>
      </c>
      <c r="W126">
        <f>HYPERLINK("https://klasma.github.io/Logging_0883/klagomålsmail/A 59457-2024 FSC-klagomål mail.docx", "A 59457-2024")</f>
        <v/>
      </c>
      <c r="X126">
        <f>HYPERLINK("https://klasma.github.io/Logging_0883/tillsyn/A 59457-2024 tillsynsbegäran.docx", "A 59457-2024")</f>
        <v/>
      </c>
      <c r="Y126">
        <f>HYPERLINK("https://klasma.github.io/Logging_0883/tillsynsmail/A 59457-2024 tillsynsbegäran mail.docx", "A 59457-2024")</f>
        <v/>
      </c>
      <c r="Z126">
        <f>HYPERLINK("https://klasma.github.io/Logging_0883/fåglar/A 59457-2024 prioriterade fågelarter.docx", "A 59457-2024")</f>
        <v/>
      </c>
    </row>
    <row r="127" ht="15" customHeight="1">
      <c r="A127" t="inlineStr">
        <is>
          <t>A 610-2025</t>
        </is>
      </c>
      <c r="B127" s="1" t="n">
        <v>45664</v>
      </c>
      <c r="C127" s="1" t="n">
        <v>45715</v>
      </c>
      <c r="D127" t="inlineStr">
        <is>
          <t>KALMAR LÄN</t>
        </is>
      </c>
      <c r="E127" t="inlineStr">
        <is>
          <t>KALMAR</t>
        </is>
      </c>
      <c r="G127" t="n">
        <v>5.3</v>
      </c>
      <c r="H127" t="n">
        <v>3</v>
      </c>
      <c r="I127" t="n">
        <v>3</v>
      </c>
      <c r="J127" t="n">
        <v>3</v>
      </c>
      <c r="K127" t="n">
        <v>1</v>
      </c>
      <c r="L127" t="n">
        <v>0</v>
      </c>
      <c r="M127" t="n">
        <v>0</v>
      </c>
      <c r="N127" t="n">
        <v>0</v>
      </c>
      <c r="O127" t="n">
        <v>4</v>
      </c>
      <c r="P127" t="n">
        <v>1</v>
      </c>
      <c r="Q127" t="n">
        <v>7</v>
      </c>
      <c r="R127" s="2" t="inlineStr">
        <is>
          <t>Knärot
Spillkråka
Talltita
Ullticka
Blomkålssvamp
Blåmossa
Vedticka</t>
        </is>
      </c>
      <c r="S127">
        <f>HYPERLINK("https://klasma.github.io/Logging_0880/artfynd/A 610-2025 artfynd.xlsx", "A 610-2025")</f>
        <v/>
      </c>
      <c r="T127">
        <f>HYPERLINK("https://klasma.github.io/Logging_0880/kartor/A 610-2025 karta.png", "A 610-2025")</f>
        <v/>
      </c>
      <c r="U127">
        <f>HYPERLINK("https://klasma.github.io/Logging_0880/knärot/A 610-2025 karta knärot.png", "A 610-2025")</f>
        <v/>
      </c>
      <c r="V127">
        <f>HYPERLINK("https://klasma.github.io/Logging_0880/klagomål/A 610-2025 FSC-klagomål.docx", "A 610-2025")</f>
        <v/>
      </c>
      <c r="W127">
        <f>HYPERLINK("https://klasma.github.io/Logging_0880/klagomålsmail/A 610-2025 FSC-klagomål mail.docx", "A 610-2025")</f>
        <v/>
      </c>
      <c r="X127">
        <f>HYPERLINK("https://klasma.github.io/Logging_0880/tillsyn/A 610-2025 tillsynsbegäran.docx", "A 610-2025")</f>
        <v/>
      </c>
      <c r="Y127">
        <f>HYPERLINK("https://klasma.github.io/Logging_0880/tillsynsmail/A 610-2025 tillsynsbegäran mail.docx", "A 610-2025")</f>
        <v/>
      </c>
      <c r="Z127">
        <f>HYPERLINK("https://klasma.github.io/Logging_0880/fåglar/A 610-2025 prioriterade fågelarter.docx", "A 610-2025")</f>
        <v/>
      </c>
    </row>
    <row r="128" ht="15" customHeight="1">
      <c r="A128" t="inlineStr">
        <is>
          <t>A 5162-2025</t>
        </is>
      </c>
      <c r="B128" s="1" t="n">
        <v>45691</v>
      </c>
      <c r="C128" s="1" t="n">
        <v>45715</v>
      </c>
      <c r="D128" t="inlineStr">
        <is>
          <t>KALMAR LÄN</t>
        </is>
      </c>
      <c r="E128" t="inlineStr">
        <is>
          <t>OSKARSHAMN</t>
        </is>
      </c>
      <c r="G128" t="n">
        <v>9.300000000000001</v>
      </c>
      <c r="H128" t="n">
        <v>1</v>
      </c>
      <c r="I128" t="n">
        <v>4</v>
      </c>
      <c r="J128" t="n">
        <v>3</v>
      </c>
      <c r="K128" t="n">
        <v>0</v>
      </c>
      <c r="L128" t="n">
        <v>0</v>
      </c>
      <c r="M128" t="n">
        <v>0</v>
      </c>
      <c r="N128" t="n">
        <v>0</v>
      </c>
      <c r="O128" t="n">
        <v>3</v>
      </c>
      <c r="P128" t="n">
        <v>0</v>
      </c>
      <c r="Q128" t="n">
        <v>7</v>
      </c>
      <c r="R128" s="2" t="inlineStr">
        <is>
          <t>Spillkråka
Tallticka
Vedskivlav
Blodticka
Blåmossa
Grovticka
Mindre märgborre</t>
        </is>
      </c>
      <c r="S128">
        <f>HYPERLINK("https://klasma.github.io/Logging_0882/artfynd/A 5162-2025 artfynd.xlsx", "A 5162-2025")</f>
        <v/>
      </c>
      <c r="T128">
        <f>HYPERLINK("https://klasma.github.io/Logging_0882/kartor/A 5162-2025 karta.png", "A 5162-2025")</f>
        <v/>
      </c>
      <c r="V128">
        <f>HYPERLINK("https://klasma.github.io/Logging_0882/klagomål/A 5162-2025 FSC-klagomål.docx", "A 5162-2025")</f>
        <v/>
      </c>
      <c r="W128">
        <f>HYPERLINK("https://klasma.github.io/Logging_0882/klagomålsmail/A 5162-2025 FSC-klagomål mail.docx", "A 5162-2025")</f>
        <v/>
      </c>
      <c r="X128">
        <f>HYPERLINK("https://klasma.github.io/Logging_0882/tillsyn/A 5162-2025 tillsynsbegäran.docx", "A 5162-2025")</f>
        <v/>
      </c>
      <c r="Y128">
        <f>HYPERLINK("https://klasma.github.io/Logging_0882/tillsynsmail/A 5162-2025 tillsynsbegäran mail.docx", "A 5162-2025")</f>
        <v/>
      </c>
      <c r="Z128">
        <f>HYPERLINK("https://klasma.github.io/Logging_0882/fåglar/A 5162-2025 prioriterade fågelarter.docx", "A 5162-2025")</f>
        <v/>
      </c>
    </row>
    <row r="129" ht="15" customHeight="1">
      <c r="A129" t="inlineStr">
        <is>
          <t>A 5838-2025</t>
        </is>
      </c>
      <c r="B129" s="1" t="n">
        <v>45694</v>
      </c>
      <c r="C129" s="1" t="n">
        <v>45715</v>
      </c>
      <c r="D129" t="inlineStr">
        <is>
          <t>KALMAR LÄN</t>
        </is>
      </c>
      <c r="E129" t="inlineStr">
        <is>
          <t>VÄSTERVIK</t>
        </is>
      </c>
      <c r="F129" t="inlineStr">
        <is>
          <t>Holmen skog AB</t>
        </is>
      </c>
      <c r="G129" t="n">
        <v>2.9</v>
      </c>
      <c r="H129" t="n">
        <v>5</v>
      </c>
      <c r="I129" t="n">
        <v>2</v>
      </c>
      <c r="J129" t="n">
        <v>2</v>
      </c>
      <c r="K129" t="n">
        <v>1</v>
      </c>
      <c r="L129" t="n">
        <v>0</v>
      </c>
      <c r="M129" t="n">
        <v>0</v>
      </c>
      <c r="N129" t="n">
        <v>0</v>
      </c>
      <c r="O129" t="n">
        <v>3</v>
      </c>
      <c r="P129" t="n">
        <v>1</v>
      </c>
      <c r="Q129" t="n">
        <v>7</v>
      </c>
      <c r="R129" s="2" t="inlineStr">
        <is>
          <t>Knärot
Spillkråka
Talltita
Blåmossa
Grovticka
Kungsfågel
Tjäder</t>
        </is>
      </c>
      <c r="S129">
        <f>HYPERLINK("https://klasma.github.io/Logging_0883/artfynd/A 5838-2025 artfynd.xlsx", "A 5838-2025")</f>
        <v/>
      </c>
      <c r="T129">
        <f>HYPERLINK("https://klasma.github.io/Logging_0883/kartor/A 5838-2025 karta.png", "A 5838-2025")</f>
        <v/>
      </c>
      <c r="U129">
        <f>HYPERLINK("https://klasma.github.io/Logging_0883/knärot/A 5838-2025 karta knärot.png", "A 5838-2025")</f>
        <v/>
      </c>
      <c r="V129">
        <f>HYPERLINK("https://klasma.github.io/Logging_0883/klagomål/A 5838-2025 FSC-klagomål.docx", "A 5838-2025")</f>
        <v/>
      </c>
      <c r="W129">
        <f>HYPERLINK("https://klasma.github.io/Logging_0883/klagomålsmail/A 5838-2025 FSC-klagomål mail.docx", "A 5838-2025")</f>
        <v/>
      </c>
      <c r="X129">
        <f>HYPERLINK("https://klasma.github.io/Logging_0883/tillsyn/A 5838-2025 tillsynsbegäran.docx", "A 5838-2025")</f>
        <v/>
      </c>
      <c r="Y129">
        <f>HYPERLINK("https://klasma.github.io/Logging_0883/tillsynsmail/A 5838-2025 tillsynsbegäran mail.docx", "A 5838-2025")</f>
        <v/>
      </c>
      <c r="Z129">
        <f>HYPERLINK("https://klasma.github.io/Logging_0883/fåglar/A 5838-2025 prioriterade fågelarter.docx", "A 5838-2025")</f>
        <v/>
      </c>
    </row>
    <row r="130" ht="15" customHeight="1">
      <c r="A130" t="inlineStr">
        <is>
          <t>A 20073-2019</t>
        </is>
      </c>
      <c r="B130" s="1" t="n">
        <v>43566</v>
      </c>
      <c r="C130" s="1" t="n">
        <v>45715</v>
      </c>
      <c r="D130" t="inlineStr">
        <is>
          <t>KALMAR LÄN</t>
        </is>
      </c>
      <c r="E130" t="inlineStr">
        <is>
          <t>NYBRO</t>
        </is>
      </c>
      <c r="F130" t="inlineStr">
        <is>
          <t>Kyrkan</t>
        </is>
      </c>
      <c r="G130" t="n">
        <v>18.4</v>
      </c>
      <c r="H130" t="n">
        <v>6</v>
      </c>
      <c r="I130" t="n">
        <v>0</v>
      </c>
      <c r="J130" t="n">
        <v>3</v>
      </c>
      <c r="K130" t="n">
        <v>1</v>
      </c>
      <c r="L130" t="n">
        <v>0</v>
      </c>
      <c r="M130" t="n">
        <v>0</v>
      </c>
      <c r="N130" t="n">
        <v>0</v>
      </c>
      <c r="O130" t="n">
        <v>4</v>
      </c>
      <c r="P130" t="n">
        <v>1</v>
      </c>
      <c r="Q130" t="n">
        <v>6</v>
      </c>
      <c r="R130" s="2" t="inlineStr">
        <is>
          <t>Vinterhämpling
Mindre hackspett
Spillkråka
Talltita
Gröngöling
Trädlärka</t>
        </is>
      </c>
      <c r="S130">
        <f>HYPERLINK("https://klasma.github.io/Logging_0881/artfynd/A 20073-2019 artfynd.xlsx", "A 20073-2019")</f>
        <v/>
      </c>
      <c r="T130">
        <f>HYPERLINK("https://klasma.github.io/Logging_0881/kartor/A 20073-2019 karta.png", "A 20073-2019")</f>
        <v/>
      </c>
      <c r="V130">
        <f>HYPERLINK("https://klasma.github.io/Logging_0881/klagomål/A 20073-2019 FSC-klagomål.docx", "A 20073-2019")</f>
        <v/>
      </c>
      <c r="W130">
        <f>HYPERLINK("https://klasma.github.io/Logging_0881/klagomålsmail/A 20073-2019 FSC-klagomål mail.docx", "A 20073-2019")</f>
        <v/>
      </c>
      <c r="X130">
        <f>HYPERLINK("https://klasma.github.io/Logging_0881/tillsyn/A 20073-2019 tillsynsbegäran.docx", "A 20073-2019")</f>
        <v/>
      </c>
      <c r="Y130">
        <f>HYPERLINK("https://klasma.github.io/Logging_0881/tillsynsmail/A 20073-2019 tillsynsbegäran mail.docx", "A 20073-2019")</f>
        <v/>
      </c>
      <c r="Z130">
        <f>HYPERLINK("https://klasma.github.io/Logging_0881/fåglar/A 20073-2019 prioriterade fågelarter.docx", "A 20073-2019")</f>
        <v/>
      </c>
    </row>
    <row r="131" ht="15" customHeight="1">
      <c r="A131" t="inlineStr">
        <is>
          <t>A 27046-2019</t>
        </is>
      </c>
      <c r="B131" s="1" t="n">
        <v>43614</v>
      </c>
      <c r="C131" s="1" t="n">
        <v>45715</v>
      </c>
      <c r="D131" t="inlineStr">
        <is>
          <t>KALMAR LÄN</t>
        </is>
      </c>
      <c r="E131" t="inlineStr">
        <is>
          <t>BORGHOLM</t>
        </is>
      </c>
      <c r="G131" t="n">
        <v>5.7</v>
      </c>
      <c r="H131" t="n">
        <v>2</v>
      </c>
      <c r="I131" t="n">
        <v>3</v>
      </c>
      <c r="J131" t="n">
        <v>3</v>
      </c>
      <c r="K131" t="n">
        <v>0</v>
      </c>
      <c r="L131" t="n">
        <v>0</v>
      </c>
      <c r="M131" t="n">
        <v>0</v>
      </c>
      <c r="N131" t="n">
        <v>0</v>
      </c>
      <c r="O131" t="n">
        <v>3</v>
      </c>
      <c r="P131" t="n">
        <v>0</v>
      </c>
      <c r="Q131" t="n">
        <v>6</v>
      </c>
      <c r="R131" s="2" t="inlineStr">
        <is>
          <t>Axveronika
Backklöver
Solvända
Sårläka
Tvåblad
Vit skogslilja</t>
        </is>
      </c>
      <c r="S131">
        <f>HYPERLINK("https://klasma.github.io/Logging_0885/artfynd/A 27046-2019 artfynd.xlsx", "A 27046-2019")</f>
        <v/>
      </c>
      <c r="T131">
        <f>HYPERLINK("https://klasma.github.io/Logging_0885/kartor/A 27046-2019 karta.png", "A 27046-2019")</f>
        <v/>
      </c>
      <c r="V131">
        <f>HYPERLINK("https://klasma.github.io/Logging_0885/klagomål/A 27046-2019 FSC-klagomål.docx", "A 27046-2019")</f>
        <v/>
      </c>
      <c r="W131">
        <f>HYPERLINK("https://klasma.github.io/Logging_0885/klagomålsmail/A 27046-2019 FSC-klagomål mail.docx", "A 27046-2019")</f>
        <v/>
      </c>
      <c r="X131">
        <f>HYPERLINK("https://klasma.github.io/Logging_0885/tillsyn/A 27046-2019 tillsynsbegäran.docx", "A 27046-2019")</f>
        <v/>
      </c>
      <c r="Y131">
        <f>HYPERLINK("https://klasma.github.io/Logging_0885/tillsynsmail/A 27046-2019 tillsynsbegäran mail.docx", "A 27046-2019")</f>
        <v/>
      </c>
    </row>
    <row r="132" ht="15" customHeight="1">
      <c r="A132" t="inlineStr">
        <is>
          <t>A 40023-2019</t>
        </is>
      </c>
      <c r="B132" s="1" t="n">
        <v>43693</v>
      </c>
      <c r="C132" s="1" t="n">
        <v>45715</v>
      </c>
      <c r="D132" t="inlineStr">
        <is>
          <t>KALMAR LÄN</t>
        </is>
      </c>
      <c r="E132" t="inlineStr">
        <is>
          <t>TORSÅS</t>
        </is>
      </c>
      <c r="G132" t="n">
        <v>3.8</v>
      </c>
      <c r="H132" t="n">
        <v>6</v>
      </c>
      <c r="I132" t="n">
        <v>0</v>
      </c>
      <c r="J132" t="n">
        <v>3</v>
      </c>
      <c r="K132" t="n">
        <v>0</v>
      </c>
      <c r="L132" t="n">
        <v>0</v>
      </c>
      <c r="M132" t="n">
        <v>0</v>
      </c>
      <c r="N132" t="n">
        <v>0</v>
      </c>
      <c r="O132" t="n">
        <v>3</v>
      </c>
      <c r="P132" t="n">
        <v>0</v>
      </c>
      <c r="Q132" t="n">
        <v>6</v>
      </c>
      <c r="R132" s="2" t="inlineStr">
        <is>
          <t>Barbastell
Brunlångöra
Nordfladdermus
Dvärgpipistrell
Gråskimlig fladdermus
Större brunfladdermus</t>
        </is>
      </c>
      <c r="S132">
        <f>HYPERLINK("https://klasma.github.io/Logging_0834/artfynd/A 40023-2019 artfynd.xlsx", "A 40023-2019")</f>
        <v/>
      </c>
      <c r="T132">
        <f>HYPERLINK("https://klasma.github.io/Logging_0834/kartor/A 40023-2019 karta.png", "A 40023-2019")</f>
        <v/>
      </c>
      <c r="V132">
        <f>HYPERLINK("https://klasma.github.io/Logging_0834/klagomål/A 40023-2019 FSC-klagomål.docx", "A 40023-2019")</f>
        <v/>
      </c>
      <c r="W132">
        <f>HYPERLINK("https://klasma.github.io/Logging_0834/klagomålsmail/A 40023-2019 FSC-klagomål mail.docx", "A 40023-2019")</f>
        <v/>
      </c>
      <c r="X132">
        <f>HYPERLINK("https://klasma.github.io/Logging_0834/tillsyn/A 40023-2019 tillsynsbegäran.docx", "A 40023-2019")</f>
        <v/>
      </c>
      <c r="Y132">
        <f>HYPERLINK("https://klasma.github.io/Logging_0834/tillsynsmail/A 40023-2019 tillsynsbegäran mail.docx", "A 40023-2019")</f>
        <v/>
      </c>
    </row>
    <row r="133" ht="15" customHeight="1">
      <c r="A133" t="inlineStr">
        <is>
          <t>A 62113-2019</t>
        </is>
      </c>
      <c r="B133" s="1" t="n">
        <v>43787</v>
      </c>
      <c r="C133" s="1" t="n">
        <v>45715</v>
      </c>
      <c r="D133" t="inlineStr">
        <is>
          <t>KALMAR LÄN</t>
        </is>
      </c>
      <c r="E133" t="inlineStr">
        <is>
          <t>NYBRO</t>
        </is>
      </c>
      <c r="G133" t="n">
        <v>7.4</v>
      </c>
      <c r="H133" t="n">
        <v>2</v>
      </c>
      <c r="I133" t="n">
        <v>5</v>
      </c>
      <c r="J133" t="n">
        <v>0</v>
      </c>
      <c r="K133" t="n">
        <v>0</v>
      </c>
      <c r="L133" t="n">
        <v>0</v>
      </c>
      <c r="M133" t="n">
        <v>0</v>
      </c>
      <c r="N133" t="n">
        <v>0</v>
      </c>
      <c r="O133" t="n">
        <v>0</v>
      </c>
      <c r="P133" t="n">
        <v>0</v>
      </c>
      <c r="Q133" t="n">
        <v>6</v>
      </c>
      <c r="R133" s="2" t="inlineStr">
        <is>
          <t>Blåmossa
Grön sköldmossa
Myskmadra
Mörk husmossa
Västlig hakmossa
Blåsippa</t>
        </is>
      </c>
      <c r="S133">
        <f>HYPERLINK("https://klasma.github.io/Logging_0881/artfynd/A 62113-2019 artfynd.xlsx", "A 62113-2019")</f>
        <v/>
      </c>
      <c r="T133">
        <f>HYPERLINK("https://klasma.github.io/Logging_0881/kartor/A 62113-2019 karta.png", "A 62113-2019")</f>
        <v/>
      </c>
      <c r="V133">
        <f>HYPERLINK("https://klasma.github.io/Logging_0881/klagomål/A 62113-2019 FSC-klagomål.docx", "A 62113-2019")</f>
        <v/>
      </c>
      <c r="W133">
        <f>HYPERLINK("https://klasma.github.io/Logging_0881/klagomålsmail/A 62113-2019 FSC-klagomål mail.docx", "A 62113-2019")</f>
        <v/>
      </c>
      <c r="X133">
        <f>HYPERLINK("https://klasma.github.io/Logging_0881/tillsyn/A 62113-2019 tillsynsbegäran.docx", "A 62113-2019")</f>
        <v/>
      </c>
      <c r="Y133">
        <f>HYPERLINK("https://klasma.github.io/Logging_0881/tillsynsmail/A 62113-2019 tillsynsbegäran mail.docx", "A 62113-2019")</f>
        <v/>
      </c>
    </row>
    <row r="134" ht="15" customHeight="1">
      <c r="A134" t="inlineStr">
        <is>
          <t>A 17061-2020</t>
        </is>
      </c>
      <c r="B134" s="1" t="n">
        <v>43921</v>
      </c>
      <c r="C134" s="1" t="n">
        <v>45715</v>
      </c>
      <c r="D134" t="inlineStr">
        <is>
          <t>KALMAR LÄN</t>
        </is>
      </c>
      <c r="E134" t="inlineStr">
        <is>
          <t>HULTSFRED</t>
        </is>
      </c>
      <c r="G134" t="n">
        <v>10.7</v>
      </c>
      <c r="H134" t="n">
        <v>2</v>
      </c>
      <c r="I134" t="n">
        <v>4</v>
      </c>
      <c r="J134" t="n">
        <v>0</v>
      </c>
      <c r="K134" t="n">
        <v>1</v>
      </c>
      <c r="L134" t="n">
        <v>0</v>
      </c>
      <c r="M134" t="n">
        <v>0</v>
      </c>
      <c r="N134" t="n">
        <v>0</v>
      </c>
      <c r="O134" t="n">
        <v>1</v>
      </c>
      <c r="P134" t="n">
        <v>1</v>
      </c>
      <c r="Q134" t="n">
        <v>6</v>
      </c>
      <c r="R134" s="2" t="inlineStr">
        <is>
          <t>Knärot
Blåmossa
Grönpyrola
Tibast
Trådticka
Blåsippa</t>
        </is>
      </c>
      <c r="S134">
        <f>HYPERLINK("https://klasma.github.io/Logging_0860/artfynd/A 17061-2020 artfynd.xlsx", "A 17061-2020")</f>
        <v/>
      </c>
      <c r="T134">
        <f>HYPERLINK("https://klasma.github.io/Logging_0860/kartor/A 17061-2020 karta.png", "A 17061-2020")</f>
        <v/>
      </c>
      <c r="U134">
        <f>HYPERLINK("https://klasma.github.io/Logging_0860/knärot/A 17061-2020 karta knärot.png", "A 17061-2020")</f>
        <v/>
      </c>
      <c r="V134">
        <f>HYPERLINK("https://klasma.github.io/Logging_0860/klagomål/A 17061-2020 FSC-klagomål.docx", "A 17061-2020")</f>
        <v/>
      </c>
      <c r="W134">
        <f>HYPERLINK("https://klasma.github.io/Logging_0860/klagomålsmail/A 17061-2020 FSC-klagomål mail.docx", "A 17061-2020")</f>
        <v/>
      </c>
      <c r="X134">
        <f>HYPERLINK("https://klasma.github.io/Logging_0860/tillsyn/A 17061-2020 tillsynsbegäran.docx", "A 17061-2020")</f>
        <v/>
      </c>
      <c r="Y134">
        <f>HYPERLINK("https://klasma.github.io/Logging_0860/tillsynsmail/A 17061-2020 tillsynsbegäran mail.docx", "A 17061-2020")</f>
        <v/>
      </c>
    </row>
    <row r="135" ht="15" customHeight="1">
      <c r="A135" t="inlineStr">
        <is>
          <t>A 40640-2020</t>
        </is>
      </c>
      <c r="B135" s="1" t="n">
        <v>44069</v>
      </c>
      <c r="C135" s="1" t="n">
        <v>45715</v>
      </c>
      <c r="D135" t="inlineStr">
        <is>
          <t>KALMAR LÄN</t>
        </is>
      </c>
      <c r="E135" t="inlineStr">
        <is>
          <t>HULTSFRED</t>
        </is>
      </c>
      <c r="G135" t="n">
        <v>0.8</v>
      </c>
      <c r="H135" t="n">
        <v>6</v>
      </c>
      <c r="I135" t="n">
        <v>0</v>
      </c>
      <c r="J135" t="n">
        <v>6</v>
      </c>
      <c r="K135" t="n">
        <v>0</v>
      </c>
      <c r="L135" t="n">
        <v>0</v>
      </c>
      <c r="M135" t="n">
        <v>0</v>
      </c>
      <c r="N135" t="n">
        <v>0</v>
      </c>
      <c r="O135" t="n">
        <v>6</v>
      </c>
      <c r="P135" t="n">
        <v>0</v>
      </c>
      <c r="Q135" t="n">
        <v>6</v>
      </c>
      <c r="R135" s="2" t="inlineStr">
        <is>
          <t>Entita
Gulsparv
Spillkråka
Svartvit flugsnappare
Talltita
Ärtsångare</t>
        </is>
      </c>
      <c r="S135">
        <f>HYPERLINK("https://klasma.github.io/Logging_0860/artfynd/A 40640-2020 artfynd.xlsx", "A 40640-2020")</f>
        <v/>
      </c>
      <c r="T135">
        <f>HYPERLINK("https://klasma.github.io/Logging_0860/kartor/A 40640-2020 karta.png", "A 40640-2020")</f>
        <v/>
      </c>
      <c r="V135">
        <f>HYPERLINK("https://klasma.github.io/Logging_0860/klagomål/A 40640-2020 FSC-klagomål.docx", "A 40640-2020")</f>
        <v/>
      </c>
      <c r="W135">
        <f>HYPERLINK("https://klasma.github.io/Logging_0860/klagomålsmail/A 40640-2020 FSC-klagomål mail.docx", "A 40640-2020")</f>
        <v/>
      </c>
      <c r="X135">
        <f>HYPERLINK("https://klasma.github.io/Logging_0860/tillsyn/A 40640-2020 tillsynsbegäran.docx", "A 40640-2020")</f>
        <v/>
      </c>
      <c r="Y135">
        <f>HYPERLINK("https://klasma.github.io/Logging_0860/tillsynsmail/A 40640-2020 tillsynsbegäran mail.docx", "A 40640-2020")</f>
        <v/>
      </c>
      <c r="Z135">
        <f>HYPERLINK("https://klasma.github.io/Logging_0860/fåglar/A 40640-2020 prioriterade fågelarter.docx", "A 40640-2020")</f>
        <v/>
      </c>
    </row>
    <row r="136" ht="15" customHeight="1">
      <c r="A136" t="inlineStr">
        <is>
          <t>A 52916-2020</t>
        </is>
      </c>
      <c r="B136" s="1" t="n">
        <v>44120</v>
      </c>
      <c r="C136" s="1" t="n">
        <v>45715</v>
      </c>
      <c r="D136" t="inlineStr">
        <is>
          <t>KALMAR LÄN</t>
        </is>
      </c>
      <c r="E136" t="inlineStr">
        <is>
          <t>VÄSTERVIK</t>
        </is>
      </c>
      <c r="G136" t="n">
        <v>1.2</v>
      </c>
      <c r="H136" t="n">
        <v>2</v>
      </c>
      <c r="I136" t="n">
        <v>2</v>
      </c>
      <c r="J136" t="n">
        <v>3</v>
      </c>
      <c r="K136" t="n">
        <v>1</v>
      </c>
      <c r="L136" t="n">
        <v>0</v>
      </c>
      <c r="M136" t="n">
        <v>0</v>
      </c>
      <c r="N136" t="n">
        <v>0</v>
      </c>
      <c r="O136" t="n">
        <v>4</v>
      </c>
      <c r="P136" t="n">
        <v>1</v>
      </c>
      <c r="Q136" t="n">
        <v>6</v>
      </c>
      <c r="R136" s="2" t="inlineStr">
        <is>
          <t>Knärot
Orange taggsvamp
Svart taggsvamp
Talltita
Blomkålssvamp
Dropptaggsvamp</t>
        </is>
      </c>
      <c r="S136">
        <f>HYPERLINK("https://klasma.github.io/Logging_0883/artfynd/A 52916-2020 artfynd.xlsx", "A 52916-2020")</f>
        <v/>
      </c>
      <c r="T136">
        <f>HYPERLINK("https://klasma.github.io/Logging_0883/kartor/A 52916-2020 karta.png", "A 52916-2020")</f>
        <v/>
      </c>
      <c r="U136">
        <f>HYPERLINK("https://klasma.github.io/Logging_0883/knärot/A 52916-2020 karta knärot.png", "A 52916-2020")</f>
        <v/>
      </c>
      <c r="V136">
        <f>HYPERLINK("https://klasma.github.io/Logging_0883/klagomål/A 52916-2020 FSC-klagomål.docx", "A 52916-2020")</f>
        <v/>
      </c>
      <c r="W136">
        <f>HYPERLINK("https://klasma.github.io/Logging_0883/klagomålsmail/A 52916-2020 FSC-klagomål mail.docx", "A 52916-2020")</f>
        <v/>
      </c>
      <c r="X136">
        <f>HYPERLINK("https://klasma.github.io/Logging_0883/tillsyn/A 52916-2020 tillsynsbegäran.docx", "A 52916-2020")</f>
        <v/>
      </c>
      <c r="Y136">
        <f>HYPERLINK("https://klasma.github.io/Logging_0883/tillsynsmail/A 52916-2020 tillsynsbegäran mail.docx", "A 52916-2020")</f>
        <v/>
      </c>
      <c r="Z136">
        <f>HYPERLINK("https://klasma.github.io/Logging_0883/fåglar/A 52916-2020 prioriterade fågelarter.docx", "A 52916-2020")</f>
        <v/>
      </c>
    </row>
    <row r="137" ht="15" customHeight="1">
      <c r="A137" t="inlineStr">
        <is>
          <t>A 57656-2020</t>
        </is>
      </c>
      <c r="B137" s="1" t="n">
        <v>44140</v>
      </c>
      <c r="C137" s="1" t="n">
        <v>45715</v>
      </c>
      <c r="D137" t="inlineStr">
        <is>
          <t>KALMAR LÄN</t>
        </is>
      </c>
      <c r="E137" t="inlineStr">
        <is>
          <t>BORGHOLM</t>
        </is>
      </c>
      <c r="F137" t="inlineStr">
        <is>
          <t>Sveaskog</t>
        </is>
      </c>
      <c r="G137" t="n">
        <v>3.1</v>
      </c>
      <c r="H137" t="n">
        <v>3</v>
      </c>
      <c r="I137" t="n">
        <v>3</v>
      </c>
      <c r="J137" t="n">
        <v>0</v>
      </c>
      <c r="K137" t="n">
        <v>1</v>
      </c>
      <c r="L137" t="n">
        <v>1</v>
      </c>
      <c r="M137" t="n">
        <v>0</v>
      </c>
      <c r="N137" t="n">
        <v>0</v>
      </c>
      <c r="O137" t="n">
        <v>2</v>
      </c>
      <c r="P137" t="n">
        <v>2</v>
      </c>
      <c r="Q137" t="n">
        <v>6</v>
      </c>
      <c r="R137" s="2" t="inlineStr">
        <is>
          <t>Ryl
Gotlandsmåra
Skogsknipprot
Strävlosta
Vit skogslilja
Grönvit nattviol</t>
        </is>
      </c>
      <c r="S137">
        <f>HYPERLINK("https://klasma.github.io/Logging_0885/artfynd/A 57656-2020 artfynd.xlsx", "A 57656-2020")</f>
        <v/>
      </c>
      <c r="T137">
        <f>HYPERLINK("https://klasma.github.io/Logging_0885/kartor/A 57656-2020 karta.png", "A 57656-2020")</f>
        <v/>
      </c>
      <c r="V137">
        <f>HYPERLINK("https://klasma.github.io/Logging_0885/klagomål/A 57656-2020 FSC-klagomål.docx", "A 57656-2020")</f>
        <v/>
      </c>
      <c r="W137">
        <f>HYPERLINK("https://klasma.github.io/Logging_0885/klagomålsmail/A 57656-2020 FSC-klagomål mail.docx", "A 57656-2020")</f>
        <v/>
      </c>
      <c r="X137">
        <f>HYPERLINK("https://klasma.github.io/Logging_0885/tillsyn/A 57656-2020 tillsynsbegäran.docx", "A 57656-2020")</f>
        <v/>
      </c>
      <c r="Y137">
        <f>HYPERLINK("https://klasma.github.io/Logging_0885/tillsynsmail/A 57656-2020 tillsynsbegäran mail.docx", "A 57656-2020")</f>
        <v/>
      </c>
    </row>
    <row r="138" ht="15" customHeight="1">
      <c r="A138" t="inlineStr">
        <is>
          <t>A 18048-2021</t>
        </is>
      </c>
      <c r="B138" s="1" t="n">
        <v>44302</v>
      </c>
      <c r="C138" s="1" t="n">
        <v>45715</v>
      </c>
      <c r="D138" t="inlineStr">
        <is>
          <t>KALMAR LÄN</t>
        </is>
      </c>
      <c r="E138" t="inlineStr">
        <is>
          <t>OSKARSHAMN</t>
        </is>
      </c>
      <c r="G138" t="n">
        <v>14.7</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HYPERLINK("https://klasma.github.io/Logging_0882/artfynd/A 18048-2021 artfynd.xlsx", "A 18048-2021")</f>
        <v/>
      </c>
      <c r="T138">
        <f>HYPERLINK("https://klasma.github.io/Logging_0882/kartor/A 18048-2021 karta.png", "A 18048-2021")</f>
        <v/>
      </c>
      <c r="V138">
        <f>HYPERLINK("https://klasma.github.io/Logging_0882/klagomål/A 18048-2021 FSC-klagomål.docx", "A 18048-2021")</f>
        <v/>
      </c>
      <c r="W138">
        <f>HYPERLINK("https://klasma.github.io/Logging_0882/klagomålsmail/A 18048-2021 FSC-klagomål mail.docx", "A 18048-2021")</f>
        <v/>
      </c>
      <c r="X138">
        <f>HYPERLINK("https://klasma.github.io/Logging_0882/tillsyn/A 18048-2021 tillsynsbegäran.docx", "A 18048-2021")</f>
        <v/>
      </c>
      <c r="Y138">
        <f>HYPERLINK("https://klasma.github.io/Logging_0882/tillsynsmail/A 18048-2021 tillsynsbegäran mail.docx", "A 18048-2021")</f>
        <v/>
      </c>
    </row>
    <row r="139" ht="15" customHeight="1">
      <c r="A139" t="inlineStr">
        <is>
          <t>A 28304-2021</t>
        </is>
      </c>
      <c r="B139" s="1" t="n">
        <v>44356</v>
      </c>
      <c r="C139" s="1" t="n">
        <v>45715</v>
      </c>
      <c r="D139" t="inlineStr">
        <is>
          <t>KALMAR LÄN</t>
        </is>
      </c>
      <c r="E139" t="inlineStr">
        <is>
          <t>OSKARSHAMN</t>
        </is>
      </c>
      <c r="G139" t="n">
        <v>13.2</v>
      </c>
      <c r="H139" t="n">
        <v>3</v>
      </c>
      <c r="I139" t="n">
        <v>1</v>
      </c>
      <c r="J139" t="n">
        <v>4</v>
      </c>
      <c r="K139" t="n">
        <v>0</v>
      </c>
      <c r="L139" t="n">
        <v>0</v>
      </c>
      <c r="M139" t="n">
        <v>0</v>
      </c>
      <c r="N139" t="n">
        <v>0</v>
      </c>
      <c r="O139" t="n">
        <v>4</v>
      </c>
      <c r="P139" t="n">
        <v>0</v>
      </c>
      <c r="Q139" t="n">
        <v>6</v>
      </c>
      <c r="R139" s="2" t="inlineStr">
        <is>
          <t>Spillkråka
Tallticka
Talltita
Vedskivlav
Blåmossa
Revlummer</t>
        </is>
      </c>
      <c r="S139">
        <f>HYPERLINK("https://klasma.github.io/Logging_0882/artfynd/A 28304-2021 artfynd.xlsx", "A 28304-2021")</f>
        <v/>
      </c>
      <c r="T139">
        <f>HYPERLINK("https://klasma.github.io/Logging_0882/kartor/A 28304-2021 karta.png", "A 28304-2021")</f>
        <v/>
      </c>
      <c r="V139">
        <f>HYPERLINK("https://klasma.github.io/Logging_0882/klagomål/A 28304-2021 FSC-klagomål.docx", "A 28304-2021")</f>
        <v/>
      </c>
      <c r="W139">
        <f>HYPERLINK("https://klasma.github.io/Logging_0882/klagomålsmail/A 28304-2021 FSC-klagomål mail.docx", "A 28304-2021")</f>
        <v/>
      </c>
      <c r="X139">
        <f>HYPERLINK("https://klasma.github.io/Logging_0882/tillsyn/A 28304-2021 tillsynsbegäran.docx", "A 28304-2021")</f>
        <v/>
      </c>
      <c r="Y139">
        <f>HYPERLINK("https://klasma.github.io/Logging_0882/tillsynsmail/A 28304-2021 tillsynsbegäran mail.docx", "A 28304-2021")</f>
        <v/>
      </c>
      <c r="Z139">
        <f>HYPERLINK("https://klasma.github.io/Logging_0882/fåglar/A 28304-2021 prioriterade fågelarter.docx", "A 28304-2021")</f>
        <v/>
      </c>
    </row>
    <row r="140" ht="15" customHeight="1">
      <c r="A140" t="inlineStr">
        <is>
          <t>A 28292-2021</t>
        </is>
      </c>
      <c r="B140" s="1" t="n">
        <v>44356</v>
      </c>
      <c r="C140" s="1" t="n">
        <v>45715</v>
      </c>
      <c r="D140" t="inlineStr">
        <is>
          <t>KALMAR LÄN</t>
        </is>
      </c>
      <c r="E140" t="inlineStr">
        <is>
          <t>OSKARSHAMN</t>
        </is>
      </c>
      <c r="G140" t="n">
        <v>8.9</v>
      </c>
      <c r="H140" t="n">
        <v>2</v>
      </c>
      <c r="I140" t="n">
        <v>2</v>
      </c>
      <c r="J140" t="n">
        <v>4</v>
      </c>
      <c r="K140" t="n">
        <v>0</v>
      </c>
      <c r="L140" t="n">
        <v>0</v>
      </c>
      <c r="M140" t="n">
        <v>0</v>
      </c>
      <c r="N140" t="n">
        <v>0</v>
      </c>
      <c r="O140" t="n">
        <v>4</v>
      </c>
      <c r="P140" t="n">
        <v>0</v>
      </c>
      <c r="Q140" t="n">
        <v>6</v>
      </c>
      <c r="R140" s="2" t="inlineStr">
        <is>
          <t>Spillkråka
Tallticka
Talltita
Ullticka
Blåmossa
Granbarkgnagare</t>
        </is>
      </c>
      <c r="S140">
        <f>HYPERLINK("https://klasma.github.io/Logging_0882/artfynd/A 28292-2021 artfynd.xlsx", "A 28292-2021")</f>
        <v/>
      </c>
      <c r="T140">
        <f>HYPERLINK("https://klasma.github.io/Logging_0882/kartor/A 28292-2021 karta.png", "A 28292-2021")</f>
        <v/>
      </c>
      <c r="V140">
        <f>HYPERLINK("https://klasma.github.io/Logging_0882/klagomål/A 28292-2021 FSC-klagomål.docx", "A 28292-2021")</f>
        <v/>
      </c>
      <c r="W140">
        <f>HYPERLINK("https://klasma.github.io/Logging_0882/klagomålsmail/A 28292-2021 FSC-klagomål mail.docx", "A 28292-2021")</f>
        <v/>
      </c>
      <c r="X140">
        <f>HYPERLINK("https://klasma.github.io/Logging_0882/tillsyn/A 28292-2021 tillsynsbegäran.docx", "A 28292-2021")</f>
        <v/>
      </c>
      <c r="Y140">
        <f>HYPERLINK("https://klasma.github.io/Logging_0882/tillsynsmail/A 28292-2021 tillsynsbegäran mail.docx", "A 28292-2021")</f>
        <v/>
      </c>
      <c r="Z140">
        <f>HYPERLINK("https://klasma.github.io/Logging_0882/fåglar/A 28292-2021 prioriterade fågelarter.docx", "A 28292-2021")</f>
        <v/>
      </c>
    </row>
    <row r="141" ht="15" customHeight="1">
      <c r="A141" t="inlineStr">
        <is>
          <t>A 53760-2021</t>
        </is>
      </c>
      <c r="B141" s="1" t="n">
        <v>44467</v>
      </c>
      <c r="C141" s="1" t="n">
        <v>45715</v>
      </c>
      <c r="D141" t="inlineStr">
        <is>
          <t>KALMAR LÄN</t>
        </is>
      </c>
      <c r="E141" t="inlineStr">
        <is>
          <t>VÄSTERVIK</t>
        </is>
      </c>
      <c r="G141" t="n">
        <v>3.9</v>
      </c>
      <c r="H141" t="n">
        <v>5</v>
      </c>
      <c r="I141" t="n">
        <v>0</v>
      </c>
      <c r="J141" t="n">
        <v>3</v>
      </c>
      <c r="K141" t="n">
        <v>0</v>
      </c>
      <c r="L141" t="n">
        <v>0</v>
      </c>
      <c r="M141" t="n">
        <v>0</v>
      </c>
      <c r="N141" t="n">
        <v>0</v>
      </c>
      <c r="O141" t="n">
        <v>3</v>
      </c>
      <c r="P141" t="n">
        <v>0</v>
      </c>
      <c r="Q141" t="n">
        <v>6</v>
      </c>
      <c r="R141" s="2" t="inlineStr">
        <is>
          <t>Brunlångöra
Nordfladdermus
Tallticka
Dvärgpipistrell
Större brunfladdermus
Trollpipistrell</t>
        </is>
      </c>
      <c r="S141">
        <f>HYPERLINK("https://klasma.github.io/Logging_0883/artfynd/A 53760-2021 artfynd.xlsx", "A 53760-2021")</f>
        <v/>
      </c>
      <c r="T141">
        <f>HYPERLINK("https://klasma.github.io/Logging_0883/kartor/A 53760-2021 karta.png", "A 53760-2021")</f>
        <v/>
      </c>
      <c r="V141">
        <f>HYPERLINK("https://klasma.github.io/Logging_0883/klagomål/A 53760-2021 FSC-klagomål.docx", "A 53760-2021")</f>
        <v/>
      </c>
      <c r="W141">
        <f>HYPERLINK("https://klasma.github.io/Logging_0883/klagomålsmail/A 53760-2021 FSC-klagomål mail.docx", "A 53760-2021")</f>
        <v/>
      </c>
      <c r="X141">
        <f>HYPERLINK("https://klasma.github.io/Logging_0883/tillsyn/A 53760-2021 tillsynsbegäran.docx", "A 53760-2021")</f>
        <v/>
      </c>
      <c r="Y141">
        <f>HYPERLINK("https://klasma.github.io/Logging_0883/tillsynsmail/A 53760-2021 tillsynsbegäran mail.docx", "A 53760-2021")</f>
        <v/>
      </c>
    </row>
    <row r="142" ht="15" customHeight="1">
      <c r="A142" t="inlineStr">
        <is>
          <t>A 60996-2021</t>
        </is>
      </c>
      <c r="B142" s="1" t="n">
        <v>44497</v>
      </c>
      <c r="C142" s="1" t="n">
        <v>45715</v>
      </c>
      <c r="D142" t="inlineStr">
        <is>
          <t>KALMAR LÄN</t>
        </is>
      </c>
      <c r="E142" t="inlineStr">
        <is>
          <t>VÄSTERVIK</t>
        </is>
      </c>
      <c r="F142" t="inlineStr">
        <is>
          <t>Kyrkan</t>
        </is>
      </c>
      <c r="G142" t="n">
        <v>7.2</v>
      </c>
      <c r="H142" t="n">
        <v>3</v>
      </c>
      <c r="I142" t="n">
        <v>2</v>
      </c>
      <c r="J142" t="n">
        <v>2</v>
      </c>
      <c r="K142" t="n">
        <v>1</v>
      </c>
      <c r="L142" t="n">
        <v>0</v>
      </c>
      <c r="M142" t="n">
        <v>0</v>
      </c>
      <c r="N142" t="n">
        <v>0</v>
      </c>
      <c r="O142" t="n">
        <v>3</v>
      </c>
      <c r="P142" t="n">
        <v>1</v>
      </c>
      <c r="Q142" t="n">
        <v>6</v>
      </c>
      <c r="R142" s="2" t="inlineStr">
        <is>
          <t>Knärot
Talltita
Vedtrappmossa
Grönpyrola
Platt fjädermossa
Revlummer</t>
        </is>
      </c>
      <c r="S142">
        <f>HYPERLINK("https://klasma.github.io/Logging_0883/artfynd/A 60996-2021 artfynd.xlsx", "A 60996-2021")</f>
        <v/>
      </c>
      <c r="T142">
        <f>HYPERLINK("https://klasma.github.io/Logging_0883/kartor/A 60996-2021 karta.png", "A 60996-2021")</f>
        <v/>
      </c>
      <c r="U142">
        <f>HYPERLINK("https://klasma.github.io/Logging_0883/knärot/A 60996-2021 karta knärot.png", "A 60996-2021")</f>
        <v/>
      </c>
      <c r="V142">
        <f>HYPERLINK("https://klasma.github.io/Logging_0883/klagomål/A 60996-2021 FSC-klagomål.docx", "A 60996-2021")</f>
        <v/>
      </c>
      <c r="W142">
        <f>HYPERLINK("https://klasma.github.io/Logging_0883/klagomålsmail/A 60996-2021 FSC-klagomål mail.docx", "A 60996-2021")</f>
        <v/>
      </c>
      <c r="X142">
        <f>HYPERLINK("https://klasma.github.io/Logging_0883/tillsyn/A 60996-2021 tillsynsbegäran.docx", "A 60996-2021")</f>
        <v/>
      </c>
      <c r="Y142">
        <f>HYPERLINK("https://klasma.github.io/Logging_0883/tillsynsmail/A 60996-2021 tillsynsbegäran mail.docx", "A 60996-2021")</f>
        <v/>
      </c>
      <c r="Z142">
        <f>HYPERLINK("https://klasma.github.io/Logging_0883/fåglar/A 60996-2021 prioriterade fågelarter.docx", "A 60996-2021")</f>
        <v/>
      </c>
    </row>
    <row r="143" ht="15" customHeight="1">
      <c r="A143" t="inlineStr">
        <is>
          <t>A 63779-2021</t>
        </is>
      </c>
      <c r="B143" s="1" t="n">
        <v>44508</v>
      </c>
      <c r="C143" s="1" t="n">
        <v>45715</v>
      </c>
      <c r="D143" t="inlineStr">
        <is>
          <t>KALMAR LÄN</t>
        </is>
      </c>
      <c r="E143" t="inlineStr">
        <is>
          <t>MÖRBYLÅNGA</t>
        </is>
      </c>
      <c r="G143" t="n">
        <v>5.1</v>
      </c>
      <c r="H143" t="n">
        <v>2</v>
      </c>
      <c r="I143" t="n">
        <v>2</v>
      </c>
      <c r="J143" t="n">
        <v>3</v>
      </c>
      <c r="K143" t="n">
        <v>0</v>
      </c>
      <c r="L143" t="n">
        <v>0</v>
      </c>
      <c r="M143" t="n">
        <v>1</v>
      </c>
      <c r="N143" t="n">
        <v>0</v>
      </c>
      <c r="O143" t="n">
        <v>4</v>
      </c>
      <c r="P143" t="n">
        <v>1</v>
      </c>
      <c r="Q143" t="n">
        <v>6</v>
      </c>
      <c r="R143" s="2" t="inlineStr">
        <is>
          <t>Skogsalm
Entita
Havsörn
Roststumpbagge
Kragjordstjärna
Scharlakansskål</t>
        </is>
      </c>
      <c r="S143">
        <f>HYPERLINK("https://klasma.github.io/Logging_0840/artfynd/A 63779-2021 artfynd.xlsx", "A 63779-2021")</f>
        <v/>
      </c>
      <c r="T143">
        <f>HYPERLINK("https://klasma.github.io/Logging_0840/kartor/A 63779-2021 karta.png", "A 63779-2021")</f>
        <v/>
      </c>
      <c r="V143">
        <f>HYPERLINK("https://klasma.github.io/Logging_0840/klagomål/A 63779-2021 FSC-klagomål.docx", "A 63779-2021")</f>
        <v/>
      </c>
      <c r="W143">
        <f>HYPERLINK("https://klasma.github.io/Logging_0840/klagomålsmail/A 63779-2021 FSC-klagomål mail.docx", "A 63779-2021")</f>
        <v/>
      </c>
      <c r="X143">
        <f>HYPERLINK("https://klasma.github.io/Logging_0840/tillsyn/A 63779-2021 tillsynsbegäran.docx", "A 63779-2021")</f>
        <v/>
      </c>
      <c r="Y143">
        <f>HYPERLINK("https://klasma.github.io/Logging_0840/tillsynsmail/A 63779-2021 tillsynsbegäran mail.docx", "A 63779-2021")</f>
        <v/>
      </c>
      <c r="Z143">
        <f>HYPERLINK("https://klasma.github.io/Logging_0840/fåglar/A 63779-2021 prioriterade fågelarter.docx", "A 63779-2021")</f>
        <v/>
      </c>
    </row>
    <row r="144" ht="15" customHeight="1">
      <c r="A144" t="inlineStr">
        <is>
          <t>A 71188-2021</t>
        </is>
      </c>
      <c r="B144" s="1" t="n">
        <v>44539</v>
      </c>
      <c r="C144" s="1" t="n">
        <v>45715</v>
      </c>
      <c r="D144" t="inlineStr">
        <is>
          <t>KALMAR LÄN</t>
        </is>
      </c>
      <c r="E144" t="inlineStr">
        <is>
          <t>VÄSTERVIK</t>
        </is>
      </c>
      <c r="G144" t="n">
        <v>0.6</v>
      </c>
      <c r="H144" t="n">
        <v>0</v>
      </c>
      <c r="I144" t="n">
        <v>3</v>
      </c>
      <c r="J144" t="n">
        <v>3</v>
      </c>
      <c r="K144" t="n">
        <v>0</v>
      </c>
      <c r="L144" t="n">
        <v>0</v>
      </c>
      <c r="M144" t="n">
        <v>0</v>
      </c>
      <c r="N144" t="n">
        <v>0</v>
      </c>
      <c r="O144" t="n">
        <v>3</v>
      </c>
      <c r="P144" t="n">
        <v>0</v>
      </c>
      <c r="Q144" t="n">
        <v>6</v>
      </c>
      <c r="R144" s="2" t="inlineStr">
        <is>
          <t>Blå taggsvamp
Motaggsvamp
Svartvit taggsvamp
Blomkålssvamp
Dropptaggsvamp
Grovticka</t>
        </is>
      </c>
      <c r="S144">
        <f>HYPERLINK("https://klasma.github.io/Logging_0883/artfynd/A 71188-2021 artfynd.xlsx", "A 71188-2021")</f>
        <v/>
      </c>
      <c r="T144">
        <f>HYPERLINK("https://klasma.github.io/Logging_0883/kartor/A 71188-2021 karta.png", "A 71188-2021")</f>
        <v/>
      </c>
      <c r="V144">
        <f>HYPERLINK("https://klasma.github.io/Logging_0883/klagomål/A 71188-2021 FSC-klagomål.docx", "A 71188-2021")</f>
        <v/>
      </c>
      <c r="W144">
        <f>HYPERLINK("https://klasma.github.io/Logging_0883/klagomålsmail/A 71188-2021 FSC-klagomål mail.docx", "A 71188-2021")</f>
        <v/>
      </c>
      <c r="X144">
        <f>HYPERLINK("https://klasma.github.io/Logging_0883/tillsyn/A 71188-2021 tillsynsbegäran.docx", "A 71188-2021")</f>
        <v/>
      </c>
      <c r="Y144">
        <f>HYPERLINK("https://klasma.github.io/Logging_0883/tillsynsmail/A 71188-2021 tillsynsbegäran mail.docx", "A 71188-2021")</f>
        <v/>
      </c>
    </row>
    <row r="145" ht="15" customHeight="1">
      <c r="A145" t="inlineStr">
        <is>
          <t>A 74213-2021</t>
        </is>
      </c>
      <c r="B145" s="1" t="n">
        <v>44558</v>
      </c>
      <c r="C145" s="1" t="n">
        <v>45715</v>
      </c>
      <c r="D145" t="inlineStr">
        <is>
          <t>KALMAR LÄN</t>
        </is>
      </c>
      <c r="E145" t="inlineStr">
        <is>
          <t>KALMAR</t>
        </is>
      </c>
      <c r="G145" t="n">
        <v>1.9</v>
      </c>
      <c r="H145" t="n">
        <v>3</v>
      </c>
      <c r="I145" t="n">
        <v>3</v>
      </c>
      <c r="J145" t="n">
        <v>2</v>
      </c>
      <c r="K145" t="n">
        <v>1</v>
      </c>
      <c r="L145" t="n">
        <v>0</v>
      </c>
      <c r="M145" t="n">
        <v>0</v>
      </c>
      <c r="N145" t="n">
        <v>0</v>
      </c>
      <c r="O145" t="n">
        <v>3</v>
      </c>
      <c r="P145" t="n">
        <v>1</v>
      </c>
      <c r="Q145" t="n">
        <v>6</v>
      </c>
      <c r="R145" s="2" t="inlineStr">
        <is>
          <t>Knärot
Spillkråka
Talltita
Blåmossa
Brandticka
Kattfotslav</t>
        </is>
      </c>
      <c r="S145">
        <f>HYPERLINK("https://klasma.github.io/Logging_0880/artfynd/A 74213-2021 artfynd.xlsx", "A 74213-2021")</f>
        <v/>
      </c>
      <c r="T145">
        <f>HYPERLINK("https://klasma.github.io/Logging_0880/kartor/A 74213-2021 karta.png", "A 74213-2021")</f>
        <v/>
      </c>
      <c r="U145">
        <f>HYPERLINK("https://klasma.github.io/Logging_0880/knärot/A 74213-2021 karta knärot.png", "A 74213-2021")</f>
        <v/>
      </c>
      <c r="V145">
        <f>HYPERLINK("https://klasma.github.io/Logging_0880/klagomål/A 74213-2021 FSC-klagomål.docx", "A 74213-2021")</f>
        <v/>
      </c>
      <c r="W145">
        <f>HYPERLINK("https://klasma.github.io/Logging_0880/klagomålsmail/A 74213-2021 FSC-klagomål mail.docx", "A 74213-2021")</f>
        <v/>
      </c>
      <c r="X145">
        <f>HYPERLINK("https://klasma.github.io/Logging_0880/tillsyn/A 74213-2021 tillsynsbegäran.docx", "A 74213-2021")</f>
        <v/>
      </c>
      <c r="Y145">
        <f>HYPERLINK("https://klasma.github.io/Logging_0880/tillsynsmail/A 74213-2021 tillsynsbegäran mail.docx", "A 74213-2021")</f>
        <v/>
      </c>
      <c r="Z145">
        <f>HYPERLINK("https://klasma.github.io/Logging_0880/fåglar/A 74213-2021 prioriterade fågelarter.docx", "A 74213-2021")</f>
        <v/>
      </c>
    </row>
    <row r="146" ht="15" customHeight="1">
      <c r="A146" t="inlineStr">
        <is>
          <t>A 74479-2021</t>
        </is>
      </c>
      <c r="B146" s="1" t="n">
        <v>44559</v>
      </c>
      <c r="C146" s="1" t="n">
        <v>45715</v>
      </c>
      <c r="D146" t="inlineStr">
        <is>
          <t>KALMAR LÄN</t>
        </is>
      </c>
      <c r="E146" t="inlineStr">
        <is>
          <t>HÖGSBY</t>
        </is>
      </c>
      <c r="G146" t="n">
        <v>9.6</v>
      </c>
      <c r="H146" t="n">
        <v>3</v>
      </c>
      <c r="I146" t="n">
        <v>3</v>
      </c>
      <c r="J146" t="n">
        <v>2</v>
      </c>
      <c r="K146" t="n">
        <v>1</v>
      </c>
      <c r="L146" t="n">
        <v>0</v>
      </c>
      <c r="M146" t="n">
        <v>0</v>
      </c>
      <c r="N146" t="n">
        <v>0</v>
      </c>
      <c r="O146" t="n">
        <v>3</v>
      </c>
      <c r="P146" t="n">
        <v>1</v>
      </c>
      <c r="Q146" t="n">
        <v>6</v>
      </c>
      <c r="R146" s="2" t="inlineStr">
        <is>
          <t>Knärot
Spillkråka
Talltita
Grönpyrola
Thomsons trägnagare
Västlig hakmossa</t>
        </is>
      </c>
      <c r="S146">
        <f>HYPERLINK("https://klasma.github.io/Logging_0821/artfynd/A 74479-2021 artfynd.xlsx", "A 74479-2021")</f>
        <v/>
      </c>
      <c r="T146">
        <f>HYPERLINK("https://klasma.github.io/Logging_0821/kartor/A 74479-2021 karta.png", "A 74479-2021")</f>
        <v/>
      </c>
      <c r="U146">
        <f>HYPERLINK("https://klasma.github.io/Logging_0821/knärot/A 74479-2021 karta knärot.png", "A 74479-2021")</f>
        <v/>
      </c>
      <c r="V146">
        <f>HYPERLINK("https://klasma.github.io/Logging_0821/klagomål/A 74479-2021 FSC-klagomål.docx", "A 74479-2021")</f>
        <v/>
      </c>
      <c r="W146">
        <f>HYPERLINK("https://klasma.github.io/Logging_0821/klagomålsmail/A 74479-2021 FSC-klagomål mail.docx", "A 74479-2021")</f>
        <v/>
      </c>
      <c r="X146">
        <f>HYPERLINK("https://klasma.github.io/Logging_0821/tillsyn/A 74479-2021 tillsynsbegäran.docx", "A 74479-2021")</f>
        <v/>
      </c>
      <c r="Y146">
        <f>HYPERLINK("https://klasma.github.io/Logging_0821/tillsynsmail/A 74479-2021 tillsynsbegäran mail.docx", "A 74479-2021")</f>
        <v/>
      </c>
      <c r="Z146">
        <f>HYPERLINK("https://klasma.github.io/Logging_0821/fåglar/A 74479-2021 prioriterade fågelarter.docx", "A 74479-2021")</f>
        <v/>
      </c>
    </row>
    <row r="147" ht="15" customHeight="1">
      <c r="A147" t="inlineStr">
        <is>
          <t>A 7031-2022</t>
        </is>
      </c>
      <c r="B147" s="1" t="n">
        <v>44603</v>
      </c>
      <c r="C147" s="1" t="n">
        <v>45715</v>
      </c>
      <c r="D147" t="inlineStr">
        <is>
          <t>KALMAR LÄN</t>
        </is>
      </c>
      <c r="E147" t="inlineStr">
        <is>
          <t>HÖGSBY</t>
        </is>
      </c>
      <c r="G147" t="n">
        <v>3.8</v>
      </c>
      <c r="H147" t="n">
        <v>3</v>
      </c>
      <c r="I147" t="n">
        <v>1</v>
      </c>
      <c r="J147" t="n">
        <v>1</v>
      </c>
      <c r="K147" t="n">
        <v>1</v>
      </c>
      <c r="L147" t="n">
        <v>3</v>
      </c>
      <c r="M147" t="n">
        <v>0</v>
      </c>
      <c r="N147" t="n">
        <v>0</v>
      </c>
      <c r="O147" t="n">
        <v>5</v>
      </c>
      <c r="P147" t="n">
        <v>4</v>
      </c>
      <c r="Q147" t="n">
        <v>6</v>
      </c>
      <c r="R147" s="2" t="inlineStr">
        <is>
          <t>Mosippa
Mycosphaerella chimaphilae
Ryl
Knärot
Talltita
Dropptaggsvamp</t>
        </is>
      </c>
      <c r="S147">
        <f>HYPERLINK("https://klasma.github.io/Logging_0821/artfynd/A 7031-2022 artfynd.xlsx", "A 7031-2022")</f>
        <v/>
      </c>
      <c r="T147">
        <f>HYPERLINK("https://klasma.github.io/Logging_0821/kartor/A 7031-2022 karta.png", "A 7031-2022")</f>
        <v/>
      </c>
      <c r="U147">
        <f>HYPERLINK("https://klasma.github.io/Logging_0821/knärot/A 7031-2022 karta knärot.png", "A 7031-2022")</f>
        <v/>
      </c>
      <c r="V147">
        <f>HYPERLINK("https://klasma.github.io/Logging_0821/klagomål/A 7031-2022 FSC-klagomål.docx", "A 7031-2022")</f>
        <v/>
      </c>
      <c r="W147">
        <f>HYPERLINK("https://klasma.github.io/Logging_0821/klagomålsmail/A 7031-2022 FSC-klagomål mail.docx", "A 7031-2022")</f>
        <v/>
      </c>
      <c r="X147">
        <f>HYPERLINK("https://klasma.github.io/Logging_0821/tillsyn/A 7031-2022 tillsynsbegäran.docx", "A 7031-2022")</f>
        <v/>
      </c>
      <c r="Y147">
        <f>HYPERLINK("https://klasma.github.io/Logging_0821/tillsynsmail/A 7031-2022 tillsynsbegäran mail.docx", "A 7031-2022")</f>
        <v/>
      </c>
      <c r="Z147">
        <f>HYPERLINK("https://klasma.github.io/Logging_0821/fåglar/A 7031-2022 prioriterade fågelarter.docx", "A 7031-2022")</f>
        <v/>
      </c>
    </row>
    <row r="148" ht="15" customHeight="1">
      <c r="A148" t="inlineStr">
        <is>
          <t>A 7218-2022</t>
        </is>
      </c>
      <c r="B148" s="1" t="n">
        <v>44606</v>
      </c>
      <c r="C148" s="1" t="n">
        <v>45715</v>
      </c>
      <c r="D148" t="inlineStr">
        <is>
          <t>KALMAR LÄN</t>
        </is>
      </c>
      <c r="E148" t="inlineStr">
        <is>
          <t>NYBRO</t>
        </is>
      </c>
      <c r="G148" t="n">
        <v>5.1</v>
      </c>
      <c r="H148" t="n">
        <v>0</v>
      </c>
      <c r="I148" t="n">
        <v>3</v>
      </c>
      <c r="J148" t="n">
        <v>3</v>
      </c>
      <c r="K148" t="n">
        <v>0</v>
      </c>
      <c r="L148" t="n">
        <v>0</v>
      </c>
      <c r="M148" t="n">
        <v>0</v>
      </c>
      <c r="N148" t="n">
        <v>0</v>
      </c>
      <c r="O148" t="n">
        <v>3</v>
      </c>
      <c r="P148" t="n">
        <v>0</v>
      </c>
      <c r="Q148" t="n">
        <v>6</v>
      </c>
      <c r="R148" s="2" t="inlineStr">
        <is>
          <t>Gransotdyna
Ullticka
Vedtrappmossa
Blåmossa
Brandticka
Vanlig flatbagge</t>
        </is>
      </c>
      <c r="S148">
        <f>HYPERLINK("https://klasma.github.io/Logging_0881/artfynd/A 7218-2022 artfynd.xlsx", "A 7218-2022")</f>
        <v/>
      </c>
      <c r="T148">
        <f>HYPERLINK("https://klasma.github.io/Logging_0881/kartor/A 7218-2022 karta.png", "A 7218-2022")</f>
        <v/>
      </c>
      <c r="V148">
        <f>HYPERLINK("https://klasma.github.io/Logging_0881/klagomål/A 7218-2022 FSC-klagomål.docx", "A 7218-2022")</f>
        <v/>
      </c>
      <c r="W148">
        <f>HYPERLINK("https://klasma.github.io/Logging_0881/klagomålsmail/A 7218-2022 FSC-klagomål mail.docx", "A 7218-2022")</f>
        <v/>
      </c>
      <c r="X148">
        <f>HYPERLINK("https://klasma.github.io/Logging_0881/tillsyn/A 7218-2022 tillsynsbegäran.docx", "A 7218-2022")</f>
        <v/>
      </c>
      <c r="Y148">
        <f>HYPERLINK("https://klasma.github.io/Logging_0881/tillsynsmail/A 7218-2022 tillsynsbegäran mail.docx", "A 7218-2022")</f>
        <v/>
      </c>
    </row>
    <row r="149" ht="15" customHeight="1">
      <c r="A149" t="inlineStr">
        <is>
          <t>A 10103-2022</t>
        </is>
      </c>
      <c r="B149" s="1" t="n">
        <v>44621</v>
      </c>
      <c r="C149" s="1" t="n">
        <v>45715</v>
      </c>
      <c r="D149" t="inlineStr">
        <is>
          <t>KALMAR LÄN</t>
        </is>
      </c>
      <c r="E149" t="inlineStr">
        <is>
          <t>MÖNSTERÅS</t>
        </is>
      </c>
      <c r="G149" t="n">
        <v>1.5</v>
      </c>
      <c r="H149" t="n">
        <v>0</v>
      </c>
      <c r="I149" t="n">
        <v>2</v>
      </c>
      <c r="J149" t="n">
        <v>3</v>
      </c>
      <c r="K149" t="n">
        <v>1</v>
      </c>
      <c r="L149" t="n">
        <v>0</v>
      </c>
      <c r="M149" t="n">
        <v>0</v>
      </c>
      <c r="N149" t="n">
        <v>0</v>
      </c>
      <c r="O149" t="n">
        <v>4</v>
      </c>
      <c r="P149" t="n">
        <v>1</v>
      </c>
      <c r="Q149" t="n">
        <v>6</v>
      </c>
      <c r="R149" s="2" t="inlineStr">
        <is>
          <t>Jätteknäppare
Grön aspvedbock
Mindre timmerman
Mindre träfjäril
Bronshjon
Gulröd blankbock</t>
        </is>
      </c>
      <c r="S149">
        <f>HYPERLINK("https://klasma.github.io/Logging_0861/artfynd/A 10103-2022 artfynd.xlsx", "A 10103-2022")</f>
        <v/>
      </c>
      <c r="T149">
        <f>HYPERLINK("https://klasma.github.io/Logging_0861/kartor/A 10103-2022 karta.png", "A 10103-2022")</f>
        <v/>
      </c>
      <c r="V149">
        <f>HYPERLINK("https://klasma.github.io/Logging_0861/klagomål/A 10103-2022 FSC-klagomål.docx", "A 10103-2022")</f>
        <v/>
      </c>
      <c r="W149">
        <f>HYPERLINK("https://klasma.github.io/Logging_0861/klagomålsmail/A 10103-2022 FSC-klagomål mail.docx", "A 10103-2022")</f>
        <v/>
      </c>
      <c r="X149">
        <f>HYPERLINK("https://klasma.github.io/Logging_0861/tillsyn/A 10103-2022 tillsynsbegäran.docx", "A 10103-2022")</f>
        <v/>
      </c>
      <c r="Y149">
        <f>HYPERLINK("https://klasma.github.io/Logging_0861/tillsynsmail/A 10103-2022 tillsynsbegäran mail.docx", "A 10103-2022")</f>
        <v/>
      </c>
    </row>
    <row r="150" ht="15" customHeight="1">
      <c r="A150" t="inlineStr">
        <is>
          <t>A 24778-2022</t>
        </is>
      </c>
      <c r="B150" s="1" t="n">
        <v>44728</v>
      </c>
      <c r="C150" s="1" t="n">
        <v>45715</v>
      </c>
      <c r="D150" t="inlineStr">
        <is>
          <t>KALMAR LÄN</t>
        </is>
      </c>
      <c r="E150" t="inlineStr">
        <is>
          <t>MÖRBYLÅNGA</t>
        </is>
      </c>
      <c r="G150" t="n">
        <v>1</v>
      </c>
      <c r="H150" t="n">
        <v>0</v>
      </c>
      <c r="I150" t="n">
        <v>2</v>
      </c>
      <c r="J150" t="n">
        <v>3</v>
      </c>
      <c r="K150" t="n">
        <v>0</v>
      </c>
      <c r="L150" t="n">
        <v>1</v>
      </c>
      <c r="M150" t="n">
        <v>0</v>
      </c>
      <c r="N150" t="n">
        <v>0</v>
      </c>
      <c r="O150" t="n">
        <v>4</v>
      </c>
      <c r="P150" t="n">
        <v>1</v>
      </c>
      <c r="Q150" t="n">
        <v>6</v>
      </c>
      <c r="R150" s="2" t="inlineStr">
        <is>
          <t>Tofsäxing
Flentimotej
Poppeltofsskivling
Slåtterfibbla
Kalktallört
Murgröna</t>
        </is>
      </c>
      <c r="S150">
        <f>HYPERLINK("https://klasma.github.io/Logging_0840/artfynd/A 24778-2022 artfynd.xlsx", "A 24778-2022")</f>
        <v/>
      </c>
      <c r="T150">
        <f>HYPERLINK("https://klasma.github.io/Logging_0840/kartor/A 24778-2022 karta.png", "A 24778-2022")</f>
        <v/>
      </c>
      <c r="V150">
        <f>HYPERLINK("https://klasma.github.io/Logging_0840/klagomål/A 24778-2022 FSC-klagomål.docx", "A 24778-2022")</f>
        <v/>
      </c>
      <c r="W150">
        <f>HYPERLINK("https://klasma.github.io/Logging_0840/klagomålsmail/A 24778-2022 FSC-klagomål mail.docx", "A 24778-2022")</f>
        <v/>
      </c>
      <c r="X150">
        <f>HYPERLINK("https://klasma.github.io/Logging_0840/tillsyn/A 24778-2022 tillsynsbegäran.docx", "A 24778-2022")</f>
        <v/>
      </c>
      <c r="Y150">
        <f>HYPERLINK("https://klasma.github.io/Logging_0840/tillsynsmail/A 24778-2022 tillsynsbegäran mail.docx", "A 24778-2022")</f>
        <v/>
      </c>
    </row>
    <row r="151" ht="15" customHeight="1">
      <c r="A151" t="inlineStr">
        <is>
          <t>A 32178-2022</t>
        </is>
      </c>
      <c r="B151" s="1" t="n">
        <v>44781</v>
      </c>
      <c r="C151" s="1" t="n">
        <v>45715</v>
      </c>
      <c r="D151" t="inlineStr">
        <is>
          <t>KALMAR LÄN</t>
        </is>
      </c>
      <c r="E151" t="inlineStr">
        <is>
          <t>BORGHOLM</t>
        </is>
      </c>
      <c r="F151" t="inlineStr">
        <is>
          <t>Sveaskog</t>
        </is>
      </c>
      <c r="G151" t="n">
        <v>3.8</v>
      </c>
      <c r="H151" t="n">
        <v>1</v>
      </c>
      <c r="I151" t="n">
        <v>2</v>
      </c>
      <c r="J151" t="n">
        <v>2</v>
      </c>
      <c r="K151" t="n">
        <v>0</v>
      </c>
      <c r="L151" t="n">
        <v>0</v>
      </c>
      <c r="M151" t="n">
        <v>2</v>
      </c>
      <c r="N151" t="n">
        <v>0</v>
      </c>
      <c r="O151" t="n">
        <v>4</v>
      </c>
      <c r="P151" t="n">
        <v>2</v>
      </c>
      <c r="Q151" t="n">
        <v>6</v>
      </c>
      <c r="R151" s="2" t="inlineStr">
        <is>
          <t>Järnek
Skogsalm
Fyrflikig jordstjärna
Grönsångare
Kalktallört
Kamjordstjärna</t>
        </is>
      </c>
      <c r="S151">
        <f>HYPERLINK("https://klasma.github.io/Logging_0885/artfynd/A 32178-2022 artfynd.xlsx", "A 32178-2022")</f>
        <v/>
      </c>
      <c r="T151">
        <f>HYPERLINK("https://klasma.github.io/Logging_0885/kartor/A 32178-2022 karta.png", "A 32178-2022")</f>
        <v/>
      </c>
      <c r="V151">
        <f>HYPERLINK("https://klasma.github.io/Logging_0885/klagomål/A 32178-2022 FSC-klagomål.docx", "A 32178-2022")</f>
        <v/>
      </c>
      <c r="W151">
        <f>HYPERLINK("https://klasma.github.io/Logging_0885/klagomålsmail/A 32178-2022 FSC-klagomål mail.docx", "A 32178-2022")</f>
        <v/>
      </c>
      <c r="X151">
        <f>HYPERLINK("https://klasma.github.io/Logging_0885/tillsyn/A 32178-2022 tillsynsbegäran.docx", "A 32178-2022")</f>
        <v/>
      </c>
      <c r="Y151">
        <f>HYPERLINK("https://klasma.github.io/Logging_0885/tillsynsmail/A 32178-2022 tillsynsbegäran mail.docx", "A 32178-2022")</f>
        <v/>
      </c>
      <c r="Z151">
        <f>HYPERLINK("https://klasma.github.io/Logging_0885/fåglar/A 32178-2022 prioriterade fågelarter.docx", "A 32178-2022")</f>
        <v/>
      </c>
    </row>
    <row r="152" ht="15" customHeight="1">
      <c r="A152" t="inlineStr">
        <is>
          <t>A 38039-2022</t>
        </is>
      </c>
      <c r="B152" s="1" t="n">
        <v>44811</v>
      </c>
      <c r="C152" s="1" t="n">
        <v>45715</v>
      </c>
      <c r="D152" t="inlineStr">
        <is>
          <t>KALMAR LÄN</t>
        </is>
      </c>
      <c r="E152" t="inlineStr">
        <is>
          <t>MÖRBYLÅNGA</t>
        </is>
      </c>
      <c r="G152" t="n">
        <v>7.4</v>
      </c>
      <c r="H152" t="n">
        <v>2</v>
      </c>
      <c r="I152" t="n">
        <v>1</v>
      </c>
      <c r="J152" t="n">
        <v>2</v>
      </c>
      <c r="K152" t="n">
        <v>0</v>
      </c>
      <c r="L152" t="n">
        <v>1</v>
      </c>
      <c r="M152" t="n">
        <v>0</v>
      </c>
      <c r="N152" t="n">
        <v>0</v>
      </c>
      <c r="O152" t="n">
        <v>3</v>
      </c>
      <c r="P152" t="n">
        <v>1</v>
      </c>
      <c r="Q152" t="n">
        <v>6</v>
      </c>
      <c r="R152" s="2" t="inlineStr">
        <is>
          <t>Ask
Backtimjan
Solvända
Murgröna
Alvarmalört
Gullviva</t>
        </is>
      </c>
      <c r="S152">
        <f>HYPERLINK("https://klasma.github.io/Logging_0840/artfynd/A 38039-2022 artfynd.xlsx", "A 38039-2022")</f>
        <v/>
      </c>
      <c r="T152">
        <f>HYPERLINK("https://klasma.github.io/Logging_0840/kartor/A 38039-2022 karta.png", "A 38039-2022")</f>
        <v/>
      </c>
      <c r="V152">
        <f>HYPERLINK("https://klasma.github.io/Logging_0840/klagomål/A 38039-2022 FSC-klagomål.docx", "A 38039-2022")</f>
        <v/>
      </c>
      <c r="W152">
        <f>HYPERLINK("https://klasma.github.io/Logging_0840/klagomålsmail/A 38039-2022 FSC-klagomål mail.docx", "A 38039-2022")</f>
        <v/>
      </c>
      <c r="X152">
        <f>HYPERLINK("https://klasma.github.io/Logging_0840/tillsyn/A 38039-2022 tillsynsbegäran.docx", "A 38039-2022")</f>
        <v/>
      </c>
      <c r="Y152">
        <f>HYPERLINK("https://klasma.github.io/Logging_0840/tillsynsmail/A 38039-2022 tillsynsbegäran mail.docx", "A 38039-2022")</f>
        <v/>
      </c>
    </row>
    <row r="153" ht="15" customHeight="1">
      <c r="A153" t="inlineStr">
        <is>
          <t>A 41881-2022</t>
        </is>
      </c>
      <c r="B153" s="1" t="n">
        <v>44827</v>
      </c>
      <c r="C153" s="1" t="n">
        <v>45715</v>
      </c>
      <c r="D153" t="inlineStr">
        <is>
          <t>KALMAR LÄN</t>
        </is>
      </c>
      <c r="E153" t="inlineStr">
        <is>
          <t>MÖNSTERÅS</t>
        </is>
      </c>
      <c r="F153" t="inlineStr">
        <is>
          <t>Kyrkan</t>
        </is>
      </c>
      <c r="G153" t="n">
        <v>6.7</v>
      </c>
      <c r="H153" t="n">
        <v>1</v>
      </c>
      <c r="I153" t="n">
        <v>2</v>
      </c>
      <c r="J153" t="n">
        <v>3</v>
      </c>
      <c r="K153" t="n">
        <v>0</v>
      </c>
      <c r="L153" t="n">
        <v>0</v>
      </c>
      <c r="M153" t="n">
        <v>0</v>
      </c>
      <c r="N153" t="n">
        <v>0</v>
      </c>
      <c r="O153" t="n">
        <v>3</v>
      </c>
      <c r="P153" t="n">
        <v>0</v>
      </c>
      <c r="Q153" t="n">
        <v>6</v>
      </c>
      <c r="R153" s="2" t="inlineStr">
        <is>
          <t>Dvärgbägarlav
Ullticka
Vedskivlav
Dropptaggsvamp
Granbarkgnagare
Tjäder</t>
        </is>
      </c>
      <c r="S153">
        <f>HYPERLINK("https://klasma.github.io/Logging_0861/artfynd/A 41881-2022 artfynd.xlsx", "A 41881-2022")</f>
        <v/>
      </c>
      <c r="T153">
        <f>HYPERLINK("https://klasma.github.io/Logging_0861/kartor/A 41881-2022 karta.png", "A 41881-2022")</f>
        <v/>
      </c>
      <c r="V153">
        <f>HYPERLINK("https://klasma.github.io/Logging_0861/klagomål/A 41881-2022 FSC-klagomål.docx", "A 41881-2022")</f>
        <v/>
      </c>
      <c r="W153">
        <f>HYPERLINK("https://klasma.github.io/Logging_0861/klagomålsmail/A 41881-2022 FSC-klagomål mail.docx", "A 41881-2022")</f>
        <v/>
      </c>
      <c r="X153">
        <f>HYPERLINK("https://klasma.github.io/Logging_0861/tillsyn/A 41881-2022 tillsynsbegäran.docx", "A 41881-2022")</f>
        <v/>
      </c>
      <c r="Y153">
        <f>HYPERLINK("https://klasma.github.io/Logging_0861/tillsynsmail/A 41881-2022 tillsynsbegäran mail.docx", "A 41881-2022")</f>
        <v/>
      </c>
      <c r="Z153">
        <f>HYPERLINK("https://klasma.github.io/Logging_0861/fåglar/A 41881-2022 prioriterade fågelarter.docx", "A 41881-2022")</f>
        <v/>
      </c>
    </row>
    <row r="154" ht="15" customHeight="1">
      <c r="A154" t="inlineStr">
        <is>
          <t>A 49484-2022</t>
        </is>
      </c>
      <c r="B154" s="1" t="n">
        <v>44861</v>
      </c>
      <c r="C154" s="1" t="n">
        <v>45715</v>
      </c>
      <c r="D154" t="inlineStr">
        <is>
          <t>KALMAR LÄN</t>
        </is>
      </c>
      <c r="E154" t="inlineStr">
        <is>
          <t>HÖGSBY</t>
        </is>
      </c>
      <c r="G154" t="n">
        <v>2.2</v>
      </c>
      <c r="H154" t="n">
        <v>4</v>
      </c>
      <c r="I154" t="n">
        <v>0</v>
      </c>
      <c r="J154" t="n">
        <v>3</v>
      </c>
      <c r="K154" t="n">
        <v>1</v>
      </c>
      <c r="L154" t="n">
        <v>1</v>
      </c>
      <c r="M154" t="n">
        <v>1</v>
      </c>
      <c r="N154" t="n">
        <v>0</v>
      </c>
      <c r="O154" t="n">
        <v>6</v>
      </c>
      <c r="P154" t="n">
        <v>3</v>
      </c>
      <c r="Q154" t="n">
        <v>6</v>
      </c>
      <c r="R154" s="2" t="inlineStr">
        <is>
          <t>Saffransticka
Sommargylling
Trubbknäppare
Bokvedvivel
Havsörn
Ärtsångare</t>
        </is>
      </c>
      <c r="S154">
        <f>HYPERLINK("https://klasma.github.io/Logging_0821/artfynd/A 49484-2022 artfynd.xlsx", "A 49484-2022")</f>
        <v/>
      </c>
      <c r="T154">
        <f>HYPERLINK("https://klasma.github.io/Logging_0821/kartor/A 49484-2022 karta.png", "A 49484-2022")</f>
        <v/>
      </c>
      <c r="V154">
        <f>HYPERLINK("https://klasma.github.io/Logging_0821/klagomål/A 49484-2022 FSC-klagomål.docx", "A 49484-2022")</f>
        <v/>
      </c>
      <c r="W154">
        <f>HYPERLINK("https://klasma.github.io/Logging_0821/klagomålsmail/A 49484-2022 FSC-klagomål mail.docx", "A 49484-2022")</f>
        <v/>
      </c>
      <c r="X154">
        <f>HYPERLINK("https://klasma.github.io/Logging_0821/tillsyn/A 49484-2022 tillsynsbegäran.docx", "A 49484-2022")</f>
        <v/>
      </c>
      <c r="Y154">
        <f>HYPERLINK("https://klasma.github.io/Logging_0821/tillsynsmail/A 49484-2022 tillsynsbegäran mail.docx", "A 49484-2022")</f>
        <v/>
      </c>
      <c r="Z154">
        <f>HYPERLINK("https://klasma.github.io/Logging_0821/fåglar/A 49484-2022 prioriterade fågelarter.docx", "A 49484-2022")</f>
        <v/>
      </c>
    </row>
    <row r="155" ht="15" customHeight="1">
      <c r="A155" t="inlineStr">
        <is>
          <t>A 974-2023</t>
        </is>
      </c>
      <c r="B155" s="1" t="n">
        <v>44935</v>
      </c>
      <c r="C155" s="1" t="n">
        <v>45715</v>
      </c>
      <c r="D155" t="inlineStr">
        <is>
          <t>KALMAR LÄN</t>
        </is>
      </c>
      <c r="E155" t="inlineStr">
        <is>
          <t>VÄSTERVIK</t>
        </is>
      </c>
      <c r="G155" t="n">
        <v>7.2</v>
      </c>
      <c r="H155" t="n">
        <v>1</v>
      </c>
      <c r="I155" t="n">
        <v>5</v>
      </c>
      <c r="J155" t="n">
        <v>0</v>
      </c>
      <c r="K155" t="n">
        <v>1</v>
      </c>
      <c r="L155" t="n">
        <v>0</v>
      </c>
      <c r="M155" t="n">
        <v>0</v>
      </c>
      <c r="N155" t="n">
        <v>0</v>
      </c>
      <c r="O155" t="n">
        <v>1</v>
      </c>
      <c r="P155" t="n">
        <v>1</v>
      </c>
      <c r="Q155" t="n">
        <v>6</v>
      </c>
      <c r="R155" s="2" t="inlineStr">
        <is>
          <t>Läderbagge
Blanksvart trämyra
Fällmossa
Guldlockmossa
Gulpudrad spiklav
Myskmadra</t>
        </is>
      </c>
      <c r="S155">
        <f>HYPERLINK("https://klasma.github.io/Logging_0883/artfynd/A 974-2023 artfynd.xlsx", "A 974-2023")</f>
        <v/>
      </c>
      <c r="T155">
        <f>HYPERLINK("https://klasma.github.io/Logging_0883/kartor/A 974-2023 karta.png", "A 974-2023")</f>
        <v/>
      </c>
      <c r="V155">
        <f>HYPERLINK("https://klasma.github.io/Logging_0883/klagomål/A 974-2023 FSC-klagomål.docx", "A 974-2023")</f>
        <v/>
      </c>
      <c r="W155">
        <f>HYPERLINK("https://klasma.github.io/Logging_0883/klagomålsmail/A 974-2023 FSC-klagomål mail.docx", "A 974-2023")</f>
        <v/>
      </c>
      <c r="X155">
        <f>HYPERLINK("https://klasma.github.io/Logging_0883/tillsyn/A 974-2023 tillsynsbegäran.docx", "A 974-2023")</f>
        <v/>
      </c>
      <c r="Y155">
        <f>HYPERLINK("https://klasma.github.io/Logging_0883/tillsynsmail/A 974-2023 tillsynsbegäran mail.docx", "A 974-2023")</f>
        <v/>
      </c>
    </row>
    <row r="156" ht="15" customHeight="1">
      <c r="A156" t="inlineStr">
        <is>
          <t>A 1960-2023</t>
        </is>
      </c>
      <c r="B156" s="1" t="n">
        <v>44939</v>
      </c>
      <c r="C156" s="1" t="n">
        <v>45715</v>
      </c>
      <c r="D156" t="inlineStr">
        <is>
          <t>KALMAR LÄN</t>
        </is>
      </c>
      <c r="E156" t="inlineStr">
        <is>
          <t>VIMMERBY</t>
        </is>
      </c>
      <c r="G156" t="n">
        <v>4.2</v>
      </c>
      <c r="H156" t="n">
        <v>1</v>
      </c>
      <c r="I156" t="n">
        <v>2</v>
      </c>
      <c r="J156" t="n">
        <v>3</v>
      </c>
      <c r="K156" t="n">
        <v>0</v>
      </c>
      <c r="L156" t="n">
        <v>0</v>
      </c>
      <c r="M156" t="n">
        <v>0</v>
      </c>
      <c r="N156" t="n">
        <v>0</v>
      </c>
      <c r="O156" t="n">
        <v>3</v>
      </c>
      <c r="P156" t="n">
        <v>0</v>
      </c>
      <c r="Q156" t="n">
        <v>6</v>
      </c>
      <c r="R156" s="2" t="inlineStr">
        <is>
          <t>Tallticka
Ullticka
Vedskivlav
Dropptaggsvamp
Guldlockmossa
Blåsippa</t>
        </is>
      </c>
      <c r="S156">
        <f>HYPERLINK("https://klasma.github.io/Logging_0884/artfynd/A 1960-2023 artfynd.xlsx", "A 1960-2023")</f>
        <v/>
      </c>
      <c r="T156">
        <f>HYPERLINK("https://klasma.github.io/Logging_0884/kartor/A 1960-2023 karta.png", "A 1960-2023")</f>
        <v/>
      </c>
      <c r="V156">
        <f>HYPERLINK("https://klasma.github.io/Logging_0884/klagomål/A 1960-2023 FSC-klagomål.docx", "A 1960-2023")</f>
        <v/>
      </c>
      <c r="W156">
        <f>HYPERLINK("https://klasma.github.io/Logging_0884/klagomålsmail/A 1960-2023 FSC-klagomål mail.docx", "A 1960-2023")</f>
        <v/>
      </c>
      <c r="X156">
        <f>HYPERLINK("https://klasma.github.io/Logging_0884/tillsyn/A 1960-2023 tillsynsbegäran.docx", "A 1960-2023")</f>
        <v/>
      </c>
      <c r="Y156">
        <f>HYPERLINK("https://klasma.github.io/Logging_0884/tillsynsmail/A 1960-2023 tillsynsbegäran mail.docx", "A 1960-2023")</f>
        <v/>
      </c>
    </row>
    <row r="157" ht="15" customHeight="1">
      <c r="A157" t="inlineStr">
        <is>
          <t>A 5139-2023</t>
        </is>
      </c>
      <c r="B157" s="1" t="n">
        <v>44958</v>
      </c>
      <c r="C157" s="1" t="n">
        <v>45715</v>
      </c>
      <c r="D157" t="inlineStr">
        <is>
          <t>KALMAR LÄN</t>
        </is>
      </c>
      <c r="E157" t="inlineStr">
        <is>
          <t>KALMAR</t>
        </is>
      </c>
      <c r="G157" t="n">
        <v>14.8</v>
      </c>
      <c r="H157" t="n">
        <v>6</v>
      </c>
      <c r="I157" t="n">
        <v>0</v>
      </c>
      <c r="J157" t="n">
        <v>3</v>
      </c>
      <c r="K157" t="n">
        <v>0</v>
      </c>
      <c r="L157" t="n">
        <v>0</v>
      </c>
      <c r="M157" t="n">
        <v>0</v>
      </c>
      <c r="N157" t="n">
        <v>0</v>
      </c>
      <c r="O157" t="n">
        <v>3</v>
      </c>
      <c r="P157" t="n">
        <v>0</v>
      </c>
      <c r="Q157" t="n">
        <v>6</v>
      </c>
      <c r="R157" s="2" t="inlineStr">
        <is>
          <t>Barbastell
Brunlångöra
Nordfladdermus
Dvärgpipistrell
Gråskimlig fladdermus
Större brunfladdermus</t>
        </is>
      </c>
      <c r="S157">
        <f>HYPERLINK("https://klasma.github.io/Logging_0880/artfynd/A 5139-2023 artfynd.xlsx", "A 5139-2023")</f>
        <v/>
      </c>
      <c r="T157">
        <f>HYPERLINK("https://klasma.github.io/Logging_0880/kartor/A 5139-2023 karta.png", "A 5139-2023")</f>
        <v/>
      </c>
      <c r="V157">
        <f>HYPERLINK("https://klasma.github.io/Logging_0880/klagomål/A 5139-2023 FSC-klagomål.docx", "A 5139-2023")</f>
        <v/>
      </c>
      <c r="W157">
        <f>HYPERLINK("https://klasma.github.io/Logging_0880/klagomålsmail/A 5139-2023 FSC-klagomål mail.docx", "A 5139-2023")</f>
        <v/>
      </c>
      <c r="X157">
        <f>HYPERLINK("https://klasma.github.io/Logging_0880/tillsyn/A 5139-2023 tillsynsbegäran.docx", "A 5139-2023")</f>
        <v/>
      </c>
      <c r="Y157">
        <f>HYPERLINK("https://klasma.github.io/Logging_0880/tillsynsmail/A 5139-2023 tillsynsbegäran mail.docx", "A 5139-2023")</f>
        <v/>
      </c>
    </row>
    <row r="158" ht="15" customHeight="1">
      <c r="A158" t="inlineStr">
        <is>
          <t>A 9566-2023</t>
        </is>
      </c>
      <c r="B158" s="1" t="n">
        <v>44982</v>
      </c>
      <c r="C158" s="1" t="n">
        <v>45715</v>
      </c>
      <c r="D158" t="inlineStr">
        <is>
          <t>KALMAR LÄN</t>
        </is>
      </c>
      <c r="E158" t="inlineStr">
        <is>
          <t>HÖGSBY</t>
        </is>
      </c>
      <c r="F158" t="inlineStr">
        <is>
          <t>Sveaskog</t>
        </is>
      </c>
      <c r="G158" t="n">
        <v>3.4</v>
      </c>
      <c r="H158" t="n">
        <v>0</v>
      </c>
      <c r="I158" t="n">
        <v>2</v>
      </c>
      <c r="J158" t="n">
        <v>3</v>
      </c>
      <c r="K158" t="n">
        <v>1</v>
      </c>
      <c r="L158" t="n">
        <v>0</v>
      </c>
      <c r="M158" t="n">
        <v>0</v>
      </c>
      <c r="N158" t="n">
        <v>0</v>
      </c>
      <c r="O158" t="n">
        <v>4</v>
      </c>
      <c r="P158" t="n">
        <v>1</v>
      </c>
      <c r="Q158" t="n">
        <v>6</v>
      </c>
      <c r="R158" s="2" t="inlineStr">
        <is>
          <t>Carphacis striatus
Ekgetingbock
Gul gaddbagge
Svart ögonknäppare
Noshornsoxe
Robust tickgnagare</t>
        </is>
      </c>
      <c r="S158">
        <f>HYPERLINK("https://klasma.github.io/Logging_0821/artfynd/A 9566-2023 artfynd.xlsx", "A 9566-2023")</f>
        <v/>
      </c>
      <c r="T158">
        <f>HYPERLINK("https://klasma.github.io/Logging_0821/kartor/A 9566-2023 karta.png", "A 9566-2023")</f>
        <v/>
      </c>
      <c r="V158">
        <f>HYPERLINK("https://klasma.github.io/Logging_0821/klagomål/A 9566-2023 FSC-klagomål.docx", "A 9566-2023")</f>
        <v/>
      </c>
      <c r="W158">
        <f>HYPERLINK("https://klasma.github.io/Logging_0821/klagomålsmail/A 9566-2023 FSC-klagomål mail.docx", "A 9566-2023")</f>
        <v/>
      </c>
      <c r="X158">
        <f>HYPERLINK("https://klasma.github.io/Logging_0821/tillsyn/A 9566-2023 tillsynsbegäran.docx", "A 9566-2023")</f>
        <v/>
      </c>
      <c r="Y158">
        <f>HYPERLINK("https://klasma.github.io/Logging_0821/tillsynsmail/A 9566-2023 tillsynsbegäran mail.docx", "A 9566-2023")</f>
        <v/>
      </c>
    </row>
    <row r="159" ht="15" customHeight="1">
      <c r="A159" t="inlineStr">
        <is>
          <t>A 11740-2023</t>
        </is>
      </c>
      <c r="B159" s="1" t="n">
        <v>44994</v>
      </c>
      <c r="C159" s="1" t="n">
        <v>45715</v>
      </c>
      <c r="D159" t="inlineStr">
        <is>
          <t>KALMAR LÄN</t>
        </is>
      </c>
      <c r="E159" t="inlineStr">
        <is>
          <t>VÄSTERVIK</t>
        </is>
      </c>
      <c r="F159" t="inlineStr">
        <is>
          <t>Sveaskog</t>
        </is>
      </c>
      <c r="G159" t="n">
        <v>2.9</v>
      </c>
      <c r="H159" t="n">
        <v>1</v>
      </c>
      <c r="I159" t="n">
        <v>1</v>
      </c>
      <c r="J159" t="n">
        <v>4</v>
      </c>
      <c r="K159" t="n">
        <v>0</v>
      </c>
      <c r="L159" t="n">
        <v>0</v>
      </c>
      <c r="M159" t="n">
        <v>0</v>
      </c>
      <c r="N159" t="n">
        <v>0</v>
      </c>
      <c r="O159" t="n">
        <v>4</v>
      </c>
      <c r="P159" t="n">
        <v>0</v>
      </c>
      <c r="Q159" t="n">
        <v>6</v>
      </c>
      <c r="R159" s="2" t="inlineStr">
        <is>
          <t>Mindre bastardsvärmare
Skogsklocka
Smalsprötad bastardsvärmare
Tallticka
Fällmossa
Blåsippa</t>
        </is>
      </c>
      <c r="S159">
        <f>HYPERLINK("https://klasma.github.io/Logging_0883/artfynd/A 11740-2023 artfynd.xlsx", "A 11740-2023")</f>
        <v/>
      </c>
      <c r="T159">
        <f>HYPERLINK("https://klasma.github.io/Logging_0883/kartor/A 11740-2023 karta.png", "A 11740-2023")</f>
        <v/>
      </c>
      <c r="V159">
        <f>HYPERLINK("https://klasma.github.io/Logging_0883/klagomål/A 11740-2023 FSC-klagomål.docx", "A 11740-2023")</f>
        <v/>
      </c>
      <c r="W159">
        <f>HYPERLINK("https://klasma.github.io/Logging_0883/klagomålsmail/A 11740-2023 FSC-klagomål mail.docx", "A 11740-2023")</f>
        <v/>
      </c>
      <c r="X159">
        <f>HYPERLINK("https://klasma.github.io/Logging_0883/tillsyn/A 11740-2023 tillsynsbegäran.docx", "A 11740-2023")</f>
        <v/>
      </c>
      <c r="Y159">
        <f>HYPERLINK("https://klasma.github.io/Logging_0883/tillsynsmail/A 11740-2023 tillsynsbegäran mail.docx", "A 11740-2023")</f>
        <v/>
      </c>
    </row>
    <row r="160" ht="15" customHeight="1">
      <c r="A160" t="inlineStr">
        <is>
          <t>A 27636-2023</t>
        </is>
      </c>
      <c r="B160" s="1" t="n">
        <v>45097</v>
      </c>
      <c r="C160" s="1" t="n">
        <v>45715</v>
      </c>
      <c r="D160" t="inlineStr">
        <is>
          <t>KALMAR LÄN</t>
        </is>
      </c>
      <c r="E160" t="inlineStr">
        <is>
          <t>MÖRBYLÅNGA</t>
        </is>
      </c>
      <c r="G160" t="n">
        <v>7.4</v>
      </c>
      <c r="H160" t="n">
        <v>2</v>
      </c>
      <c r="I160" t="n">
        <v>1</v>
      </c>
      <c r="J160" t="n">
        <v>2</v>
      </c>
      <c r="K160" t="n">
        <v>0</v>
      </c>
      <c r="L160" t="n">
        <v>1</v>
      </c>
      <c r="M160" t="n">
        <v>0</v>
      </c>
      <c r="N160" t="n">
        <v>0</v>
      </c>
      <c r="O160" t="n">
        <v>3</v>
      </c>
      <c r="P160" t="n">
        <v>1</v>
      </c>
      <c r="Q160" t="n">
        <v>6</v>
      </c>
      <c r="R160" s="2" t="inlineStr">
        <is>
          <t>Ask
Backtimjan
Solvända
Murgröna
Alvarmalört
Gullviva</t>
        </is>
      </c>
      <c r="S160">
        <f>HYPERLINK("https://klasma.github.io/Logging_0840/artfynd/A 27636-2023 artfynd.xlsx", "A 27636-2023")</f>
        <v/>
      </c>
      <c r="T160">
        <f>HYPERLINK("https://klasma.github.io/Logging_0840/kartor/A 27636-2023 karta.png", "A 27636-2023")</f>
        <v/>
      </c>
      <c r="V160">
        <f>HYPERLINK("https://klasma.github.io/Logging_0840/klagomål/A 27636-2023 FSC-klagomål.docx", "A 27636-2023")</f>
        <v/>
      </c>
      <c r="W160">
        <f>HYPERLINK("https://klasma.github.io/Logging_0840/klagomålsmail/A 27636-2023 FSC-klagomål mail.docx", "A 27636-2023")</f>
        <v/>
      </c>
      <c r="X160">
        <f>HYPERLINK("https://klasma.github.io/Logging_0840/tillsyn/A 27636-2023 tillsynsbegäran.docx", "A 27636-2023")</f>
        <v/>
      </c>
      <c r="Y160">
        <f>HYPERLINK("https://klasma.github.io/Logging_0840/tillsynsmail/A 27636-2023 tillsynsbegäran mail.docx", "A 27636-2023")</f>
        <v/>
      </c>
    </row>
    <row r="161" ht="15" customHeight="1">
      <c r="A161" t="inlineStr">
        <is>
          <t>A 47936-2023</t>
        </is>
      </c>
      <c r="B161" s="1" t="n">
        <v>45204</v>
      </c>
      <c r="C161" s="1" t="n">
        <v>45715</v>
      </c>
      <c r="D161" t="inlineStr">
        <is>
          <t>KALMAR LÄN</t>
        </is>
      </c>
      <c r="E161" t="inlineStr">
        <is>
          <t>VÄSTERVIK</t>
        </is>
      </c>
      <c r="G161" t="n">
        <v>6.3</v>
      </c>
      <c r="H161" t="n">
        <v>2</v>
      </c>
      <c r="I161" t="n">
        <v>4</v>
      </c>
      <c r="J161" t="n">
        <v>1</v>
      </c>
      <c r="K161" t="n">
        <v>1</v>
      </c>
      <c r="L161" t="n">
        <v>0</v>
      </c>
      <c r="M161" t="n">
        <v>0</v>
      </c>
      <c r="N161" t="n">
        <v>0</v>
      </c>
      <c r="O161" t="n">
        <v>2</v>
      </c>
      <c r="P161" t="n">
        <v>1</v>
      </c>
      <c r="Q161" t="n">
        <v>6</v>
      </c>
      <c r="R161" s="2" t="inlineStr">
        <is>
          <t>Knärot
Talltita
Blomkålssvamp
Blåmossa
Grovticka
Grönpyrola</t>
        </is>
      </c>
      <c r="S161">
        <f>HYPERLINK("https://klasma.github.io/Logging_0883/artfynd/A 47936-2023 artfynd.xlsx", "A 47936-2023")</f>
        <v/>
      </c>
      <c r="T161">
        <f>HYPERLINK("https://klasma.github.io/Logging_0883/kartor/A 47936-2023 karta.png", "A 47936-2023")</f>
        <v/>
      </c>
      <c r="U161">
        <f>HYPERLINK("https://klasma.github.io/Logging_0883/knärot/A 47936-2023 karta knärot.png", "A 47936-2023")</f>
        <v/>
      </c>
      <c r="V161">
        <f>HYPERLINK("https://klasma.github.io/Logging_0883/klagomål/A 47936-2023 FSC-klagomål.docx", "A 47936-2023")</f>
        <v/>
      </c>
      <c r="W161">
        <f>HYPERLINK("https://klasma.github.io/Logging_0883/klagomålsmail/A 47936-2023 FSC-klagomål mail.docx", "A 47936-2023")</f>
        <v/>
      </c>
      <c r="X161">
        <f>HYPERLINK("https://klasma.github.io/Logging_0883/tillsyn/A 47936-2023 tillsynsbegäran.docx", "A 47936-2023")</f>
        <v/>
      </c>
      <c r="Y161">
        <f>HYPERLINK("https://klasma.github.io/Logging_0883/tillsynsmail/A 47936-2023 tillsynsbegäran mail.docx", "A 47936-2023")</f>
        <v/>
      </c>
      <c r="Z161">
        <f>HYPERLINK("https://klasma.github.io/Logging_0883/fåglar/A 47936-2023 prioriterade fågelarter.docx", "A 47936-2023")</f>
        <v/>
      </c>
    </row>
    <row r="162" ht="15" customHeight="1">
      <c r="A162" t="inlineStr">
        <is>
          <t>A 52371-2023</t>
        </is>
      </c>
      <c r="B162" s="1" t="n">
        <v>45217</v>
      </c>
      <c r="C162" s="1" t="n">
        <v>45715</v>
      </c>
      <c r="D162" t="inlineStr">
        <is>
          <t>KALMAR LÄN</t>
        </is>
      </c>
      <c r="E162" t="inlineStr">
        <is>
          <t>VIMMERBY</t>
        </is>
      </c>
      <c r="G162" t="n">
        <v>2.7</v>
      </c>
      <c r="H162" t="n">
        <v>2</v>
      </c>
      <c r="I162" t="n">
        <v>3</v>
      </c>
      <c r="J162" t="n">
        <v>2</v>
      </c>
      <c r="K162" t="n">
        <v>0</v>
      </c>
      <c r="L162" t="n">
        <v>0</v>
      </c>
      <c r="M162" t="n">
        <v>0</v>
      </c>
      <c r="N162" t="n">
        <v>0</v>
      </c>
      <c r="O162" t="n">
        <v>2</v>
      </c>
      <c r="P162" t="n">
        <v>0</v>
      </c>
      <c r="Q162" t="n">
        <v>6</v>
      </c>
      <c r="R162" s="2" t="inlineStr">
        <is>
          <t>Spillkråka
Vedskivlav
Gullgröppa
Mindre märgborre
Thomsons trägnagare
Tjäder</t>
        </is>
      </c>
      <c r="S162">
        <f>HYPERLINK("https://klasma.github.io/Logging_0884/artfynd/A 52371-2023 artfynd.xlsx", "A 52371-2023")</f>
        <v/>
      </c>
      <c r="T162">
        <f>HYPERLINK("https://klasma.github.io/Logging_0884/kartor/A 52371-2023 karta.png", "A 52371-2023")</f>
        <v/>
      </c>
      <c r="V162">
        <f>HYPERLINK("https://klasma.github.io/Logging_0884/klagomål/A 52371-2023 FSC-klagomål.docx", "A 52371-2023")</f>
        <v/>
      </c>
      <c r="W162">
        <f>HYPERLINK("https://klasma.github.io/Logging_0884/klagomålsmail/A 52371-2023 FSC-klagomål mail.docx", "A 52371-2023")</f>
        <v/>
      </c>
      <c r="X162">
        <f>HYPERLINK("https://klasma.github.io/Logging_0884/tillsyn/A 52371-2023 tillsynsbegäran.docx", "A 52371-2023")</f>
        <v/>
      </c>
      <c r="Y162">
        <f>HYPERLINK("https://klasma.github.io/Logging_0884/tillsynsmail/A 52371-2023 tillsynsbegäran mail.docx", "A 52371-2023")</f>
        <v/>
      </c>
      <c r="Z162">
        <f>HYPERLINK("https://klasma.github.io/Logging_0884/fåglar/A 52371-2023 prioriterade fågelarter.docx", "A 52371-2023")</f>
        <v/>
      </c>
    </row>
    <row r="163" ht="15" customHeight="1">
      <c r="A163" t="inlineStr">
        <is>
          <t>A 55286-2023</t>
        </is>
      </c>
      <c r="B163" s="1" t="n">
        <v>45237</v>
      </c>
      <c r="C163" s="1" t="n">
        <v>45715</v>
      </c>
      <c r="D163" t="inlineStr">
        <is>
          <t>KALMAR LÄN</t>
        </is>
      </c>
      <c r="E163" t="inlineStr">
        <is>
          <t>VÄSTERVIK</t>
        </is>
      </c>
      <c r="G163" t="n">
        <v>5.9</v>
      </c>
      <c r="H163" t="n">
        <v>2</v>
      </c>
      <c r="I163" t="n">
        <v>3</v>
      </c>
      <c r="J163" t="n">
        <v>1</v>
      </c>
      <c r="K163" t="n">
        <v>2</v>
      </c>
      <c r="L163" t="n">
        <v>0</v>
      </c>
      <c r="M163" t="n">
        <v>0</v>
      </c>
      <c r="N163" t="n">
        <v>0</v>
      </c>
      <c r="O163" t="n">
        <v>3</v>
      </c>
      <c r="P163" t="n">
        <v>2</v>
      </c>
      <c r="Q163" t="n">
        <v>6</v>
      </c>
      <c r="R163" s="2" t="inlineStr">
        <is>
          <t>Knärot
Koppartaggsvamp
Spillkråka
Blomskägglav
Blåmossa
Grovticka</t>
        </is>
      </c>
      <c r="S163">
        <f>HYPERLINK("https://klasma.github.io/Logging_0883/artfynd/A 55286-2023 artfynd.xlsx", "A 55286-2023")</f>
        <v/>
      </c>
      <c r="T163">
        <f>HYPERLINK("https://klasma.github.io/Logging_0883/kartor/A 55286-2023 karta.png", "A 55286-2023")</f>
        <v/>
      </c>
      <c r="U163">
        <f>HYPERLINK("https://klasma.github.io/Logging_0883/knärot/A 55286-2023 karta knärot.png", "A 55286-2023")</f>
        <v/>
      </c>
      <c r="V163">
        <f>HYPERLINK("https://klasma.github.io/Logging_0883/klagomål/A 55286-2023 FSC-klagomål.docx", "A 55286-2023")</f>
        <v/>
      </c>
      <c r="W163">
        <f>HYPERLINK("https://klasma.github.io/Logging_0883/klagomålsmail/A 55286-2023 FSC-klagomål mail.docx", "A 55286-2023")</f>
        <v/>
      </c>
      <c r="X163">
        <f>HYPERLINK("https://klasma.github.io/Logging_0883/tillsyn/A 55286-2023 tillsynsbegäran.docx", "A 55286-2023")</f>
        <v/>
      </c>
      <c r="Y163">
        <f>HYPERLINK("https://klasma.github.io/Logging_0883/tillsynsmail/A 55286-2023 tillsynsbegäran mail.docx", "A 55286-2023")</f>
        <v/>
      </c>
      <c r="Z163">
        <f>HYPERLINK("https://klasma.github.io/Logging_0883/fåglar/A 55286-2023 prioriterade fågelarter.docx", "A 55286-2023")</f>
        <v/>
      </c>
    </row>
    <row r="164" ht="15" customHeight="1">
      <c r="A164" t="inlineStr">
        <is>
          <t>A 55989-2023</t>
        </is>
      </c>
      <c r="B164" s="1" t="n">
        <v>45240</v>
      </c>
      <c r="C164" s="1" t="n">
        <v>45715</v>
      </c>
      <c r="D164" t="inlineStr">
        <is>
          <t>KALMAR LÄN</t>
        </is>
      </c>
      <c r="E164" t="inlineStr">
        <is>
          <t>OSKARSHAMN</t>
        </is>
      </c>
      <c r="G164" t="n">
        <v>3</v>
      </c>
      <c r="H164" t="n">
        <v>6</v>
      </c>
      <c r="I164" t="n">
        <v>0</v>
      </c>
      <c r="J164" t="n">
        <v>3</v>
      </c>
      <c r="K164" t="n">
        <v>0</v>
      </c>
      <c r="L164" t="n">
        <v>0</v>
      </c>
      <c r="M164" t="n">
        <v>0</v>
      </c>
      <c r="N164" t="n">
        <v>0</v>
      </c>
      <c r="O164" t="n">
        <v>3</v>
      </c>
      <c r="P164" t="n">
        <v>0</v>
      </c>
      <c r="Q164" t="n">
        <v>6</v>
      </c>
      <c r="R164" s="2" t="inlineStr">
        <is>
          <t>Barbastell
Brunlångöra
Nordfladdermus
Dvärgpipistrell
Större brunfladdermus
Vattenfladdermus</t>
        </is>
      </c>
      <c r="S164">
        <f>HYPERLINK("https://klasma.github.io/Logging_0882/artfynd/A 55989-2023 artfynd.xlsx", "A 55989-2023")</f>
        <v/>
      </c>
      <c r="T164">
        <f>HYPERLINK("https://klasma.github.io/Logging_0882/kartor/A 55989-2023 karta.png", "A 55989-2023")</f>
        <v/>
      </c>
      <c r="V164">
        <f>HYPERLINK("https://klasma.github.io/Logging_0882/klagomål/A 55989-2023 FSC-klagomål.docx", "A 55989-2023")</f>
        <v/>
      </c>
      <c r="W164">
        <f>HYPERLINK("https://klasma.github.io/Logging_0882/klagomålsmail/A 55989-2023 FSC-klagomål mail.docx", "A 55989-2023")</f>
        <v/>
      </c>
      <c r="X164">
        <f>HYPERLINK("https://klasma.github.io/Logging_0882/tillsyn/A 55989-2023 tillsynsbegäran.docx", "A 55989-2023")</f>
        <v/>
      </c>
      <c r="Y164">
        <f>HYPERLINK("https://klasma.github.io/Logging_0882/tillsynsmail/A 55989-2023 tillsynsbegäran mail.docx", "A 55989-2023")</f>
        <v/>
      </c>
    </row>
    <row r="165" ht="15" customHeight="1">
      <c r="A165" t="inlineStr">
        <is>
          <t>A 56746-2023</t>
        </is>
      </c>
      <c r="B165" s="1" t="n">
        <v>45244</v>
      </c>
      <c r="C165" s="1" t="n">
        <v>45715</v>
      </c>
      <c r="D165" t="inlineStr">
        <is>
          <t>KALMAR LÄN</t>
        </is>
      </c>
      <c r="E165" t="inlineStr">
        <is>
          <t>OSKARSHAMN</t>
        </is>
      </c>
      <c r="G165" t="n">
        <v>2.8</v>
      </c>
      <c r="H165" t="n">
        <v>2</v>
      </c>
      <c r="I165" t="n">
        <v>1</v>
      </c>
      <c r="J165" t="n">
        <v>3</v>
      </c>
      <c r="K165" t="n">
        <v>0</v>
      </c>
      <c r="L165" t="n">
        <v>0</v>
      </c>
      <c r="M165" t="n">
        <v>0</v>
      </c>
      <c r="N165" t="n">
        <v>0</v>
      </c>
      <c r="O165" t="n">
        <v>3</v>
      </c>
      <c r="P165" t="n">
        <v>0</v>
      </c>
      <c r="Q165" t="n">
        <v>6</v>
      </c>
      <c r="R165" s="2" t="inlineStr">
        <is>
          <t>Backklöver
Slåtterfibbla
Svedjenäva
Grönpyrola
Mattlummer
Revlummer</t>
        </is>
      </c>
      <c r="S165">
        <f>HYPERLINK("https://klasma.github.io/Logging_0882/artfynd/A 56746-2023 artfynd.xlsx", "A 56746-2023")</f>
        <v/>
      </c>
      <c r="T165">
        <f>HYPERLINK("https://klasma.github.io/Logging_0882/kartor/A 56746-2023 karta.png", "A 56746-2023")</f>
        <v/>
      </c>
      <c r="V165">
        <f>HYPERLINK("https://klasma.github.io/Logging_0882/klagomål/A 56746-2023 FSC-klagomål.docx", "A 56746-2023")</f>
        <v/>
      </c>
      <c r="W165">
        <f>HYPERLINK("https://klasma.github.io/Logging_0882/klagomålsmail/A 56746-2023 FSC-klagomål mail.docx", "A 56746-2023")</f>
        <v/>
      </c>
      <c r="X165">
        <f>HYPERLINK("https://klasma.github.io/Logging_0882/tillsyn/A 56746-2023 tillsynsbegäran.docx", "A 56746-2023")</f>
        <v/>
      </c>
      <c r="Y165">
        <f>HYPERLINK("https://klasma.github.io/Logging_0882/tillsynsmail/A 56746-2023 tillsynsbegäran mail.docx", "A 56746-2023")</f>
        <v/>
      </c>
    </row>
    <row r="166" ht="15" customHeight="1">
      <c r="A166" t="inlineStr">
        <is>
          <t>A 1583-2024</t>
        </is>
      </c>
      <c r="B166" s="1" t="n">
        <v>45306</v>
      </c>
      <c r="C166" s="1" t="n">
        <v>45715</v>
      </c>
      <c r="D166" t="inlineStr">
        <is>
          <t>KALMAR LÄN</t>
        </is>
      </c>
      <c r="E166" t="inlineStr">
        <is>
          <t>HÖGSBY</t>
        </is>
      </c>
      <c r="F166" t="inlineStr">
        <is>
          <t>Övriga Aktiebolag</t>
        </is>
      </c>
      <c r="G166" t="n">
        <v>13.4</v>
      </c>
      <c r="H166" t="n">
        <v>4</v>
      </c>
      <c r="I166" t="n">
        <v>0</v>
      </c>
      <c r="J166" t="n">
        <v>3</v>
      </c>
      <c r="K166" t="n">
        <v>1</v>
      </c>
      <c r="L166" t="n">
        <v>0</v>
      </c>
      <c r="M166" t="n">
        <v>0</v>
      </c>
      <c r="N166" t="n">
        <v>0</v>
      </c>
      <c r="O166" t="n">
        <v>4</v>
      </c>
      <c r="P166" t="n">
        <v>1</v>
      </c>
      <c r="Q166" t="n">
        <v>6</v>
      </c>
      <c r="R166" s="2" t="inlineStr">
        <is>
          <t>Knärot
Slåtterfibbla
Spillkråka
Tallticka
Blåsippa
Gullviva</t>
        </is>
      </c>
      <c r="S166">
        <f>HYPERLINK("https://klasma.github.io/Logging_0821/artfynd/A 1583-2024 artfynd.xlsx", "A 1583-2024")</f>
        <v/>
      </c>
      <c r="T166">
        <f>HYPERLINK("https://klasma.github.io/Logging_0821/kartor/A 1583-2024 karta.png", "A 1583-2024")</f>
        <v/>
      </c>
      <c r="U166">
        <f>HYPERLINK("https://klasma.github.io/Logging_0821/knärot/A 1583-2024 karta knärot.png", "A 1583-2024")</f>
        <v/>
      </c>
      <c r="V166">
        <f>HYPERLINK("https://klasma.github.io/Logging_0821/klagomål/A 1583-2024 FSC-klagomål.docx", "A 1583-2024")</f>
        <v/>
      </c>
      <c r="W166">
        <f>HYPERLINK("https://klasma.github.io/Logging_0821/klagomålsmail/A 1583-2024 FSC-klagomål mail.docx", "A 1583-2024")</f>
        <v/>
      </c>
      <c r="X166">
        <f>HYPERLINK("https://klasma.github.io/Logging_0821/tillsyn/A 1583-2024 tillsynsbegäran.docx", "A 1583-2024")</f>
        <v/>
      </c>
      <c r="Y166">
        <f>HYPERLINK("https://klasma.github.io/Logging_0821/tillsynsmail/A 1583-2024 tillsynsbegäran mail.docx", "A 1583-2024")</f>
        <v/>
      </c>
      <c r="Z166">
        <f>HYPERLINK("https://klasma.github.io/Logging_0821/fåglar/A 1583-2024 prioriterade fågelarter.docx", "A 1583-2024")</f>
        <v/>
      </c>
    </row>
    <row r="167" ht="15" customHeight="1">
      <c r="A167" t="inlineStr">
        <is>
          <t>A 5922-2024</t>
        </is>
      </c>
      <c r="B167" s="1" t="n">
        <v>45335</v>
      </c>
      <c r="C167" s="1" t="n">
        <v>45715</v>
      </c>
      <c r="D167" t="inlineStr">
        <is>
          <t>KALMAR LÄN</t>
        </is>
      </c>
      <c r="E167" t="inlineStr">
        <is>
          <t>VÄSTERVIK</t>
        </is>
      </c>
      <c r="F167" t="inlineStr">
        <is>
          <t>Holmen skog AB</t>
        </is>
      </c>
      <c r="G167" t="n">
        <v>9</v>
      </c>
      <c r="H167" t="n">
        <v>2</v>
      </c>
      <c r="I167" t="n">
        <v>0</v>
      </c>
      <c r="J167" t="n">
        <v>5</v>
      </c>
      <c r="K167" t="n">
        <v>1</v>
      </c>
      <c r="L167" t="n">
        <v>0</v>
      </c>
      <c r="M167" t="n">
        <v>0</v>
      </c>
      <c r="N167" t="n">
        <v>0</v>
      </c>
      <c r="O167" t="n">
        <v>6</v>
      </c>
      <c r="P167" t="n">
        <v>1</v>
      </c>
      <c r="Q167" t="n">
        <v>6</v>
      </c>
      <c r="R167" s="2" t="inlineStr">
        <is>
          <t>Lungrot
Entita
Klubbsprötad bastardsvärmare
Smalsprötad bastardsvärmare
Tallticka
Talltita</t>
        </is>
      </c>
      <c r="S167">
        <f>HYPERLINK("https://klasma.github.io/Logging_0883/artfynd/A 5922-2024 artfynd.xlsx", "A 5922-2024")</f>
        <v/>
      </c>
      <c r="T167">
        <f>HYPERLINK("https://klasma.github.io/Logging_0883/kartor/A 5922-2024 karta.png", "A 5922-2024")</f>
        <v/>
      </c>
      <c r="V167">
        <f>HYPERLINK("https://klasma.github.io/Logging_0883/klagomål/A 5922-2024 FSC-klagomål.docx", "A 5922-2024")</f>
        <v/>
      </c>
      <c r="W167">
        <f>HYPERLINK("https://klasma.github.io/Logging_0883/klagomålsmail/A 5922-2024 FSC-klagomål mail.docx", "A 5922-2024")</f>
        <v/>
      </c>
      <c r="X167">
        <f>HYPERLINK("https://klasma.github.io/Logging_0883/tillsyn/A 5922-2024 tillsynsbegäran.docx", "A 5922-2024")</f>
        <v/>
      </c>
      <c r="Y167">
        <f>HYPERLINK("https://klasma.github.io/Logging_0883/tillsynsmail/A 5922-2024 tillsynsbegäran mail.docx", "A 5922-2024")</f>
        <v/>
      </c>
      <c r="Z167">
        <f>HYPERLINK("https://klasma.github.io/Logging_0883/fåglar/A 5922-2024 prioriterade fågelarter.docx", "A 5922-2024")</f>
        <v/>
      </c>
    </row>
    <row r="168" ht="15" customHeight="1">
      <c r="A168" t="inlineStr">
        <is>
          <t>A 13223-2024</t>
        </is>
      </c>
      <c r="B168" s="1" t="n">
        <v>45386</v>
      </c>
      <c r="C168" s="1" t="n">
        <v>45715</v>
      </c>
      <c r="D168" t="inlineStr">
        <is>
          <t>KALMAR LÄN</t>
        </is>
      </c>
      <c r="E168" t="inlineStr">
        <is>
          <t>MÖNSTERÅS</t>
        </is>
      </c>
      <c r="G168" t="n">
        <v>4</v>
      </c>
      <c r="H168" t="n">
        <v>3</v>
      </c>
      <c r="I168" t="n">
        <v>3</v>
      </c>
      <c r="J168" t="n">
        <v>1</v>
      </c>
      <c r="K168" t="n">
        <v>1</v>
      </c>
      <c r="L168" t="n">
        <v>0</v>
      </c>
      <c r="M168" t="n">
        <v>0</v>
      </c>
      <c r="N168" t="n">
        <v>0</v>
      </c>
      <c r="O168" t="n">
        <v>2</v>
      </c>
      <c r="P168" t="n">
        <v>1</v>
      </c>
      <c r="Q168" t="n">
        <v>6</v>
      </c>
      <c r="R168" s="2" t="inlineStr">
        <is>
          <t>Knärot
Spillkråka
Blomkålssvamp
Brandticka
Vågbandad barkbock
Dvärgpipistrell</t>
        </is>
      </c>
      <c r="S168">
        <f>HYPERLINK("https://klasma.github.io/Logging_0861/artfynd/A 13223-2024 artfynd.xlsx", "A 13223-2024")</f>
        <v/>
      </c>
      <c r="T168">
        <f>HYPERLINK("https://klasma.github.io/Logging_0861/kartor/A 13223-2024 karta.png", "A 13223-2024")</f>
        <v/>
      </c>
      <c r="U168">
        <f>HYPERLINK("https://klasma.github.io/Logging_0861/knärot/A 13223-2024 karta knärot.png", "A 13223-2024")</f>
        <v/>
      </c>
      <c r="V168">
        <f>HYPERLINK("https://klasma.github.io/Logging_0861/klagomål/A 13223-2024 FSC-klagomål.docx", "A 13223-2024")</f>
        <v/>
      </c>
      <c r="W168">
        <f>HYPERLINK("https://klasma.github.io/Logging_0861/klagomålsmail/A 13223-2024 FSC-klagomål mail.docx", "A 13223-2024")</f>
        <v/>
      </c>
      <c r="X168">
        <f>HYPERLINK("https://klasma.github.io/Logging_0861/tillsyn/A 13223-2024 tillsynsbegäran.docx", "A 13223-2024")</f>
        <v/>
      </c>
      <c r="Y168">
        <f>HYPERLINK("https://klasma.github.io/Logging_0861/tillsynsmail/A 13223-2024 tillsynsbegäran mail.docx", "A 13223-2024")</f>
        <v/>
      </c>
      <c r="Z168">
        <f>HYPERLINK("https://klasma.github.io/Logging_0861/fåglar/A 13223-2024 prioriterade fågelarter.docx", "A 13223-2024")</f>
        <v/>
      </c>
    </row>
    <row r="169" ht="15" customHeight="1">
      <c r="A169" t="inlineStr">
        <is>
          <t>A 14044-2024</t>
        </is>
      </c>
      <c r="B169" s="1" t="n">
        <v>45392</v>
      </c>
      <c r="C169" s="1" t="n">
        <v>45715</v>
      </c>
      <c r="D169" t="inlineStr">
        <is>
          <t>KALMAR LÄN</t>
        </is>
      </c>
      <c r="E169" t="inlineStr">
        <is>
          <t>OSKARSHAMN</t>
        </is>
      </c>
      <c r="G169" t="n">
        <v>1.5</v>
      </c>
      <c r="H169" t="n">
        <v>3</v>
      </c>
      <c r="I169" t="n">
        <v>2</v>
      </c>
      <c r="J169" t="n">
        <v>3</v>
      </c>
      <c r="K169" t="n">
        <v>0</v>
      </c>
      <c r="L169" t="n">
        <v>0</v>
      </c>
      <c r="M169" t="n">
        <v>0</v>
      </c>
      <c r="N169" t="n">
        <v>0</v>
      </c>
      <c r="O169" t="n">
        <v>3</v>
      </c>
      <c r="P169" t="n">
        <v>0</v>
      </c>
      <c r="Q169" t="n">
        <v>6</v>
      </c>
      <c r="R169" s="2" t="inlineStr">
        <is>
          <t>Järpe
Talltita
Vedtrappmossa
Björksplintborre
Fällmossa
Blåsippa</t>
        </is>
      </c>
      <c r="S169">
        <f>HYPERLINK("https://klasma.github.io/Logging_0882/artfynd/A 14044-2024 artfynd.xlsx", "A 14044-2024")</f>
        <v/>
      </c>
      <c r="T169">
        <f>HYPERLINK("https://klasma.github.io/Logging_0882/kartor/A 14044-2024 karta.png", "A 14044-2024")</f>
        <v/>
      </c>
      <c r="V169">
        <f>HYPERLINK("https://klasma.github.io/Logging_0882/klagomål/A 14044-2024 FSC-klagomål.docx", "A 14044-2024")</f>
        <v/>
      </c>
      <c r="W169">
        <f>HYPERLINK("https://klasma.github.io/Logging_0882/klagomålsmail/A 14044-2024 FSC-klagomål mail.docx", "A 14044-2024")</f>
        <v/>
      </c>
      <c r="X169">
        <f>HYPERLINK("https://klasma.github.io/Logging_0882/tillsyn/A 14044-2024 tillsynsbegäran.docx", "A 14044-2024")</f>
        <v/>
      </c>
      <c r="Y169">
        <f>HYPERLINK("https://klasma.github.io/Logging_0882/tillsynsmail/A 14044-2024 tillsynsbegäran mail.docx", "A 14044-2024")</f>
        <v/>
      </c>
      <c r="Z169">
        <f>HYPERLINK("https://klasma.github.io/Logging_0882/fåglar/A 14044-2024 prioriterade fågelarter.docx", "A 14044-2024")</f>
        <v/>
      </c>
    </row>
    <row r="170" ht="15" customHeight="1">
      <c r="A170" t="inlineStr">
        <is>
          <t>A 27379-2024</t>
        </is>
      </c>
      <c r="B170" s="1" t="n">
        <v>45473</v>
      </c>
      <c r="C170" s="1" t="n">
        <v>45715</v>
      </c>
      <c r="D170" t="inlineStr">
        <is>
          <t>KALMAR LÄN</t>
        </is>
      </c>
      <c r="E170" t="inlineStr">
        <is>
          <t>VÄSTERVIK</t>
        </is>
      </c>
      <c r="G170" t="n">
        <v>3.4</v>
      </c>
      <c r="H170" t="n">
        <v>3</v>
      </c>
      <c r="I170" t="n">
        <v>2</v>
      </c>
      <c r="J170" t="n">
        <v>2</v>
      </c>
      <c r="K170" t="n">
        <v>1</v>
      </c>
      <c r="L170" t="n">
        <v>0</v>
      </c>
      <c r="M170" t="n">
        <v>0</v>
      </c>
      <c r="N170" t="n">
        <v>0</v>
      </c>
      <c r="O170" t="n">
        <v>3</v>
      </c>
      <c r="P170" t="n">
        <v>1</v>
      </c>
      <c r="Q170" t="n">
        <v>6</v>
      </c>
      <c r="R170" s="2" t="inlineStr">
        <is>
          <t>Knärot
Talltita
Ullticka
Blåmossa
Grönpyrola
Revlummer</t>
        </is>
      </c>
      <c r="S170">
        <f>HYPERLINK("https://klasma.github.io/Logging_0883/artfynd/A 27379-2024 artfynd.xlsx", "A 27379-2024")</f>
        <v/>
      </c>
      <c r="T170">
        <f>HYPERLINK("https://klasma.github.io/Logging_0883/kartor/A 27379-2024 karta.png", "A 27379-2024")</f>
        <v/>
      </c>
      <c r="U170">
        <f>HYPERLINK("https://klasma.github.io/Logging_0883/knärot/A 27379-2024 karta knärot.png", "A 27379-2024")</f>
        <v/>
      </c>
      <c r="V170">
        <f>HYPERLINK("https://klasma.github.io/Logging_0883/klagomål/A 27379-2024 FSC-klagomål.docx", "A 27379-2024")</f>
        <v/>
      </c>
      <c r="W170">
        <f>HYPERLINK("https://klasma.github.io/Logging_0883/klagomålsmail/A 27379-2024 FSC-klagomål mail.docx", "A 27379-2024")</f>
        <v/>
      </c>
      <c r="X170">
        <f>HYPERLINK("https://klasma.github.io/Logging_0883/tillsyn/A 27379-2024 tillsynsbegäran.docx", "A 27379-2024")</f>
        <v/>
      </c>
      <c r="Y170">
        <f>HYPERLINK("https://klasma.github.io/Logging_0883/tillsynsmail/A 27379-2024 tillsynsbegäran mail.docx", "A 27379-2024")</f>
        <v/>
      </c>
      <c r="Z170">
        <f>HYPERLINK("https://klasma.github.io/Logging_0883/fåglar/A 27379-2024 prioriterade fågelarter.docx", "A 27379-2024")</f>
        <v/>
      </c>
    </row>
    <row r="171" ht="15" customHeight="1">
      <c r="A171" t="inlineStr">
        <is>
          <t>A 39295-2024</t>
        </is>
      </c>
      <c r="B171" s="1" t="n">
        <v>45551</v>
      </c>
      <c r="C171" s="1" t="n">
        <v>45715</v>
      </c>
      <c r="D171" t="inlineStr">
        <is>
          <t>KALMAR LÄN</t>
        </is>
      </c>
      <c r="E171" t="inlineStr">
        <is>
          <t>VÄSTERVIK</t>
        </is>
      </c>
      <c r="G171" t="n">
        <v>4.4</v>
      </c>
      <c r="H171" t="n">
        <v>3</v>
      </c>
      <c r="I171" t="n">
        <v>3</v>
      </c>
      <c r="J171" t="n">
        <v>2</v>
      </c>
      <c r="K171" t="n">
        <v>1</v>
      </c>
      <c r="L171" t="n">
        <v>0</v>
      </c>
      <c r="M171" t="n">
        <v>0</v>
      </c>
      <c r="N171" t="n">
        <v>0</v>
      </c>
      <c r="O171" t="n">
        <v>3</v>
      </c>
      <c r="P171" t="n">
        <v>1</v>
      </c>
      <c r="Q171" t="n">
        <v>6</v>
      </c>
      <c r="R171" s="2" t="inlineStr">
        <is>
          <t>Knärot
Entita
Talltita
Dropptaggsvamp
Fjällig taggsvamp s.str.
Grönpyrola</t>
        </is>
      </c>
      <c r="S171">
        <f>HYPERLINK("https://klasma.github.io/Logging_0883/artfynd/A 39295-2024 artfynd.xlsx", "A 39295-2024")</f>
        <v/>
      </c>
      <c r="T171">
        <f>HYPERLINK("https://klasma.github.io/Logging_0883/kartor/A 39295-2024 karta.png", "A 39295-2024")</f>
        <v/>
      </c>
      <c r="U171">
        <f>HYPERLINK("https://klasma.github.io/Logging_0883/knärot/A 39295-2024 karta knärot.png", "A 39295-2024")</f>
        <v/>
      </c>
      <c r="V171">
        <f>HYPERLINK("https://klasma.github.io/Logging_0883/klagomål/A 39295-2024 FSC-klagomål.docx", "A 39295-2024")</f>
        <v/>
      </c>
      <c r="W171">
        <f>HYPERLINK("https://klasma.github.io/Logging_0883/klagomålsmail/A 39295-2024 FSC-klagomål mail.docx", "A 39295-2024")</f>
        <v/>
      </c>
      <c r="X171">
        <f>HYPERLINK("https://klasma.github.io/Logging_0883/tillsyn/A 39295-2024 tillsynsbegäran.docx", "A 39295-2024")</f>
        <v/>
      </c>
      <c r="Y171">
        <f>HYPERLINK("https://klasma.github.io/Logging_0883/tillsynsmail/A 39295-2024 tillsynsbegäran mail.docx", "A 39295-2024")</f>
        <v/>
      </c>
      <c r="Z171">
        <f>HYPERLINK("https://klasma.github.io/Logging_0883/fåglar/A 39295-2024 prioriterade fågelarter.docx", "A 39295-2024")</f>
        <v/>
      </c>
    </row>
    <row r="172" ht="15" customHeight="1">
      <c r="A172" t="inlineStr">
        <is>
          <t>A 41999-2024</t>
        </is>
      </c>
      <c r="B172" s="1" t="n">
        <v>45561</v>
      </c>
      <c r="C172" s="1" t="n">
        <v>45715</v>
      </c>
      <c r="D172" t="inlineStr">
        <is>
          <t>KALMAR LÄN</t>
        </is>
      </c>
      <c r="E172" t="inlineStr">
        <is>
          <t>KALMAR</t>
        </is>
      </c>
      <c r="F172" t="inlineStr">
        <is>
          <t>Kyrkan</t>
        </is>
      </c>
      <c r="G172" t="n">
        <v>1.8</v>
      </c>
      <c r="H172" t="n">
        <v>4</v>
      </c>
      <c r="I172" t="n">
        <v>1</v>
      </c>
      <c r="J172" t="n">
        <v>1</v>
      </c>
      <c r="K172" t="n">
        <v>1</v>
      </c>
      <c r="L172" t="n">
        <v>0</v>
      </c>
      <c r="M172" t="n">
        <v>0</v>
      </c>
      <c r="N172" t="n">
        <v>0</v>
      </c>
      <c r="O172" t="n">
        <v>2</v>
      </c>
      <c r="P172" t="n">
        <v>1</v>
      </c>
      <c r="Q172" t="n">
        <v>6</v>
      </c>
      <c r="R172" s="2" t="inlineStr">
        <is>
          <t>Knärot
Backtimjan
Murgröna
Blåsippa
Gullviva
Revlummer</t>
        </is>
      </c>
      <c r="S172">
        <f>HYPERLINK("https://klasma.github.io/Logging_0880/artfynd/A 41999-2024 artfynd.xlsx", "A 41999-2024")</f>
        <v/>
      </c>
      <c r="T172">
        <f>HYPERLINK("https://klasma.github.io/Logging_0880/kartor/A 41999-2024 karta.png", "A 41999-2024")</f>
        <v/>
      </c>
      <c r="U172">
        <f>HYPERLINK("https://klasma.github.io/Logging_0880/knärot/A 41999-2024 karta knärot.png", "A 41999-2024")</f>
        <v/>
      </c>
      <c r="V172">
        <f>HYPERLINK("https://klasma.github.io/Logging_0880/klagomål/A 41999-2024 FSC-klagomål.docx", "A 41999-2024")</f>
        <v/>
      </c>
      <c r="W172">
        <f>HYPERLINK("https://klasma.github.io/Logging_0880/klagomålsmail/A 41999-2024 FSC-klagomål mail.docx", "A 41999-2024")</f>
        <v/>
      </c>
      <c r="X172">
        <f>HYPERLINK("https://klasma.github.io/Logging_0880/tillsyn/A 41999-2024 tillsynsbegäran.docx", "A 41999-2024")</f>
        <v/>
      </c>
      <c r="Y172">
        <f>HYPERLINK("https://klasma.github.io/Logging_0880/tillsynsmail/A 41999-2024 tillsynsbegäran mail.docx", "A 41999-2024")</f>
        <v/>
      </c>
    </row>
    <row r="173" ht="15" customHeight="1">
      <c r="A173" t="inlineStr">
        <is>
          <t>A 52046-2024</t>
        </is>
      </c>
      <c r="B173" s="1" t="n">
        <v>45608</v>
      </c>
      <c r="C173" s="1" t="n">
        <v>45715</v>
      </c>
      <c r="D173" t="inlineStr">
        <is>
          <t>KALMAR LÄN</t>
        </is>
      </c>
      <c r="E173" t="inlineStr">
        <is>
          <t>VÄSTERVIK</t>
        </is>
      </c>
      <c r="G173" t="n">
        <v>4.6</v>
      </c>
      <c r="H173" t="n">
        <v>1</v>
      </c>
      <c r="I173" t="n">
        <v>3</v>
      </c>
      <c r="J173" t="n">
        <v>3</v>
      </c>
      <c r="K173" t="n">
        <v>0</v>
      </c>
      <c r="L173" t="n">
        <v>0</v>
      </c>
      <c r="M173" t="n">
        <v>0</v>
      </c>
      <c r="N173" t="n">
        <v>0</v>
      </c>
      <c r="O173" t="n">
        <v>3</v>
      </c>
      <c r="P173" t="n">
        <v>0</v>
      </c>
      <c r="Q173" t="n">
        <v>6</v>
      </c>
      <c r="R173" s="2" t="inlineStr">
        <is>
          <t>Motaggsvamp
Tallticka
Talltita
Blåmossa
Dropptaggsvamp
Grovticka</t>
        </is>
      </c>
      <c r="S173">
        <f>HYPERLINK("https://klasma.github.io/Logging_0883/artfynd/A 52046-2024 artfynd.xlsx", "A 52046-2024")</f>
        <v/>
      </c>
      <c r="T173">
        <f>HYPERLINK("https://klasma.github.io/Logging_0883/kartor/A 52046-2024 karta.png", "A 52046-2024")</f>
        <v/>
      </c>
      <c r="V173">
        <f>HYPERLINK("https://klasma.github.io/Logging_0883/klagomål/A 52046-2024 FSC-klagomål.docx", "A 52046-2024")</f>
        <v/>
      </c>
      <c r="W173">
        <f>HYPERLINK("https://klasma.github.io/Logging_0883/klagomålsmail/A 52046-2024 FSC-klagomål mail.docx", "A 52046-2024")</f>
        <v/>
      </c>
      <c r="X173">
        <f>HYPERLINK("https://klasma.github.io/Logging_0883/tillsyn/A 52046-2024 tillsynsbegäran.docx", "A 52046-2024")</f>
        <v/>
      </c>
      <c r="Y173">
        <f>HYPERLINK("https://klasma.github.io/Logging_0883/tillsynsmail/A 52046-2024 tillsynsbegäran mail.docx", "A 52046-2024")</f>
        <v/>
      </c>
      <c r="Z173">
        <f>HYPERLINK("https://klasma.github.io/Logging_0883/fåglar/A 52046-2024 prioriterade fågelarter.docx", "A 52046-2024")</f>
        <v/>
      </c>
    </row>
    <row r="174" ht="15" customHeight="1">
      <c r="A174" t="inlineStr">
        <is>
          <t>A 2806-2025</t>
        </is>
      </c>
      <c r="B174" s="1" t="n">
        <v>45677</v>
      </c>
      <c r="C174" s="1" t="n">
        <v>45715</v>
      </c>
      <c r="D174" t="inlineStr">
        <is>
          <t>KALMAR LÄN</t>
        </is>
      </c>
      <c r="E174" t="inlineStr">
        <is>
          <t>VÄSTERVIK</t>
        </is>
      </c>
      <c r="G174" t="n">
        <v>1.5</v>
      </c>
      <c r="H174" t="n">
        <v>3</v>
      </c>
      <c r="I174" t="n">
        <v>1</v>
      </c>
      <c r="J174" t="n">
        <v>2</v>
      </c>
      <c r="K174" t="n">
        <v>1</v>
      </c>
      <c r="L174" t="n">
        <v>1</v>
      </c>
      <c r="M174" t="n">
        <v>0</v>
      </c>
      <c r="N174" t="n">
        <v>0</v>
      </c>
      <c r="O174" t="n">
        <v>4</v>
      </c>
      <c r="P174" t="n">
        <v>2</v>
      </c>
      <c r="Q174" t="n">
        <v>6</v>
      </c>
      <c r="R174" s="2" t="inlineStr">
        <is>
          <t>Ryl
Knärot
Talltita
Ullticka
Grönpyrola
Kungsfågel</t>
        </is>
      </c>
      <c r="S174">
        <f>HYPERLINK("https://klasma.github.io/Logging_0883/artfynd/A 2806-2025 artfynd.xlsx", "A 2806-2025")</f>
        <v/>
      </c>
      <c r="T174">
        <f>HYPERLINK("https://klasma.github.io/Logging_0883/kartor/A 2806-2025 karta.png", "A 2806-2025")</f>
        <v/>
      </c>
      <c r="U174">
        <f>HYPERLINK("https://klasma.github.io/Logging_0883/knärot/A 2806-2025 karta knärot.png", "A 2806-2025")</f>
        <v/>
      </c>
      <c r="V174">
        <f>HYPERLINK("https://klasma.github.io/Logging_0883/klagomål/A 2806-2025 FSC-klagomål.docx", "A 2806-2025")</f>
        <v/>
      </c>
      <c r="W174">
        <f>HYPERLINK("https://klasma.github.io/Logging_0883/klagomålsmail/A 2806-2025 FSC-klagomål mail.docx", "A 2806-2025")</f>
        <v/>
      </c>
      <c r="X174">
        <f>HYPERLINK("https://klasma.github.io/Logging_0883/tillsyn/A 2806-2025 tillsynsbegäran.docx", "A 2806-2025")</f>
        <v/>
      </c>
      <c r="Y174">
        <f>HYPERLINK("https://klasma.github.io/Logging_0883/tillsynsmail/A 2806-2025 tillsynsbegäran mail.docx", "A 2806-2025")</f>
        <v/>
      </c>
      <c r="Z174">
        <f>HYPERLINK("https://klasma.github.io/Logging_0883/fåglar/A 2806-2025 prioriterade fågelarter.docx", "A 2806-2025")</f>
        <v/>
      </c>
    </row>
    <row r="175" ht="15" customHeight="1">
      <c r="A175" t="inlineStr">
        <is>
          <t>A 4456-2025</t>
        </is>
      </c>
      <c r="B175" s="1" t="n">
        <v>45686</v>
      </c>
      <c r="C175" s="1" t="n">
        <v>45715</v>
      </c>
      <c r="D175" t="inlineStr">
        <is>
          <t>KALMAR LÄN</t>
        </is>
      </c>
      <c r="E175" t="inlineStr">
        <is>
          <t>VÄSTERVIK</t>
        </is>
      </c>
      <c r="G175" t="n">
        <v>1.3</v>
      </c>
      <c r="H175" t="n">
        <v>2</v>
      </c>
      <c r="I175" t="n">
        <v>2</v>
      </c>
      <c r="J175" t="n">
        <v>3</v>
      </c>
      <c r="K175" t="n">
        <v>1</v>
      </c>
      <c r="L175" t="n">
        <v>0</v>
      </c>
      <c r="M175" t="n">
        <v>0</v>
      </c>
      <c r="N175" t="n">
        <v>0</v>
      </c>
      <c r="O175" t="n">
        <v>4</v>
      </c>
      <c r="P175" t="n">
        <v>1</v>
      </c>
      <c r="Q175" t="n">
        <v>6</v>
      </c>
      <c r="R175" s="2" t="inlineStr">
        <is>
          <t>Knärot
Spillkråka
Tallticka
Ullticka
Grovticka
Grönpyrola</t>
        </is>
      </c>
      <c r="S175">
        <f>HYPERLINK("https://klasma.github.io/Logging_0883/artfynd/A 4456-2025 artfynd.xlsx", "A 4456-2025")</f>
        <v/>
      </c>
      <c r="T175">
        <f>HYPERLINK("https://klasma.github.io/Logging_0883/kartor/A 4456-2025 karta.png", "A 4456-2025")</f>
        <v/>
      </c>
      <c r="U175">
        <f>HYPERLINK("https://klasma.github.io/Logging_0883/knärot/A 4456-2025 karta knärot.png", "A 4456-2025")</f>
        <v/>
      </c>
      <c r="V175">
        <f>HYPERLINK("https://klasma.github.io/Logging_0883/klagomål/A 4456-2025 FSC-klagomål.docx", "A 4456-2025")</f>
        <v/>
      </c>
      <c r="W175">
        <f>HYPERLINK("https://klasma.github.io/Logging_0883/klagomålsmail/A 4456-2025 FSC-klagomål mail.docx", "A 4456-2025")</f>
        <v/>
      </c>
      <c r="X175">
        <f>HYPERLINK("https://klasma.github.io/Logging_0883/tillsyn/A 4456-2025 tillsynsbegäran.docx", "A 4456-2025")</f>
        <v/>
      </c>
      <c r="Y175">
        <f>HYPERLINK("https://klasma.github.io/Logging_0883/tillsynsmail/A 4456-2025 tillsynsbegäran mail.docx", "A 4456-2025")</f>
        <v/>
      </c>
      <c r="Z175">
        <f>HYPERLINK("https://klasma.github.io/Logging_0883/fåglar/A 4456-2025 prioriterade fågelarter.docx", "A 4456-2025")</f>
        <v/>
      </c>
    </row>
    <row r="176" ht="15" customHeight="1">
      <c r="A176" t="inlineStr">
        <is>
          <t>A 17826-2019</t>
        </is>
      </c>
      <c r="B176" s="1" t="n">
        <v>43556</v>
      </c>
      <c r="C176" s="1" t="n">
        <v>45715</v>
      </c>
      <c r="D176" t="inlineStr">
        <is>
          <t>KALMAR LÄN</t>
        </is>
      </c>
      <c r="E176" t="inlineStr">
        <is>
          <t>NYBRO</t>
        </is>
      </c>
      <c r="G176" t="n">
        <v>4.5</v>
      </c>
      <c r="H176" t="n">
        <v>1</v>
      </c>
      <c r="I176" t="n">
        <v>4</v>
      </c>
      <c r="J176" t="n">
        <v>0</v>
      </c>
      <c r="K176" t="n">
        <v>0</v>
      </c>
      <c r="L176" t="n">
        <v>0</v>
      </c>
      <c r="M176" t="n">
        <v>0</v>
      </c>
      <c r="N176" t="n">
        <v>0</v>
      </c>
      <c r="O176" t="n">
        <v>0</v>
      </c>
      <c r="P176" t="n">
        <v>0</v>
      </c>
      <c r="Q176" t="n">
        <v>5</v>
      </c>
      <c r="R176" s="2" t="inlineStr">
        <is>
          <t>Blomskägglav
Bårdlav
Ekskinn
Fällmossa
Blåsippa</t>
        </is>
      </c>
      <c r="S176">
        <f>HYPERLINK("https://klasma.github.io/Logging_0881/artfynd/A 17826-2019 artfynd.xlsx", "A 17826-2019")</f>
        <v/>
      </c>
      <c r="T176">
        <f>HYPERLINK("https://klasma.github.io/Logging_0881/kartor/A 17826-2019 karta.png", "A 17826-2019")</f>
        <v/>
      </c>
      <c r="V176">
        <f>HYPERLINK("https://klasma.github.io/Logging_0881/klagomål/A 17826-2019 FSC-klagomål.docx", "A 17826-2019")</f>
        <v/>
      </c>
      <c r="W176">
        <f>HYPERLINK("https://klasma.github.io/Logging_0881/klagomålsmail/A 17826-2019 FSC-klagomål mail.docx", "A 17826-2019")</f>
        <v/>
      </c>
      <c r="X176">
        <f>HYPERLINK("https://klasma.github.io/Logging_0881/tillsyn/A 17826-2019 tillsynsbegäran.docx", "A 17826-2019")</f>
        <v/>
      </c>
      <c r="Y176">
        <f>HYPERLINK("https://klasma.github.io/Logging_0881/tillsynsmail/A 17826-2019 tillsynsbegäran mail.docx", "A 17826-2019")</f>
        <v/>
      </c>
    </row>
    <row r="177" ht="15" customHeight="1">
      <c r="A177" t="inlineStr">
        <is>
          <t>A 20823-2019</t>
        </is>
      </c>
      <c r="B177" s="1" t="n">
        <v>43573</v>
      </c>
      <c r="C177" s="1" t="n">
        <v>45715</v>
      </c>
      <c r="D177" t="inlineStr">
        <is>
          <t>KALMAR LÄN</t>
        </is>
      </c>
      <c r="E177" t="inlineStr">
        <is>
          <t>HÖGSBY</t>
        </is>
      </c>
      <c r="G177" t="n">
        <v>6.3</v>
      </c>
      <c r="H177" t="n">
        <v>1</v>
      </c>
      <c r="I177" t="n">
        <v>4</v>
      </c>
      <c r="J177" t="n">
        <v>0</v>
      </c>
      <c r="K177" t="n">
        <v>1</v>
      </c>
      <c r="L177" t="n">
        <v>0</v>
      </c>
      <c r="M177" t="n">
        <v>0</v>
      </c>
      <c r="N177" t="n">
        <v>0</v>
      </c>
      <c r="O177" t="n">
        <v>1</v>
      </c>
      <c r="P177" t="n">
        <v>1</v>
      </c>
      <c r="Q177" t="n">
        <v>5</v>
      </c>
      <c r="R177" s="2" t="inlineStr">
        <is>
          <t>Knärot
Blåmossa
Fjällig taggsvamp s.str.
Skarp dropptaggsvamp
Tjockfotad fingersvamp</t>
        </is>
      </c>
      <c r="S177">
        <f>HYPERLINK("https://klasma.github.io/Logging_0821/artfynd/A 20823-2019 artfynd.xlsx", "A 20823-2019")</f>
        <v/>
      </c>
      <c r="T177">
        <f>HYPERLINK("https://klasma.github.io/Logging_0821/kartor/A 20823-2019 karta.png", "A 20823-2019")</f>
        <v/>
      </c>
      <c r="U177">
        <f>HYPERLINK("https://klasma.github.io/Logging_0821/knärot/A 20823-2019 karta knärot.png", "A 20823-2019")</f>
        <v/>
      </c>
      <c r="V177">
        <f>HYPERLINK("https://klasma.github.io/Logging_0821/klagomål/A 20823-2019 FSC-klagomål.docx", "A 20823-2019")</f>
        <v/>
      </c>
      <c r="W177">
        <f>HYPERLINK("https://klasma.github.io/Logging_0821/klagomålsmail/A 20823-2019 FSC-klagomål mail.docx", "A 20823-2019")</f>
        <v/>
      </c>
      <c r="X177">
        <f>HYPERLINK("https://klasma.github.io/Logging_0821/tillsyn/A 20823-2019 tillsynsbegäran.docx", "A 20823-2019")</f>
        <v/>
      </c>
      <c r="Y177">
        <f>HYPERLINK("https://klasma.github.io/Logging_0821/tillsynsmail/A 20823-2019 tillsynsbegäran mail.docx", "A 20823-2019")</f>
        <v/>
      </c>
    </row>
    <row r="178" ht="15" customHeight="1">
      <c r="A178" t="inlineStr">
        <is>
          <t>A 36145-2019</t>
        </is>
      </c>
      <c r="B178" s="1" t="n">
        <v>43668</v>
      </c>
      <c r="C178" s="1" t="n">
        <v>45715</v>
      </c>
      <c r="D178" t="inlineStr">
        <is>
          <t>KALMAR LÄN</t>
        </is>
      </c>
      <c r="E178" t="inlineStr">
        <is>
          <t>HÖGSBY</t>
        </is>
      </c>
      <c r="G178" t="n">
        <v>0.5</v>
      </c>
      <c r="H178" t="n">
        <v>1</v>
      </c>
      <c r="I178" t="n">
        <v>3</v>
      </c>
      <c r="J178" t="n">
        <v>0</v>
      </c>
      <c r="K178" t="n">
        <v>1</v>
      </c>
      <c r="L178" t="n">
        <v>0</v>
      </c>
      <c r="M178" t="n">
        <v>0</v>
      </c>
      <c r="N178" t="n">
        <v>0</v>
      </c>
      <c r="O178" t="n">
        <v>1</v>
      </c>
      <c r="P178" t="n">
        <v>1</v>
      </c>
      <c r="Q178" t="n">
        <v>5</v>
      </c>
      <c r="R178" s="2" t="inlineStr">
        <is>
          <t>Grangråticka
Fjällig taggsvamp s.str.
Kamjordstjärna
Skarp dropptaggsvamp
Blåsippa</t>
        </is>
      </c>
      <c r="S178">
        <f>HYPERLINK("https://klasma.github.io/Logging_0821/artfynd/A 36145-2019 artfynd.xlsx", "A 36145-2019")</f>
        <v/>
      </c>
      <c r="T178">
        <f>HYPERLINK("https://klasma.github.io/Logging_0821/kartor/A 36145-2019 karta.png", "A 36145-2019")</f>
        <v/>
      </c>
      <c r="V178">
        <f>HYPERLINK("https://klasma.github.io/Logging_0821/klagomål/A 36145-2019 FSC-klagomål.docx", "A 36145-2019")</f>
        <v/>
      </c>
      <c r="W178">
        <f>HYPERLINK("https://klasma.github.io/Logging_0821/klagomålsmail/A 36145-2019 FSC-klagomål mail.docx", "A 36145-2019")</f>
        <v/>
      </c>
      <c r="X178">
        <f>HYPERLINK("https://klasma.github.io/Logging_0821/tillsyn/A 36145-2019 tillsynsbegäran.docx", "A 36145-2019")</f>
        <v/>
      </c>
      <c r="Y178">
        <f>HYPERLINK("https://klasma.github.io/Logging_0821/tillsynsmail/A 36145-2019 tillsynsbegäran mail.docx", "A 36145-2019")</f>
        <v/>
      </c>
    </row>
    <row r="179" ht="15" customHeight="1">
      <c r="A179" t="inlineStr">
        <is>
          <t>A 46011-2019</t>
        </is>
      </c>
      <c r="B179" s="1" t="n">
        <v>43718</v>
      </c>
      <c r="C179" s="1" t="n">
        <v>45715</v>
      </c>
      <c r="D179" t="inlineStr">
        <is>
          <t>KALMAR LÄN</t>
        </is>
      </c>
      <c r="E179" t="inlineStr">
        <is>
          <t>HÖGSBY</t>
        </is>
      </c>
      <c r="F179" t="inlineStr">
        <is>
          <t>Sveaskog</t>
        </is>
      </c>
      <c r="G179" t="n">
        <v>5.3</v>
      </c>
      <c r="H179" t="n">
        <v>2</v>
      </c>
      <c r="I179" t="n">
        <v>1</v>
      </c>
      <c r="J179" t="n">
        <v>1</v>
      </c>
      <c r="K179" t="n">
        <v>2</v>
      </c>
      <c r="L179" t="n">
        <v>0</v>
      </c>
      <c r="M179" t="n">
        <v>0</v>
      </c>
      <c r="N179" t="n">
        <v>0</v>
      </c>
      <c r="O179" t="n">
        <v>3</v>
      </c>
      <c r="P179" t="n">
        <v>2</v>
      </c>
      <c r="Q179" t="n">
        <v>5</v>
      </c>
      <c r="R179" s="2" t="inlineStr">
        <is>
          <t>Ekpricklav
Läderbagge
Lunglav
Ekskinn
Kopparödla</t>
        </is>
      </c>
      <c r="S179">
        <f>HYPERLINK("https://klasma.github.io/Logging_0821/artfynd/A 46011-2019 artfynd.xlsx", "A 46011-2019")</f>
        <v/>
      </c>
      <c r="T179">
        <f>HYPERLINK("https://klasma.github.io/Logging_0821/kartor/A 46011-2019 karta.png", "A 46011-2019")</f>
        <v/>
      </c>
      <c r="V179">
        <f>HYPERLINK("https://klasma.github.io/Logging_0821/klagomål/A 46011-2019 FSC-klagomål.docx", "A 46011-2019")</f>
        <v/>
      </c>
      <c r="W179">
        <f>HYPERLINK("https://klasma.github.io/Logging_0821/klagomålsmail/A 46011-2019 FSC-klagomål mail.docx", "A 46011-2019")</f>
        <v/>
      </c>
      <c r="X179">
        <f>HYPERLINK("https://klasma.github.io/Logging_0821/tillsyn/A 46011-2019 tillsynsbegäran.docx", "A 46011-2019")</f>
        <v/>
      </c>
      <c r="Y179">
        <f>HYPERLINK("https://klasma.github.io/Logging_0821/tillsynsmail/A 46011-2019 tillsynsbegäran mail.docx", "A 46011-2019")</f>
        <v/>
      </c>
    </row>
    <row r="180" ht="15" customHeight="1">
      <c r="A180" t="inlineStr">
        <is>
          <t>A 55589-2019</t>
        </is>
      </c>
      <c r="B180" s="1" t="n">
        <v>43760</v>
      </c>
      <c r="C180" s="1" t="n">
        <v>45715</v>
      </c>
      <c r="D180" t="inlineStr">
        <is>
          <t>KALMAR LÄN</t>
        </is>
      </c>
      <c r="E180" t="inlineStr">
        <is>
          <t>MÖRBYLÅNGA</t>
        </is>
      </c>
      <c r="G180" t="n">
        <v>1.3</v>
      </c>
      <c r="H180" t="n">
        <v>4</v>
      </c>
      <c r="I180" t="n">
        <v>0</v>
      </c>
      <c r="J180" t="n">
        <v>3</v>
      </c>
      <c r="K180" t="n">
        <v>1</v>
      </c>
      <c r="L180" t="n">
        <v>1</v>
      </c>
      <c r="M180" t="n">
        <v>0</v>
      </c>
      <c r="N180" t="n">
        <v>0</v>
      </c>
      <c r="O180" t="n">
        <v>5</v>
      </c>
      <c r="P180" t="n">
        <v>2</v>
      </c>
      <c r="Q180" t="n">
        <v>5</v>
      </c>
      <c r="R180" s="2" t="inlineStr">
        <is>
          <t>Ask
Stare
Gulsparv
Svartvit flugsnappare
Ärtsångare</t>
        </is>
      </c>
      <c r="S180">
        <f>HYPERLINK("https://klasma.github.io/Logging_0840/artfynd/A 55589-2019 artfynd.xlsx", "A 55589-2019")</f>
        <v/>
      </c>
      <c r="T180">
        <f>HYPERLINK("https://klasma.github.io/Logging_0840/kartor/A 55589-2019 karta.png", "A 55589-2019")</f>
        <v/>
      </c>
      <c r="V180">
        <f>HYPERLINK("https://klasma.github.io/Logging_0840/klagomål/A 55589-2019 FSC-klagomål.docx", "A 55589-2019")</f>
        <v/>
      </c>
      <c r="W180">
        <f>HYPERLINK("https://klasma.github.io/Logging_0840/klagomålsmail/A 55589-2019 FSC-klagomål mail.docx", "A 55589-2019")</f>
        <v/>
      </c>
      <c r="X180">
        <f>HYPERLINK("https://klasma.github.io/Logging_0840/tillsyn/A 55589-2019 tillsynsbegäran.docx", "A 55589-2019")</f>
        <v/>
      </c>
      <c r="Y180">
        <f>HYPERLINK("https://klasma.github.io/Logging_0840/tillsynsmail/A 55589-2019 tillsynsbegäran mail.docx", "A 55589-2019")</f>
        <v/>
      </c>
      <c r="Z180">
        <f>HYPERLINK("https://klasma.github.io/Logging_0840/fåglar/A 55589-2019 prioriterade fågelarter.docx", "A 55589-2019")</f>
        <v/>
      </c>
    </row>
    <row r="181" ht="15" customHeight="1">
      <c r="A181" t="inlineStr">
        <is>
          <t>A 2085-2020</t>
        </is>
      </c>
      <c r="B181" s="1" t="n">
        <v>43845</v>
      </c>
      <c r="C181" s="1" t="n">
        <v>45715</v>
      </c>
      <c r="D181" t="inlineStr">
        <is>
          <t>KALMAR LÄN</t>
        </is>
      </c>
      <c r="E181" t="inlineStr">
        <is>
          <t>HULTSFRED</t>
        </is>
      </c>
      <c r="F181" t="inlineStr">
        <is>
          <t>Övriga Aktiebolag</t>
        </is>
      </c>
      <c r="G181" t="n">
        <v>3.7</v>
      </c>
      <c r="H181" t="n">
        <v>3</v>
      </c>
      <c r="I181" t="n">
        <v>2</v>
      </c>
      <c r="J181" t="n">
        <v>1</v>
      </c>
      <c r="K181" t="n">
        <v>1</v>
      </c>
      <c r="L181" t="n">
        <v>0</v>
      </c>
      <c r="M181" t="n">
        <v>0</v>
      </c>
      <c r="N181" t="n">
        <v>0</v>
      </c>
      <c r="O181" t="n">
        <v>2</v>
      </c>
      <c r="P181" t="n">
        <v>1</v>
      </c>
      <c r="Q181" t="n">
        <v>5</v>
      </c>
      <c r="R181" s="2" t="inlineStr">
        <is>
          <t>Knärot
Vedtrappmossa
Flagellkvastmossa
Grön sköldmossa
Blåsippa</t>
        </is>
      </c>
      <c r="S181">
        <f>HYPERLINK("https://klasma.github.io/Logging_0860/artfynd/A 2085-2020 artfynd.xlsx", "A 2085-2020")</f>
        <v/>
      </c>
      <c r="T181">
        <f>HYPERLINK("https://klasma.github.io/Logging_0860/kartor/A 2085-2020 karta.png", "A 2085-2020")</f>
        <v/>
      </c>
      <c r="U181">
        <f>HYPERLINK("https://klasma.github.io/Logging_0860/knärot/A 2085-2020 karta knärot.png", "A 2085-2020")</f>
        <v/>
      </c>
      <c r="V181">
        <f>HYPERLINK("https://klasma.github.io/Logging_0860/klagomål/A 2085-2020 FSC-klagomål.docx", "A 2085-2020")</f>
        <v/>
      </c>
      <c r="W181">
        <f>HYPERLINK("https://klasma.github.io/Logging_0860/klagomålsmail/A 2085-2020 FSC-klagomål mail.docx", "A 2085-2020")</f>
        <v/>
      </c>
      <c r="X181">
        <f>HYPERLINK("https://klasma.github.io/Logging_0860/tillsyn/A 2085-2020 tillsynsbegäran.docx", "A 2085-2020")</f>
        <v/>
      </c>
      <c r="Y181">
        <f>HYPERLINK("https://klasma.github.io/Logging_0860/tillsynsmail/A 2085-2020 tillsynsbegäran mail.docx", "A 2085-2020")</f>
        <v/>
      </c>
    </row>
    <row r="182" ht="15" customHeight="1">
      <c r="A182" t="inlineStr">
        <is>
          <t>A 16102-2020</t>
        </is>
      </c>
      <c r="B182" s="1" t="n">
        <v>43916</v>
      </c>
      <c r="C182" s="1" t="n">
        <v>45715</v>
      </c>
      <c r="D182" t="inlineStr">
        <is>
          <t>KALMAR LÄN</t>
        </is>
      </c>
      <c r="E182" t="inlineStr">
        <is>
          <t>HULTSFRED</t>
        </is>
      </c>
      <c r="G182" t="n">
        <v>3.8</v>
      </c>
      <c r="H182" t="n">
        <v>2</v>
      </c>
      <c r="I182" t="n">
        <v>2</v>
      </c>
      <c r="J182" t="n">
        <v>1</v>
      </c>
      <c r="K182" t="n">
        <v>0</v>
      </c>
      <c r="L182" t="n">
        <v>0</v>
      </c>
      <c r="M182" t="n">
        <v>0</v>
      </c>
      <c r="N182" t="n">
        <v>0</v>
      </c>
      <c r="O182" t="n">
        <v>1</v>
      </c>
      <c r="P182" t="n">
        <v>0</v>
      </c>
      <c r="Q182" t="n">
        <v>5</v>
      </c>
      <c r="R182" s="2" t="inlineStr">
        <is>
          <t>Vedtrappmossa
Blåmossa
Tibast
Blåsippa
Revlummer</t>
        </is>
      </c>
      <c r="S182">
        <f>HYPERLINK("https://klasma.github.io/Logging_0860/artfynd/A 16102-2020 artfynd.xlsx", "A 16102-2020")</f>
        <v/>
      </c>
      <c r="T182">
        <f>HYPERLINK("https://klasma.github.io/Logging_0860/kartor/A 16102-2020 karta.png", "A 16102-2020")</f>
        <v/>
      </c>
      <c r="V182">
        <f>HYPERLINK("https://klasma.github.io/Logging_0860/klagomål/A 16102-2020 FSC-klagomål.docx", "A 16102-2020")</f>
        <v/>
      </c>
      <c r="W182">
        <f>HYPERLINK("https://klasma.github.io/Logging_0860/klagomålsmail/A 16102-2020 FSC-klagomål mail.docx", "A 16102-2020")</f>
        <v/>
      </c>
      <c r="X182">
        <f>HYPERLINK("https://klasma.github.io/Logging_0860/tillsyn/A 16102-2020 tillsynsbegäran.docx", "A 16102-2020")</f>
        <v/>
      </c>
      <c r="Y182">
        <f>HYPERLINK("https://klasma.github.io/Logging_0860/tillsynsmail/A 16102-2020 tillsynsbegäran mail.docx", "A 16102-2020")</f>
        <v/>
      </c>
    </row>
    <row r="183" ht="15" customHeight="1">
      <c r="A183" t="inlineStr">
        <is>
          <t>A 26222-2020</t>
        </is>
      </c>
      <c r="B183" s="1" t="n">
        <v>43986</v>
      </c>
      <c r="C183" s="1" t="n">
        <v>45715</v>
      </c>
      <c r="D183" t="inlineStr">
        <is>
          <t>KALMAR LÄN</t>
        </is>
      </c>
      <c r="E183" t="inlineStr">
        <is>
          <t>HULTSFRED</t>
        </is>
      </c>
      <c r="F183" t="inlineStr">
        <is>
          <t>Kyrkan</t>
        </is>
      </c>
      <c r="G183" t="n">
        <v>2.1</v>
      </c>
      <c r="H183" t="n">
        <v>3</v>
      </c>
      <c r="I183" t="n">
        <v>1</v>
      </c>
      <c r="J183" t="n">
        <v>1</v>
      </c>
      <c r="K183" t="n">
        <v>0</v>
      </c>
      <c r="L183" t="n">
        <v>0</v>
      </c>
      <c r="M183" t="n">
        <v>0</v>
      </c>
      <c r="N183" t="n">
        <v>0</v>
      </c>
      <c r="O183" t="n">
        <v>1</v>
      </c>
      <c r="P183" t="n">
        <v>0</v>
      </c>
      <c r="Q183" t="n">
        <v>5</v>
      </c>
      <c r="R183" s="2" t="inlineStr">
        <is>
          <t>Spindelört
Underviol
Grönvit nattviol
Blåsippa
Revlummer</t>
        </is>
      </c>
      <c r="S183">
        <f>HYPERLINK("https://klasma.github.io/Logging_0860/artfynd/A 26222-2020 artfynd.xlsx", "A 26222-2020")</f>
        <v/>
      </c>
      <c r="T183">
        <f>HYPERLINK("https://klasma.github.io/Logging_0860/kartor/A 26222-2020 karta.png", "A 26222-2020")</f>
        <v/>
      </c>
      <c r="V183">
        <f>HYPERLINK("https://klasma.github.io/Logging_0860/klagomål/A 26222-2020 FSC-klagomål.docx", "A 26222-2020")</f>
        <v/>
      </c>
      <c r="W183">
        <f>HYPERLINK("https://klasma.github.io/Logging_0860/klagomålsmail/A 26222-2020 FSC-klagomål mail.docx", "A 26222-2020")</f>
        <v/>
      </c>
      <c r="X183">
        <f>HYPERLINK("https://klasma.github.io/Logging_0860/tillsyn/A 26222-2020 tillsynsbegäran.docx", "A 26222-2020")</f>
        <v/>
      </c>
      <c r="Y183">
        <f>HYPERLINK("https://klasma.github.io/Logging_0860/tillsynsmail/A 26222-2020 tillsynsbegäran mail.docx", "A 26222-2020")</f>
        <v/>
      </c>
    </row>
    <row r="184" ht="15" customHeight="1">
      <c r="A184" t="inlineStr">
        <is>
          <t>A 55371-2020</t>
        </is>
      </c>
      <c r="B184" s="1" t="n">
        <v>44130</v>
      </c>
      <c r="C184" s="1" t="n">
        <v>45715</v>
      </c>
      <c r="D184" t="inlineStr">
        <is>
          <t>KALMAR LÄN</t>
        </is>
      </c>
      <c r="E184" t="inlineStr">
        <is>
          <t>MÖNSTERÅS</t>
        </is>
      </c>
      <c r="F184" t="inlineStr">
        <is>
          <t>Övriga Aktiebolag</t>
        </is>
      </c>
      <c r="G184" t="n">
        <v>12.7</v>
      </c>
      <c r="H184" t="n">
        <v>4</v>
      </c>
      <c r="I184" t="n">
        <v>1</v>
      </c>
      <c r="J184" t="n">
        <v>3</v>
      </c>
      <c r="K184" t="n">
        <v>0</v>
      </c>
      <c r="L184" t="n">
        <v>0</v>
      </c>
      <c r="M184" t="n">
        <v>0</v>
      </c>
      <c r="N184" t="n">
        <v>0</v>
      </c>
      <c r="O184" t="n">
        <v>3</v>
      </c>
      <c r="P184" t="n">
        <v>0</v>
      </c>
      <c r="Q184" t="n">
        <v>5</v>
      </c>
      <c r="R184" s="2" t="inlineStr">
        <is>
          <t>Havsörn
Kungsörn
Spillkråka
Blomskägglav
Revlummer</t>
        </is>
      </c>
      <c r="S184">
        <f>HYPERLINK("https://klasma.github.io/Logging_0861/artfynd/A 55371-2020 artfynd.xlsx", "A 55371-2020")</f>
        <v/>
      </c>
      <c r="T184">
        <f>HYPERLINK("https://klasma.github.io/Logging_0861/kartor/A 55371-2020 karta.png", "A 55371-2020")</f>
        <v/>
      </c>
      <c r="V184">
        <f>HYPERLINK("https://klasma.github.io/Logging_0861/klagomål/A 55371-2020 FSC-klagomål.docx", "A 55371-2020")</f>
        <v/>
      </c>
      <c r="W184">
        <f>HYPERLINK("https://klasma.github.io/Logging_0861/klagomålsmail/A 55371-2020 FSC-klagomål mail.docx", "A 55371-2020")</f>
        <v/>
      </c>
      <c r="X184">
        <f>HYPERLINK("https://klasma.github.io/Logging_0861/tillsyn/A 55371-2020 tillsynsbegäran.docx", "A 55371-2020")</f>
        <v/>
      </c>
      <c r="Y184">
        <f>HYPERLINK("https://klasma.github.io/Logging_0861/tillsynsmail/A 55371-2020 tillsynsbegäran mail.docx", "A 55371-2020")</f>
        <v/>
      </c>
      <c r="Z184">
        <f>HYPERLINK("https://klasma.github.io/Logging_0861/fåglar/A 55371-2020 prioriterade fågelarter.docx", "A 55371-2020")</f>
        <v/>
      </c>
    </row>
    <row r="185" ht="15" customHeight="1">
      <c r="A185" t="inlineStr">
        <is>
          <t>A 4881-2021</t>
        </is>
      </c>
      <c r="B185" s="1" t="n">
        <v>44225</v>
      </c>
      <c r="C185" s="1" t="n">
        <v>45715</v>
      </c>
      <c r="D185" t="inlineStr">
        <is>
          <t>KALMAR LÄN</t>
        </is>
      </c>
      <c r="E185" t="inlineStr">
        <is>
          <t>BORGHOLM</t>
        </is>
      </c>
      <c r="G185" t="n">
        <v>5.3</v>
      </c>
      <c r="H185" t="n">
        <v>2</v>
      </c>
      <c r="I185" t="n">
        <v>3</v>
      </c>
      <c r="J185" t="n">
        <v>0</v>
      </c>
      <c r="K185" t="n">
        <v>1</v>
      </c>
      <c r="L185" t="n">
        <v>0</v>
      </c>
      <c r="M185" t="n">
        <v>0</v>
      </c>
      <c r="N185" t="n">
        <v>0</v>
      </c>
      <c r="O185" t="n">
        <v>1</v>
      </c>
      <c r="P185" t="n">
        <v>1</v>
      </c>
      <c r="Q185" t="n">
        <v>5</v>
      </c>
      <c r="R185" s="2" t="inlineStr">
        <is>
          <t>Olivfjällskivling
Droppklibbskivling
Murgröna
Skogsknipprot
Blåsippa</t>
        </is>
      </c>
      <c r="S185">
        <f>HYPERLINK("https://klasma.github.io/Logging_0885/artfynd/A 4881-2021 artfynd.xlsx", "A 4881-2021")</f>
        <v/>
      </c>
      <c r="T185">
        <f>HYPERLINK("https://klasma.github.io/Logging_0885/kartor/A 4881-2021 karta.png", "A 4881-2021")</f>
        <v/>
      </c>
      <c r="V185">
        <f>HYPERLINK("https://klasma.github.io/Logging_0885/klagomål/A 4881-2021 FSC-klagomål.docx", "A 4881-2021")</f>
        <v/>
      </c>
      <c r="W185">
        <f>HYPERLINK("https://klasma.github.io/Logging_0885/klagomålsmail/A 4881-2021 FSC-klagomål mail.docx", "A 4881-2021")</f>
        <v/>
      </c>
      <c r="X185">
        <f>HYPERLINK("https://klasma.github.io/Logging_0885/tillsyn/A 4881-2021 tillsynsbegäran.docx", "A 4881-2021")</f>
        <v/>
      </c>
      <c r="Y185">
        <f>HYPERLINK("https://klasma.github.io/Logging_0885/tillsynsmail/A 4881-2021 tillsynsbegäran mail.docx", "A 4881-2021")</f>
        <v/>
      </c>
    </row>
    <row r="186" ht="15" customHeight="1">
      <c r="A186" t="inlineStr">
        <is>
          <t>A 31837-2021</t>
        </is>
      </c>
      <c r="B186" s="1" t="n">
        <v>44370</v>
      </c>
      <c r="C186" s="1" t="n">
        <v>45715</v>
      </c>
      <c r="D186" t="inlineStr">
        <is>
          <t>KALMAR LÄN</t>
        </is>
      </c>
      <c r="E186" t="inlineStr">
        <is>
          <t>BORGHOLM</t>
        </is>
      </c>
      <c r="F186" t="inlineStr">
        <is>
          <t>Sveaskog</t>
        </is>
      </c>
      <c r="G186" t="n">
        <v>1.7</v>
      </c>
      <c r="H186" t="n">
        <v>2</v>
      </c>
      <c r="I186" t="n">
        <v>4</v>
      </c>
      <c r="J186" t="n">
        <v>0</v>
      </c>
      <c r="K186" t="n">
        <v>0</v>
      </c>
      <c r="L186" t="n">
        <v>0</v>
      </c>
      <c r="M186" t="n">
        <v>0</v>
      </c>
      <c r="N186" t="n">
        <v>0</v>
      </c>
      <c r="O186" t="n">
        <v>0</v>
      </c>
      <c r="P186" t="n">
        <v>0</v>
      </c>
      <c r="Q186" t="n">
        <v>5</v>
      </c>
      <c r="R186" s="2" t="inlineStr">
        <is>
          <t>Kragjordstjärna
Skogsknipprot
Strävlosta
Sårläka
Blåsippa</t>
        </is>
      </c>
      <c r="S186">
        <f>HYPERLINK("https://klasma.github.io/Logging_0885/artfynd/A 31837-2021 artfynd.xlsx", "A 31837-2021")</f>
        <v/>
      </c>
      <c r="T186">
        <f>HYPERLINK("https://klasma.github.io/Logging_0885/kartor/A 31837-2021 karta.png", "A 31837-2021")</f>
        <v/>
      </c>
      <c r="V186">
        <f>HYPERLINK("https://klasma.github.io/Logging_0885/klagomål/A 31837-2021 FSC-klagomål.docx", "A 31837-2021")</f>
        <v/>
      </c>
      <c r="W186">
        <f>HYPERLINK("https://klasma.github.io/Logging_0885/klagomålsmail/A 31837-2021 FSC-klagomål mail.docx", "A 31837-2021")</f>
        <v/>
      </c>
      <c r="X186">
        <f>HYPERLINK("https://klasma.github.io/Logging_0885/tillsyn/A 31837-2021 tillsynsbegäran.docx", "A 31837-2021")</f>
        <v/>
      </c>
      <c r="Y186">
        <f>HYPERLINK("https://klasma.github.io/Logging_0885/tillsynsmail/A 31837-2021 tillsynsbegäran mail.docx", "A 31837-2021")</f>
        <v/>
      </c>
    </row>
    <row r="187" ht="15" customHeight="1">
      <c r="A187" t="inlineStr">
        <is>
          <t>A 7701-2022</t>
        </is>
      </c>
      <c r="B187" s="1" t="n">
        <v>44607</v>
      </c>
      <c r="C187" s="1" t="n">
        <v>45715</v>
      </c>
      <c r="D187" t="inlineStr">
        <is>
          <t>KALMAR LÄN</t>
        </is>
      </c>
      <c r="E187" t="inlineStr">
        <is>
          <t>HÖGSBY</t>
        </is>
      </c>
      <c r="G187" t="n">
        <v>3.4</v>
      </c>
      <c r="H187" t="n">
        <v>0</v>
      </c>
      <c r="I187" t="n">
        <v>4</v>
      </c>
      <c r="J187" t="n">
        <v>0</v>
      </c>
      <c r="K187" t="n">
        <v>1</v>
      </c>
      <c r="L187" t="n">
        <v>0</v>
      </c>
      <c r="M187" t="n">
        <v>0</v>
      </c>
      <c r="N187" t="n">
        <v>0</v>
      </c>
      <c r="O187" t="n">
        <v>1</v>
      </c>
      <c r="P187" t="n">
        <v>1</v>
      </c>
      <c r="Q187" t="n">
        <v>5</v>
      </c>
      <c r="R187" s="2" t="inlineStr">
        <is>
          <t>Kopparspindling
Fjällig taggsvamp s.str.
Skarp dropptaggsvamp
Småvaxskivling
Svavelriska</t>
        </is>
      </c>
      <c r="S187">
        <f>HYPERLINK("https://klasma.github.io/Logging_0821/artfynd/A 7701-2022 artfynd.xlsx", "A 7701-2022")</f>
        <v/>
      </c>
      <c r="T187">
        <f>HYPERLINK("https://klasma.github.io/Logging_0821/kartor/A 7701-2022 karta.png", "A 7701-2022")</f>
        <v/>
      </c>
      <c r="V187">
        <f>HYPERLINK("https://klasma.github.io/Logging_0821/klagomål/A 7701-2022 FSC-klagomål.docx", "A 7701-2022")</f>
        <v/>
      </c>
      <c r="W187">
        <f>HYPERLINK("https://klasma.github.io/Logging_0821/klagomålsmail/A 7701-2022 FSC-klagomål mail.docx", "A 7701-2022")</f>
        <v/>
      </c>
      <c r="X187">
        <f>HYPERLINK("https://klasma.github.io/Logging_0821/tillsyn/A 7701-2022 tillsynsbegäran.docx", "A 7701-2022")</f>
        <v/>
      </c>
      <c r="Y187">
        <f>HYPERLINK("https://klasma.github.io/Logging_0821/tillsynsmail/A 7701-2022 tillsynsbegäran mail.docx", "A 7701-2022")</f>
        <v/>
      </c>
    </row>
    <row r="188" ht="15" customHeight="1">
      <c r="A188" t="inlineStr">
        <is>
          <t>A 34948-2022</t>
        </is>
      </c>
      <c r="B188" s="1" t="n">
        <v>44796</v>
      </c>
      <c r="C188" s="1" t="n">
        <v>45715</v>
      </c>
      <c r="D188" t="inlineStr">
        <is>
          <t>KALMAR LÄN</t>
        </is>
      </c>
      <c r="E188" t="inlineStr">
        <is>
          <t>BORGHOLM</t>
        </is>
      </c>
      <c r="F188" t="inlineStr">
        <is>
          <t>Sveaskog</t>
        </is>
      </c>
      <c r="G188" t="n">
        <v>2.8</v>
      </c>
      <c r="H188" t="n">
        <v>1</v>
      </c>
      <c r="I188" t="n">
        <v>1</v>
      </c>
      <c r="J188" t="n">
        <v>2</v>
      </c>
      <c r="K188" t="n">
        <v>0</v>
      </c>
      <c r="L188" t="n">
        <v>1</v>
      </c>
      <c r="M188" t="n">
        <v>0</v>
      </c>
      <c r="N188" t="n">
        <v>0</v>
      </c>
      <c r="O188" t="n">
        <v>3</v>
      </c>
      <c r="P188" t="n">
        <v>1</v>
      </c>
      <c r="Q188" t="n">
        <v>5</v>
      </c>
      <c r="R188" s="2" t="inlineStr">
        <is>
          <t>Brödmusseron
Juvelspindling
Persiljespindling
Fransig jordstjärna
Blåsippa</t>
        </is>
      </c>
      <c r="S188">
        <f>HYPERLINK("https://klasma.github.io/Logging_0885/artfynd/A 34948-2022 artfynd.xlsx", "A 34948-2022")</f>
        <v/>
      </c>
      <c r="T188">
        <f>HYPERLINK("https://klasma.github.io/Logging_0885/kartor/A 34948-2022 karta.png", "A 34948-2022")</f>
        <v/>
      </c>
      <c r="V188">
        <f>HYPERLINK("https://klasma.github.io/Logging_0885/klagomål/A 34948-2022 FSC-klagomål.docx", "A 34948-2022")</f>
        <v/>
      </c>
      <c r="W188">
        <f>HYPERLINK("https://klasma.github.io/Logging_0885/klagomålsmail/A 34948-2022 FSC-klagomål mail.docx", "A 34948-2022")</f>
        <v/>
      </c>
      <c r="X188">
        <f>HYPERLINK("https://klasma.github.io/Logging_0885/tillsyn/A 34948-2022 tillsynsbegäran.docx", "A 34948-2022")</f>
        <v/>
      </c>
      <c r="Y188">
        <f>HYPERLINK("https://klasma.github.io/Logging_0885/tillsynsmail/A 34948-2022 tillsynsbegäran mail.docx", "A 34948-2022")</f>
        <v/>
      </c>
    </row>
    <row r="189" ht="15" customHeight="1">
      <c r="A189" t="inlineStr">
        <is>
          <t>A 61121-2022</t>
        </is>
      </c>
      <c r="B189" s="1" t="n">
        <v>44908</v>
      </c>
      <c r="C189" s="1" t="n">
        <v>45715</v>
      </c>
      <c r="D189" t="inlineStr">
        <is>
          <t>KALMAR LÄN</t>
        </is>
      </c>
      <c r="E189" t="inlineStr">
        <is>
          <t>MÖNSTERÅS</t>
        </is>
      </c>
      <c r="F189" t="inlineStr">
        <is>
          <t>Kyrkan</t>
        </is>
      </c>
      <c r="G189" t="n">
        <v>3.9</v>
      </c>
      <c r="H189" t="n">
        <v>1</v>
      </c>
      <c r="I189" t="n">
        <v>2</v>
      </c>
      <c r="J189" t="n">
        <v>3</v>
      </c>
      <c r="K189" t="n">
        <v>0</v>
      </c>
      <c r="L189" t="n">
        <v>0</v>
      </c>
      <c r="M189" t="n">
        <v>0</v>
      </c>
      <c r="N189" t="n">
        <v>0</v>
      </c>
      <c r="O189" t="n">
        <v>3</v>
      </c>
      <c r="P189" t="n">
        <v>0</v>
      </c>
      <c r="Q189" t="n">
        <v>5</v>
      </c>
      <c r="R189" s="2" t="inlineStr">
        <is>
          <t>Talltita
Ullticka
Vedtrappmossa
Flagellkvastmossa
Kornknutmossa</t>
        </is>
      </c>
      <c r="S189">
        <f>HYPERLINK("https://klasma.github.io/Logging_0861/artfynd/A 61121-2022 artfynd.xlsx", "A 61121-2022")</f>
        <v/>
      </c>
      <c r="T189">
        <f>HYPERLINK("https://klasma.github.io/Logging_0861/kartor/A 61121-2022 karta.png", "A 61121-2022")</f>
        <v/>
      </c>
      <c r="V189">
        <f>HYPERLINK("https://klasma.github.io/Logging_0861/klagomål/A 61121-2022 FSC-klagomål.docx", "A 61121-2022")</f>
        <v/>
      </c>
      <c r="W189">
        <f>HYPERLINK("https://klasma.github.io/Logging_0861/klagomålsmail/A 61121-2022 FSC-klagomål mail.docx", "A 61121-2022")</f>
        <v/>
      </c>
      <c r="X189">
        <f>HYPERLINK("https://klasma.github.io/Logging_0861/tillsyn/A 61121-2022 tillsynsbegäran.docx", "A 61121-2022")</f>
        <v/>
      </c>
      <c r="Y189">
        <f>HYPERLINK("https://klasma.github.io/Logging_0861/tillsynsmail/A 61121-2022 tillsynsbegäran mail.docx", "A 61121-2022")</f>
        <v/>
      </c>
      <c r="Z189">
        <f>HYPERLINK("https://klasma.github.io/Logging_0861/fåglar/A 61121-2022 prioriterade fågelarter.docx", "A 61121-2022")</f>
        <v/>
      </c>
    </row>
    <row r="190" ht="15" customHeight="1">
      <c r="A190" t="inlineStr">
        <is>
          <t>A 781-2023</t>
        </is>
      </c>
      <c r="B190" s="1" t="n">
        <v>44931</v>
      </c>
      <c r="C190" s="1" t="n">
        <v>45715</v>
      </c>
      <c r="D190" t="inlineStr">
        <is>
          <t>KALMAR LÄN</t>
        </is>
      </c>
      <c r="E190" t="inlineStr">
        <is>
          <t>VÄSTERVIK</t>
        </is>
      </c>
      <c r="F190" t="inlineStr">
        <is>
          <t>Holmen skog AB</t>
        </is>
      </c>
      <c r="G190" t="n">
        <v>4.3</v>
      </c>
      <c r="H190" t="n">
        <v>0</v>
      </c>
      <c r="I190" t="n">
        <v>3</v>
      </c>
      <c r="J190" t="n">
        <v>2</v>
      </c>
      <c r="K190" t="n">
        <v>0</v>
      </c>
      <c r="L190" t="n">
        <v>0</v>
      </c>
      <c r="M190" t="n">
        <v>0</v>
      </c>
      <c r="N190" t="n">
        <v>0</v>
      </c>
      <c r="O190" t="n">
        <v>2</v>
      </c>
      <c r="P190" t="n">
        <v>0</v>
      </c>
      <c r="Q190" t="n">
        <v>5</v>
      </c>
      <c r="R190" s="2" t="inlineStr">
        <is>
          <t>Ekticka
Oxtungssvamp
Hasselticka
Läderskål
Stor aspticka</t>
        </is>
      </c>
      <c r="S190">
        <f>HYPERLINK("https://klasma.github.io/Logging_0883/artfynd/A 781-2023 artfynd.xlsx", "A 781-2023")</f>
        <v/>
      </c>
      <c r="T190">
        <f>HYPERLINK("https://klasma.github.io/Logging_0883/kartor/A 781-2023 karta.png", "A 781-2023")</f>
        <v/>
      </c>
      <c r="V190">
        <f>HYPERLINK("https://klasma.github.io/Logging_0883/klagomål/A 781-2023 FSC-klagomål.docx", "A 781-2023")</f>
        <v/>
      </c>
      <c r="W190">
        <f>HYPERLINK("https://klasma.github.io/Logging_0883/klagomålsmail/A 781-2023 FSC-klagomål mail.docx", "A 781-2023")</f>
        <v/>
      </c>
      <c r="X190">
        <f>HYPERLINK("https://klasma.github.io/Logging_0883/tillsyn/A 781-2023 tillsynsbegäran.docx", "A 781-2023")</f>
        <v/>
      </c>
      <c r="Y190">
        <f>HYPERLINK("https://klasma.github.io/Logging_0883/tillsynsmail/A 781-2023 tillsynsbegäran mail.docx", "A 781-2023")</f>
        <v/>
      </c>
    </row>
    <row r="191" ht="15" customHeight="1">
      <c r="A191" t="inlineStr">
        <is>
          <t>A 41442-2023</t>
        </is>
      </c>
      <c r="B191" s="1" t="n">
        <v>45175</v>
      </c>
      <c r="C191" s="1" t="n">
        <v>45715</v>
      </c>
      <c r="D191" t="inlineStr">
        <is>
          <t>KALMAR LÄN</t>
        </is>
      </c>
      <c r="E191" t="inlineStr">
        <is>
          <t>OSKARSHAMN</t>
        </is>
      </c>
      <c r="G191" t="n">
        <v>5.1</v>
      </c>
      <c r="H191" t="n">
        <v>0</v>
      </c>
      <c r="I191" t="n">
        <v>0</v>
      </c>
      <c r="J191" t="n">
        <v>4</v>
      </c>
      <c r="K191" t="n">
        <v>1</v>
      </c>
      <c r="L191" t="n">
        <v>0</v>
      </c>
      <c r="M191" t="n">
        <v>0</v>
      </c>
      <c r="N191" t="n">
        <v>0</v>
      </c>
      <c r="O191" t="n">
        <v>5</v>
      </c>
      <c r="P191" t="n">
        <v>1</v>
      </c>
      <c r="Q191" t="n">
        <v>5</v>
      </c>
      <c r="R191" s="2" t="inlineStr">
        <is>
          <t>Flenörtskapuschongfly
Bredbrämad bastardsvärmare
Klubbsprötad bastardsvärmare
Mindre bastardsvärmare
Solvända</t>
        </is>
      </c>
      <c r="S191">
        <f>HYPERLINK("https://klasma.github.io/Logging_0882/artfynd/A 41442-2023 artfynd.xlsx", "A 41442-2023")</f>
        <v/>
      </c>
      <c r="T191">
        <f>HYPERLINK("https://klasma.github.io/Logging_0882/kartor/A 41442-2023 karta.png", "A 41442-2023")</f>
        <v/>
      </c>
      <c r="V191">
        <f>HYPERLINK("https://klasma.github.io/Logging_0882/klagomål/A 41442-2023 FSC-klagomål.docx", "A 41442-2023")</f>
        <v/>
      </c>
      <c r="W191">
        <f>HYPERLINK("https://klasma.github.io/Logging_0882/klagomålsmail/A 41442-2023 FSC-klagomål mail.docx", "A 41442-2023")</f>
        <v/>
      </c>
      <c r="X191">
        <f>HYPERLINK("https://klasma.github.io/Logging_0882/tillsyn/A 41442-2023 tillsynsbegäran.docx", "A 41442-2023")</f>
        <v/>
      </c>
      <c r="Y191">
        <f>HYPERLINK("https://klasma.github.io/Logging_0882/tillsynsmail/A 41442-2023 tillsynsbegäran mail.docx", "A 41442-2023")</f>
        <v/>
      </c>
    </row>
    <row r="192" ht="15" customHeight="1">
      <c r="A192" t="inlineStr">
        <is>
          <t>A 54271-2023</t>
        </is>
      </c>
      <c r="B192" s="1" t="n">
        <v>45232</v>
      </c>
      <c r="C192" s="1" t="n">
        <v>45715</v>
      </c>
      <c r="D192" t="inlineStr">
        <is>
          <t>KALMAR LÄN</t>
        </is>
      </c>
      <c r="E192" t="inlineStr">
        <is>
          <t>VÄSTERVIK</t>
        </is>
      </c>
      <c r="G192" t="n">
        <v>3.4</v>
      </c>
      <c r="H192" t="n">
        <v>1</v>
      </c>
      <c r="I192" t="n">
        <v>3</v>
      </c>
      <c r="J192" t="n">
        <v>1</v>
      </c>
      <c r="K192" t="n">
        <v>1</v>
      </c>
      <c r="L192" t="n">
        <v>0</v>
      </c>
      <c r="M192" t="n">
        <v>0</v>
      </c>
      <c r="N192" t="n">
        <v>0</v>
      </c>
      <c r="O192" t="n">
        <v>2</v>
      </c>
      <c r="P192" t="n">
        <v>1</v>
      </c>
      <c r="Q192" t="n">
        <v>5</v>
      </c>
      <c r="R192" s="2" t="inlineStr">
        <is>
          <t>Knärot
Motaggsvamp
Blomkålssvamp
Blåmossa
Grönpyrola</t>
        </is>
      </c>
      <c r="S192">
        <f>HYPERLINK("https://klasma.github.io/Logging_0883/artfynd/A 54271-2023 artfynd.xlsx", "A 54271-2023")</f>
        <v/>
      </c>
      <c r="T192">
        <f>HYPERLINK("https://klasma.github.io/Logging_0883/kartor/A 54271-2023 karta.png", "A 54271-2023")</f>
        <v/>
      </c>
      <c r="U192">
        <f>HYPERLINK("https://klasma.github.io/Logging_0883/knärot/A 54271-2023 karta knärot.png", "A 54271-2023")</f>
        <v/>
      </c>
      <c r="V192">
        <f>HYPERLINK("https://klasma.github.io/Logging_0883/klagomål/A 54271-2023 FSC-klagomål.docx", "A 54271-2023")</f>
        <v/>
      </c>
      <c r="W192">
        <f>HYPERLINK("https://klasma.github.io/Logging_0883/klagomålsmail/A 54271-2023 FSC-klagomål mail.docx", "A 54271-2023")</f>
        <v/>
      </c>
      <c r="X192">
        <f>HYPERLINK("https://klasma.github.io/Logging_0883/tillsyn/A 54271-2023 tillsynsbegäran.docx", "A 54271-2023")</f>
        <v/>
      </c>
      <c r="Y192">
        <f>HYPERLINK("https://klasma.github.io/Logging_0883/tillsynsmail/A 54271-2023 tillsynsbegäran mail.docx", "A 54271-2023")</f>
        <v/>
      </c>
    </row>
    <row r="193" ht="15" customHeight="1">
      <c r="A193" t="inlineStr">
        <is>
          <t>A 64870-2023</t>
        </is>
      </c>
      <c r="B193" s="1" t="n">
        <v>45282</v>
      </c>
      <c r="C193" s="1" t="n">
        <v>45715</v>
      </c>
      <c r="D193" t="inlineStr">
        <is>
          <t>KALMAR LÄN</t>
        </is>
      </c>
      <c r="E193" t="inlineStr">
        <is>
          <t>MÖNSTERÅS</t>
        </is>
      </c>
      <c r="G193" t="n">
        <v>12.3</v>
      </c>
      <c r="H193" t="n">
        <v>3</v>
      </c>
      <c r="I193" t="n">
        <v>2</v>
      </c>
      <c r="J193" t="n">
        <v>2</v>
      </c>
      <c r="K193" t="n">
        <v>1</v>
      </c>
      <c r="L193" t="n">
        <v>0</v>
      </c>
      <c r="M193" t="n">
        <v>0</v>
      </c>
      <c r="N193" t="n">
        <v>0</v>
      </c>
      <c r="O193" t="n">
        <v>3</v>
      </c>
      <c r="P193" t="n">
        <v>1</v>
      </c>
      <c r="Q193" t="n">
        <v>5</v>
      </c>
      <c r="R193" s="2" t="inlineStr">
        <is>
          <t>Knärot
Spillkråka
Talltita
Blåmossa
Grönpyrola</t>
        </is>
      </c>
      <c r="S193">
        <f>HYPERLINK("https://klasma.github.io/Logging_0861/artfynd/A 64870-2023 artfynd.xlsx", "A 64870-2023")</f>
        <v/>
      </c>
      <c r="T193">
        <f>HYPERLINK("https://klasma.github.io/Logging_0861/kartor/A 64870-2023 karta.png", "A 64870-2023")</f>
        <v/>
      </c>
      <c r="U193">
        <f>HYPERLINK("https://klasma.github.io/Logging_0861/knärot/A 64870-2023 karta knärot.png", "A 64870-2023")</f>
        <v/>
      </c>
      <c r="V193">
        <f>HYPERLINK("https://klasma.github.io/Logging_0861/klagomål/A 64870-2023 FSC-klagomål.docx", "A 64870-2023")</f>
        <v/>
      </c>
      <c r="W193">
        <f>HYPERLINK("https://klasma.github.io/Logging_0861/klagomålsmail/A 64870-2023 FSC-klagomål mail.docx", "A 64870-2023")</f>
        <v/>
      </c>
      <c r="X193">
        <f>HYPERLINK("https://klasma.github.io/Logging_0861/tillsyn/A 64870-2023 tillsynsbegäran.docx", "A 64870-2023")</f>
        <v/>
      </c>
      <c r="Y193">
        <f>HYPERLINK("https://klasma.github.io/Logging_0861/tillsynsmail/A 64870-2023 tillsynsbegäran mail.docx", "A 64870-2023")</f>
        <v/>
      </c>
      <c r="Z193">
        <f>HYPERLINK("https://klasma.github.io/Logging_0861/fåglar/A 64870-2023 prioriterade fågelarter.docx", "A 64870-2023")</f>
        <v/>
      </c>
    </row>
    <row r="194" ht="15" customHeight="1">
      <c r="A194" t="inlineStr">
        <is>
          <t>A 1817-2024</t>
        </is>
      </c>
      <c r="B194" s="1" t="n">
        <v>45307</v>
      </c>
      <c r="C194" s="1" t="n">
        <v>45715</v>
      </c>
      <c r="D194" t="inlineStr">
        <is>
          <t>KALMAR LÄN</t>
        </is>
      </c>
      <c r="E194" t="inlineStr">
        <is>
          <t>VIMMERBY</t>
        </is>
      </c>
      <c r="G194" t="n">
        <v>4.4</v>
      </c>
      <c r="H194" t="n">
        <v>3</v>
      </c>
      <c r="I194" t="n">
        <v>1</v>
      </c>
      <c r="J194" t="n">
        <v>2</v>
      </c>
      <c r="K194" t="n">
        <v>2</v>
      </c>
      <c r="L194" t="n">
        <v>0</v>
      </c>
      <c r="M194" t="n">
        <v>0</v>
      </c>
      <c r="N194" t="n">
        <v>0</v>
      </c>
      <c r="O194" t="n">
        <v>4</v>
      </c>
      <c r="P194" t="n">
        <v>2</v>
      </c>
      <c r="Q194" t="n">
        <v>5</v>
      </c>
      <c r="R194" s="2" t="inlineStr">
        <is>
          <t>Knärot
Vågticka
Spillkråka
Talltita
Blomkålssvamp</t>
        </is>
      </c>
      <c r="S194">
        <f>HYPERLINK("https://klasma.github.io/Logging_0884/artfynd/A 1817-2024 artfynd.xlsx", "A 1817-2024")</f>
        <v/>
      </c>
      <c r="T194">
        <f>HYPERLINK("https://klasma.github.io/Logging_0884/kartor/A 1817-2024 karta.png", "A 1817-2024")</f>
        <v/>
      </c>
      <c r="U194">
        <f>HYPERLINK("https://klasma.github.io/Logging_0884/knärot/A 1817-2024 karta knärot.png", "A 1817-2024")</f>
        <v/>
      </c>
      <c r="V194">
        <f>HYPERLINK("https://klasma.github.io/Logging_0884/klagomål/A 1817-2024 FSC-klagomål.docx", "A 1817-2024")</f>
        <v/>
      </c>
      <c r="W194">
        <f>HYPERLINK("https://klasma.github.io/Logging_0884/klagomålsmail/A 1817-2024 FSC-klagomål mail.docx", "A 1817-2024")</f>
        <v/>
      </c>
      <c r="X194">
        <f>HYPERLINK("https://klasma.github.io/Logging_0884/tillsyn/A 1817-2024 tillsynsbegäran.docx", "A 1817-2024")</f>
        <v/>
      </c>
      <c r="Y194">
        <f>HYPERLINK("https://klasma.github.io/Logging_0884/tillsynsmail/A 1817-2024 tillsynsbegäran mail.docx", "A 1817-2024")</f>
        <v/>
      </c>
      <c r="Z194">
        <f>HYPERLINK("https://klasma.github.io/Logging_0884/fåglar/A 1817-2024 prioriterade fågelarter.docx", "A 1817-2024")</f>
        <v/>
      </c>
    </row>
    <row r="195" ht="15" customHeight="1">
      <c r="A195" t="inlineStr">
        <is>
          <t>A 6423-2024</t>
        </is>
      </c>
      <c r="B195" s="1" t="n">
        <v>45338</v>
      </c>
      <c r="C195" s="1" t="n">
        <v>45715</v>
      </c>
      <c r="D195" t="inlineStr">
        <is>
          <t>KALMAR LÄN</t>
        </is>
      </c>
      <c r="E195" t="inlineStr">
        <is>
          <t>VÄSTERVIK</t>
        </is>
      </c>
      <c r="G195" t="n">
        <v>26.6</v>
      </c>
      <c r="H195" t="n">
        <v>2</v>
      </c>
      <c r="I195" t="n">
        <v>2</v>
      </c>
      <c r="J195" t="n">
        <v>1</v>
      </c>
      <c r="K195" t="n">
        <v>1</v>
      </c>
      <c r="L195" t="n">
        <v>0</v>
      </c>
      <c r="M195" t="n">
        <v>0</v>
      </c>
      <c r="N195" t="n">
        <v>0</v>
      </c>
      <c r="O195" t="n">
        <v>2</v>
      </c>
      <c r="P195" t="n">
        <v>1</v>
      </c>
      <c r="Q195" t="n">
        <v>5</v>
      </c>
      <c r="R195" s="2" t="inlineStr">
        <is>
          <t>Knärot
Tallticka
Grovticka
Hasselticka
Mattlummer</t>
        </is>
      </c>
      <c r="S195">
        <f>HYPERLINK("https://klasma.github.io/Logging_0883/artfynd/A 6423-2024 artfynd.xlsx", "A 6423-2024")</f>
        <v/>
      </c>
      <c r="T195">
        <f>HYPERLINK("https://klasma.github.io/Logging_0883/kartor/A 6423-2024 karta.png", "A 6423-2024")</f>
        <v/>
      </c>
      <c r="U195">
        <f>HYPERLINK("https://klasma.github.io/Logging_0883/knärot/A 6423-2024 karta knärot.png", "A 6423-2024")</f>
        <v/>
      </c>
      <c r="V195">
        <f>HYPERLINK("https://klasma.github.io/Logging_0883/klagomål/A 6423-2024 FSC-klagomål.docx", "A 6423-2024")</f>
        <v/>
      </c>
      <c r="W195">
        <f>HYPERLINK("https://klasma.github.io/Logging_0883/klagomålsmail/A 6423-2024 FSC-klagomål mail.docx", "A 6423-2024")</f>
        <v/>
      </c>
      <c r="X195">
        <f>HYPERLINK("https://klasma.github.io/Logging_0883/tillsyn/A 6423-2024 tillsynsbegäran.docx", "A 6423-2024")</f>
        <v/>
      </c>
      <c r="Y195">
        <f>HYPERLINK("https://klasma.github.io/Logging_0883/tillsynsmail/A 6423-2024 tillsynsbegäran mail.docx", "A 6423-2024")</f>
        <v/>
      </c>
    </row>
    <row r="196" ht="15" customHeight="1">
      <c r="A196" t="inlineStr">
        <is>
          <t>A 12081-2024</t>
        </is>
      </c>
      <c r="B196" s="1" t="n">
        <v>45377</v>
      </c>
      <c r="C196" s="1" t="n">
        <v>45715</v>
      </c>
      <c r="D196" t="inlineStr">
        <is>
          <t>KALMAR LÄN</t>
        </is>
      </c>
      <c r="E196" t="inlineStr">
        <is>
          <t>VIMMERBY</t>
        </is>
      </c>
      <c r="G196" t="n">
        <v>1.5</v>
      </c>
      <c r="H196" t="n">
        <v>1</v>
      </c>
      <c r="I196" t="n">
        <v>4</v>
      </c>
      <c r="J196" t="n">
        <v>1</v>
      </c>
      <c r="K196" t="n">
        <v>0</v>
      </c>
      <c r="L196" t="n">
        <v>0</v>
      </c>
      <c r="M196" t="n">
        <v>0</v>
      </c>
      <c r="N196" t="n">
        <v>0</v>
      </c>
      <c r="O196" t="n">
        <v>1</v>
      </c>
      <c r="P196" t="n">
        <v>0</v>
      </c>
      <c r="Q196" t="n">
        <v>5</v>
      </c>
      <c r="R196" s="2" t="inlineStr">
        <is>
          <t>Gullklöver
Dvärghäxört
Springkorn
Tibast
Tvåblad</t>
        </is>
      </c>
      <c r="S196">
        <f>HYPERLINK("https://klasma.github.io/Logging_0884/artfynd/A 12081-2024 artfynd.xlsx", "A 12081-2024")</f>
        <v/>
      </c>
      <c r="T196">
        <f>HYPERLINK("https://klasma.github.io/Logging_0884/kartor/A 12081-2024 karta.png", "A 12081-2024")</f>
        <v/>
      </c>
      <c r="V196">
        <f>HYPERLINK("https://klasma.github.io/Logging_0884/klagomål/A 12081-2024 FSC-klagomål.docx", "A 12081-2024")</f>
        <v/>
      </c>
      <c r="W196">
        <f>HYPERLINK("https://klasma.github.io/Logging_0884/klagomålsmail/A 12081-2024 FSC-klagomål mail.docx", "A 12081-2024")</f>
        <v/>
      </c>
      <c r="X196">
        <f>HYPERLINK("https://klasma.github.io/Logging_0884/tillsyn/A 12081-2024 tillsynsbegäran.docx", "A 12081-2024")</f>
        <v/>
      </c>
      <c r="Y196">
        <f>HYPERLINK("https://klasma.github.io/Logging_0884/tillsynsmail/A 12081-2024 tillsynsbegäran mail.docx", "A 12081-2024")</f>
        <v/>
      </c>
    </row>
    <row r="197" ht="15" customHeight="1">
      <c r="A197" t="inlineStr">
        <is>
          <t>A 13124-2024</t>
        </is>
      </c>
      <c r="B197" s="1" t="n">
        <v>45385</v>
      </c>
      <c r="C197" s="1" t="n">
        <v>45715</v>
      </c>
      <c r="D197" t="inlineStr">
        <is>
          <t>KALMAR LÄN</t>
        </is>
      </c>
      <c r="E197" t="inlineStr">
        <is>
          <t>HULTSFRED</t>
        </is>
      </c>
      <c r="G197" t="n">
        <v>1.2</v>
      </c>
      <c r="H197" t="n">
        <v>4</v>
      </c>
      <c r="I197" t="n">
        <v>2</v>
      </c>
      <c r="J197" t="n">
        <v>0</v>
      </c>
      <c r="K197" t="n">
        <v>0</v>
      </c>
      <c r="L197" t="n">
        <v>0</v>
      </c>
      <c r="M197" t="n">
        <v>0</v>
      </c>
      <c r="N197" t="n">
        <v>0</v>
      </c>
      <c r="O197" t="n">
        <v>0</v>
      </c>
      <c r="P197" t="n">
        <v>0</v>
      </c>
      <c r="Q197" t="n">
        <v>5</v>
      </c>
      <c r="R197" s="2" t="inlineStr">
        <is>
          <t>Grönpyrola
Korallrot
Fläcknycklar
Grönvit nattviol
Nattviol</t>
        </is>
      </c>
      <c r="S197">
        <f>HYPERLINK("https://klasma.github.io/Logging_0860/artfynd/A 13124-2024 artfynd.xlsx", "A 13124-2024")</f>
        <v/>
      </c>
      <c r="T197">
        <f>HYPERLINK("https://klasma.github.io/Logging_0860/kartor/A 13124-2024 karta.png", "A 13124-2024")</f>
        <v/>
      </c>
      <c r="V197">
        <f>HYPERLINK("https://klasma.github.io/Logging_0860/klagomål/A 13124-2024 FSC-klagomål.docx", "A 13124-2024")</f>
        <v/>
      </c>
      <c r="W197">
        <f>HYPERLINK("https://klasma.github.io/Logging_0860/klagomålsmail/A 13124-2024 FSC-klagomål mail.docx", "A 13124-2024")</f>
        <v/>
      </c>
      <c r="X197">
        <f>HYPERLINK("https://klasma.github.io/Logging_0860/tillsyn/A 13124-2024 tillsynsbegäran.docx", "A 13124-2024")</f>
        <v/>
      </c>
      <c r="Y197">
        <f>HYPERLINK("https://klasma.github.io/Logging_0860/tillsynsmail/A 13124-2024 tillsynsbegäran mail.docx", "A 13124-2024")</f>
        <v/>
      </c>
    </row>
    <row r="198" ht="15" customHeight="1">
      <c r="A198" t="inlineStr">
        <is>
          <t>A 21675-2024</t>
        </is>
      </c>
      <c r="B198" s="1" t="n">
        <v>45442</v>
      </c>
      <c r="C198" s="1" t="n">
        <v>45715</v>
      </c>
      <c r="D198" t="inlineStr">
        <is>
          <t>KALMAR LÄN</t>
        </is>
      </c>
      <c r="E198" t="inlineStr">
        <is>
          <t>NYBRO</t>
        </is>
      </c>
      <c r="G198" t="n">
        <v>4</v>
      </c>
      <c r="H198" t="n">
        <v>1</v>
      </c>
      <c r="I198" t="n">
        <v>0</v>
      </c>
      <c r="J198" t="n">
        <v>4</v>
      </c>
      <c r="K198" t="n">
        <v>0</v>
      </c>
      <c r="L198" t="n">
        <v>0</v>
      </c>
      <c r="M198" t="n">
        <v>0</v>
      </c>
      <c r="N198" t="n">
        <v>0</v>
      </c>
      <c r="O198" t="n">
        <v>4</v>
      </c>
      <c r="P198" t="n">
        <v>0</v>
      </c>
      <c r="Q198" t="n">
        <v>5</v>
      </c>
      <c r="R198" s="2" t="inlineStr">
        <is>
          <t>Gullklöver
Solvända
Svinrot
Vårstarr
Tjäder</t>
        </is>
      </c>
      <c r="S198">
        <f>HYPERLINK("https://klasma.github.io/Logging_0881/artfynd/A 21675-2024 artfynd.xlsx", "A 21675-2024")</f>
        <v/>
      </c>
      <c r="T198">
        <f>HYPERLINK("https://klasma.github.io/Logging_0881/kartor/A 21675-2024 karta.png", "A 21675-2024")</f>
        <v/>
      </c>
      <c r="V198">
        <f>HYPERLINK("https://klasma.github.io/Logging_0881/klagomål/A 21675-2024 FSC-klagomål.docx", "A 21675-2024")</f>
        <v/>
      </c>
      <c r="W198">
        <f>HYPERLINK("https://klasma.github.io/Logging_0881/klagomålsmail/A 21675-2024 FSC-klagomål mail.docx", "A 21675-2024")</f>
        <v/>
      </c>
      <c r="X198">
        <f>HYPERLINK("https://klasma.github.io/Logging_0881/tillsyn/A 21675-2024 tillsynsbegäran.docx", "A 21675-2024")</f>
        <v/>
      </c>
      <c r="Y198">
        <f>HYPERLINK("https://klasma.github.io/Logging_0881/tillsynsmail/A 21675-2024 tillsynsbegäran mail.docx", "A 21675-2024")</f>
        <v/>
      </c>
      <c r="Z198">
        <f>HYPERLINK("https://klasma.github.io/Logging_0881/fåglar/A 21675-2024 prioriterade fågelarter.docx", "A 21675-2024")</f>
        <v/>
      </c>
    </row>
    <row r="199" ht="15" customHeight="1">
      <c r="A199" t="inlineStr">
        <is>
          <t>A 22285-2024</t>
        </is>
      </c>
      <c r="B199" s="1" t="n">
        <v>45446</v>
      </c>
      <c r="C199" s="1" t="n">
        <v>45715</v>
      </c>
      <c r="D199" t="inlineStr">
        <is>
          <t>KALMAR LÄN</t>
        </is>
      </c>
      <c r="E199" t="inlineStr">
        <is>
          <t>NYBRO</t>
        </is>
      </c>
      <c r="F199" t="inlineStr">
        <is>
          <t>Sveaskog</t>
        </is>
      </c>
      <c r="G199" t="n">
        <v>1.2</v>
      </c>
      <c r="H199" t="n">
        <v>5</v>
      </c>
      <c r="I199" t="n">
        <v>0</v>
      </c>
      <c r="J199" t="n">
        <v>3</v>
      </c>
      <c r="K199" t="n">
        <v>0</v>
      </c>
      <c r="L199" t="n">
        <v>0</v>
      </c>
      <c r="M199" t="n">
        <v>0</v>
      </c>
      <c r="N199" t="n">
        <v>0</v>
      </c>
      <c r="O199" t="n">
        <v>3</v>
      </c>
      <c r="P199" t="n">
        <v>0</v>
      </c>
      <c r="Q199" t="n">
        <v>5</v>
      </c>
      <c r="R199" s="2" t="inlineStr">
        <is>
          <t>Barbastell
Brunlångöra
Nordfladdermus
Dvärgpipistrell
Större brunfladdermus</t>
        </is>
      </c>
      <c r="S199">
        <f>HYPERLINK("https://klasma.github.io/Logging_0881/artfynd/A 22285-2024 artfynd.xlsx", "A 22285-2024")</f>
        <v/>
      </c>
      <c r="T199">
        <f>HYPERLINK("https://klasma.github.io/Logging_0881/kartor/A 22285-2024 karta.png", "A 22285-2024")</f>
        <v/>
      </c>
      <c r="V199">
        <f>HYPERLINK("https://klasma.github.io/Logging_0881/klagomål/A 22285-2024 FSC-klagomål.docx", "A 22285-2024")</f>
        <v/>
      </c>
      <c r="W199">
        <f>HYPERLINK("https://klasma.github.io/Logging_0881/klagomålsmail/A 22285-2024 FSC-klagomål mail.docx", "A 22285-2024")</f>
        <v/>
      </c>
      <c r="X199">
        <f>HYPERLINK("https://klasma.github.io/Logging_0881/tillsyn/A 22285-2024 tillsynsbegäran.docx", "A 22285-2024")</f>
        <v/>
      </c>
      <c r="Y199">
        <f>HYPERLINK("https://klasma.github.io/Logging_0881/tillsynsmail/A 22285-2024 tillsynsbegäran mail.docx", "A 22285-2024")</f>
        <v/>
      </c>
    </row>
    <row r="200" ht="15" customHeight="1">
      <c r="A200" t="inlineStr">
        <is>
          <t>A 26187-2024</t>
        </is>
      </c>
      <c r="B200" s="1" t="n">
        <v>45468</v>
      </c>
      <c r="C200" s="1" t="n">
        <v>45715</v>
      </c>
      <c r="D200" t="inlineStr">
        <is>
          <t>KALMAR LÄN</t>
        </is>
      </c>
      <c r="E200" t="inlineStr">
        <is>
          <t>OSKARSHAMN</t>
        </is>
      </c>
      <c r="F200" t="inlineStr">
        <is>
          <t>Kommuner</t>
        </is>
      </c>
      <c r="G200" t="n">
        <v>1.8</v>
      </c>
      <c r="H200" t="n">
        <v>2</v>
      </c>
      <c r="I200" t="n">
        <v>1</v>
      </c>
      <c r="J200" t="n">
        <v>3</v>
      </c>
      <c r="K200" t="n">
        <v>0</v>
      </c>
      <c r="L200" t="n">
        <v>0</v>
      </c>
      <c r="M200" t="n">
        <v>0</v>
      </c>
      <c r="N200" t="n">
        <v>0</v>
      </c>
      <c r="O200" t="n">
        <v>3</v>
      </c>
      <c r="P200" t="n">
        <v>0</v>
      </c>
      <c r="Q200" t="n">
        <v>5</v>
      </c>
      <c r="R200" s="2" t="inlineStr">
        <is>
          <t>Ekticka
Spillkråka
Vippärt
Murgröna
Blåsippa</t>
        </is>
      </c>
      <c r="S200">
        <f>HYPERLINK("https://klasma.github.io/Logging_0882/artfynd/A 26187-2024 artfynd.xlsx", "A 26187-2024")</f>
        <v/>
      </c>
      <c r="T200">
        <f>HYPERLINK("https://klasma.github.io/Logging_0882/kartor/A 26187-2024 karta.png", "A 26187-2024")</f>
        <v/>
      </c>
      <c r="V200">
        <f>HYPERLINK("https://klasma.github.io/Logging_0882/klagomål/A 26187-2024 FSC-klagomål.docx", "A 26187-2024")</f>
        <v/>
      </c>
      <c r="W200">
        <f>HYPERLINK("https://klasma.github.io/Logging_0882/klagomålsmail/A 26187-2024 FSC-klagomål mail.docx", "A 26187-2024")</f>
        <v/>
      </c>
      <c r="X200">
        <f>HYPERLINK("https://klasma.github.io/Logging_0882/tillsyn/A 26187-2024 tillsynsbegäran.docx", "A 26187-2024")</f>
        <v/>
      </c>
      <c r="Y200">
        <f>HYPERLINK("https://klasma.github.io/Logging_0882/tillsynsmail/A 26187-2024 tillsynsbegäran mail.docx", "A 26187-2024")</f>
        <v/>
      </c>
      <c r="Z200">
        <f>HYPERLINK("https://klasma.github.io/Logging_0882/fåglar/A 26187-2024 prioriterade fågelarter.docx", "A 26187-2024")</f>
        <v/>
      </c>
    </row>
    <row r="201" ht="15" customHeight="1">
      <c r="A201" t="inlineStr">
        <is>
          <t>A 26223-2024</t>
        </is>
      </c>
      <c r="B201" s="1" t="n">
        <v>45468</v>
      </c>
      <c r="C201" s="1" t="n">
        <v>45715</v>
      </c>
      <c r="D201" t="inlineStr">
        <is>
          <t>KALMAR LÄN</t>
        </is>
      </c>
      <c r="E201" t="inlineStr">
        <is>
          <t>OSKARSHAMN</t>
        </is>
      </c>
      <c r="F201" t="inlineStr">
        <is>
          <t>Kommuner</t>
        </is>
      </c>
      <c r="G201" t="n">
        <v>3.3</v>
      </c>
      <c r="H201" t="n">
        <v>2</v>
      </c>
      <c r="I201" t="n">
        <v>1</v>
      </c>
      <c r="J201" t="n">
        <v>3</v>
      </c>
      <c r="K201" t="n">
        <v>0</v>
      </c>
      <c r="L201" t="n">
        <v>0</v>
      </c>
      <c r="M201" t="n">
        <v>0</v>
      </c>
      <c r="N201" t="n">
        <v>0</v>
      </c>
      <c r="O201" t="n">
        <v>3</v>
      </c>
      <c r="P201" t="n">
        <v>0</v>
      </c>
      <c r="Q201" t="n">
        <v>5</v>
      </c>
      <c r="R201" s="2" t="inlineStr">
        <is>
          <t>Ekticka
Spillkråka
Tallticka
Murgröna
Blåsippa</t>
        </is>
      </c>
      <c r="S201">
        <f>HYPERLINK("https://klasma.github.io/Logging_0882/artfynd/A 26223-2024 artfynd.xlsx", "A 26223-2024")</f>
        <v/>
      </c>
      <c r="T201">
        <f>HYPERLINK("https://klasma.github.io/Logging_0882/kartor/A 26223-2024 karta.png", "A 26223-2024")</f>
        <v/>
      </c>
      <c r="V201">
        <f>HYPERLINK("https://klasma.github.io/Logging_0882/klagomål/A 26223-2024 FSC-klagomål.docx", "A 26223-2024")</f>
        <v/>
      </c>
      <c r="W201">
        <f>HYPERLINK("https://klasma.github.io/Logging_0882/klagomålsmail/A 26223-2024 FSC-klagomål mail.docx", "A 26223-2024")</f>
        <v/>
      </c>
      <c r="X201">
        <f>HYPERLINK("https://klasma.github.io/Logging_0882/tillsyn/A 26223-2024 tillsynsbegäran.docx", "A 26223-2024")</f>
        <v/>
      </c>
      <c r="Y201">
        <f>HYPERLINK("https://klasma.github.io/Logging_0882/tillsynsmail/A 26223-2024 tillsynsbegäran mail.docx", "A 26223-2024")</f>
        <v/>
      </c>
      <c r="Z201">
        <f>HYPERLINK("https://klasma.github.io/Logging_0882/fåglar/A 26223-2024 prioriterade fågelarter.docx", "A 26223-2024")</f>
        <v/>
      </c>
    </row>
    <row r="202" ht="15" customHeight="1">
      <c r="A202" t="inlineStr">
        <is>
          <t>A 27380-2024</t>
        </is>
      </c>
      <c r="B202" s="1" t="n">
        <v>45473</v>
      </c>
      <c r="C202" s="1" t="n">
        <v>45715</v>
      </c>
      <c r="D202" t="inlineStr">
        <is>
          <t>KALMAR LÄN</t>
        </is>
      </c>
      <c r="E202" t="inlineStr">
        <is>
          <t>VÄSTERVIK</t>
        </is>
      </c>
      <c r="G202" t="n">
        <v>1.4</v>
      </c>
      <c r="H202" t="n">
        <v>2</v>
      </c>
      <c r="I202" t="n">
        <v>2</v>
      </c>
      <c r="J202" t="n">
        <v>2</v>
      </c>
      <c r="K202" t="n">
        <v>1</v>
      </c>
      <c r="L202" t="n">
        <v>0</v>
      </c>
      <c r="M202" t="n">
        <v>0</v>
      </c>
      <c r="N202" t="n">
        <v>0</v>
      </c>
      <c r="O202" t="n">
        <v>3</v>
      </c>
      <c r="P202" t="n">
        <v>1</v>
      </c>
      <c r="Q202" t="n">
        <v>5</v>
      </c>
      <c r="R202" s="2" t="inlineStr">
        <is>
          <t>Knärot
Tallticka
Talltita
Dropptaggsvamp
Zontaggsvamp</t>
        </is>
      </c>
      <c r="S202">
        <f>HYPERLINK("https://klasma.github.io/Logging_0883/artfynd/A 27380-2024 artfynd.xlsx", "A 27380-2024")</f>
        <v/>
      </c>
      <c r="T202">
        <f>HYPERLINK("https://klasma.github.io/Logging_0883/kartor/A 27380-2024 karta.png", "A 27380-2024")</f>
        <v/>
      </c>
      <c r="U202">
        <f>HYPERLINK("https://klasma.github.io/Logging_0883/knärot/A 27380-2024 karta knärot.png", "A 27380-2024")</f>
        <v/>
      </c>
      <c r="V202">
        <f>HYPERLINK("https://klasma.github.io/Logging_0883/klagomål/A 27380-2024 FSC-klagomål.docx", "A 27380-2024")</f>
        <v/>
      </c>
      <c r="W202">
        <f>HYPERLINK("https://klasma.github.io/Logging_0883/klagomålsmail/A 27380-2024 FSC-klagomål mail.docx", "A 27380-2024")</f>
        <v/>
      </c>
      <c r="X202">
        <f>HYPERLINK("https://klasma.github.io/Logging_0883/tillsyn/A 27380-2024 tillsynsbegäran.docx", "A 27380-2024")</f>
        <v/>
      </c>
      <c r="Y202">
        <f>HYPERLINK("https://klasma.github.io/Logging_0883/tillsynsmail/A 27380-2024 tillsynsbegäran mail.docx", "A 27380-2024")</f>
        <v/>
      </c>
      <c r="Z202">
        <f>HYPERLINK("https://klasma.github.io/Logging_0883/fåglar/A 27380-2024 prioriterade fågelarter.docx", "A 27380-2024")</f>
        <v/>
      </c>
    </row>
    <row r="203" ht="15" customHeight="1">
      <c r="A203" t="inlineStr">
        <is>
          <t>A 27727-2024</t>
        </is>
      </c>
      <c r="B203" s="1" t="n">
        <v>45475</v>
      </c>
      <c r="C203" s="1" t="n">
        <v>45715</v>
      </c>
      <c r="D203" t="inlineStr">
        <is>
          <t>KALMAR LÄN</t>
        </is>
      </c>
      <c r="E203" t="inlineStr">
        <is>
          <t>VÄSTERVIK</t>
        </is>
      </c>
      <c r="F203" t="inlineStr">
        <is>
          <t>Holmen skog AB</t>
        </is>
      </c>
      <c r="G203" t="n">
        <v>9.800000000000001</v>
      </c>
      <c r="H203" t="n">
        <v>3</v>
      </c>
      <c r="I203" t="n">
        <v>1</v>
      </c>
      <c r="J203" t="n">
        <v>4</v>
      </c>
      <c r="K203" t="n">
        <v>0</v>
      </c>
      <c r="L203" t="n">
        <v>0</v>
      </c>
      <c r="M203" t="n">
        <v>0</v>
      </c>
      <c r="N203" t="n">
        <v>0</v>
      </c>
      <c r="O203" t="n">
        <v>4</v>
      </c>
      <c r="P203" t="n">
        <v>0</v>
      </c>
      <c r="Q203" t="n">
        <v>5</v>
      </c>
      <c r="R203" s="2" t="inlineStr">
        <is>
          <t>Mindre hackspett
Spillkråka
Tallticka
Talltita
Blåmossa</t>
        </is>
      </c>
      <c r="S203">
        <f>HYPERLINK("https://klasma.github.io/Logging_0883/artfynd/A 27727-2024 artfynd.xlsx", "A 27727-2024")</f>
        <v/>
      </c>
      <c r="T203">
        <f>HYPERLINK("https://klasma.github.io/Logging_0883/kartor/A 27727-2024 karta.png", "A 27727-2024")</f>
        <v/>
      </c>
      <c r="V203">
        <f>HYPERLINK("https://klasma.github.io/Logging_0883/klagomål/A 27727-2024 FSC-klagomål.docx", "A 27727-2024")</f>
        <v/>
      </c>
      <c r="W203">
        <f>HYPERLINK("https://klasma.github.io/Logging_0883/klagomålsmail/A 27727-2024 FSC-klagomål mail.docx", "A 27727-2024")</f>
        <v/>
      </c>
      <c r="X203">
        <f>HYPERLINK("https://klasma.github.io/Logging_0883/tillsyn/A 27727-2024 tillsynsbegäran.docx", "A 27727-2024")</f>
        <v/>
      </c>
      <c r="Y203">
        <f>HYPERLINK("https://klasma.github.io/Logging_0883/tillsynsmail/A 27727-2024 tillsynsbegäran mail.docx", "A 27727-2024")</f>
        <v/>
      </c>
      <c r="Z203">
        <f>HYPERLINK("https://klasma.github.io/Logging_0883/fåglar/A 27727-2024 prioriterade fågelarter.docx", "A 27727-2024")</f>
        <v/>
      </c>
    </row>
    <row r="204" ht="15" customHeight="1">
      <c r="A204" t="inlineStr">
        <is>
          <t>A 27737-2024</t>
        </is>
      </c>
      <c r="B204" s="1" t="n">
        <v>45475</v>
      </c>
      <c r="C204" s="1" t="n">
        <v>45715</v>
      </c>
      <c r="D204" t="inlineStr">
        <is>
          <t>KALMAR LÄN</t>
        </is>
      </c>
      <c r="E204" t="inlineStr">
        <is>
          <t>VÄSTERVIK</t>
        </is>
      </c>
      <c r="F204" t="inlineStr">
        <is>
          <t>Holmen skog AB</t>
        </is>
      </c>
      <c r="G204" t="n">
        <v>2.7</v>
      </c>
      <c r="H204" t="n">
        <v>2</v>
      </c>
      <c r="I204" t="n">
        <v>0</v>
      </c>
      <c r="J204" t="n">
        <v>4</v>
      </c>
      <c r="K204" t="n">
        <v>0</v>
      </c>
      <c r="L204" t="n">
        <v>0</v>
      </c>
      <c r="M204" t="n">
        <v>0</v>
      </c>
      <c r="N204" t="n">
        <v>0</v>
      </c>
      <c r="O204" t="n">
        <v>4</v>
      </c>
      <c r="P204" t="n">
        <v>0</v>
      </c>
      <c r="Q204" t="n">
        <v>5</v>
      </c>
      <c r="R204" s="2" t="inlineStr">
        <is>
          <t>Ekticka
Oxtungssvamp
Spillkråka
Ullticka
Mattlummer</t>
        </is>
      </c>
      <c r="S204">
        <f>HYPERLINK("https://klasma.github.io/Logging_0883/artfynd/A 27737-2024 artfynd.xlsx", "A 27737-2024")</f>
        <v/>
      </c>
      <c r="T204">
        <f>HYPERLINK("https://klasma.github.io/Logging_0883/kartor/A 27737-2024 karta.png", "A 27737-2024")</f>
        <v/>
      </c>
      <c r="V204">
        <f>HYPERLINK("https://klasma.github.io/Logging_0883/klagomål/A 27737-2024 FSC-klagomål.docx", "A 27737-2024")</f>
        <v/>
      </c>
      <c r="W204">
        <f>HYPERLINK("https://klasma.github.io/Logging_0883/klagomålsmail/A 27737-2024 FSC-klagomål mail.docx", "A 27737-2024")</f>
        <v/>
      </c>
      <c r="X204">
        <f>HYPERLINK("https://klasma.github.io/Logging_0883/tillsyn/A 27737-2024 tillsynsbegäran.docx", "A 27737-2024")</f>
        <v/>
      </c>
      <c r="Y204">
        <f>HYPERLINK("https://klasma.github.io/Logging_0883/tillsynsmail/A 27737-2024 tillsynsbegäran mail.docx", "A 27737-2024")</f>
        <v/>
      </c>
      <c r="Z204">
        <f>HYPERLINK("https://klasma.github.io/Logging_0883/fåglar/A 27737-2024 prioriterade fågelarter.docx", "A 27737-2024")</f>
        <v/>
      </c>
    </row>
    <row r="205" ht="15" customHeight="1">
      <c r="A205" t="inlineStr">
        <is>
          <t>A 28360-2024</t>
        </is>
      </c>
      <c r="B205" s="1" t="n">
        <v>45477</v>
      </c>
      <c r="C205" s="1" t="n">
        <v>45715</v>
      </c>
      <c r="D205" t="inlineStr">
        <is>
          <t>KALMAR LÄN</t>
        </is>
      </c>
      <c r="E205" t="inlineStr">
        <is>
          <t>VÄSTERVIK</t>
        </is>
      </c>
      <c r="G205" t="n">
        <v>2.8</v>
      </c>
      <c r="H205" t="n">
        <v>2</v>
      </c>
      <c r="I205" t="n">
        <v>3</v>
      </c>
      <c r="J205" t="n">
        <v>1</v>
      </c>
      <c r="K205" t="n">
        <v>1</v>
      </c>
      <c r="L205" t="n">
        <v>0</v>
      </c>
      <c r="M205" t="n">
        <v>0</v>
      </c>
      <c r="N205" t="n">
        <v>0</v>
      </c>
      <c r="O205" t="n">
        <v>2</v>
      </c>
      <c r="P205" t="n">
        <v>1</v>
      </c>
      <c r="Q205" t="n">
        <v>5</v>
      </c>
      <c r="R205" s="2" t="inlineStr">
        <is>
          <t>Knärot
Talltita
Blåmossa
Grovticka
Grönpyrola</t>
        </is>
      </c>
      <c r="S205">
        <f>HYPERLINK("https://klasma.github.io/Logging_0883/artfynd/A 28360-2024 artfynd.xlsx", "A 28360-2024")</f>
        <v/>
      </c>
      <c r="T205">
        <f>HYPERLINK("https://klasma.github.io/Logging_0883/kartor/A 28360-2024 karta.png", "A 28360-2024")</f>
        <v/>
      </c>
      <c r="U205">
        <f>HYPERLINK("https://klasma.github.io/Logging_0883/knärot/A 28360-2024 karta knärot.png", "A 28360-2024")</f>
        <v/>
      </c>
      <c r="V205">
        <f>HYPERLINK("https://klasma.github.io/Logging_0883/klagomål/A 28360-2024 FSC-klagomål.docx", "A 28360-2024")</f>
        <v/>
      </c>
      <c r="W205">
        <f>HYPERLINK("https://klasma.github.io/Logging_0883/klagomålsmail/A 28360-2024 FSC-klagomål mail.docx", "A 28360-2024")</f>
        <v/>
      </c>
      <c r="X205">
        <f>HYPERLINK("https://klasma.github.io/Logging_0883/tillsyn/A 28360-2024 tillsynsbegäran.docx", "A 28360-2024")</f>
        <v/>
      </c>
      <c r="Y205">
        <f>HYPERLINK("https://klasma.github.io/Logging_0883/tillsynsmail/A 28360-2024 tillsynsbegäran mail.docx", "A 28360-2024")</f>
        <v/>
      </c>
      <c r="Z205">
        <f>HYPERLINK("https://klasma.github.io/Logging_0883/fåglar/A 28360-2024 prioriterade fågelarter.docx", "A 28360-2024")</f>
        <v/>
      </c>
    </row>
    <row r="206" ht="15" customHeight="1">
      <c r="A206" t="inlineStr">
        <is>
          <t>A 31060-2024</t>
        </is>
      </c>
      <c r="B206" s="1" t="n">
        <v>45502</v>
      </c>
      <c r="C206" s="1" t="n">
        <v>45715</v>
      </c>
      <c r="D206" t="inlineStr">
        <is>
          <t>KALMAR LÄN</t>
        </is>
      </c>
      <c r="E206" t="inlineStr">
        <is>
          <t>VÄSTERVIK</t>
        </is>
      </c>
      <c r="F206" t="inlineStr">
        <is>
          <t>Holmen skog AB</t>
        </is>
      </c>
      <c r="G206" t="n">
        <v>2.8</v>
      </c>
      <c r="H206" t="n">
        <v>3</v>
      </c>
      <c r="I206" t="n">
        <v>1</v>
      </c>
      <c r="J206" t="n">
        <v>3</v>
      </c>
      <c r="K206" t="n">
        <v>1</v>
      </c>
      <c r="L206" t="n">
        <v>0</v>
      </c>
      <c r="M206" t="n">
        <v>0</v>
      </c>
      <c r="N206" t="n">
        <v>0</v>
      </c>
      <c r="O206" t="n">
        <v>4</v>
      </c>
      <c r="P206" t="n">
        <v>1</v>
      </c>
      <c r="Q206" t="n">
        <v>5</v>
      </c>
      <c r="R206" s="2" t="inlineStr">
        <is>
          <t>Knärot
Spillkråka
Tallticka
Talltita
Blåmossa</t>
        </is>
      </c>
      <c r="S206">
        <f>HYPERLINK("https://klasma.github.io/Logging_0883/artfynd/A 31060-2024 artfynd.xlsx", "A 31060-2024")</f>
        <v/>
      </c>
      <c r="T206">
        <f>HYPERLINK("https://klasma.github.io/Logging_0883/kartor/A 31060-2024 karta.png", "A 31060-2024")</f>
        <v/>
      </c>
      <c r="U206">
        <f>HYPERLINK("https://klasma.github.io/Logging_0883/knärot/A 31060-2024 karta knärot.png", "A 31060-2024")</f>
        <v/>
      </c>
      <c r="V206">
        <f>HYPERLINK("https://klasma.github.io/Logging_0883/klagomål/A 31060-2024 FSC-klagomål.docx", "A 31060-2024")</f>
        <v/>
      </c>
      <c r="W206">
        <f>HYPERLINK("https://klasma.github.io/Logging_0883/klagomålsmail/A 31060-2024 FSC-klagomål mail.docx", "A 31060-2024")</f>
        <v/>
      </c>
      <c r="X206">
        <f>HYPERLINK("https://klasma.github.io/Logging_0883/tillsyn/A 31060-2024 tillsynsbegäran.docx", "A 31060-2024")</f>
        <v/>
      </c>
      <c r="Y206">
        <f>HYPERLINK("https://klasma.github.io/Logging_0883/tillsynsmail/A 31060-2024 tillsynsbegäran mail.docx", "A 31060-2024")</f>
        <v/>
      </c>
      <c r="Z206">
        <f>HYPERLINK("https://klasma.github.io/Logging_0883/fåglar/A 31060-2024 prioriterade fågelarter.docx", "A 31060-2024")</f>
        <v/>
      </c>
    </row>
    <row r="207" ht="15" customHeight="1">
      <c r="A207" t="inlineStr">
        <is>
          <t>A 31431-2024</t>
        </is>
      </c>
      <c r="B207" s="1" t="n">
        <v>45505</v>
      </c>
      <c r="C207" s="1" t="n">
        <v>45715</v>
      </c>
      <c r="D207" t="inlineStr">
        <is>
          <t>KALMAR LÄN</t>
        </is>
      </c>
      <c r="E207" t="inlineStr">
        <is>
          <t>VÄSTERVIK</t>
        </is>
      </c>
      <c r="G207" t="n">
        <v>1.3</v>
      </c>
      <c r="H207" t="n">
        <v>0</v>
      </c>
      <c r="I207" t="n">
        <v>3</v>
      </c>
      <c r="J207" t="n">
        <v>2</v>
      </c>
      <c r="K207" t="n">
        <v>0</v>
      </c>
      <c r="L207" t="n">
        <v>0</v>
      </c>
      <c r="M207" t="n">
        <v>0</v>
      </c>
      <c r="N207" t="n">
        <v>0</v>
      </c>
      <c r="O207" t="n">
        <v>2</v>
      </c>
      <c r="P207" t="n">
        <v>0</v>
      </c>
      <c r="Q207" t="n">
        <v>5</v>
      </c>
      <c r="R207" s="2" t="inlineStr">
        <is>
          <t>Ekticka
Skeppsvarvsfluga
Fällmossa
Myskmadra
Trädporella</t>
        </is>
      </c>
      <c r="S207">
        <f>HYPERLINK("https://klasma.github.io/Logging_0883/artfynd/A 31431-2024 artfynd.xlsx", "A 31431-2024")</f>
        <v/>
      </c>
      <c r="T207">
        <f>HYPERLINK("https://klasma.github.io/Logging_0883/kartor/A 31431-2024 karta.png", "A 31431-2024")</f>
        <v/>
      </c>
      <c r="V207">
        <f>HYPERLINK("https://klasma.github.io/Logging_0883/klagomål/A 31431-2024 FSC-klagomål.docx", "A 31431-2024")</f>
        <v/>
      </c>
      <c r="W207">
        <f>HYPERLINK("https://klasma.github.io/Logging_0883/klagomålsmail/A 31431-2024 FSC-klagomål mail.docx", "A 31431-2024")</f>
        <v/>
      </c>
      <c r="X207">
        <f>HYPERLINK("https://klasma.github.io/Logging_0883/tillsyn/A 31431-2024 tillsynsbegäran.docx", "A 31431-2024")</f>
        <v/>
      </c>
      <c r="Y207">
        <f>HYPERLINK("https://klasma.github.io/Logging_0883/tillsynsmail/A 31431-2024 tillsynsbegäran mail.docx", "A 31431-2024")</f>
        <v/>
      </c>
    </row>
    <row r="208" ht="15" customHeight="1">
      <c r="A208" t="inlineStr">
        <is>
          <t>A 36021-2024</t>
        </is>
      </c>
      <c r="B208" s="1" t="n">
        <v>45533</v>
      </c>
      <c r="C208" s="1" t="n">
        <v>45715</v>
      </c>
      <c r="D208" t="inlineStr">
        <is>
          <t>KALMAR LÄN</t>
        </is>
      </c>
      <c r="E208" t="inlineStr">
        <is>
          <t>VÄSTERVIK</t>
        </is>
      </c>
      <c r="G208" t="n">
        <v>1.6</v>
      </c>
      <c r="H208" t="n">
        <v>1</v>
      </c>
      <c r="I208" t="n">
        <v>3</v>
      </c>
      <c r="J208" t="n">
        <v>1</v>
      </c>
      <c r="K208" t="n">
        <v>1</v>
      </c>
      <c r="L208" t="n">
        <v>0</v>
      </c>
      <c r="M208" t="n">
        <v>0</v>
      </c>
      <c r="N208" t="n">
        <v>0</v>
      </c>
      <c r="O208" t="n">
        <v>2</v>
      </c>
      <c r="P208" t="n">
        <v>1</v>
      </c>
      <c r="Q208" t="n">
        <v>5</v>
      </c>
      <c r="R208" s="2" t="inlineStr">
        <is>
          <t>Knärot
Tallticka
Blomkålssvamp
Dropptaggsvamp
Grovticka</t>
        </is>
      </c>
      <c r="S208">
        <f>HYPERLINK("https://klasma.github.io/Logging_0883/artfynd/A 36021-2024 artfynd.xlsx", "A 36021-2024")</f>
        <v/>
      </c>
      <c r="T208">
        <f>HYPERLINK("https://klasma.github.io/Logging_0883/kartor/A 36021-2024 karta.png", "A 36021-2024")</f>
        <v/>
      </c>
      <c r="U208">
        <f>HYPERLINK("https://klasma.github.io/Logging_0883/knärot/A 36021-2024 karta knärot.png", "A 36021-2024")</f>
        <v/>
      </c>
      <c r="V208">
        <f>HYPERLINK("https://klasma.github.io/Logging_0883/klagomål/A 36021-2024 FSC-klagomål.docx", "A 36021-2024")</f>
        <v/>
      </c>
      <c r="W208">
        <f>HYPERLINK("https://klasma.github.io/Logging_0883/klagomålsmail/A 36021-2024 FSC-klagomål mail.docx", "A 36021-2024")</f>
        <v/>
      </c>
      <c r="X208">
        <f>HYPERLINK("https://klasma.github.io/Logging_0883/tillsyn/A 36021-2024 tillsynsbegäran.docx", "A 36021-2024")</f>
        <v/>
      </c>
      <c r="Y208">
        <f>HYPERLINK("https://klasma.github.io/Logging_0883/tillsynsmail/A 36021-2024 tillsynsbegäran mail.docx", "A 36021-2024")</f>
        <v/>
      </c>
    </row>
    <row r="209" ht="15" customHeight="1">
      <c r="A209" t="inlineStr">
        <is>
          <t>A 37143-2024</t>
        </is>
      </c>
      <c r="B209" s="1" t="n">
        <v>45539</v>
      </c>
      <c r="C209" s="1" t="n">
        <v>45715</v>
      </c>
      <c r="D209" t="inlineStr">
        <is>
          <t>KALMAR LÄN</t>
        </is>
      </c>
      <c r="E209" t="inlineStr">
        <is>
          <t>MÖNSTERÅS</t>
        </is>
      </c>
      <c r="G209" t="n">
        <v>0.9</v>
      </c>
      <c r="H209" t="n">
        <v>5</v>
      </c>
      <c r="I209" t="n">
        <v>0</v>
      </c>
      <c r="J209" t="n">
        <v>2</v>
      </c>
      <c r="K209" t="n">
        <v>0</v>
      </c>
      <c r="L209" t="n">
        <v>0</v>
      </c>
      <c r="M209" t="n">
        <v>0</v>
      </c>
      <c r="N209" t="n">
        <v>0</v>
      </c>
      <c r="O209" t="n">
        <v>2</v>
      </c>
      <c r="P209" t="n">
        <v>0</v>
      </c>
      <c r="Q209" t="n">
        <v>5</v>
      </c>
      <c r="R209" s="2" t="inlineStr">
        <is>
          <t>Brunlångöra
Nordfladdermus
Dvärgpipistrell
Större brunfladdermus
Vattenfladdermus</t>
        </is>
      </c>
      <c r="S209">
        <f>HYPERLINK("https://klasma.github.io/Logging_0861/artfynd/A 37143-2024 artfynd.xlsx", "A 37143-2024")</f>
        <v/>
      </c>
      <c r="T209">
        <f>HYPERLINK("https://klasma.github.io/Logging_0861/kartor/A 37143-2024 karta.png", "A 37143-2024")</f>
        <v/>
      </c>
      <c r="V209">
        <f>HYPERLINK("https://klasma.github.io/Logging_0861/klagomål/A 37143-2024 FSC-klagomål.docx", "A 37143-2024")</f>
        <v/>
      </c>
      <c r="W209">
        <f>HYPERLINK("https://klasma.github.io/Logging_0861/klagomålsmail/A 37143-2024 FSC-klagomål mail.docx", "A 37143-2024")</f>
        <v/>
      </c>
      <c r="X209">
        <f>HYPERLINK("https://klasma.github.io/Logging_0861/tillsyn/A 37143-2024 tillsynsbegäran.docx", "A 37143-2024")</f>
        <v/>
      </c>
      <c r="Y209">
        <f>HYPERLINK("https://klasma.github.io/Logging_0861/tillsynsmail/A 37143-2024 tillsynsbegäran mail.docx", "A 37143-2024")</f>
        <v/>
      </c>
    </row>
    <row r="210" ht="15" customHeight="1">
      <c r="A210" t="inlineStr">
        <is>
          <t>A 39308-2024</t>
        </is>
      </c>
      <c r="B210" s="1" t="n">
        <v>45551</v>
      </c>
      <c r="C210" s="1" t="n">
        <v>45715</v>
      </c>
      <c r="D210" t="inlineStr">
        <is>
          <t>KALMAR LÄN</t>
        </is>
      </c>
      <c r="E210" t="inlineStr">
        <is>
          <t>VÄSTERVIK</t>
        </is>
      </c>
      <c r="G210" t="n">
        <v>6.2</v>
      </c>
      <c r="H210" t="n">
        <v>2</v>
      </c>
      <c r="I210" t="n">
        <v>3</v>
      </c>
      <c r="J210" t="n">
        <v>1</v>
      </c>
      <c r="K210" t="n">
        <v>0</v>
      </c>
      <c r="L210" t="n">
        <v>0</v>
      </c>
      <c r="M210" t="n">
        <v>0</v>
      </c>
      <c r="N210" t="n">
        <v>0</v>
      </c>
      <c r="O210" t="n">
        <v>1</v>
      </c>
      <c r="P210" t="n">
        <v>0</v>
      </c>
      <c r="Q210" t="n">
        <v>5</v>
      </c>
      <c r="R210" s="2" t="inlineStr">
        <is>
          <t>Talltita
Blåmossa
Grönpyrola
Murgröna
Kungsfågel</t>
        </is>
      </c>
      <c r="S210">
        <f>HYPERLINK("https://klasma.github.io/Logging_0883/artfynd/A 39308-2024 artfynd.xlsx", "A 39308-2024")</f>
        <v/>
      </c>
      <c r="T210">
        <f>HYPERLINK("https://klasma.github.io/Logging_0883/kartor/A 39308-2024 karta.png", "A 39308-2024")</f>
        <v/>
      </c>
      <c r="V210">
        <f>HYPERLINK("https://klasma.github.io/Logging_0883/klagomål/A 39308-2024 FSC-klagomål.docx", "A 39308-2024")</f>
        <v/>
      </c>
      <c r="W210">
        <f>HYPERLINK("https://klasma.github.io/Logging_0883/klagomålsmail/A 39308-2024 FSC-klagomål mail.docx", "A 39308-2024")</f>
        <v/>
      </c>
      <c r="X210">
        <f>HYPERLINK("https://klasma.github.io/Logging_0883/tillsyn/A 39308-2024 tillsynsbegäran.docx", "A 39308-2024")</f>
        <v/>
      </c>
      <c r="Y210">
        <f>HYPERLINK("https://klasma.github.io/Logging_0883/tillsynsmail/A 39308-2024 tillsynsbegäran mail.docx", "A 39308-2024")</f>
        <v/>
      </c>
      <c r="Z210">
        <f>HYPERLINK("https://klasma.github.io/Logging_0883/fåglar/A 39308-2024 prioriterade fågelarter.docx", "A 39308-2024")</f>
        <v/>
      </c>
    </row>
    <row r="211" ht="15" customHeight="1">
      <c r="A211" t="inlineStr">
        <is>
          <t>A 48423-2024</t>
        </is>
      </c>
      <c r="B211" s="1" t="n">
        <v>45590</v>
      </c>
      <c r="C211" s="1" t="n">
        <v>45715</v>
      </c>
      <c r="D211" t="inlineStr">
        <is>
          <t>KALMAR LÄN</t>
        </is>
      </c>
      <c r="E211" t="inlineStr">
        <is>
          <t>VÄSTERVIK</t>
        </is>
      </c>
      <c r="F211" t="inlineStr">
        <is>
          <t>Holmen skog AB</t>
        </is>
      </c>
      <c r="G211" t="n">
        <v>2.6</v>
      </c>
      <c r="H211" t="n">
        <v>3</v>
      </c>
      <c r="I211" t="n">
        <v>1</v>
      </c>
      <c r="J211" t="n">
        <v>3</v>
      </c>
      <c r="K211" t="n">
        <v>1</v>
      </c>
      <c r="L211" t="n">
        <v>0</v>
      </c>
      <c r="M211" t="n">
        <v>0</v>
      </c>
      <c r="N211" t="n">
        <v>0</v>
      </c>
      <c r="O211" t="n">
        <v>4</v>
      </c>
      <c r="P211" t="n">
        <v>1</v>
      </c>
      <c r="Q211" t="n">
        <v>5</v>
      </c>
      <c r="R211" s="2" t="inlineStr">
        <is>
          <t>Knärot
Spillkråka
Svart taggsvamp
Talltita
Blåmossa</t>
        </is>
      </c>
      <c r="S211">
        <f>HYPERLINK("https://klasma.github.io/Logging_0883/artfynd/A 48423-2024 artfynd.xlsx", "A 48423-2024")</f>
        <v/>
      </c>
      <c r="T211">
        <f>HYPERLINK("https://klasma.github.io/Logging_0883/kartor/A 48423-2024 karta.png", "A 48423-2024")</f>
        <v/>
      </c>
      <c r="U211">
        <f>HYPERLINK("https://klasma.github.io/Logging_0883/knärot/A 48423-2024 karta knärot.png", "A 48423-2024")</f>
        <v/>
      </c>
      <c r="V211">
        <f>HYPERLINK("https://klasma.github.io/Logging_0883/klagomål/A 48423-2024 FSC-klagomål.docx", "A 48423-2024")</f>
        <v/>
      </c>
      <c r="W211">
        <f>HYPERLINK("https://klasma.github.io/Logging_0883/klagomålsmail/A 48423-2024 FSC-klagomål mail.docx", "A 48423-2024")</f>
        <v/>
      </c>
      <c r="X211">
        <f>HYPERLINK("https://klasma.github.io/Logging_0883/tillsyn/A 48423-2024 tillsynsbegäran.docx", "A 48423-2024")</f>
        <v/>
      </c>
      <c r="Y211">
        <f>HYPERLINK("https://klasma.github.io/Logging_0883/tillsynsmail/A 48423-2024 tillsynsbegäran mail.docx", "A 48423-2024")</f>
        <v/>
      </c>
      <c r="Z211">
        <f>HYPERLINK("https://klasma.github.io/Logging_0883/fåglar/A 48423-2024 prioriterade fågelarter.docx", "A 48423-2024")</f>
        <v/>
      </c>
    </row>
    <row r="212" ht="15" customHeight="1">
      <c r="A212" t="inlineStr">
        <is>
          <t>A 48724-2024</t>
        </is>
      </c>
      <c r="B212" s="1" t="n">
        <v>45593</v>
      </c>
      <c r="C212" s="1" t="n">
        <v>45715</v>
      </c>
      <c r="D212" t="inlineStr">
        <is>
          <t>KALMAR LÄN</t>
        </is>
      </c>
      <c r="E212" t="inlineStr">
        <is>
          <t>VÄSTERVIK</t>
        </is>
      </c>
      <c r="G212" t="n">
        <v>3.7</v>
      </c>
      <c r="H212" t="n">
        <v>2</v>
      </c>
      <c r="I212" t="n">
        <v>2</v>
      </c>
      <c r="J212" t="n">
        <v>2</v>
      </c>
      <c r="K212" t="n">
        <v>1</v>
      </c>
      <c r="L212" t="n">
        <v>0</v>
      </c>
      <c r="M212" t="n">
        <v>0</v>
      </c>
      <c r="N212" t="n">
        <v>0</v>
      </c>
      <c r="O212" t="n">
        <v>3</v>
      </c>
      <c r="P212" t="n">
        <v>1</v>
      </c>
      <c r="Q212" t="n">
        <v>5</v>
      </c>
      <c r="R212" s="2" t="inlineStr">
        <is>
          <t>Knärot
Tallticka
Talltita
Dropptaggsvamp
Grovticka</t>
        </is>
      </c>
      <c r="S212">
        <f>HYPERLINK("https://klasma.github.io/Logging_0883/artfynd/A 48724-2024 artfynd.xlsx", "A 48724-2024")</f>
        <v/>
      </c>
      <c r="T212">
        <f>HYPERLINK("https://klasma.github.io/Logging_0883/kartor/A 48724-2024 karta.png", "A 48724-2024")</f>
        <v/>
      </c>
      <c r="U212">
        <f>HYPERLINK("https://klasma.github.io/Logging_0883/knärot/A 48724-2024 karta knärot.png", "A 48724-2024")</f>
        <v/>
      </c>
      <c r="V212">
        <f>HYPERLINK("https://klasma.github.io/Logging_0883/klagomål/A 48724-2024 FSC-klagomål.docx", "A 48724-2024")</f>
        <v/>
      </c>
      <c r="W212">
        <f>HYPERLINK("https://klasma.github.io/Logging_0883/klagomålsmail/A 48724-2024 FSC-klagomål mail.docx", "A 48724-2024")</f>
        <v/>
      </c>
      <c r="X212">
        <f>HYPERLINK("https://klasma.github.io/Logging_0883/tillsyn/A 48724-2024 tillsynsbegäran.docx", "A 48724-2024")</f>
        <v/>
      </c>
      <c r="Y212">
        <f>HYPERLINK("https://klasma.github.io/Logging_0883/tillsynsmail/A 48724-2024 tillsynsbegäran mail.docx", "A 48724-2024")</f>
        <v/>
      </c>
      <c r="Z212">
        <f>HYPERLINK("https://klasma.github.io/Logging_0883/fåglar/A 48724-2024 prioriterade fågelarter.docx", "A 48724-2024")</f>
        <v/>
      </c>
    </row>
    <row r="213" ht="15" customHeight="1">
      <c r="A213" t="inlineStr">
        <is>
          <t>A 54334-2024</t>
        </is>
      </c>
      <c r="B213" s="1" t="n">
        <v>45617</v>
      </c>
      <c r="C213" s="1" t="n">
        <v>45715</v>
      </c>
      <c r="D213" t="inlineStr">
        <is>
          <t>KALMAR LÄN</t>
        </is>
      </c>
      <c r="E213" t="inlineStr">
        <is>
          <t>VÄSTERVIK</t>
        </is>
      </c>
      <c r="F213" t="inlineStr">
        <is>
          <t>Kyrkan</t>
        </is>
      </c>
      <c r="G213" t="n">
        <v>2.6</v>
      </c>
      <c r="H213" t="n">
        <v>3</v>
      </c>
      <c r="I213" t="n">
        <v>3</v>
      </c>
      <c r="J213" t="n">
        <v>1</v>
      </c>
      <c r="K213" t="n">
        <v>1</v>
      </c>
      <c r="L213" t="n">
        <v>0</v>
      </c>
      <c r="M213" t="n">
        <v>0</v>
      </c>
      <c r="N213" t="n">
        <v>0</v>
      </c>
      <c r="O213" t="n">
        <v>2</v>
      </c>
      <c r="P213" t="n">
        <v>1</v>
      </c>
      <c r="Q213" t="n">
        <v>5</v>
      </c>
      <c r="R213" s="2" t="inlineStr">
        <is>
          <t>Knärot
Spillkråka
Fjällig taggsvamp s.str.
Grön sköldmossa
Grönpyrola</t>
        </is>
      </c>
      <c r="S213">
        <f>HYPERLINK("https://klasma.github.io/Logging_0883/artfynd/A 54334-2024 artfynd.xlsx", "A 54334-2024")</f>
        <v/>
      </c>
      <c r="T213">
        <f>HYPERLINK("https://klasma.github.io/Logging_0883/kartor/A 54334-2024 karta.png", "A 54334-2024")</f>
        <v/>
      </c>
      <c r="U213">
        <f>HYPERLINK("https://klasma.github.io/Logging_0883/knärot/A 54334-2024 karta knärot.png", "A 54334-2024")</f>
        <v/>
      </c>
      <c r="V213">
        <f>HYPERLINK("https://klasma.github.io/Logging_0883/klagomål/A 54334-2024 FSC-klagomål.docx", "A 54334-2024")</f>
        <v/>
      </c>
      <c r="W213">
        <f>HYPERLINK("https://klasma.github.io/Logging_0883/klagomålsmail/A 54334-2024 FSC-klagomål mail.docx", "A 54334-2024")</f>
        <v/>
      </c>
      <c r="X213">
        <f>HYPERLINK("https://klasma.github.io/Logging_0883/tillsyn/A 54334-2024 tillsynsbegäran.docx", "A 54334-2024")</f>
        <v/>
      </c>
      <c r="Y213">
        <f>HYPERLINK("https://klasma.github.io/Logging_0883/tillsynsmail/A 54334-2024 tillsynsbegäran mail.docx", "A 54334-2024")</f>
        <v/>
      </c>
      <c r="Z213">
        <f>HYPERLINK("https://klasma.github.io/Logging_0883/fåglar/A 54334-2024 prioriterade fågelarter.docx", "A 54334-2024")</f>
        <v/>
      </c>
    </row>
    <row r="214" ht="15" customHeight="1">
      <c r="A214" t="inlineStr">
        <is>
          <t>A 955-2025</t>
        </is>
      </c>
      <c r="B214" s="1" t="n">
        <v>45666</v>
      </c>
      <c r="C214" s="1" t="n">
        <v>45715</v>
      </c>
      <c r="D214" t="inlineStr">
        <is>
          <t>KALMAR LÄN</t>
        </is>
      </c>
      <c r="E214" t="inlineStr">
        <is>
          <t>VÄSTERVIK</t>
        </is>
      </c>
      <c r="G214" t="n">
        <v>1.6</v>
      </c>
      <c r="H214" t="n">
        <v>3</v>
      </c>
      <c r="I214" t="n">
        <v>2</v>
      </c>
      <c r="J214" t="n">
        <v>2</v>
      </c>
      <c r="K214" t="n">
        <v>0</v>
      </c>
      <c r="L214" t="n">
        <v>0</v>
      </c>
      <c r="M214" t="n">
        <v>0</v>
      </c>
      <c r="N214" t="n">
        <v>0</v>
      </c>
      <c r="O214" t="n">
        <v>2</v>
      </c>
      <c r="P214" t="n">
        <v>0</v>
      </c>
      <c r="Q214" t="n">
        <v>5</v>
      </c>
      <c r="R214" s="2" t="inlineStr">
        <is>
          <t>Spillkråka
Talltita
Brandticka
Grönpyrola
Kungsfågel</t>
        </is>
      </c>
      <c r="S214">
        <f>HYPERLINK("https://klasma.github.io/Logging_0883/artfynd/A 955-2025 artfynd.xlsx", "A 955-2025")</f>
        <v/>
      </c>
      <c r="T214">
        <f>HYPERLINK("https://klasma.github.io/Logging_0883/kartor/A 955-2025 karta.png", "A 955-2025")</f>
        <v/>
      </c>
      <c r="V214">
        <f>HYPERLINK("https://klasma.github.io/Logging_0883/klagomål/A 955-2025 FSC-klagomål.docx", "A 955-2025")</f>
        <v/>
      </c>
      <c r="W214">
        <f>HYPERLINK("https://klasma.github.io/Logging_0883/klagomålsmail/A 955-2025 FSC-klagomål mail.docx", "A 955-2025")</f>
        <v/>
      </c>
      <c r="X214">
        <f>HYPERLINK("https://klasma.github.io/Logging_0883/tillsyn/A 955-2025 tillsynsbegäran.docx", "A 955-2025")</f>
        <v/>
      </c>
      <c r="Y214">
        <f>HYPERLINK("https://klasma.github.io/Logging_0883/tillsynsmail/A 955-2025 tillsynsbegäran mail.docx", "A 955-2025")</f>
        <v/>
      </c>
      <c r="Z214">
        <f>HYPERLINK("https://klasma.github.io/Logging_0883/fåglar/A 955-2025 prioriterade fågelarter.docx", "A 955-2025")</f>
        <v/>
      </c>
    </row>
    <row r="215" ht="15" customHeight="1">
      <c r="A215" t="inlineStr">
        <is>
          <t>A 1779-2025</t>
        </is>
      </c>
      <c r="B215" s="1" t="n">
        <v>45671</v>
      </c>
      <c r="C215" s="1" t="n">
        <v>45715</v>
      </c>
      <c r="D215" t="inlineStr">
        <is>
          <t>KALMAR LÄN</t>
        </is>
      </c>
      <c r="E215" t="inlineStr">
        <is>
          <t>VÄSTERVIK</t>
        </is>
      </c>
      <c r="G215" t="n">
        <v>2.1</v>
      </c>
      <c r="H215" t="n">
        <v>2</v>
      </c>
      <c r="I215" t="n">
        <v>2</v>
      </c>
      <c r="J215" t="n">
        <v>2</v>
      </c>
      <c r="K215" t="n">
        <v>1</v>
      </c>
      <c r="L215" t="n">
        <v>0</v>
      </c>
      <c r="M215" t="n">
        <v>0</v>
      </c>
      <c r="N215" t="n">
        <v>0</v>
      </c>
      <c r="O215" t="n">
        <v>3</v>
      </c>
      <c r="P215" t="n">
        <v>1</v>
      </c>
      <c r="Q215" t="n">
        <v>5</v>
      </c>
      <c r="R215" s="2" t="inlineStr">
        <is>
          <t>Knärot
Fyrflikig jordstjärna
Spillkråka
Bronshjon
Granbräken</t>
        </is>
      </c>
      <c r="S215">
        <f>HYPERLINK("https://klasma.github.io/Logging_0883/artfynd/A 1779-2025 artfynd.xlsx", "A 1779-2025")</f>
        <v/>
      </c>
      <c r="T215">
        <f>HYPERLINK("https://klasma.github.io/Logging_0883/kartor/A 1779-2025 karta.png", "A 1779-2025")</f>
        <v/>
      </c>
      <c r="U215">
        <f>HYPERLINK("https://klasma.github.io/Logging_0883/knärot/A 1779-2025 karta knärot.png", "A 1779-2025")</f>
        <v/>
      </c>
      <c r="V215">
        <f>HYPERLINK("https://klasma.github.io/Logging_0883/klagomål/A 1779-2025 FSC-klagomål.docx", "A 1779-2025")</f>
        <v/>
      </c>
      <c r="W215">
        <f>HYPERLINK("https://klasma.github.io/Logging_0883/klagomålsmail/A 1779-2025 FSC-klagomål mail.docx", "A 1779-2025")</f>
        <v/>
      </c>
      <c r="X215">
        <f>HYPERLINK("https://klasma.github.io/Logging_0883/tillsyn/A 1779-2025 tillsynsbegäran.docx", "A 1779-2025")</f>
        <v/>
      </c>
      <c r="Y215">
        <f>HYPERLINK("https://klasma.github.io/Logging_0883/tillsynsmail/A 1779-2025 tillsynsbegäran mail.docx", "A 1779-2025")</f>
        <v/>
      </c>
      <c r="Z215">
        <f>HYPERLINK("https://klasma.github.io/Logging_0883/fåglar/A 1779-2025 prioriterade fågelarter.docx", "A 1779-2025")</f>
        <v/>
      </c>
    </row>
    <row r="216" ht="15" customHeight="1">
      <c r="A216" t="inlineStr">
        <is>
          <t>A 4397-2025</t>
        </is>
      </c>
      <c r="B216" s="1" t="n">
        <v>45686</v>
      </c>
      <c r="C216" s="1" t="n">
        <v>45715</v>
      </c>
      <c r="D216" t="inlineStr">
        <is>
          <t>KALMAR LÄN</t>
        </is>
      </c>
      <c r="E216" t="inlineStr">
        <is>
          <t>VÄSTERVIK</t>
        </is>
      </c>
      <c r="F216" t="inlineStr">
        <is>
          <t>Holmen skog AB</t>
        </is>
      </c>
      <c r="G216" t="n">
        <v>10</v>
      </c>
      <c r="H216" t="n">
        <v>5</v>
      </c>
      <c r="I216" t="n">
        <v>0</v>
      </c>
      <c r="J216" t="n">
        <v>3</v>
      </c>
      <c r="K216" t="n">
        <v>1</v>
      </c>
      <c r="L216" t="n">
        <v>0</v>
      </c>
      <c r="M216" t="n">
        <v>0</v>
      </c>
      <c r="N216" t="n">
        <v>0</v>
      </c>
      <c r="O216" t="n">
        <v>4</v>
      </c>
      <c r="P216" t="n">
        <v>1</v>
      </c>
      <c r="Q216" t="n">
        <v>5</v>
      </c>
      <c r="R216" s="2" t="inlineStr">
        <is>
          <t>Knärot
Entita
Mindre hackspett
Talltita
Kungsfågel</t>
        </is>
      </c>
      <c r="S216">
        <f>HYPERLINK("https://klasma.github.io/Logging_0883/artfynd/A 4397-2025 artfynd.xlsx", "A 4397-2025")</f>
        <v/>
      </c>
      <c r="T216">
        <f>HYPERLINK("https://klasma.github.io/Logging_0883/kartor/A 4397-2025 karta.png", "A 4397-2025")</f>
        <v/>
      </c>
      <c r="U216">
        <f>HYPERLINK("https://klasma.github.io/Logging_0883/knärot/A 4397-2025 karta knärot.png", "A 4397-2025")</f>
        <v/>
      </c>
      <c r="V216">
        <f>HYPERLINK("https://klasma.github.io/Logging_0883/klagomål/A 4397-2025 FSC-klagomål.docx", "A 4397-2025")</f>
        <v/>
      </c>
      <c r="W216">
        <f>HYPERLINK("https://klasma.github.io/Logging_0883/klagomålsmail/A 4397-2025 FSC-klagomål mail.docx", "A 4397-2025")</f>
        <v/>
      </c>
      <c r="X216">
        <f>HYPERLINK("https://klasma.github.io/Logging_0883/tillsyn/A 4397-2025 tillsynsbegäran.docx", "A 4397-2025")</f>
        <v/>
      </c>
      <c r="Y216">
        <f>HYPERLINK("https://klasma.github.io/Logging_0883/tillsynsmail/A 4397-2025 tillsynsbegäran mail.docx", "A 4397-2025")</f>
        <v/>
      </c>
      <c r="Z216">
        <f>HYPERLINK("https://klasma.github.io/Logging_0883/fåglar/A 4397-2025 prioriterade fågelarter.docx", "A 4397-2025")</f>
        <v/>
      </c>
    </row>
    <row r="217" ht="15" customHeight="1">
      <c r="A217" t="inlineStr">
        <is>
          <t>A 5067-2025</t>
        </is>
      </c>
      <c r="B217" s="1" t="n">
        <v>45691</v>
      </c>
      <c r="C217" s="1" t="n">
        <v>45715</v>
      </c>
      <c r="D217" t="inlineStr">
        <is>
          <t>KALMAR LÄN</t>
        </is>
      </c>
      <c r="E217" t="inlineStr">
        <is>
          <t>VÄSTERVIK</t>
        </is>
      </c>
      <c r="F217" t="inlineStr">
        <is>
          <t>Holmen skog AB</t>
        </is>
      </c>
      <c r="G217" t="n">
        <v>3.1</v>
      </c>
      <c r="H217" t="n">
        <v>3</v>
      </c>
      <c r="I217" t="n">
        <v>1</v>
      </c>
      <c r="J217" t="n">
        <v>3</v>
      </c>
      <c r="K217" t="n">
        <v>0</v>
      </c>
      <c r="L217" t="n">
        <v>0</v>
      </c>
      <c r="M217" t="n">
        <v>0</v>
      </c>
      <c r="N217" t="n">
        <v>0</v>
      </c>
      <c r="O217" t="n">
        <v>3</v>
      </c>
      <c r="P217" t="n">
        <v>0</v>
      </c>
      <c r="Q217" t="n">
        <v>5</v>
      </c>
      <c r="R217" s="2" t="inlineStr">
        <is>
          <t>Orange taggsvamp
Spillkråka
Talltita
Dropptaggsvamp
Kungsfågel</t>
        </is>
      </c>
      <c r="S217">
        <f>HYPERLINK("https://klasma.github.io/Logging_0883/artfynd/A 5067-2025 artfynd.xlsx", "A 5067-2025")</f>
        <v/>
      </c>
      <c r="T217">
        <f>HYPERLINK("https://klasma.github.io/Logging_0883/kartor/A 5067-2025 karta.png", "A 5067-2025")</f>
        <v/>
      </c>
      <c r="V217">
        <f>HYPERLINK("https://klasma.github.io/Logging_0883/klagomål/A 5067-2025 FSC-klagomål.docx", "A 5067-2025")</f>
        <v/>
      </c>
      <c r="W217">
        <f>HYPERLINK("https://klasma.github.io/Logging_0883/klagomålsmail/A 5067-2025 FSC-klagomål mail.docx", "A 5067-2025")</f>
        <v/>
      </c>
      <c r="X217">
        <f>HYPERLINK("https://klasma.github.io/Logging_0883/tillsyn/A 5067-2025 tillsynsbegäran.docx", "A 5067-2025")</f>
        <v/>
      </c>
      <c r="Y217">
        <f>HYPERLINK("https://klasma.github.io/Logging_0883/tillsynsmail/A 5067-2025 tillsynsbegäran mail.docx", "A 5067-2025")</f>
        <v/>
      </c>
      <c r="Z217">
        <f>HYPERLINK("https://klasma.github.io/Logging_0883/fåglar/A 5067-2025 prioriterade fågelarter.docx", "A 5067-2025")</f>
        <v/>
      </c>
    </row>
    <row r="218" ht="15" customHeight="1">
      <c r="A218" t="inlineStr">
        <is>
          <t>A 6475-2025</t>
        </is>
      </c>
      <c r="B218" s="1" t="n">
        <v>45699</v>
      </c>
      <c r="C218" s="1" t="n">
        <v>45715</v>
      </c>
      <c r="D218" t="inlineStr">
        <is>
          <t>KALMAR LÄN</t>
        </is>
      </c>
      <c r="E218" t="inlineStr">
        <is>
          <t>VÄSTERVIK</t>
        </is>
      </c>
      <c r="G218" t="n">
        <v>2</v>
      </c>
      <c r="H218" t="n">
        <v>2</v>
      </c>
      <c r="I218" t="n">
        <v>2</v>
      </c>
      <c r="J218" t="n">
        <v>2</v>
      </c>
      <c r="K218" t="n">
        <v>1</v>
      </c>
      <c r="L218" t="n">
        <v>0</v>
      </c>
      <c r="M218" t="n">
        <v>0</v>
      </c>
      <c r="N218" t="n">
        <v>0</v>
      </c>
      <c r="O218" t="n">
        <v>3</v>
      </c>
      <c r="P218" t="n">
        <v>1</v>
      </c>
      <c r="Q218" t="n">
        <v>5</v>
      </c>
      <c r="R218" s="2" t="inlineStr">
        <is>
          <t>Knärot
Spillkråka
Ullticka
Grovticka
Murgröna</t>
        </is>
      </c>
      <c r="S218">
        <f>HYPERLINK("https://klasma.github.io/Logging_0883/artfynd/A 6475-2025 artfynd.xlsx", "A 6475-2025")</f>
        <v/>
      </c>
      <c r="T218">
        <f>HYPERLINK("https://klasma.github.io/Logging_0883/kartor/A 6475-2025 karta.png", "A 6475-2025")</f>
        <v/>
      </c>
      <c r="U218">
        <f>HYPERLINK("https://klasma.github.io/Logging_0883/knärot/A 6475-2025 karta knärot.png", "A 6475-2025")</f>
        <v/>
      </c>
      <c r="V218">
        <f>HYPERLINK("https://klasma.github.io/Logging_0883/klagomål/A 6475-2025 FSC-klagomål.docx", "A 6475-2025")</f>
        <v/>
      </c>
      <c r="W218">
        <f>HYPERLINK("https://klasma.github.io/Logging_0883/klagomålsmail/A 6475-2025 FSC-klagomål mail.docx", "A 6475-2025")</f>
        <v/>
      </c>
      <c r="X218">
        <f>HYPERLINK("https://klasma.github.io/Logging_0883/tillsyn/A 6475-2025 tillsynsbegäran.docx", "A 6475-2025")</f>
        <v/>
      </c>
      <c r="Y218">
        <f>HYPERLINK("https://klasma.github.io/Logging_0883/tillsynsmail/A 6475-2025 tillsynsbegäran mail.docx", "A 6475-2025")</f>
        <v/>
      </c>
      <c r="Z218">
        <f>HYPERLINK("https://klasma.github.io/Logging_0883/fåglar/A 6475-2025 prioriterade fågelarter.docx", "A 6475-2025")</f>
        <v/>
      </c>
    </row>
    <row r="219" ht="15" customHeight="1">
      <c r="A219" t="inlineStr">
        <is>
          <t>A 8218-2025</t>
        </is>
      </c>
      <c r="B219" s="1" t="n">
        <v>45708</v>
      </c>
      <c r="C219" s="1" t="n">
        <v>45715</v>
      </c>
      <c r="D219" t="inlineStr">
        <is>
          <t>KALMAR LÄN</t>
        </is>
      </c>
      <c r="E219" t="inlineStr">
        <is>
          <t>OSKARSHAMN</t>
        </is>
      </c>
      <c r="G219" t="n">
        <v>4.7</v>
      </c>
      <c r="H219" t="n">
        <v>2</v>
      </c>
      <c r="I219" t="n">
        <v>2</v>
      </c>
      <c r="J219" t="n">
        <v>2</v>
      </c>
      <c r="K219" t="n">
        <v>1</v>
      </c>
      <c r="L219" t="n">
        <v>0</v>
      </c>
      <c r="M219" t="n">
        <v>0</v>
      </c>
      <c r="N219" t="n">
        <v>0</v>
      </c>
      <c r="O219" t="n">
        <v>3</v>
      </c>
      <c r="P219" t="n">
        <v>1</v>
      </c>
      <c r="Q219" t="n">
        <v>5</v>
      </c>
      <c r="R219" s="2" t="inlineStr">
        <is>
          <t>Knärot
Grönhjon
Spillkråka
Bronshjon
Vågbandad barkbock</t>
        </is>
      </c>
      <c r="S219">
        <f>HYPERLINK("https://klasma.github.io/Logging_0882/artfynd/A 8218-2025 artfynd.xlsx", "A 8218-2025")</f>
        <v/>
      </c>
      <c r="T219">
        <f>HYPERLINK("https://klasma.github.io/Logging_0882/kartor/A 8218-2025 karta.png", "A 8218-2025")</f>
        <v/>
      </c>
      <c r="U219">
        <f>HYPERLINK("https://klasma.github.io/Logging_0882/knärot/A 8218-2025 karta knärot.png", "A 8218-2025")</f>
        <v/>
      </c>
      <c r="V219">
        <f>HYPERLINK("https://klasma.github.io/Logging_0882/klagomål/A 8218-2025 FSC-klagomål.docx", "A 8218-2025")</f>
        <v/>
      </c>
      <c r="W219">
        <f>HYPERLINK("https://klasma.github.io/Logging_0882/klagomålsmail/A 8218-2025 FSC-klagomål mail.docx", "A 8218-2025")</f>
        <v/>
      </c>
      <c r="X219">
        <f>HYPERLINK("https://klasma.github.io/Logging_0882/tillsyn/A 8218-2025 tillsynsbegäran.docx", "A 8218-2025")</f>
        <v/>
      </c>
      <c r="Y219">
        <f>HYPERLINK("https://klasma.github.io/Logging_0882/tillsynsmail/A 8218-2025 tillsynsbegäran mail.docx", "A 8218-2025")</f>
        <v/>
      </c>
      <c r="Z219">
        <f>HYPERLINK("https://klasma.github.io/Logging_0882/fåglar/A 8218-2025 prioriterade fågelarter.docx", "A 8218-2025")</f>
        <v/>
      </c>
    </row>
    <row r="220" ht="15" customHeight="1">
      <c r="A220" t="inlineStr">
        <is>
          <t>A 19978-2019</t>
        </is>
      </c>
      <c r="B220" s="1" t="n">
        <v>43566</v>
      </c>
      <c r="C220" s="1" t="n">
        <v>45715</v>
      </c>
      <c r="D220" t="inlineStr">
        <is>
          <t>KALMAR LÄN</t>
        </is>
      </c>
      <c r="E220" t="inlineStr">
        <is>
          <t>VIMMERBY</t>
        </is>
      </c>
      <c r="G220" t="n">
        <v>3.5</v>
      </c>
      <c r="H220" t="n">
        <v>2</v>
      </c>
      <c r="I220" t="n">
        <v>0</v>
      </c>
      <c r="J220" t="n">
        <v>1</v>
      </c>
      <c r="K220" t="n">
        <v>1</v>
      </c>
      <c r="L220" t="n">
        <v>0</v>
      </c>
      <c r="M220" t="n">
        <v>0</v>
      </c>
      <c r="N220" t="n">
        <v>0</v>
      </c>
      <c r="O220" t="n">
        <v>2</v>
      </c>
      <c r="P220" t="n">
        <v>1</v>
      </c>
      <c r="Q220" t="n">
        <v>4</v>
      </c>
      <c r="R220" s="2" t="inlineStr">
        <is>
          <t>Slåttergubbe
Sommarfibbla
Blåsippa
Revlummer</t>
        </is>
      </c>
      <c r="S220">
        <f>HYPERLINK("https://klasma.github.io/Logging_0884/artfynd/A 19978-2019 artfynd.xlsx", "A 19978-2019")</f>
        <v/>
      </c>
      <c r="T220">
        <f>HYPERLINK("https://klasma.github.io/Logging_0884/kartor/A 19978-2019 karta.png", "A 19978-2019")</f>
        <v/>
      </c>
      <c r="V220">
        <f>HYPERLINK("https://klasma.github.io/Logging_0884/klagomål/A 19978-2019 FSC-klagomål.docx", "A 19978-2019")</f>
        <v/>
      </c>
      <c r="W220">
        <f>HYPERLINK("https://klasma.github.io/Logging_0884/klagomålsmail/A 19978-2019 FSC-klagomål mail.docx", "A 19978-2019")</f>
        <v/>
      </c>
      <c r="X220">
        <f>HYPERLINK("https://klasma.github.io/Logging_0884/tillsyn/A 19978-2019 tillsynsbegäran.docx", "A 19978-2019")</f>
        <v/>
      </c>
      <c r="Y220">
        <f>HYPERLINK("https://klasma.github.io/Logging_0884/tillsynsmail/A 19978-2019 tillsynsbegäran mail.docx", "A 19978-2019")</f>
        <v/>
      </c>
    </row>
    <row r="221" ht="15" customHeight="1">
      <c r="A221" t="inlineStr">
        <is>
          <t>A 22939-2019</t>
        </is>
      </c>
      <c r="B221" s="1" t="n">
        <v>43591</v>
      </c>
      <c r="C221" s="1" t="n">
        <v>45715</v>
      </c>
      <c r="D221" t="inlineStr">
        <is>
          <t>KALMAR LÄN</t>
        </is>
      </c>
      <c r="E221" t="inlineStr">
        <is>
          <t>KALMAR</t>
        </is>
      </c>
      <c r="G221" t="n">
        <v>2.4</v>
      </c>
      <c r="H221" t="n">
        <v>0</v>
      </c>
      <c r="I221" t="n">
        <v>2</v>
      </c>
      <c r="J221" t="n">
        <v>2</v>
      </c>
      <c r="K221" t="n">
        <v>0</v>
      </c>
      <c r="L221" t="n">
        <v>0</v>
      </c>
      <c r="M221" t="n">
        <v>0</v>
      </c>
      <c r="N221" t="n">
        <v>0</v>
      </c>
      <c r="O221" t="n">
        <v>2</v>
      </c>
      <c r="P221" t="n">
        <v>0</v>
      </c>
      <c r="Q221" t="n">
        <v>4</v>
      </c>
      <c r="R221" s="2" t="inlineStr">
        <is>
          <t>Tallticka
Vedtrappmossa
Blomkålssvamp
Havstulpanlav</t>
        </is>
      </c>
      <c r="S221">
        <f>HYPERLINK("https://klasma.github.io/Logging_0880/artfynd/A 22939-2019 artfynd.xlsx", "A 22939-2019")</f>
        <v/>
      </c>
      <c r="T221">
        <f>HYPERLINK("https://klasma.github.io/Logging_0880/kartor/A 22939-2019 karta.png", "A 22939-2019")</f>
        <v/>
      </c>
      <c r="U221">
        <f>HYPERLINK("https://klasma.github.io/Logging_0880/knärot/A 22939-2019 karta knärot.png", "A 22939-2019")</f>
        <v/>
      </c>
      <c r="V221">
        <f>HYPERLINK("https://klasma.github.io/Logging_0880/klagomål/A 22939-2019 FSC-klagomål.docx", "A 22939-2019")</f>
        <v/>
      </c>
      <c r="W221">
        <f>HYPERLINK("https://klasma.github.io/Logging_0880/klagomålsmail/A 22939-2019 FSC-klagomål mail.docx", "A 22939-2019")</f>
        <v/>
      </c>
      <c r="X221">
        <f>HYPERLINK("https://klasma.github.io/Logging_0880/tillsyn/A 22939-2019 tillsynsbegäran.docx", "A 22939-2019")</f>
        <v/>
      </c>
      <c r="Y221">
        <f>HYPERLINK("https://klasma.github.io/Logging_0880/tillsynsmail/A 22939-2019 tillsynsbegäran mail.docx", "A 22939-2019")</f>
        <v/>
      </c>
    </row>
    <row r="222" ht="15" customHeight="1">
      <c r="A222" t="inlineStr">
        <is>
          <t>A 32058-2019</t>
        </is>
      </c>
      <c r="B222" s="1" t="n">
        <v>43643</v>
      </c>
      <c r="C222" s="1" t="n">
        <v>45715</v>
      </c>
      <c r="D222" t="inlineStr">
        <is>
          <t>KALMAR LÄN</t>
        </is>
      </c>
      <c r="E222" t="inlineStr">
        <is>
          <t>KALMAR</t>
        </is>
      </c>
      <c r="G222" t="n">
        <v>2.4</v>
      </c>
      <c r="H222" t="n">
        <v>0</v>
      </c>
      <c r="I222" t="n">
        <v>0</v>
      </c>
      <c r="J222" t="n">
        <v>2</v>
      </c>
      <c r="K222" t="n">
        <v>1</v>
      </c>
      <c r="L222" t="n">
        <v>0</v>
      </c>
      <c r="M222" t="n">
        <v>1</v>
      </c>
      <c r="N222" t="n">
        <v>0</v>
      </c>
      <c r="O222" t="n">
        <v>4</v>
      </c>
      <c r="P222" t="n">
        <v>2</v>
      </c>
      <c r="Q222" t="n">
        <v>4</v>
      </c>
      <c r="R222" s="2" t="inlineStr">
        <is>
          <t>Skogsalm
Hjärtstilla
Bolmört
Sminkrot</t>
        </is>
      </c>
      <c r="S222">
        <f>HYPERLINK("https://klasma.github.io/Logging_0880/artfynd/A 32058-2019 artfynd.xlsx", "A 32058-2019")</f>
        <v/>
      </c>
      <c r="T222">
        <f>HYPERLINK("https://klasma.github.io/Logging_0880/kartor/A 32058-2019 karta.png", "A 32058-2019")</f>
        <v/>
      </c>
      <c r="V222">
        <f>HYPERLINK("https://klasma.github.io/Logging_0880/klagomål/A 32058-2019 FSC-klagomål.docx", "A 32058-2019")</f>
        <v/>
      </c>
      <c r="W222">
        <f>HYPERLINK("https://klasma.github.io/Logging_0880/klagomålsmail/A 32058-2019 FSC-klagomål mail.docx", "A 32058-2019")</f>
        <v/>
      </c>
      <c r="X222">
        <f>HYPERLINK("https://klasma.github.io/Logging_0880/tillsyn/A 32058-2019 tillsynsbegäran.docx", "A 32058-2019")</f>
        <v/>
      </c>
      <c r="Y222">
        <f>HYPERLINK("https://klasma.github.io/Logging_0880/tillsynsmail/A 32058-2019 tillsynsbegäran mail.docx", "A 32058-2019")</f>
        <v/>
      </c>
    </row>
    <row r="223" ht="15" customHeight="1">
      <c r="A223" t="inlineStr">
        <is>
          <t>A 37646-2019</t>
        </is>
      </c>
      <c r="B223" s="1" t="n">
        <v>43682</v>
      </c>
      <c r="C223" s="1" t="n">
        <v>45715</v>
      </c>
      <c r="D223" t="inlineStr">
        <is>
          <t>KALMAR LÄN</t>
        </is>
      </c>
      <c r="E223" t="inlineStr">
        <is>
          <t>TORSÅS</t>
        </is>
      </c>
      <c r="G223" t="n">
        <v>2.5</v>
      </c>
      <c r="H223" t="n">
        <v>4</v>
      </c>
      <c r="I223" t="n">
        <v>0</v>
      </c>
      <c r="J223" t="n">
        <v>1</v>
      </c>
      <c r="K223" t="n">
        <v>0</v>
      </c>
      <c r="L223" t="n">
        <v>0</v>
      </c>
      <c r="M223" t="n">
        <v>0</v>
      </c>
      <c r="N223" t="n">
        <v>0</v>
      </c>
      <c r="O223" t="n">
        <v>1</v>
      </c>
      <c r="P223" t="n">
        <v>0</v>
      </c>
      <c r="Q223" t="n">
        <v>4</v>
      </c>
      <c r="R223" s="2" t="inlineStr">
        <is>
          <t>Nordfladdermus
Dvärgpipistrell
Större brunfladdermus
Trollpipistrell</t>
        </is>
      </c>
      <c r="S223">
        <f>HYPERLINK("https://klasma.github.io/Logging_0834/artfynd/A 37646-2019 artfynd.xlsx", "A 37646-2019")</f>
        <v/>
      </c>
      <c r="T223">
        <f>HYPERLINK("https://klasma.github.io/Logging_0834/kartor/A 37646-2019 karta.png", "A 37646-2019")</f>
        <v/>
      </c>
      <c r="V223">
        <f>HYPERLINK("https://klasma.github.io/Logging_0834/klagomål/A 37646-2019 FSC-klagomål.docx", "A 37646-2019")</f>
        <v/>
      </c>
      <c r="W223">
        <f>HYPERLINK("https://klasma.github.io/Logging_0834/klagomålsmail/A 37646-2019 FSC-klagomål mail.docx", "A 37646-2019")</f>
        <v/>
      </c>
      <c r="X223">
        <f>HYPERLINK("https://klasma.github.io/Logging_0834/tillsyn/A 37646-2019 tillsynsbegäran.docx", "A 37646-2019")</f>
        <v/>
      </c>
      <c r="Y223">
        <f>HYPERLINK("https://klasma.github.io/Logging_0834/tillsynsmail/A 37646-2019 tillsynsbegäran mail.docx", "A 37646-2019")</f>
        <v/>
      </c>
    </row>
    <row r="224" ht="15" customHeight="1">
      <c r="A224" t="inlineStr">
        <is>
          <t>A 39570-2019</t>
        </is>
      </c>
      <c r="B224" s="1" t="n">
        <v>43686</v>
      </c>
      <c r="C224" s="1" t="n">
        <v>45715</v>
      </c>
      <c r="D224" t="inlineStr">
        <is>
          <t>KALMAR LÄN</t>
        </is>
      </c>
      <c r="E224" t="inlineStr">
        <is>
          <t>KALMAR</t>
        </is>
      </c>
      <c r="G224" t="n">
        <v>14</v>
      </c>
      <c r="H224" t="n">
        <v>1</v>
      </c>
      <c r="I224" t="n">
        <v>3</v>
      </c>
      <c r="J224" t="n">
        <v>0</v>
      </c>
      <c r="K224" t="n">
        <v>0</v>
      </c>
      <c r="L224" t="n">
        <v>0</v>
      </c>
      <c r="M224" t="n">
        <v>0</v>
      </c>
      <c r="N224" t="n">
        <v>0</v>
      </c>
      <c r="O224" t="n">
        <v>0</v>
      </c>
      <c r="P224" t="n">
        <v>0</v>
      </c>
      <c r="Q224" t="n">
        <v>4</v>
      </c>
      <c r="R224" s="2" t="inlineStr">
        <is>
          <t>Blomkålssvamp
Rostfläck
Tibast
Blåsippa</t>
        </is>
      </c>
      <c r="S224">
        <f>HYPERLINK("https://klasma.github.io/Logging_0880/artfynd/A 39570-2019 artfynd.xlsx", "A 39570-2019")</f>
        <v/>
      </c>
      <c r="T224">
        <f>HYPERLINK("https://klasma.github.io/Logging_0880/kartor/A 39570-2019 karta.png", "A 39570-2019")</f>
        <v/>
      </c>
      <c r="V224">
        <f>HYPERLINK("https://klasma.github.io/Logging_0880/klagomål/A 39570-2019 FSC-klagomål.docx", "A 39570-2019")</f>
        <v/>
      </c>
      <c r="W224">
        <f>HYPERLINK("https://klasma.github.io/Logging_0880/klagomålsmail/A 39570-2019 FSC-klagomål mail.docx", "A 39570-2019")</f>
        <v/>
      </c>
      <c r="X224">
        <f>HYPERLINK("https://klasma.github.io/Logging_0880/tillsyn/A 39570-2019 tillsynsbegäran.docx", "A 39570-2019")</f>
        <v/>
      </c>
      <c r="Y224">
        <f>HYPERLINK("https://klasma.github.io/Logging_0880/tillsynsmail/A 39570-2019 tillsynsbegäran mail.docx", "A 39570-2019")</f>
        <v/>
      </c>
    </row>
    <row r="225" ht="15" customHeight="1">
      <c r="A225" t="inlineStr">
        <is>
          <t>A 43862-2019</t>
        </is>
      </c>
      <c r="B225" s="1" t="n">
        <v>43707</v>
      </c>
      <c r="C225" s="1" t="n">
        <v>45715</v>
      </c>
      <c r="D225" t="inlineStr">
        <is>
          <t>KALMAR LÄN</t>
        </is>
      </c>
      <c r="E225" t="inlineStr">
        <is>
          <t>VÄSTERVIK</t>
        </is>
      </c>
      <c r="G225" t="n">
        <v>3.8</v>
      </c>
      <c r="H225" t="n">
        <v>1</v>
      </c>
      <c r="I225" t="n">
        <v>1</v>
      </c>
      <c r="J225" t="n">
        <v>2</v>
      </c>
      <c r="K225" t="n">
        <v>1</v>
      </c>
      <c r="L225" t="n">
        <v>0</v>
      </c>
      <c r="M225" t="n">
        <v>0</v>
      </c>
      <c r="N225" t="n">
        <v>0</v>
      </c>
      <c r="O225" t="n">
        <v>3</v>
      </c>
      <c r="P225" t="n">
        <v>1</v>
      </c>
      <c r="Q225" t="n">
        <v>4</v>
      </c>
      <c r="R225" s="2" t="inlineStr">
        <is>
          <t>Knärot
Orange taggsvamp
Tallticka
Blomkålssvamp</t>
        </is>
      </c>
      <c r="S225">
        <f>HYPERLINK("https://klasma.github.io/Logging_0883/artfynd/A 43862-2019 artfynd.xlsx", "A 43862-2019")</f>
        <v/>
      </c>
      <c r="T225">
        <f>HYPERLINK("https://klasma.github.io/Logging_0883/kartor/A 43862-2019 karta.png", "A 43862-2019")</f>
        <v/>
      </c>
      <c r="U225">
        <f>HYPERLINK("https://klasma.github.io/Logging_0883/knärot/A 43862-2019 karta knärot.png", "A 43862-2019")</f>
        <v/>
      </c>
      <c r="V225">
        <f>HYPERLINK("https://klasma.github.io/Logging_0883/klagomål/A 43862-2019 FSC-klagomål.docx", "A 43862-2019")</f>
        <v/>
      </c>
      <c r="W225">
        <f>HYPERLINK("https://klasma.github.io/Logging_0883/klagomålsmail/A 43862-2019 FSC-klagomål mail.docx", "A 43862-2019")</f>
        <v/>
      </c>
      <c r="X225">
        <f>HYPERLINK("https://klasma.github.io/Logging_0883/tillsyn/A 43862-2019 tillsynsbegäran.docx", "A 43862-2019")</f>
        <v/>
      </c>
      <c r="Y225">
        <f>HYPERLINK("https://klasma.github.io/Logging_0883/tillsynsmail/A 43862-2019 tillsynsbegäran mail.docx", "A 43862-2019")</f>
        <v/>
      </c>
    </row>
    <row r="226" ht="15" customHeight="1">
      <c r="A226" t="inlineStr">
        <is>
          <t>A 1127-2020</t>
        </is>
      </c>
      <c r="B226" s="1" t="n">
        <v>43840</v>
      </c>
      <c r="C226" s="1" t="n">
        <v>45715</v>
      </c>
      <c r="D226" t="inlineStr">
        <is>
          <t>KALMAR LÄN</t>
        </is>
      </c>
      <c r="E226" t="inlineStr">
        <is>
          <t>TORSÅS</t>
        </is>
      </c>
      <c r="G226" t="n">
        <v>5.5</v>
      </c>
      <c r="H226" t="n">
        <v>4</v>
      </c>
      <c r="I226" t="n">
        <v>0</v>
      </c>
      <c r="J226" t="n">
        <v>2</v>
      </c>
      <c r="K226" t="n">
        <v>0</v>
      </c>
      <c r="L226" t="n">
        <v>0</v>
      </c>
      <c r="M226" t="n">
        <v>0</v>
      </c>
      <c r="N226" t="n">
        <v>0</v>
      </c>
      <c r="O226" t="n">
        <v>2</v>
      </c>
      <c r="P226" t="n">
        <v>0</v>
      </c>
      <c r="Q226" t="n">
        <v>4</v>
      </c>
      <c r="R226" s="2" t="inlineStr">
        <is>
          <t>Barbastell
Nordfladdermus
Dvärgpipistrell
Större brunfladdermus</t>
        </is>
      </c>
      <c r="S226">
        <f>HYPERLINK("https://klasma.github.io/Logging_0834/artfynd/A 1127-2020 artfynd.xlsx", "A 1127-2020")</f>
        <v/>
      </c>
      <c r="T226">
        <f>HYPERLINK("https://klasma.github.io/Logging_0834/kartor/A 1127-2020 karta.png", "A 1127-2020")</f>
        <v/>
      </c>
      <c r="V226">
        <f>HYPERLINK("https://klasma.github.io/Logging_0834/klagomål/A 1127-2020 FSC-klagomål.docx", "A 1127-2020")</f>
        <v/>
      </c>
      <c r="W226">
        <f>HYPERLINK("https://klasma.github.io/Logging_0834/klagomålsmail/A 1127-2020 FSC-klagomål mail.docx", "A 1127-2020")</f>
        <v/>
      </c>
      <c r="X226">
        <f>HYPERLINK("https://klasma.github.io/Logging_0834/tillsyn/A 1127-2020 tillsynsbegäran.docx", "A 1127-2020")</f>
        <v/>
      </c>
      <c r="Y226">
        <f>HYPERLINK("https://klasma.github.io/Logging_0834/tillsynsmail/A 1127-2020 tillsynsbegäran mail.docx", "A 1127-2020")</f>
        <v/>
      </c>
    </row>
    <row r="227" ht="15" customHeight="1">
      <c r="A227" t="inlineStr">
        <is>
          <t>A 3470-2020</t>
        </is>
      </c>
      <c r="B227" s="1" t="n">
        <v>43852</v>
      </c>
      <c r="C227" s="1" t="n">
        <v>45715</v>
      </c>
      <c r="D227" t="inlineStr">
        <is>
          <t>KALMAR LÄN</t>
        </is>
      </c>
      <c r="E227" t="inlineStr">
        <is>
          <t>VÄSTERVIK</t>
        </is>
      </c>
      <c r="F227" t="inlineStr">
        <is>
          <t>Sveaskog</t>
        </is>
      </c>
      <c r="G227" t="n">
        <v>1.4</v>
      </c>
      <c r="H227" t="n">
        <v>0</v>
      </c>
      <c r="I227" t="n">
        <v>0</v>
      </c>
      <c r="J227" t="n">
        <v>4</v>
      </c>
      <c r="K227" t="n">
        <v>0</v>
      </c>
      <c r="L227" t="n">
        <v>0</v>
      </c>
      <c r="M227" t="n">
        <v>0</v>
      </c>
      <c r="N227" t="n">
        <v>0</v>
      </c>
      <c r="O227" t="n">
        <v>4</v>
      </c>
      <c r="P227" t="n">
        <v>0</v>
      </c>
      <c r="Q227" t="n">
        <v>4</v>
      </c>
      <c r="R227" s="2" t="inlineStr">
        <is>
          <t>Gammelekslav
Gul dropplav
Hjälmbrosklav
Skuggorangelav</t>
        </is>
      </c>
      <c r="S227">
        <f>HYPERLINK("https://klasma.github.io/Logging_0883/artfynd/A 3470-2020 artfynd.xlsx", "A 3470-2020")</f>
        <v/>
      </c>
      <c r="T227">
        <f>HYPERLINK("https://klasma.github.io/Logging_0883/kartor/A 3470-2020 karta.png", "A 3470-2020")</f>
        <v/>
      </c>
      <c r="V227">
        <f>HYPERLINK("https://klasma.github.io/Logging_0883/klagomål/A 3470-2020 FSC-klagomål.docx", "A 3470-2020")</f>
        <v/>
      </c>
      <c r="W227">
        <f>HYPERLINK("https://klasma.github.io/Logging_0883/klagomålsmail/A 3470-2020 FSC-klagomål mail.docx", "A 3470-2020")</f>
        <v/>
      </c>
      <c r="X227">
        <f>HYPERLINK("https://klasma.github.io/Logging_0883/tillsyn/A 3470-2020 tillsynsbegäran.docx", "A 3470-2020")</f>
        <v/>
      </c>
      <c r="Y227">
        <f>HYPERLINK("https://klasma.github.io/Logging_0883/tillsynsmail/A 3470-2020 tillsynsbegäran mail.docx", "A 3470-2020")</f>
        <v/>
      </c>
    </row>
    <row r="228" ht="15" customHeight="1">
      <c r="A228" t="inlineStr">
        <is>
          <t>A 7097-2020</t>
        </is>
      </c>
      <c r="B228" s="1" t="n">
        <v>43868</v>
      </c>
      <c r="C228" s="1" t="n">
        <v>45715</v>
      </c>
      <c r="D228" t="inlineStr">
        <is>
          <t>KALMAR LÄN</t>
        </is>
      </c>
      <c r="E228" t="inlineStr">
        <is>
          <t>MÖNSTERÅS</t>
        </is>
      </c>
      <c r="G228" t="n">
        <v>9.199999999999999</v>
      </c>
      <c r="H228" t="n">
        <v>4</v>
      </c>
      <c r="I228" t="n">
        <v>0</v>
      </c>
      <c r="J228" t="n">
        <v>1</v>
      </c>
      <c r="K228" t="n">
        <v>0</v>
      </c>
      <c r="L228" t="n">
        <v>0</v>
      </c>
      <c r="M228" t="n">
        <v>0</v>
      </c>
      <c r="N228" t="n">
        <v>0</v>
      </c>
      <c r="O228" t="n">
        <v>1</v>
      </c>
      <c r="P228" t="n">
        <v>0</v>
      </c>
      <c r="Q228" t="n">
        <v>4</v>
      </c>
      <c r="R228" s="2" t="inlineStr">
        <is>
          <t>Spillkråka
Dvärgpipistrell
Större brunfladdermus
Vattenfladdermus</t>
        </is>
      </c>
      <c r="S228">
        <f>HYPERLINK("https://klasma.github.io/Logging_0861/artfynd/A 7097-2020 artfynd.xlsx", "A 7097-2020")</f>
        <v/>
      </c>
      <c r="T228">
        <f>HYPERLINK("https://klasma.github.io/Logging_0861/kartor/A 7097-2020 karta.png", "A 7097-2020")</f>
        <v/>
      </c>
      <c r="V228">
        <f>HYPERLINK("https://klasma.github.io/Logging_0861/klagomål/A 7097-2020 FSC-klagomål.docx", "A 7097-2020")</f>
        <v/>
      </c>
      <c r="W228">
        <f>HYPERLINK("https://klasma.github.io/Logging_0861/klagomålsmail/A 7097-2020 FSC-klagomål mail.docx", "A 7097-2020")</f>
        <v/>
      </c>
      <c r="X228">
        <f>HYPERLINK("https://klasma.github.io/Logging_0861/tillsyn/A 7097-2020 tillsynsbegäran.docx", "A 7097-2020")</f>
        <v/>
      </c>
      <c r="Y228">
        <f>HYPERLINK("https://klasma.github.io/Logging_0861/tillsynsmail/A 7097-2020 tillsynsbegäran mail.docx", "A 7097-2020")</f>
        <v/>
      </c>
      <c r="Z228">
        <f>HYPERLINK("https://klasma.github.io/Logging_0861/fåglar/A 7097-2020 prioriterade fågelarter.docx", "A 7097-2020")</f>
        <v/>
      </c>
    </row>
    <row r="229" ht="15" customHeight="1">
      <c r="A229" t="inlineStr">
        <is>
          <t>A 8226-2020</t>
        </is>
      </c>
      <c r="B229" s="1" t="n">
        <v>43874</v>
      </c>
      <c r="C229" s="1" t="n">
        <v>45715</v>
      </c>
      <c r="D229" t="inlineStr">
        <is>
          <t>KALMAR LÄN</t>
        </is>
      </c>
      <c r="E229" t="inlineStr">
        <is>
          <t>HULTSFRED</t>
        </is>
      </c>
      <c r="F229" t="inlineStr">
        <is>
          <t>Övriga Aktiebolag</t>
        </is>
      </c>
      <c r="G229" t="n">
        <v>4.8</v>
      </c>
      <c r="H229" t="n">
        <v>2</v>
      </c>
      <c r="I229" t="n">
        <v>1</v>
      </c>
      <c r="J229" t="n">
        <v>1</v>
      </c>
      <c r="K229" t="n">
        <v>1</v>
      </c>
      <c r="L229" t="n">
        <v>0</v>
      </c>
      <c r="M229" t="n">
        <v>0</v>
      </c>
      <c r="N229" t="n">
        <v>0</v>
      </c>
      <c r="O229" t="n">
        <v>2</v>
      </c>
      <c r="P229" t="n">
        <v>1</v>
      </c>
      <c r="Q229" t="n">
        <v>4</v>
      </c>
      <c r="R229" s="2" t="inlineStr">
        <is>
          <t>Knärot
Vedtrappmossa
Skarp dropptaggsvamp
Blåsippa</t>
        </is>
      </c>
      <c r="S229">
        <f>HYPERLINK("https://klasma.github.io/Logging_0860/artfynd/A 8226-2020 artfynd.xlsx", "A 8226-2020")</f>
        <v/>
      </c>
      <c r="T229">
        <f>HYPERLINK("https://klasma.github.io/Logging_0860/kartor/A 8226-2020 karta.png", "A 8226-2020")</f>
        <v/>
      </c>
      <c r="U229">
        <f>HYPERLINK("https://klasma.github.io/Logging_0860/knärot/A 8226-2020 karta knärot.png", "A 8226-2020")</f>
        <v/>
      </c>
      <c r="V229">
        <f>HYPERLINK("https://klasma.github.io/Logging_0860/klagomål/A 8226-2020 FSC-klagomål.docx", "A 8226-2020")</f>
        <v/>
      </c>
      <c r="W229">
        <f>HYPERLINK("https://klasma.github.io/Logging_0860/klagomålsmail/A 8226-2020 FSC-klagomål mail.docx", "A 8226-2020")</f>
        <v/>
      </c>
      <c r="X229">
        <f>HYPERLINK("https://klasma.github.io/Logging_0860/tillsyn/A 8226-2020 tillsynsbegäran.docx", "A 8226-2020")</f>
        <v/>
      </c>
      <c r="Y229">
        <f>HYPERLINK("https://klasma.github.io/Logging_0860/tillsynsmail/A 8226-2020 tillsynsbegäran mail.docx", "A 8226-2020")</f>
        <v/>
      </c>
    </row>
    <row r="230" ht="15" customHeight="1">
      <c r="A230" t="inlineStr">
        <is>
          <t>A 15978-2020</t>
        </is>
      </c>
      <c r="B230" s="1" t="n">
        <v>43915</v>
      </c>
      <c r="C230" s="1" t="n">
        <v>45715</v>
      </c>
      <c r="D230" t="inlineStr">
        <is>
          <t>KALMAR LÄN</t>
        </is>
      </c>
      <c r="E230" t="inlineStr">
        <is>
          <t>VÄSTERVIK</t>
        </is>
      </c>
      <c r="G230" t="n">
        <v>3.8</v>
      </c>
      <c r="H230" t="n">
        <v>1</v>
      </c>
      <c r="I230" t="n">
        <v>1</v>
      </c>
      <c r="J230" t="n">
        <v>2</v>
      </c>
      <c r="K230" t="n">
        <v>1</v>
      </c>
      <c r="L230" t="n">
        <v>0</v>
      </c>
      <c r="M230" t="n">
        <v>0</v>
      </c>
      <c r="N230" t="n">
        <v>0</v>
      </c>
      <c r="O230" t="n">
        <v>3</v>
      </c>
      <c r="P230" t="n">
        <v>1</v>
      </c>
      <c r="Q230" t="n">
        <v>4</v>
      </c>
      <c r="R230" s="2" t="inlineStr">
        <is>
          <t>Knärot
Orange taggsvamp
Tallticka
Blomkålssvamp</t>
        </is>
      </c>
      <c r="S230">
        <f>HYPERLINK("https://klasma.github.io/Logging_0883/artfynd/A 15978-2020 artfynd.xlsx", "A 15978-2020")</f>
        <v/>
      </c>
      <c r="T230">
        <f>HYPERLINK("https://klasma.github.io/Logging_0883/kartor/A 15978-2020 karta.png", "A 15978-2020")</f>
        <v/>
      </c>
      <c r="U230">
        <f>HYPERLINK("https://klasma.github.io/Logging_0883/knärot/A 15978-2020 karta knärot.png", "A 15978-2020")</f>
        <v/>
      </c>
      <c r="V230">
        <f>HYPERLINK("https://klasma.github.io/Logging_0883/klagomål/A 15978-2020 FSC-klagomål.docx", "A 15978-2020")</f>
        <v/>
      </c>
      <c r="W230">
        <f>HYPERLINK("https://klasma.github.io/Logging_0883/klagomålsmail/A 15978-2020 FSC-klagomål mail.docx", "A 15978-2020")</f>
        <v/>
      </c>
      <c r="X230">
        <f>HYPERLINK("https://klasma.github.io/Logging_0883/tillsyn/A 15978-2020 tillsynsbegäran.docx", "A 15978-2020")</f>
        <v/>
      </c>
      <c r="Y230">
        <f>HYPERLINK("https://klasma.github.io/Logging_0883/tillsynsmail/A 15978-2020 tillsynsbegäran mail.docx", "A 15978-2020")</f>
        <v/>
      </c>
    </row>
    <row r="231" ht="15" customHeight="1">
      <c r="A231" t="inlineStr">
        <is>
          <t>A 24795-2020</t>
        </is>
      </c>
      <c r="B231" s="1" t="n">
        <v>43978</v>
      </c>
      <c r="C231" s="1" t="n">
        <v>45715</v>
      </c>
      <c r="D231" t="inlineStr">
        <is>
          <t>KALMAR LÄN</t>
        </is>
      </c>
      <c r="E231" t="inlineStr">
        <is>
          <t>HÖGSBY</t>
        </is>
      </c>
      <c r="G231" t="n">
        <v>0.6</v>
      </c>
      <c r="H231" t="n">
        <v>2</v>
      </c>
      <c r="I231" t="n">
        <v>1</v>
      </c>
      <c r="J231" t="n">
        <v>1</v>
      </c>
      <c r="K231" t="n">
        <v>1</v>
      </c>
      <c r="L231" t="n">
        <v>0</v>
      </c>
      <c r="M231" t="n">
        <v>0</v>
      </c>
      <c r="N231" t="n">
        <v>0</v>
      </c>
      <c r="O231" t="n">
        <v>2</v>
      </c>
      <c r="P231" t="n">
        <v>1</v>
      </c>
      <c r="Q231" t="n">
        <v>4</v>
      </c>
      <c r="R231" s="2" t="inlineStr">
        <is>
          <t>Grangråticka
Spillkråka
Skarp dropptaggsvamp
Blåsippa</t>
        </is>
      </c>
      <c r="S231">
        <f>HYPERLINK("https://klasma.github.io/Logging_0821/artfynd/A 24795-2020 artfynd.xlsx", "A 24795-2020")</f>
        <v/>
      </c>
      <c r="T231">
        <f>HYPERLINK("https://klasma.github.io/Logging_0821/kartor/A 24795-2020 karta.png", "A 24795-2020")</f>
        <v/>
      </c>
      <c r="V231">
        <f>HYPERLINK("https://klasma.github.io/Logging_0821/klagomål/A 24795-2020 FSC-klagomål.docx", "A 24795-2020")</f>
        <v/>
      </c>
      <c r="W231">
        <f>HYPERLINK("https://klasma.github.io/Logging_0821/klagomålsmail/A 24795-2020 FSC-klagomål mail.docx", "A 24795-2020")</f>
        <v/>
      </c>
      <c r="X231">
        <f>HYPERLINK("https://klasma.github.io/Logging_0821/tillsyn/A 24795-2020 tillsynsbegäran.docx", "A 24795-2020")</f>
        <v/>
      </c>
      <c r="Y231">
        <f>HYPERLINK("https://klasma.github.io/Logging_0821/tillsynsmail/A 24795-2020 tillsynsbegäran mail.docx", "A 24795-2020")</f>
        <v/>
      </c>
      <c r="Z231">
        <f>HYPERLINK("https://klasma.github.io/Logging_0821/fåglar/A 24795-2020 prioriterade fågelarter.docx", "A 24795-2020")</f>
        <v/>
      </c>
    </row>
    <row r="232" ht="15" customHeight="1">
      <c r="A232" t="inlineStr">
        <is>
          <t>A 31588-2020</t>
        </is>
      </c>
      <c r="B232" s="1" t="n">
        <v>44013</v>
      </c>
      <c r="C232" s="1" t="n">
        <v>45715</v>
      </c>
      <c r="D232" t="inlineStr">
        <is>
          <t>KALMAR LÄN</t>
        </is>
      </c>
      <c r="E232" t="inlineStr">
        <is>
          <t>VIMMERBY</t>
        </is>
      </c>
      <c r="G232" t="n">
        <v>7.3</v>
      </c>
      <c r="H232" t="n">
        <v>4</v>
      </c>
      <c r="I232" t="n">
        <v>0</v>
      </c>
      <c r="J232" t="n">
        <v>3</v>
      </c>
      <c r="K232" t="n">
        <v>1</v>
      </c>
      <c r="L232" t="n">
        <v>0</v>
      </c>
      <c r="M232" t="n">
        <v>0</v>
      </c>
      <c r="N232" t="n">
        <v>0</v>
      </c>
      <c r="O232" t="n">
        <v>4</v>
      </c>
      <c r="P232" t="n">
        <v>1</v>
      </c>
      <c r="Q232" t="n">
        <v>4</v>
      </c>
      <c r="R232" s="2" t="inlineStr">
        <is>
          <t>Rödstrupig piplärka
Blå kärrhök
Dubbelbeckasin
Fjällvråk</t>
        </is>
      </c>
      <c r="S232">
        <f>HYPERLINK("https://klasma.github.io/Logging_0884/artfynd/A 31588-2020 artfynd.xlsx", "A 31588-2020")</f>
        <v/>
      </c>
      <c r="T232">
        <f>HYPERLINK("https://klasma.github.io/Logging_0884/kartor/A 31588-2020 karta.png", "A 31588-2020")</f>
        <v/>
      </c>
      <c r="V232">
        <f>HYPERLINK("https://klasma.github.io/Logging_0884/klagomål/A 31588-2020 FSC-klagomål.docx", "A 31588-2020")</f>
        <v/>
      </c>
      <c r="W232">
        <f>HYPERLINK("https://klasma.github.io/Logging_0884/klagomålsmail/A 31588-2020 FSC-klagomål mail.docx", "A 31588-2020")</f>
        <v/>
      </c>
      <c r="X232">
        <f>HYPERLINK("https://klasma.github.io/Logging_0884/tillsyn/A 31588-2020 tillsynsbegäran.docx", "A 31588-2020")</f>
        <v/>
      </c>
      <c r="Y232">
        <f>HYPERLINK("https://klasma.github.io/Logging_0884/tillsynsmail/A 31588-2020 tillsynsbegäran mail.docx", "A 31588-2020")</f>
        <v/>
      </c>
      <c r="Z232">
        <f>HYPERLINK("https://klasma.github.io/Logging_0884/fåglar/A 31588-2020 prioriterade fågelarter.docx", "A 31588-2020")</f>
        <v/>
      </c>
    </row>
    <row r="233" ht="15" customHeight="1">
      <c r="A233" t="inlineStr">
        <is>
          <t>A 38049-2020</t>
        </is>
      </c>
      <c r="B233" s="1" t="n">
        <v>44057</v>
      </c>
      <c r="C233" s="1" t="n">
        <v>45715</v>
      </c>
      <c r="D233" t="inlineStr">
        <is>
          <t>KALMAR LÄN</t>
        </is>
      </c>
      <c r="E233" t="inlineStr">
        <is>
          <t>KALMAR</t>
        </is>
      </c>
      <c r="G233" t="n">
        <v>3.8</v>
      </c>
      <c r="H233" t="n">
        <v>1</v>
      </c>
      <c r="I233" t="n">
        <v>2</v>
      </c>
      <c r="J233" t="n">
        <v>1</v>
      </c>
      <c r="K233" t="n">
        <v>1</v>
      </c>
      <c r="L233" t="n">
        <v>0</v>
      </c>
      <c r="M233" t="n">
        <v>0</v>
      </c>
      <c r="N233" t="n">
        <v>0</v>
      </c>
      <c r="O233" t="n">
        <v>2</v>
      </c>
      <c r="P233" t="n">
        <v>1</v>
      </c>
      <c r="Q233" t="n">
        <v>4</v>
      </c>
      <c r="R233" s="2" t="inlineStr">
        <is>
          <t>Knärot
Ullticka
Blomkålssvamp
Grönpyrola</t>
        </is>
      </c>
      <c r="S233">
        <f>HYPERLINK("https://klasma.github.io/Logging_0880/artfynd/A 38049-2020 artfynd.xlsx", "A 38049-2020")</f>
        <v/>
      </c>
      <c r="T233">
        <f>HYPERLINK("https://klasma.github.io/Logging_0880/kartor/A 38049-2020 karta.png", "A 38049-2020")</f>
        <v/>
      </c>
      <c r="U233">
        <f>HYPERLINK("https://klasma.github.io/Logging_0880/knärot/A 38049-2020 karta knärot.png", "A 38049-2020")</f>
        <v/>
      </c>
      <c r="V233">
        <f>HYPERLINK("https://klasma.github.io/Logging_0880/klagomål/A 38049-2020 FSC-klagomål.docx", "A 38049-2020")</f>
        <v/>
      </c>
      <c r="W233">
        <f>HYPERLINK("https://klasma.github.io/Logging_0880/klagomålsmail/A 38049-2020 FSC-klagomål mail.docx", "A 38049-2020")</f>
        <v/>
      </c>
      <c r="X233">
        <f>HYPERLINK("https://klasma.github.io/Logging_0880/tillsyn/A 38049-2020 tillsynsbegäran.docx", "A 38049-2020")</f>
        <v/>
      </c>
      <c r="Y233">
        <f>HYPERLINK("https://klasma.github.io/Logging_0880/tillsynsmail/A 38049-2020 tillsynsbegäran mail.docx", "A 38049-2020")</f>
        <v/>
      </c>
    </row>
    <row r="234" ht="15" customHeight="1">
      <c r="A234" t="inlineStr">
        <is>
          <t>A 38673-2020</t>
        </is>
      </c>
      <c r="B234" s="1" t="n">
        <v>44061</v>
      </c>
      <c r="C234" s="1" t="n">
        <v>45715</v>
      </c>
      <c r="D234" t="inlineStr">
        <is>
          <t>KALMAR LÄN</t>
        </is>
      </c>
      <c r="E234" t="inlineStr">
        <is>
          <t>HULTSFRED</t>
        </is>
      </c>
      <c r="F234" t="inlineStr">
        <is>
          <t>Kyrkan</t>
        </is>
      </c>
      <c r="G234" t="n">
        <v>2.7</v>
      </c>
      <c r="H234" t="n">
        <v>1</v>
      </c>
      <c r="I234" t="n">
        <v>3</v>
      </c>
      <c r="J234" t="n">
        <v>0</v>
      </c>
      <c r="K234" t="n">
        <v>0</v>
      </c>
      <c r="L234" t="n">
        <v>0</v>
      </c>
      <c r="M234" t="n">
        <v>0</v>
      </c>
      <c r="N234" t="n">
        <v>0</v>
      </c>
      <c r="O234" t="n">
        <v>0</v>
      </c>
      <c r="P234" t="n">
        <v>0</v>
      </c>
      <c r="Q234" t="n">
        <v>4</v>
      </c>
      <c r="R234" s="2" t="inlineStr">
        <is>
          <t>Fällmossa
Grov fjädermossa
Platt fjädermossa
Blåsippa</t>
        </is>
      </c>
      <c r="S234">
        <f>HYPERLINK("https://klasma.github.io/Logging_0860/artfynd/A 38673-2020 artfynd.xlsx", "A 38673-2020")</f>
        <v/>
      </c>
      <c r="T234">
        <f>HYPERLINK("https://klasma.github.io/Logging_0860/kartor/A 38673-2020 karta.png", "A 38673-2020")</f>
        <v/>
      </c>
      <c r="V234">
        <f>HYPERLINK("https://klasma.github.io/Logging_0860/klagomål/A 38673-2020 FSC-klagomål.docx", "A 38673-2020")</f>
        <v/>
      </c>
      <c r="W234">
        <f>HYPERLINK("https://klasma.github.io/Logging_0860/klagomålsmail/A 38673-2020 FSC-klagomål mail.docx", "A 38673-2020")</f>
        <v/>
      </c>
      <c r="X234">
        <f>HYPERLINK("https://klasma.github.io/Logging_0860/tillsyn/A 38673-2020 tillsynsbegäran.docx", "A 38673-2020")</f>
        <v/>
      </c>
      <c r="Y234">
        <f>HYPERLINK("https://klasma.github.io/Logging_0860/tillsynsmail/A 38673-2020 tillsynsbegäran mail.docx", "A 38673-2020")</f>
        <v/>
      </c>
    </row>
    <row r="235" ht="15" customHeight="1">
      <c r="A235" t="inlineStr">
        <is>
          <t>A 41561-2020</t>
        </is>
      </c>
      <c r="B235" s="1" t="n">
        <v>44074</v>
      </c>
      <c r="C235" s="1" t="n">
        <v>45715</v>
      </c>
      <c r="D235" t="inlineStr">
        <is>
          <t>KALMAR LÄN</t>
        </is>
      </c>
      <c r="E235" t="inlineStr">
        <is>
          <t>BORGHOLM</t>
        </is>
      </c>
      <c r="G235" t="n">
        <v>4.5</v>
      </c>
      <c r="H235" t="n">
        <v>0</v>
      </c>
      <c r="I235" t="n">
        <v>0</v>
      </c>
      <c r="J235" t="n">
        <v>1</v>
      </c>
      <c r="K235" t="n">
        <v>3</v>
      </c>
      <c r="L235" t="n">
        <v>0</v>
      </c>
      <c r="M235" t="n">
        <v>0</v>
      </c>
      <c r="N235" t="n">
        <v>0</v>
      </c>
      <c r="O235" t="n">
        <v>4</v>
      </c>
      <c r="P235" t="n">
        <v>3</v>
      </c>
      <c r="Q235" t="n">
        <v>4</v>
      </c>
      <c r="R235" s="2" t="inlineStr">
        <is>
          <t>Rödvingad kapuschongbagge
Storfibblebi
Vallrovfluga
Större vedgeting</t>
        </is>
      </c>
      <c r="S235">
        <f>HYPERLINK("https://klasma.github.io/Logging_0885/artfynd/A 41561-2020 artfynd.xlsx", "A 41561-2020")</f>
        <v/>
      </c>
      <c r="T235">
        <f>HYPERLINK("https://klasma.github.io/Logging_0885/kartor/A 41561-2020 karta.png", "A 41561-2020")</f>
        <v/>
      </c>
      <c r="V235">
        <f>HYPERLINK("https://klasma.github.io/Logging_0885/klagomål/A 41561-2020 FSC-klagomål.docx", "A 41561-2020")</f>
        <v/>
      </c>
      <c r="W235">
        <f>HYPERLINK("https://klasma.github.io/Logging_0885/klagomålsmail/A 41561-2020 FSC-klagomål mail.docx", "A 41561-2020")</f>
        <v/>
      </c>
      <c r="X235">
        <f>HYPERLINK("https://klasma.github.io/Logging_0885/tillsyn/A 41561-2020 tillsynsbegäran.docx", "A 41561-2020")</f>
        <v/>
      </c>
      <c r="Y235">
        <f>HYPERLINK("https://klasma.github.io/Logging_0885/tillsynsmail/A 41561-2020 tillsynsbegäran mail.docx", "A 41561-2020")</f>
        <v/>
      </c>
    </row>
    <row r="236" ht="15" customHeight="1">
      <c r="A236" t="inlineStr">
        <is>
          <t>A 42561-2020</t>
        </is>
      </c>
      <c r="B236" s="1" t="n">
        <v>44077</v>
      </c>
      <c r="C236" s="1" t="n">
        <v>45715</v>
      </c>
      <c r="D236" t="inlineStr">
        <is>
          <t>KALMAR LÄN</t>
        </is>
      </c>
      <c r="E236" t="inlineStr">
        <is>
          <t>NYBRO</t>
        </is>
      </c>
      <c r="G236" t="n">
        <v>2.2</v>
      </c>
      <c r="H236" t="n">
        <v>2</v>
      </c>
      <c r="I236" t="n">
        <v>0</v>
      </c>
      <c r="J236" t="n">
        <v>1</v>
      </c>
      <c r="K236" t="n">
        <v>1</v>
      </c>
      <c r="L236" t="n">
        <v>0</v>
      </c>
      <c r="M236" t="n">
        <v>0</v>
      </c>
      <c r="N236" t="n">
        <v>0</v>
      </c>
      <c r="O236" t="n">
        <v>2</v>
      </c>
      <c r="P236" t="n">
        <v>1</v>
      </c>
      <c r="Q236" t="n">
        <v>4</v>
      </c>
      <c r="R236" s="2" t="inlineStr">
        <is>
          <t>Slåttergubbe
Svinrot
Blåsippa
Mattlummer</t>
        </is>
      </c>
      <c r="S236">
        <f>HYPERLINK("https://klasma.github.io/Logging_0881/artfynd/A 42561-2020 artfynd.xlsx", "A 42561-2020")</f>
        <v/>
      </c>
      <c r="T236">
        <f>HYPERLINK("https://klasma.github.io/Logging_0881/kartor/A 42561-2020 karta.png", "A 42561-2020")</f>
        <v/>
      </c>
      <c r="V236">
        <f>HYPERLINK("https://klasma.github.io/Logging_0881/klagomål/A 42561-2020 FSC-klagomål.docx", "A 42561-2020")</f>
        <v/>
      </c>
      <c r="W236">
        <f>HYPERLINK("https://klasma.github.io/Logging_0881/klagomålsmail/A 42561-2020 FSC-klagomål mail.docx", "A 42561-2020")</f>
        <v/>
      </c>
      <c r="X236">
        <f>HYPERLINK("https://klasma.github.io/Logging_0881/tillsyn/A 42561-2020 tillsynsbegäran.docx", "A 42561-2020")</f>
        <v/>
      </c>
      <c r="Y236">
        <f>HYPERLINK("https://klasma.github.io/Logging_0881/tillsynsmail/A 42561-2020 tillsynsbegäran mail.docx", "A 42561-2020")</f>
        <v/>
      </c>
    </row>
    <row r="237" ht="15" customHeight="1">
      <c r="A237" t="inlineStr">
        <is>
          <t>A 51578-2020</t>
        </is>
      </c>
      <c r="B237" s="1" t="n">
        <v>44109</v>
      </c>
      <c r="C237" s="1" t="n">
        <v>45715</v>
      </c>
      <c r="D237" t="inlineStr">
        <is>
          <t>KALMAR LÄN</t>
        </is>
      </c>
      <c r="E237" t="inlineStr">
        <is>
          <t>HÖGSBY</t>
        </is>
      </c>
      <c r="G237" t="n">
        <v>12.3</v>
      </c>
      <c r="H237" t="n">
        <v>1</v>
      </c>
      <c r="I237" t="n">
        <v>2</v>
      </c>
      <c r="J237" t="n">
        <v>1</v>
      </c>
      <c r="K237" t="n">
        <v>1</v>
      </c>
      <c r="L237" t="n">
        <v>0</v>
      </c>
      <c r="M237" t="n">
        <v>0</v>
      </c>
      <c r="N237" t="n">
        <v>0</v>
      </c>
      <c r="O237" t="n">
        <v>2</v>
      </c>
      <c r="P237" t="n">
        <v>1</v>
      </c>
      <c r="Q237" t="n">
        <v>4</v>
      </c>
      <c r="R237" s="2" t="inlineStr">
        <is>
          <t>Rynkskinn
Spillkråka
Bronshjon
Vågbandad barkbock</t>
        </is>
      </c>
      <c r="S237">
        <f>HYPERLINK("https://klasma.github.io/Logging_0821/artfynd/A 51578-2020 artfynd.xlsx", "A 51578-2020")</f>
        <v/>
      </c>
      <c r="T237">
        <f>HYPERLINK("https://klasma.github.io/Logging_0821/kartor/A 51578-2020 karta.png", "A 51578-2020")</f>
        <v/>
      </c>
      <c r="V237">
        <f>HYPERLINK("https://klasma.github.io/Logging_0821/klagomål/A 51578-2020 FSC-klagomål.docx", "A 51578-2020")</f>
        <v/>
      </c>
      <c r="W237">
        <f>HYPERLINK("https://klasma.github.io/Logging_0821/klagomålsmail/A 51578-2020 FSC-klagomål mail.docx", "A 51578-2020")</f>
        <v/>
      </c>
      <c r="X237">
        <f>HYPERLINK("https://klasma.github.io/Logging_0821/tillsyn/A 51578-2020 tillsynsbegäran.docx", "A 51578-2020")</f>
        <v/>
      </c>
      <c r="Y237">
        <f>HYPERLINK("https://klasma.github.io/Logging_0821/tillsynsmail/A 51578-2020 tillsynsbegäran mail.docx", "A 51578-2020")</f>
        <v/>
      </c>
      <c r="Z237">
        <f>HYPERLINK("https://klasma.github.io/Logging_0821/fåglar/A 51578-2020 prioriterade fågelarter.docx", "A 51578-2020")</f>
        <v/>
      </c>
    </row>
    <row r="238" ht="15" customHeight="1">
      <c r="A238" t="inlineStr">
        <is>
          <t>A 55210-2020</t>
        </is>
      </c>
      <c r="B238" s="1" t="n">
        <v>44130</v>
      </c>
      <c r="C238" s="1" t="n">
        <v>45715</v>
      </c>
      <c r="D238" t="inlineStr">
        <is>
          <t>KALMAR LÄN</t>
        </is>
      </c>
      <c r="E238" t="inlineStr">
        <is>
          <t>BORGHOLM</t>
        </is>
      </c>
      <c r="G238" t="n">
        <v>2.2</v>
      </c>
      <c r="H238" t="n">
        <v>1</v>
      </c>
      <c r="I238" t="n">
        <v>3</v>
      </c>
      <c r="J238" t="n">
        <v>1</v>
      </c>
      <c r="K238" t="n">
        <v>0</v>
      </c>
      <c r="L238" t="n">
        <v>0</v>
      </c>
      <c r="M238" t="n">
        <v>0</v>
      </c>
      <c r="N238" t="n">
        <v>0</v>
      </c>
      <c r="O238" t="n">
        <v>1</v>
      </c>
      <c r="P238" t="n">
        <v>0</v>
      </c>
      <c r="Q238" t="n">
        <v>4</v>
      </c>
      <c r="R238" s="2" t="inlineStr">
        <is>
          <t>Loppstarr
Murgröna
Nästrot
Sårläka</t>
        </is>
      </c>
      <c r="S238">
        <f>HYPERLINK("https://klasma.github.io/Logging_0885/artfynd/A 55210-2020 artfynd.xlsx", "A 55210-2020")</f>
        <v/>
      </c>
      <c r="T238">
        <f>HYPERLINK("https://klasma.github.io/Logging_0885/kartor/A 55210-2020 karta.png", "A 55210-2020")</f>
        <v/>
      </c>
      <c r="V238">
        <f>HYPERLINK("https://klasma.github.io/Logging_0885/klagomål/A 55210-2020 FSC-klagomål.docx", "A 55210-2020")</f>
        <v/>
      </c>
      <c r="W238">
        <f>HYPERLINK("https://klasma.github.io/Logging_0885/klagomålsmail/A 55210-2020 FSC-klagomål mail.docx", "A 55210-2020")</f>
        <v/>
      </c>
      <c r="X238">
        <f>HYPERLINK("https://klasma.github.io/Logging_0885/tillsyn/A 55210-2020 tillsynsbegäran.docx", "A 55210-2020")</f>
        <v/>
      </c>
      <c r="Y238">
        <f>HYPERLINK("https://klasma.github.io/Logging_0885/tillsynsmail/A 55210-2020 tillsynsbegäran mail.docx", "A 55210-2020")</f>
        <v/>
      </c>
    </row>
    <row r="239" ht="15" customHeight="1">
      <c r="A239" t="inlineStr">
        <is>
          <t>A 61854-2020</t>
        </is>
      </c>
      <c r="B239" s="1" t="n">
        <v>44155</v>
      </c>
      <c r="C239" s="1" t="n">
        <v>45715</v>
      </c>
      <c r="D239" t="inlineStr">
        <is>
          <t>KALMAR LÄN</t>
        </is>
      </c>
      <c r="E239" t="inlineStr">
        <is>
          <t>MÖRBYLÅNGA</t>
        </is>
      </c>
      <c r="G239" t="n">
        <v>1.3</v>
      </c>
      <c r="H239" t="n">
        <v>1</v>
      </c>
      <c r="I239" t="n">
        <v>3</v>
      </c>
      <c r="J239" t="n">
        <v>0</v>
      </c>
      <c r="K239" t="n">
        <v>0</v>
      </c>
      <c r="L239" t="n">
        <v>0</v>
      </c>
      <c r="M239" t="n">
        <v>0</v>
      </c>
      <c r="N239" t="n">
        <v>0</v>
      </c>
      <c r="O239" t="n">
        <v>0</v>
      </c>
      <c r="P239" t="n">
        <v>0</v>
      </c>
      <c r="Q239" t="n">
        <v>4</v>
      </c>
      <c r="R239" s="2" t="inlineStr">
        <is>
          <t>Kalktallört
Murgröna
Scharlakansvårskål agg.
Blåsippa</t>
        </is>
      </c>
      <c r="S239">
        <f>HYPERLINK("https://klasma.github.io/Logging_0840/artfynd/A 61854-2020 artfynd.xlsx", "A 61854-2020")</f>
        <v/>
      </c>
      <c r="T239">
        <f>HYPERLINK("https://klasma.github.io/Logging_0840/kartor/A 61854-2020 karta.png", "A 61854-2020")</f>
        <v/>
      </c>
      <c r="V239">
        <f>HYPERLINK("https://klasma.github.io/Logging_0840/klagomål/A 61854-2020 FSC-klagomål.docx", "A 61854-2020")</f>
        <v/>
      </c>
      <c r="W239">
        <f>HYPERLINK("https://klasma.github.io/Logging_0840/klagomålsmail/A 61854-2020 FSC-klagomål mail.docx", "A 61854-2020")</f>
        <v/>
      </c>
      <c r="X239">
        <f>HYPERLINK("https://klasma.github.io/Logging_0840/tillsyn/A 61854-2020 tillsynsbegäran.docx", "A 61854-2020")</f>
        <v/>
      </c>
      <c r="Y239">
        <f>HYPERLINK("https://klasma.github.io/Logging_0840/tillsynsmail/A 61854-2020 tillsynsbegäran mail.docx", "A 61854-2020")</f>
        <v/>
      </c>
    </row>
    <row r="240" ht="15" customHeight="1">
      <c r="A240" t="inlineStr">
        <is>
          <t>A 3238-2021</t>
        </is>
      </c>
      <c r="B240" s="1" t="n">
        <v>44215</v>
      </c>
      <c r="C240" s="1" t="n">
        <v>45715</v>
      </c>
      <c r="D240" t="inlineStr">
        <is>
          <t>KALMAR LÄN</t>
        </is>
      </c>
      <c r="E240" t="inlineStr">
        <is>
          <t>MÖNSTERÅS</t>
        </is>
      </c>
      <c r="G240" t="n">
        <v>17.1</v>
      </c>
      <c r="H240" t="n">
        <v>3</v>
      </c>
      <c r="I240" t="n">
        <v>1</v>
      </c>
      <c r="J240" t="n">
        <v>0</v>
      </c>
      <c r="K240" t="n">
        <v>0</v>
      </c>
      <c r="L240" t="n">
        <v>0</v>
      </c>
      <c r="M240" t="n">
        <v>0</v>
      </c>
      <c r="N240" t="n">
        <v>0</v>
      </c>
      <c r="O240" t="n">
        <v>0</v>
      </c>
      <c r="P240" t="n">
        <v>0</v>
      </c>
      <c r="Q240" t="n">
        <v>4</v>
      </c>
      <c r="R240" s="2" t="inlineStr">
        <is>
          <t>Granbarkgnagare
Dvärgpipistrell
Större brunfladdermus
Mattlummer</t>
        </is>
      </c>
      <c r="S240">
        <f>HYPERLINK("https://klasma.github.io/Logging_0861/artfynd/A 3238-2021 artfynd.xlsx", "A 3238-2021")</f>
        <v/>
      </c>
      <c r="T240">
        <f>HYPERLINK("https://klasma.github.io/Logging_0861/kartor/A 3238-2021 karta.png", "A 3238-2021")</f>
        <v/>
      </c>
      <c r="V240">
        <f>HYPERLINK("https://klasma.github.io/Logging_0861/klagomål/A 3238-2021 FSC-klagomål.docx", "A 3238-2021")</f>
        <v/>
      </c>
      <c r="W240">
        <f>HYPERLINK("https://klasma.github.io/Logging_0861/klagomålsmail/A 3238-2021 FSC-klagomål mail.docx", "A 3238-2021")</f>
        <v/>
      </c>
      <c r="X240">
        <f>HYPERLINK("https://klasma.github.io/Logging_0861/tillsyn/A 3238-2021 tillsynsbegäran.docx", "A 3238-2021")</f>
        <v/>
      </c>
      <c r="Y240">
        <f>HYPERLINK("https://klasma.github.io/Logging_0861/tillsynsmail/A 3238-2021 tillsynsbegäran mail.docx", "A 3238-2021")</f>
        <v/>
      </c>
    </row>
    <row r="241" ht="15" customHeight="1">
      <c r="A241" t="inlineStr">
        <is>
          <t>A 10511-2021</t>
        </is>
      </c>
      <c r="B241" s="1" t="n">
        <v>44258</v>
      </c>
      <c r="C241" s="1" t="n">
        <v>45715</v>
      </c>
      <c r="D241" t="inlineStr">
        <is>
          <t>KALMAR LÄN</t>
        </is>
      </c>
      <c r="E241" t="inlineStr">
        <is>
          <t>HULTSFRED</t>
        </is>
      </c>
      <c r="G241" t="n">
        <v>4.7</v>
      </c>
      <c r="H241" t="n">
        <v>3</v>
      </c>
      <c r="I241" t="n">
        <v>1</v>
      </c>
      <c r="J241" t="n">
        <v>1</v>
      </c>
      <c r="K241" t="n">
        <v>1</v>
      </c>
      <c r="L241" t="n">
        <v>0</v>
      </c>
      <c r="M241" t="n">
        <v>0</v>
      </c>
      <c r="N241" t="n">
        <v>0</v>
      </c>
      <c r="O241" t="n">
        <v>2</v>
      </c>
      <c r="P241" t="n">
        <v>1</v>
      </c>
      <c r="Q241" t="n">
        <v>4</v>
      </c>
      <c r="R241" s="2" t="inlineStr">
        <is>
          <t>Knärot
Talltita
Grovticka
Blåsippa</t>
        </is>
      </c>
      <c r="S241">
        <f>HYPERLINK("https://klasma.github.io/Logging_0860/artfynd/A 10511-2021 artfynd.xlsx", "A 10511-2021")</f>
        <v/>
      </c>
      <c r="T241">
        <f>HYPERLINK("https://klasma.github.io/Logging_0860/kartor/A 10511-2021 karta.png", "A 10511-2021")</f>
        <v/>
      </c>
      <c r="U241">
        <f>HYPERLINK("https://klasma.github.io/Logging_0860/knärot/A 10511-2021 karta knärot.png", "A 10511-2021")</f>
        <v/>
      </c>
      <c r="V241">
        <f>HYPERLINK("https://klasma.github.io/Logging_0860/klagomål/A 10511-2021 FSC-klagomål.docx", "A 10511-2021")</f>
        <v/>
      </c>
      <c r="W241">
        <f>HYPERLINK("https://klasma.github.io/Logging_0860/klagomålsmail/A 10511-2021 FSC-klagomål mail.docx", "A 10511-2021")</f>
        <v/>
      </c>
      <c r="X241">
        <f>HYPERLINK("https://klasma.github.io/Logging_0860/tillsyn/A 10511-2021 tillsynsbegäran.docx", "A 10511-2021")</f>
        <v/>
      </c>
      <c r="Y241">
        <f>HYPERLINK("https://klasma.github.io/Logging_0860/tillsynsmail/A 10511-2021 tillsynsbegäran mail.docx", "A 10511-2021")</f>
        <v/>
      </c>
      <c r="Z241">
        <f>HYPERLINK("https://klasma.github.io/Logging_0860/fåglar/A 10511-2021 prioriterade fågelarter.docx", "A 10511-2021")</f>
        <v/>
      </c>
    </row>
    <row r="242" ht="15" customHeight="1">
      <c r="A242" t="inlineStr">
        <is>
          <t>A 24774-2021</t>
        </is>
      </c>
      <c r="B242" s="1" t="n">
        <v>44340</v>
      </c>
      <c r="C242" s="1" t="n">
        <v>45715</v>
      </c>
      <c r="D242" t="inlineStr">
        <is>
          <t>KALMAR LÄN</t>
        </is>
      </c>
      <c r="E242" t="inlineStr">
        <is>
          <t>OSKARSHAMN</t>
        </is>
      </c>
      <c r="G242" t="n">
        <v>3.8</v>
      </c>
      <c r="H242" t="n">
        <v>2</v>
      </c>
      <c r="I242" t="n">
        <v>2</v>
      </c>
      <c r="J242" t="n">
        <v>2</v>
      </c>
      <c r="K242" t="n">
        <v>0</v>
      </c>
      <c r="L242" t="n">
        <v>0</v>
      </c>
      <c r="M242" t="n">
        <v>0</v>
      </c>
      <c r="N242" t="n">
        <v>0</v>
      </c>
      <c r="O242" t="n">
        <v>2</v>
      </c>
      <c r="P242" t="n">
        <v>0</v>
      </c>
      <c r="Q242" t="n">
        <v>4</v>
      </c>
      <c r="R242" s="2" t="inlineStr">
        <is>
          <t>Spillkråka
Talltita
Blåmossa
Kornknutmossa</t>
        </is>
      </c>
      <c r="S242">
        <f>HYPERLINK("https://klasma.github.io/Logging_0882/artfynd/A 24774-2021 artfynd.xlsx", "A 24774-2021")</f>
        <v/>
      </c>
      <c r="T242">
        <f>HYPERLINK("https://klasma.github.io/Logging_0882/kartor/A 24774-2021 karta.png", "A 24774-2021")</f>
        <v/>
      </c>
      <c r="U242">
        <f>HYPERLINK("https://klasma.github.io/Logging_0882/knärot/A 24774-2021 karta knärot.png", "A 24774-2021")</f>
        <v/>
      </c>
      <c r="V242">
        <f>HYPERLINK("https://klasma.github.io/Logging_0882/klagomål/A 24774-2021 FSC-klagomål.docx", "A 24774-2021")</f>
        <v/>
      </c>
      <c r="W242">
        <f>HYPERLINK("https://klasma.github.io/Logging_0882/klagomålsmail/A 24774-2021 FSC-klagomål mail.docx", "A 24774-2021")</f>
        <v/>
      </c>
      <c r="X242">
        <f>HYPERLINK("https://klasma.github.io/Logging_0882/tillsyn/A 24774-2021 tillsynsbegäran.docx", "A 24774-2021")</f>
        <v/>
      </c>
      <c r="Y242">
        <f>HYPERLINK("https://klasma.github.io/Logging_0882/tillsynsmail/A 24774-2021 tillsynsbegäran mail.docx", "A 24774-2021")</f>
        <v/>
      </c>
      <c r="Z242">
        <f>HYPERLINK("https://klasma.github.io/Logging_0882/fåglar/A 24774-2021 prioriterade fågelarter.docx", "A 24774-2021")</f>
        <v/>
      </c>
    </row>
    <row r="243" ht="15" customHeight="1">
      <c r="A243" t="inlineStr">
        <is>
          <t>A 25280-2021</t>
        </is>
      </c>
      <c r="B243" s="1" t="n">
        <v>44342</v>
      </c>
      <c r="C243" s="1" t="n">
        <v>45715</v>
      </c>
      <c r="D243" t="inlineStr">
        <is>
          <t>KALMAR LÄN</t>
        </is>
      </c>
      <c r="E243" t="inlineStr">
        <is>
          <t>VÄSTERVIK</t>
        </is>
      </c>
      <c r="G243" t="n">
        <v>6.5</v>
      </c>
      <c r="H243" t="n">
        <v>3</v>
      </c>
      <c r="I243" t="n">
        <v>0</v>
      </c>
      <c r="J243" t="n">
        <v>3</v>
      </c>
      <c r="K243" t="n">
        <v>1</v>
      </c>
      <c r="L243" t="n">
        <v>0</v>
      </c>
      <c r="M243" t="n">
        <v>0</v>
      </c>
      <c r="N243" t="n">
        <v>0</v>
      </c>
      <c r="O243" t="n">
        <v>4</v>
      </c>
      <c r="P243" t="n">
        <v>1</v>
      </c>
      <c r="Q243" t="n">
        <v>4</v>
      </c>
      <c r="R243" s="2" t="inlineStr">
        <is>
          <t>Knärot
Smalsprötad bastardsvärmare
Spillkråka
Talltita</t>
        </is>
      </c>
      <c r="S243">
        <f>HYPERLINK("https://klasma.github.io/Logging_0883/artfynd/A 25280-2021 artfynd.xlsx", "A 25280-2021")</f>
        <v/>
      </c>
      <c r="T243">
        <f>HYPERLINK("https://klasma.github.io/Logging_0883/kartor/A 25280-2021 karta.png", "A 25280-2021")</f>
        <v/>
      </c>
      <c r="U243">
        <f>HYPERLINK("https://klasma.github.io/Logging_0883/knärot/A 25280-2021 karta knärot.png", "A 25280-2021")</f>
        <v/>
      </c>
      <c r="V243">
        <f>HYPERLINK("https://klasma.github.io/Logging_0883/klagomål/A 25280-2021 FSC-klagomål.docx", "A 25280-2021")</f>
        <v/>
      </c>
      <c r="W243">
        <f>HYPERLINK("https://klasma.github.io/Logging_0883/klagomålsmail/A 25280-2021 FSC-klagomål mail.docx", "A 25280-2021")</f>
        <v/>
      </c>
      <c r="X243">
        <f>HYPERLINK("https://klasma.github.io/Logging_0883/tillsyn/A 25280-2021 tillsynsbegäran.docx", "A 25280-2021")</f>
        <v/>
      </c>
      <c r="Y243">
        <f>HYPERLINK("https://klasma.github.io/Logging_0883/tillsynsmail/A 25280-2021 tillsynsbegäran mail.docx", "A 25280-2021")</f>
        <v/>
      </c>
      <c r="Z243">
        <f>HYPERLINK("https://klasma.github.io/Logging_0883/fåglar/A 25280-2021 prioriterade fågelarter.docx", "A 25280-2021")</f>
        <v/>
      </c>
    </row>
    <row r="244" ht="15" customHeight="1">
      <c r="A244" t="inlineStr">
        <is>
          <t>A 28297-2021</t>
        </is>
      </c>
      <c r="B244" s="1" t="n">
        <v>44356</v>
      </c>
      <c r="C244" s="1" t="n">
        <v>45715</v>
      </c>
      <c r="D244" t="inlineStr">
        <is>
          <t>KALMAR LÄN</t>
        </is>
      </c>
      <c r="E244" t="inlineStr">
        <is>
          <t>OSKARSHAMN</t>
        </is>
      </c>
      <c r="G244" t="n">
        <v>2</v>
      </c>
      <c r="H244" t="n">
        <v>2</v>
      </c>
      <c r="I244" t="n">
        <v>1</v>
      </c>
      <c r="J244" t="n">
        <v>3</v>
      </c>
      <c r="K244" t="n">
        <v>0</v>
      </c>
      <c r="L244" t="n">
        <v>0</v>
      </c>
      <c r="M244" t="n">
        <v>0</v>
      </c>
      <c r="N244" t="n">
        <v>0</v>
      </c>
      <c r="O244" t="n">
        <v>3</v>
      </c>
      <c r="P244" t="n">
        <v>0</v>
      </c>
      <c r="Q244" t="n">
        <v>4</v>
      </c>
      <c r="R244" s="2" t="inlineStr">
        <is>
          <t>Spillkråka
Tallticka
Talltita
Blomkålssvamp</t>
        </is>
      </c>
      <c r="S244">
        <f>HYPERLINK("https://klasma.github.io/Logging_0882/artfynd/A 28297-2021 artfynd.xlsx", "A 28297-2021")</f>
        <v/>
      </c>
      <c r="T244">
        <f>HYPERLINK("https://klasma.github.io/Logging_0882/kartor/A 28297-2021 karta.png", "A 28297-2021")</f>
        <v/>
      </c>
      <c r="V244">
        <f>HYPERLINK("https://klasma.github.io/Logging_0882/klagomål/A 28297-2021 FSC-klagomål.docx", "A 28297-2021")</f>
        <v/>
      </c>
      <c r="W244">
        <f>HYPERLINK("https://klasma.github.io/Logging_0882/klagomålsmail/A 28297-2021 FSC-klagomål mail.docx", "A 28297-2021")</f>
        <v/>
      </c>
      <c r="X244">
        <f>HYPERLINK("https://klasma.github.io/Logging_0882/tillsyn/A 28297-2021 tillsynsbegäran.docx", "A 28297-2021")</f>
        <v/>
      </c>
      <c r="Y244">
        <f>HYPERLINK("https://klasma.github.io/Logging_0882/tillsynsmail/A 28297-2021 tillsynsbegäran mail.docx", "A 28297-2021")</f>
        <v/>
      </c>
      <c r="Z244">
        <f>HYPERLINK("https://klasma.github.io/Logging_0882/fåglar/A 28297-2021 prioriterade fågelarter.docx", "A 28297-2021")</f>
        <v/>
      </c>
    </row>
    <row r="245" ht="15" customHeight="1">
      <c r="A245" t="inlineStr">
        <is>
          <t>A 28301-2021</t>
        </is>
      </c>
      <c r="B245" s="1" t="n">
        <v>44356</v>
      </c>
      <c r="C245" s="1" t="n">
        <v>45715</v>
      </c>
      <c r="D245" t="inlineStr">
        <is>
          <t>KALMAR LÄN</t>
        </is>
      </c>
      <c r="E245" t="inlineStr">
        <is>
          <t>OSKARSHAMN</t>
        </is>
      </c>
      <c r="G245" t="n">
        <v>3.8</v>
      </c>
      <c r="H245" t="n">
        <v>4</v>
      </c>
      <c r="I245" t="n">
        <v>0</v>
      </c>
      <c r="J245" t="n">
        <v>1</v>
      </c>
      <c r="K245" t="n">
        <v>0</v>
      </c>
      <c r="L245" t="n">
        <v>0</v>
      </c>
      <c r="M245" t="n">
        <v>0</v>
      </c>
      <c r="N245" t="n">
        <v>0</v>
      </c>
      <c r="O245" t="n">
        <v>1</v>
      </c>
      <c r="P245" t="n">
        <v>0</v>
      </c>
      <c r="Q245" t="n">
        <v>4</v>
      </c>
      <c r="R245" s="2" t="inlineStr">
        <is>
          <t>Nordfladdermus
Dvärgpipistrell
Större brunfladdermus
Vattenfladdermus</t>
        </is>
      </c>
      <c r="S245">
        <f>HYPERLINK("https://klasma.github.io/Logging_0882/artfynd/A 28301-2021 artfynd.xlsx", "A 28301-2021")</f>
        <v/>
      </c>
      <c r="T245">
        <f>HYPERLINK("https://klasma.github.io/Logging_0882/kartor/A 28301-2021 karta.png", "A 28301-2021")</f>
        <v/>
      </c>
      <c r="V245">
        <f>HYPERLINK("https://klasma.github.io/Logging_0882/klagomål/A 28301-2021 FSC-klagomål.docx", "A 28301-2021")</f>
        <v/>
      </c>
      <c r="W245">
        <f>HYPERLINK("https://klasma.github.io/Logging_0882/klagomålsmail/A 28301-2021 FSC-klagomål mail.docx", "A 28301-2021")</f>
        <v/>
      </c>
      <c r="X245">
        <f>HYPERLINK("https://klasma.github.io/Logging_0882/tillsyn/A 28301-2021 tillsynsbegäran.docx", "A 28301-2021")</f>
        <v/>
      </c>
      <c r="Y245">
        <f>HYPERLINK("https://klasma.github.io/Logging_0882/tillsynsmail/A 28301-2021 tillsynsbegäran mail.docx", "A 28301-2021")</f>
        <v/>
      </c>
    </row>
    <row r="246" ht="15" customHeight="1">
      <c r="A246" t="inlineStr">
        <is>
          <t>A 37438-2021</t>
        </is>
      </c>
      <c r="B246" s="1" t="n">
        <v>44398</v>
      </c>
      <c r="C246" s="1" t="n">
        <v>45715</v>
      </c>
      <c r="D246" t="inlineStr">
        <is>
          <t>KALMAR LÄN</t>
        </is>
      </c>
      <c r="E246" t="inlineStr">
        <is>
          <t>VÄSTERVIK</t>
        </is>
      </c>
      <c r="G246" t="n">
        <v>14.3</v>
      </c>
      <c r="H246" t="n">
        <v>2</v>
      </c>
      <c r="I246" t="n">
        <v>2</v>
      </c>
      <c r="J246" t="n">
        <v>0</v>
      </c>
      <c r="K246" t="n">
        <v>1</v>
      </c>
      <c r="L246" t="n">
        <v>0</v>
      </c>
      <c r="M246" t="n">
        <v>0</v>
      </c>
      <c r="N246" t="n">
        <v>0</v>
      </c>
      <c r="O246" t="n">
        <v>1</v>
      </c>
      <c r="P246" t="n">
        <v>1</v>
      </c>
      <c r="Q246" t="n">
        <v>4</v>
      </c>
      <c r="R246" s="2" t="inlineStr">
        <is>
          <t>Knärot
Grönpyrola
Kambräken
Tjäder</t>
        </is>
      </c>
      <c r="S246">
        <f>HYPERLINK("https://klasma.github.io/Logging_0883/artfynd/A 37438-2021 artfynd.xlsx", "A 37438-2021")</f>
        <v/>
      </c>
      <c r="T246">
        <f>HYPERLINK("https://klasma.github.io/Logging_0883/kartor/A 37438-2021 karta.png", "A 37438-2021")</f>
        <v/>
      </c>
      <c r="U246">
        <f>HYPERLINK("https://klasma.github.io/Logging_0883/knärot/A 37438-2021 karta knärot.png", "A 37438-2021")</f>
        <v/>
      </c>
      <c r="V246">
        <f>HYPERLINK("https://klasma.github.io/Logging_0883/klagomål/A 37438-2021 FSC-klagomål.docx", "A 37438-2021")</f>
        <v/>
      </c>
      <c r="W246">
        <f>HYPERLINK("https://klasma.github.io/Logging_0883/klagomålsmail/A 37438-2021 FSC-klagomål mail.docx", "A 37438-2021")</f>
        <v/>
      </c>
      <c r="X246">
        <f>HYPERLINK("https://klasma.github.io/Logging_0883/tillsyn/A 37438-2021 tillsynsbegäran.docx", "A 37438-2021")</f>
        <v/>
      </c>
      <c r="Y246">
        <f>HYPERLINK("https://klasma.github.io/Logging_0883/tillsynsmail/A 37438-2021 tillsynsbegäran mail.docx", "A 37438-2021")</f>
        <v/>
      </c>
      <c r="Z246">
        <f>HYPERLINK("https://klasma.github.io/Logging_0883/fåglar/A 37438-2021 prioriterade fågelarter.docx", "A 37438-2021")</f>
        <v/>
      </c>
    </row>
    <row r="247" ht="15" customHeight="1">
      <c r="A247" t="inlineStr">
        <is>
          <t>A 42768-2021</t>
        </is>
      </c>
      <c r="B247" s="1" t="n">
        <v>44428</v>
      </c>
      <c r="C247" s="1" t="n">
        <v>45715</v>
      </c>
      <c r="D247" t="inlineStr">
        <is>
          <t>KALMAR LÄN</t>
        </is>
      </c>
      <c r="E247" t="inlineStr">
        <is>
          <t>NYBRO</t>
        </is>
      </c>
      <c r="G247" t="n">
        <v>3.7</v>
      </c>
      <c r="H247" t="n">
        <v>2</v>
      </c>
      <c r="I247" t="n">
        <v>1</v>
      </c>
      <c r="J247" t="n">
        <v>1</v>
      </c>
      <c r="K247" t="n">
        <v>1</v>
      </c>
      <c r="L247" t="n">
        <v>0</v>
      </c>
      <c r="M247" t="n">
        <v>0</v>
      </c>
      <c r="N247" t="n">
        <v>0</v>
      </c>
      <c r="O247" t="n">
        <v>2</v>
      </c>
      <c r="P247" t="n">
        <v>1</v>
      </c>
      <c r="Q247" t="n">
        <v>4</v>
      </c>
      <c r="R247" s="2" t="inlineStr">
        <is>
          <t>Knärot
Sommarfibbla
Grönpyrola
Mattlummer</t>
        </is>
      </c>
      <c r="S247">
        <f>HYPERLINK("https://klasma.github.io/Logging_0881/artfynd/A 42768-2021 artfynd.xlsx", "A 42768-2021")</f>
        <v/>
      </c>
      <c r="T247">
        <f>HYPERLINK("https://klasma.github.io/Logging_0881/kartor/A 42768-2021 karta.png", "A 42768-2021")</f>
        <v/>
      </c>
      <c r="U247">
        <f>HYPERLINK("https://klasma.github.io/Logging_0881/knärot/A 42768-2021 karta knärot.png", "A 42768-2021")</f>
        <v/>
      </c>
      <c r="V247">
        <f>HYPERLINK("https://klasma.github.io/Logging_0881/klagomål/A 42768-2021 FSC-klagomål.docx", "A 42768-2021")</f>
        <v/>
      </c>
      <c r="W247">
        <f>HYPERLINK("https://klasma.github.io/Logging_0881/klagomålsmail/A 42768-2021 FSC-klagomål mail.docx", "A 42768-2021")</f>
        <v/>
      </c>
      <c r="X247">
        <f>HYPERLINK("https://klasma.github.io/Logging_0881/tillsyn/A 42768-2021 tillsynsbegäran.docx", "A 42768-2021")</f>
        <v/>
      </c>
      <c r="Y247">
        <f>HYPERLINK("https://klasma.github.io/Logging_0881/tillsynsmail/A 42768-2021 tillsynsbegäran mail.docx", "A 42768-2021")</f>
        <v/>
      </c>
    </row>
    <row r="248" ht="15" customHeight="1">
      <c r="A248" t="inlineStr">
        <is>
          <t>A 50720-2021</t>
        </is>
      </c>
      <c r="B248" s="1" t="n">
        <v>44459</v>
      </c>
      <c r="C248" s="1" t="n">
        <v>45715</v>
      </c>
      <c r="D248" t="inlineStr">
        <is>
          <t>KALMAR LÄN</t>
        </is>
      </c>
      <c r="E248" t="inlineStr">
        <is>
          <t>BORGHOLM</t>
        </is>
      </c>
      <c r="G248" t="n">
        <v>1.7</v>
      </c>
      <c r="H248" t="n">
        <v>0</v>
      </c>
      <c r="I248" t="n">
        <v>1</v>
      </c>
      <c r="J248" t="n">
        <v>3</v>
      </c>
      <c r="K248" t="n">
        <v>0</v>
      </c>
      <c r="L248" t="n">
        <v>0</v>
      </c>
      <c r="M248" t="n">
        <v>0</v>
      </c>
      <c r="N248" t="n">
        <v>0</v>
      </c>
      <c r="O248" t="n">
        <v>3</v>
      </c>
      <c r="P248" t="n">
        <v>0</v>
      </c>
      <c r="Q248" t="n">
        <v>4</v>
      </c>
      <c r="R248" s="2" t="inlineStr">
        <is>
          <t>Flentimotej
Grådådra
Sminkrot
Geastrum</t>
        </is>
      </c>
      <c r="S248">
        <f>HYPERLINK("https://klasma.github.io/Logging_0885/artfynd/A 50720-2021 artfynd.xlsx", "A 50720-2021")</f>
        <v/>
      </c>
      <c r="T248">
        <f>HYPERLINK("https://klasma.github.io/Logging_0885/kartor/A 50720-2021 karta.png", "A 50720-2021")</f>
        <v/>
      </c>
      <c r="V248">
        <f>HYPERLINK("https://klasma.github.io/Logging_0885/klagomål/A 50720-2021 FSC-klagomål.docx", "A 50720-2021")</f>
        <v/>
      </c>
      <c r="W248">
        <f>HYPERLINK("https://klasma.github.io/Logging_0885/klagomålsmail/A 50720-2021 FSC-klagomål mail.docx", "A 50720-2021")</f>
        <v/>
      </c>
      <c r="X248">
        <f>HYPERLINK("https://klasma.github.io/Logging_0885/tillsyn/A 50720-2021 tillsynsbegäran.docx", "A 50720-2021")</f>
        <v/>
      </c>
      <c r="Y248">
        <f>HYPERLINK("https://klasma.github.io/Logging_0885/tillsynsmail/A 50720-2021 tillsynsbegäran mail.docx", "A 50720-2021")</f>
        <v/>
      </c>
    </row>
    <row r="249" ht="15" customHeight="1">
      <c r="A249" t="inlineStr">
        <is>
          <t>A 55135-2021</t>
        </is>
      </c>
      <c r="B249" s="1" t="n">
        <v>44474</v>
      </c>
      <c r="C249" s="1" t="n">
        <v>45715</v>
      </c>
      <c r="D249" t="inlineStr">
        <is>
          <t>KALMAR LÄN</t>
        </is>
      </c>
      <c r="E249" t="inlineStr">
        <is>
          <t>HULTSFRED</t>
        </is>
      </c>
      <c r="G249" t="n">
        <v>2.2</v>
      </c>
      <c r="H249" t="n">
        <v>1</v>
      </c>
      <c r="I249" t="n">
        <v>2</v>
      </c>
      <c r="J249" t="n">
        <v>1</v>
      </c>
      <c r="K249" t="n">
        <v>1</v>
      </c>
      <c r="L249" t="n">
        <v>0</v>
      </c>
      <c r="M249" t="n">
        <v>0</v>
      </c>
      <c r="N249" t="n">
        <v>0</v>
      </c>
      <c r="O249" t="n">
        <v>2</v>
      </c>
      <c r="P249" t="n">
        <v>1</v>
      </c>
      <c r="Q249" t="n">
        <v>4</v>
      </c>
      <c r="R249" s="2" t="inlineStr">
        <is>
          <t>Knärot
Druvfingersvamp
Grovticka
Skarp dropptaggsvamp</t>
        </is>
      </c>
      <c r="S249">
        <f>HYPERLINK("https://klasma.github.io/Logging_0860/artfynd/A 55135-2021 artfynd.xlsx", "A 55135-2021")</f>
        <v/>
      </c>
      <c r="T249">
        <f>HYPERLINK("https://klasma.github.io/Logging_0860/kartor/A 55135-2021 karta.png", "A 55135-2021")</f>
        <v/>
      </c>
      <c r="U249">
        <f>HYPERLINK("https://klasma.github.io/Logging_0860/knärot/A 55135-2021 karta knärot.png", "A 55135-2021")</f>
        <v/>
      </c>
      <c r="V249">
        <f>HYPERLINK("https://klasma.github.io/Logging_0860/klagomål/A 55135-2021 FSC-klagomål.docx", "A 55135-2021")</f>
        <v/>
      </c>
      <c r="W249">
        <f>HYPERLINK("https://klasma.github.io/Logging_0860/klagomålsmail/A 55135-2021 FSC-klagomål mail.docx", "A 55135-2021")</f>
        <v/>
      </c>
      <c r="X249">
        <f>HYPERLINK("https://klasma.github.io/Logging_0860/tillsyn/A 55135-2021 tillsynsbegäran.docx", "A 55135-2021")</f>
        <v/>
      </c>
      <c r="Y249">
        <f>HYPERLINK("https://klasma.github.io/Logging_0860/tillsynsmail/A 55135-2021 tillsynsbegäran mail.docx", "A 55135-2021")</f>
        <v/>
      </c>
    </row>
    <row r="250" ht="15" customHeight="1">
      <c r="A250" t="inlineStr">
        <is>
          <t>A 73465-2021</t>
        </is>
      </c>
      <c r="B250" s="1" t="n">
        <v>44551</v>
      </c>
      <c r="C250" s="1" t="n">
        <v>45715</v>
      </c>
      <c r="D250" t="inlineStr">
        <is>
          <t>KALMAR LÄN</t>
        </is>
      </c>
      <c r="E250" t="inlineStr">
        <is>
          <t>HULTSFRED</t>
        </is>
      </c>
      <c r="G250" t="n">
        <v>1.4</v>
      </c>
      <c r="H250" t="n">
        <v>3</v>
      </c>
      <c r="I250" t="n">
        <v>1</v>
      </c>
      <c r="J250" t="n">
        <v>0</v>
      </c>
      <c r="K250" t="n">
        <v>1</v>
      </c>
      <c r="L250" t="n">
        <v>0</v>
      </c>
      <c r="M250" t="n">
        <v>0</v>
      </c>
      <c r="N250" t="n">
        <v>0</v>
      </c>
      <c r="O250" t="n">
        <v>1</v>
      </c>
      <c r="P250" t="n">
        <v>1</v>
      </c>
      <c r="Q250" t="n">
        <v>4</v>
      </c>
      <c r="R250" s="2" t="inlineStr">
        <is>
          <t>Knärot
Dropptaggsvamp
Blåsippa
Revlummer</t>
        </is>
      </c>
      <c r="S250">
        <f>HYPERLINK("https://klasma.github.io/Logging_0860/artfynd/A 73465-2021 artfynd.xlsx", "A 73465-2021")</f>
        <v/>
      </c>
      <c r="T250">
        <f>HYPERLINK("https://klasma.github.io/Logging_0860/kartor/A 73465-2021 karta.png", "A 73465-2021")</f>
        <v/>
      </c>
      <c r="U250">
        <f>HYPERLINK("https://klasma.github.io/Logging_0860/knärot/A 73465-2021 karta knärot.png", "A 73465-2021")</f>
        <v/>
      </c>
      <c r="V250">
        <f>HYPERLINK("https://klasma.github.io/Logging_0860/klagomål/A 73465-2021 FSC-klagomål.docx", "A 73465-2021")</f>
        <v/>
      </c>
      <c r="W250">
        <f>HYPERLINK("https://klasma.github.io/Logging_0860/klagomålsmail/A 73465-2021 FSC-klagomål mail.docx", "A 73465-2021")</f>
        <v/>
      </c>
      <c r="X250">
        <f>HYPERLINK("https://klasma.github.io/Logging_0860/tillsyn/A 73465-2021 tillsynsbegäran.docx", "A 73465-2021")</f>
        <v/>
      </c>
      <c r="Y250">
        <f>HYPERLINK("https://klasma.github.io/Logging_0860/tillsynsmail/A 73465-2021 tillsynsbegäran mail.docx", "A 73465-2021")</f>
        <v/>
      </c>
    </row>
    <row r="251" ht="15" customHeight="1">
      <c r="A251" t="inlineStr">
        <is>
          <t>A 1650-2022</t>
        </is>
      </c>
      <c r="B251" s="1" t="n">
        <v>44574</v>
      </c>
      <c r="C251" s="1" t="n">
        <v>45715</v>
      </c>
      <c r="D251" t="inlineStr">
        <is>
          <t>KALMAR LÄN</t>
        </is>
      </c>
      <c r="E251" t="inlineStr">
        <is>
          <t>OSKARSHAMN</t>
        </is>
      </c>
      <c r="F251" t="inlineStr">
        <is>
          <t>Kommuner</t>
        </is>
      </c>
      <c r="G251" t="n">
        <v>4</v>
      </c>
      <c r="H251" t="n">
        <v>3</v>
      </c>
      <c r="I251" t="n">
        <v>1</v>
      </c>
      <c r="J251" t="n">
        <v>2</v>
      </c>
      <c r="K251" t="n">
        <v>1</v>
      </c>
      <c r="L251" t="n">
        <v>0</v>
      </c>
      <c r="M251" t="n">
        <v>0</v>
      </c>
      <c r="N251" t="n">
        <v>0</v>
      </c>
      <c r="O251" t="n">
        <v>3</v>
      </c>
      <c r="P251" t="n">
        <v>1</v>
      </c>
      <c r="Q251" t="n">
        <v>4</v>
      </c>
      <c r="R251" s="2" t="inlineStr">
        <is>
          <t>Knärot
Spillkråka
Talltita
Grönpyrola</t>
        </is>
      </c>
      <c r="S251">
        <f>HYPERLINK("https://klasma.github.io/Logging_0882/artfynd/A 1650-2022 artfynd.xlsx", "A 1650-2022")</f>
        <v/>
      </c>
      <c r="T251">
        <f>HYPERLINK("https://klasma.github.io/Logging_0882/kartor/A 1650-2022 karta.png", "A 1650-2022")</f>
        <v/>
      </c>
      <c r="U251">
        <f>HYPERLINK("https://klasma.github.io/Logging_0882/knärot/A 1650-2022 karta knärot.png", "A 1650-2022")</f>
        <v/>
      </c>
      <c r="V251">
        <f>HYPERLINK("https://klasma.github.io/Logging_0882/klagomål/A 1650-2022 FSC-klagomål.docx", "A 1650-2022")</f>
        <v/>
      </c>
      <c r="W251">
        <f>HYPERLINK("https://klasma.github.io/Logging_0882/klagomålsmail/A 1650-2022 FSC-klagomål mail.docx", "A 1650-2022")</f>
        <v/>
      </c>
      <c r="X251">
        <f>HYPERLINK("https://klasma.github.io/Logging_0882/tillsyn/A 1650-2022 tillsynsbegäran.docx", "A 1650-2022")</f>
        <v/>
      </c>
      <c r="Y251">
        <f>HYPERLINK("https://klasma.github.io/Logging_0882/tillsynsmail/A 1650-2022 tillsynsbegäran mail.docx", "A 1650-2022")</f>
        <v/>
      </c>
      <c r="Z251">
        <f>HYPERLINK("https://klasma.github.io/Logging_0882/fåglar/A 1650-2022 prioriterade fågelarter.docx", "A 1650-2022")</f>
        <v/>
      </c>
    </row>
    <row r="252" ht="15" customHeight="1">
      <c r="A252" t="inlineStr">
        <is>
          <t>A 35331-2022</t>
        </is>
      </c>
      <c r="B252" s="1" t="n">
        <v>44798</v>
      </c>
      <c r="C252" s="1" t="n">
        <v>45715</v>
      </c>
      <c r="D252" t="inlineStr">
        <is>
          <t>KALMAR LÄN</t>
        </is>
      </c>
      <c r="E252" t="inlineStr">
        <is>
          <t>VIMMERBY</t>
        </is>
      </c>
      <c r="G252" t="n">
        <v>2.4</v>
      </c>
      <c r="H252" t="n">
        <v>1</v>
      </c>
      <c r="I252" t="n">
        <v>2</v>
      </c>
      <c r="J252" t="n">
        <v>2</v>
      </c>
      <c r="K252" t="n">
        <v>0</v>
      </c>
      <c r="L252" t="n">
        <v>0</v>
      </c>
      <c r="M252" t="n">
        <v>0</v>
      </c>
      <c r="N252" t="n">
        <v>0</v>
      </c>
      <c r="O252" t="n">
        <v>2</v>
      </c>
      <c r="P252" t="n">
        <v>0</v>
      </c>
      <c r="Q252" t="n">
        <v>4</v>
      </c>
      <c r="R252" s="2" t="inlineStr">
        <is>
          <t>Tallticka
Talltita
Bårdlav
Jättesvampmal</t>
        </is>
      </c>
      <c r="S252">
        <f>HYPERLINK("https://klasma.github.io/Logging_0884/artfynd/A 35331-2022 artfynd.xlsx", "A 35331-2022")</f>
        <v/>
      </c>
      <c r="T252">
        <f>HYPERLINK("https://klasma.github.io/Logging_0884/kartor/A 35331-2022 karta.png", "A 35331-2022")</f>
        <v/>
      </c>
      <c r="V252">
        <f>HYPERLINK("https://klasma.github.io/Logging_0884/klagomål/A 35331-2022 FSC-klagomål.docx", "A 35331-2022")</f>
        <v/>
      </c>
      <c r="W252">
        <f>HYPERLINK("https://klasma.github.io/Logging_0884/klagomålsmail/A 35331-2022 FSC-klagomål mail.docx", "A 35331-2022")</f>
        <v/>
      </c>
      <c r="X252">
        <f>HYPERLINK("https://klasma.github.io/Logging_0884/tillsyn/A 35331-2022 tillsynsbegäran.docx", "A 35331-2022")</f>
        <v/>
      </c>
      <c r="Y252">
        <f>HYPERLINK("https://klasma.github.io/Logging_0884/tillsynsmail/A 35331-2022 tillsynsbegäran mail.docx", "A 35331-2022")</f>
        <v/>
      </c>
      <c r="Z252">
        <f>HYPERLINK("https://klasma.github.io/Logging_0884/fåglar/A 35331-2022 prioriterade fågelarter.docx", "A 35331-2022")</f>
        <v/>
      </c>
    </row>
    <row r="253" ht="15" customHeight="1">
      <c r="A253" t="inlineStr">
        <is>
          <t>A 51923-2022</t>
        </is>
      </c>
      <c r="B253" s="1" t="n">
        <v>44868</v>
      </c>
      <c r="C253" s="1" t="n">
        <v>45715</v>
      </c>
      <c r="D253" t="inlineStr">
        <is>
          <t>KALMAR LÄN</t>
        </is>
      </c>
      <c r="E253" t="inlineStr">
        <is>
          <t>VÄSTERVIK</t>
        </is>
      </c>
      <c r="G253" t="n">
        <v>6.5</v>
      </c>
      <c r="H253" t="n">
        <v>1</v>
      </c>
      <c r="I253" t="n">
        <v>3</v>
      </c>
      <c r="J253" t="n">
        <v>0</v>
      </c>
      <c r="K253" t="n">
        <v>0</v>
      </c>
      <c r="L253" t="n">
        <v>0</v>
      </c>
      <c r="M253" t="n">
        <v>0</v>
      </c>
      <c r="N253" t="n">
        <v>0</v>
      </c>
      <c r="O253" t="n">
        <v>0</v>
      </c>
      <c r="P253" t="n">
        <v>0</v>
      </c>
      <c r="Q253" t="n">
        <v>4</v>
      </c>
      <c r="R253" s="2" t="inlineStr">
        <is>
          <t>Hasselticka
Svart trolldruva
Vätteros
Blåsippa</t>
        </is>
      </c>
      <c r="S253">
        <f>HYPERLINK("https://klasma.github.io/Logging_0883/artfynd/A 51923-2022 artfynd.xlsx", "A 51923-2022")</f>
        <v/>
      </c>
      <c r="T253">
        <f>HYPERLINK("https://klasma.github.io/Logging_0883/kartor/A 51923-2022 karta.png", "A 51923-2022")</f>
        <v/>
      </c>
      <c r="V253">
        <f>HYPERLINK("https://klasma.github.io/Logging_0883/klagomål/A 51923-2022 FSC-klagomål.docx", "A 51923-2022")</f>
        <v/>
      </c>
      <c r="W253">
        <f>HYPERLINK("https://klasma.github.io/Logging_0883/klagomålsmail/A 51923-2022 FSC-klagomål mail.docx", "A 51923-2022")</f>
        <v/>
      </c>
      <c r="X253">
        <f>HYPERLINK("https://klasma.github.io/Logging_0883/tillsyn/A 51923-2022 tillsynsbegäran.docx", "A 51923-2022")</f>
        <v/>
      </c>
      <c r="Y253">
        <f>HYPERLINK("https://klasma.github.io/Logging_0883/tillsynsmail/A 51923-2022 tillsynsbegäran mail.docx", "A 51923-2022")</f>
        <v/>
      </c>
    </row>
    <row r="254" ht="15" customHeight="1">
      <c r="A254" t="inlineStr">
        <is>
          <t>A 53167-2022</t>
        </is>
      </c>
      <c r="B254" s="1" t="n">
        <v>44873</v>
      </c>
      <c r="C254" s="1" t="n">
        <v>45715</v>
      </c>
      <c r="D254" t="inlineStr">
        <is>
          <t>KALMAR LÄN</t>
        </is>
      </c>
      <c r="E254" t="inlineStr">
        <is>
          <t>MÖNSTERÅS</t>
        </is>
      </c>
      <c r="F254" t="inlineStr">
        <is>
          <t>Kyrkan</t>
        </is>
      </c>
      <c r="G254" t="n">
        <v>2</v>
      </c>
      <c r="H254" t="n">
        <v>1</v>
      </c>
      <c r="I254" t="n">
        <v>3</v>
      </c>
      <c r="J254" t="n">
        <v>1</v>
      </c>
      <c r="K254" t="n">
        <v>0</v>
      </c>
      <c r="L254" t="n">
        <v>0</v>
      </c>
      <c r="M254" t="n">
        <v>0</v>
      </c>
      <c r="N254" t="n">
        <v>0</v>
      </c>
      <c r="O254" t="n">
        <v>1</v>
      </c>
      <c r="P254" t="n">
        <v>0</v>
      </c>
      <c r="Q254" t="n">
        <v>4</v>
      </c>
      <c r="R254" s="2" t="inlineStr">
        <is>
          <t>Spillkråka
Blåmossa
Flagellkvastmossa
Vågbandad barkbock</t>
        </is>
      </c>
      <c r="S254">
        <f>HYPERLINK("https://klasma.github.io/Logging_0861/artfynd/A 53167-2022 artfynd.xlsx", "A 53167-2022")</f>
        <v/>
      </c>
      <c r="T254">
        <f>HYPERLINK("https://klasma.github.io/Logging_0861/kartor/A 53167-2022 karta.png", "A 53167-2022")</f>
        <v/>
      </c>
      <c r="V254">
        <f>HYPERLINK("https://klasma.github.io/Logging_0861/klagomål/A 53167-2022 FSC-klagomål.docx", "A 53167-2022")</f>
        <v/>
      </c>
      <c r="W254">
        <f>HYPERLINK("https://klasma.github.io/Logging_0861/klagomålsmail/A 53167-2022 FSC-klagomål mail.docx", "A 53167-2022")</f>
        <v/>
      </c>
      <c r="X254">
        <f>HYPERLINK("https://klasma.github.io/Logging_0861/tillsyn/A 53167-2022 tillsynsbegäran.docx", "A 53167-2022")</f>
        <v/>
      </c>
      <c r="Y254">
        <f>HYPERLINK("https://klasma.github.io/Logging_0861/tillsynsmail/A 53167-2022 tillsynsbegäran mail.docx", "A 53167-2022")</f>
        <v/>
      </c>
      <c r="Z254">
        <f>HYPERLINK("https://klasma.github.io/Logging_0861/fåglar/A 53167-2022 prioriterade fågelarter.docx", "A 53167-2022")</f>
        <v/>
      </c>
    </row>
    <row r="255" ht="15" customHeight="1">
      <c r="A255" t="inlineStr">
        <is>
          <t>A 53138-2022</t>
        </is>
      </c>
      <c r="B255" s="1" t="n">
        <v>44876</v>
      </c>
      <c r="C255" s="1" t="n">
        <v>45715</v>
      </c>
      <c r="D255" t="inlineStr">
        <is>
          <t>KALMAR LÄN</t>
        </is>
      </c>
      <c r="E255" t="inlineStr">
        <is>
          <t>KALMAR</t>
        </is>
      </c>
      <c r="G255" t="n">
        <v>4</v>
      </c>
      <c r="H255" t="n">
        <v>3</v>
      </c>
      <c r="I255" t="n">
        <v>1</v>
      </c>
      <c r="J255" t="n">
        <v>2</v>
      </c>
      <c r="K255" t="n">
        <v>1</v>
      </c>
      <c r="L255" t="n">
        <v>0</v>
      </c>
      <c r="M255" t="n">
        <v>0</v>
      </c>
      <c r="N255" t="n">
        <v>0</v>
      </c>
      <c r="O255" t="n">
        <v>3</v>
      </c>
      <c r="P255" t="n">
        <v>1</v>
      </c>
      <c r="Q255" t="n">
        <v>4</v>
      </c>
      <c r="R255" s="2" t="inlineStr">
        <is>
          <t>Knärot
Spillkråka
Talltita
Blomkålssvamp</t>
        </is>
      </c>
      <c r="S255">
        <f>HYPERLINK("https://klasma.github.io/Logging_0880/artfynd/A 53138-2022 artfynd.xlsx", "A 53138-2022")</f>
        <v/>
      </c>
      <c r="T255">
        <f>HYPERLINK("https://klasma.github.io/Logging_0880/kartor/A 53138-2022 karta.png", "A 53138-2022")</f>
        <v/>
      </c>
      <c r="U255">
        <f>HYPERLINK("https://klasma.github.io/Logging_0880/knärot/A 53138-2022 karta knärot.png", "A 53138-2022")</f>
        <v/>
      </c>
      <c r="V255">
        <f>HYPERLINK("https://klasma.github.io/Logging_0880/klagomål/A 53138-2022 FSC-klagomål.docx", "A 53138-2022")</f>
        <v/>
      </c>
      <c r="W255">
        <f>HYPERLINK("https://klasma.github.io/Logging_0880/klagomålsmail/A 53138-2022 FSC-klagomål mail.docx", "A 53138-2022")</f>
        <v/>
      </c>
      <c r="X255">
        <f>HYPERLINK("https://klasma.github.io/Logging_0880/tillsyn/A 53138-2022 tillsynsbegäran.docx", "A 53138-2022")</f>
        <v/>
      </c>
      <c r="Y255">
        <f>HYPERLINK("https://klasma.github.io/Logging_0880/tillsynsmail/A 53138-2022 tillsynsbegäran mail.docx", "A 53138-2022")</f>
        <v/>
      </c>
      <c r="Z255">
        <f>HYPERLINK("https://klasma.github.io/Logging_0880/fåglar/A 53138-2022 prioriterade fågelarter.docx", "A 53138-2022")</f>
        <v/>
      </c>
    </row>
    <row r="256" ht="15" customHeight="1">
      <c r="A256" t="inlineStr">
        <is>
          <t>A 53368-2022</t>
        </is>
      </c>
      <c r="B256" s="1" t="n">
        <v>44879</v>
      </c>
      <c r="C256" s="1" t="n">
        <v>45715</v>
      </c>
      <c r="D256" t="inlineStr">
        <is>
          <t>KALMAR LÄN</t>
        </is>
      </c>
      <c r="E256" t="inlineStr">
        <is>
          <t>NYBRO</t>
        </is>
      </c>
      <c r="G256" t="n">
        <v>2.8</v>
      </c>
      <c r="H256" t="n">
        <v>1</v>
      </c>
      <c r="I256" t="n">
        <v>3</v>
      </c>
      <c r="J256" t="n">
        <v>0</v>
      </c>
      <c r="K256" t="n">
        <v>0</v>
      </c>
      <c r="L256" t="n">
        <v>0</v>
      </c>
      <c r="M256" t="n">
        <v>0</v>
      </c>
      <c r="N256" t="n">
        <v>0</v>
      </c>
      <c r="O256" t="n">
        <v>0</v>
      </c>
      <c r="P256" t="n">
        <v>0</v>
      </c>
      <c r="Q256" t="n">
        <v>4</v>
      </c>
      <c r="R256" s="2" t="inlineStr">
        <is>
          <t>Bronshjon
Fjällig taggsvamp s.str.
Thomsons trägnagare
Blåsippa</t>
        </is>
      </c>
      <c r="S256">
        <f>HYPERLINK("https://klasma.github.io/Logging_0881/artfynd/A 53368-2022 artfynd.xlsx", "A 53368-2022")</f>
        <v/>
      </c>
      <c r="T256">
        <f>HYPERLINK("https://klasma.github.io/Logging_0881/kartor/A 53368-2022 karta.png", "A 53368-2022")</f>
        <v/>
      </c>
      <c r="V256">
        <f>HYPERLINK("https://klasma.github.io/Logging_0881/klagomål/A 53368-2022 FSC-klagomål.docx", "A 53368-2022")</f>
        <v/>
      </c>
      <c r="W256">
        <f>HYPERLINK("https://klasma.github.io/Logging_0881/klagomålsmail/A 53368-2022 FSC-klagomål mail.docx", "A 53368-2022")</f>
        <v/>
      </c>
      <c r="X256">
        <f>HYPERLINK("https://klasma.github.io/Logging_0881/tillsyn/A 53368-2022 tillsynsbegäran.docx", "A 53368-2022")</f>
        <v/>
      </c>
      <c r="Y256">
        <f>HYPERLINK("https://klasma.github.io/Logging_0881/tillsynsmail/A 53368-2022 tillsynsbegäran mail.docx", "A 53368-2022")</f>
        <v/>
      </c>
    </row>
    <row r="257" ht="15" customHeight="1">
      <c r="A257" t="inlineStr">
        <is>
          <t>A 58955-2022</t>
        </is>
      </c>
      <c r="B257" s="1" t="n">
        <v>44896</v>
      </c>
      <c r="C257" s="1" t="n">
        <v>45715</v>
      </c>
      <c r="D257" t="inlineStr">
        <is>
          <t>KALMAR LÄN</t>
        </is>
      </c>
      <c r="E257" t="inlineStr">
        <is>
          <t>VÄSTERVIK</t>
        </is>
      </c>
      <c r="G257" t="n">
        <v>4.5</v>
      </c>
      <c r="H257" t="n">
        <v>2</v>
      </c>
      <c r="I257" t="n">
        <v>1</v>
      </c>
      <c r="J257" t="n">
        <v>1</v>
      </c>
      <c r="K257" t="n">
        <v>1</v>
      </c>
      <c r="L257" t="n">
        <v>0</v>
      </c>
      <c r="M257" t="n">
        <v>0</v>
      </c>
      <c r="N257" t="n">
        <v>0</v>
      </c>
      <c r="O257" t="n">
        <v>2</v>
      </c>
      <c r="P257" t="n">
        <v>1</v>
      </c>
      <c r="Q257" t="n">
        <v>4</v>
      </c>
      <c r="R257" s="2" t="inlineStr">
        <is>
          <t>Knärot
Tallticka
Hasselticka
Blåsippa</t>
        </is>
      </c>
      <c r="S257">
        <f>HYPERLINK("https://klasma.github.io/Logging_0883/artfynd/A 58955-2022 artfynd.xlsx", "A 58955-2022")</f>
        <v/>
      </c>
      <c r="T257">
        <f>HYPERLINK("https://klasma.github.io/Logging_0883/kartor/A 58955-2022 karta.png", "A 58955-2022")</f>
        <v/>
      </c>
      <c r="U257">
        <f>HYPERLINK("https://klasma.github.io/Logging_0883/knärot/A 58955-2022 karta knärot.png", "A 58955-2022")</f>
        <v/>
      </c>
      <c r="V257">
        <f>HYPERLINK("https://klasma.github.io/Logging_0883/klagomål/A 58955-2022 FSC-klagomål.docx", "A 58955-2022")</f>
        <v/>
      </c>
      <c r="W257">
        <f>HYPERLINK("https://klasma.github.io/Logging_0883/klagomålsmail/A 58955-2022 FSC-klagomål mail.docx", "A 58955-2022")</f>
        <v/>
      </c>
      <c r="X257">
        <f>HYPERLINK("https://klasma.github.io/Logging_0883/tillsyn/A 58955-2022 tillsynsbegäran.docx", "A 58955-2022")</f>
        <v/>
      </c>
      <c r="Y257">
        <f>HYPERLINK("https://klasma.github.io/Logging_0883/tillsynsmail/A 58955-2022 tillsynsbegäran mail.docx", "A 58955-2022")</f>
        <v/>
      </c>
    </row>
    <row r="258" ht="15" customHeight="1">
      <c r="A258" t="inlineStr">
        <is>
          <t>A 6933-2023</t>
        </is>
      </c>
      <c r="B258" s="1" t="n">
        <v>44951</v>
      </c>
      <c r="C258" s="1" t="n">
        <v>45715</v>
      </c>
      <c r="D258" t="inlineStr">
        <is>
          <t>KALMAR LÄN</t>
        </is>
      </c>
      <c r="E258" t="inlineStr">
        <is>
          <t>KALMAR</t>
        </is>
      </c>
      <c r="G258" t="n">
        <v>9.6</v>
      </c>
      <c r="H258" t="n">
        <v>1</v>
      </c>
      <c r="I258" t="n">
        <v>1</v>
      </c>
      <c r="J258" t="n">
        <v>2</v>
      </c>
      <c r="K258" t="n">
        <v>1</v>
      </c>
      <c r="L258" t="n">
        <v>0</v>
      </c>
      <c r="M258" t="n">
        <v>0</v>
      </c>
      <c r="N258" t="n">
        <v>0</v>
      </c>
      <c r="O258" t="n">
        <v>3</v>
      </c>
      <c r="P258" t="n">
        <v>1</v>
      </c>
      <c r="Q258" t="n">
        <v>4</v>
      </c>
      <c r="R258" s="2" t="inlineStr">
        <is>
          <t>Knärot
Aspstumpbagge
Fyrflikig jordstjärna
Blåmossa</t>
        </is>
      </c>
      <c r="S258">
        <f>HYPERLINK("https://klasma.github.io/Logging_0880/artfynd/A 6933-2023 artfynd.xlsx", "A 6933-2023")</f>
        <v/>
      </c>
      <c r="T258">
        <f>HYPERLINK("https://klasma.github.io/Logging_0880/kartor/A 6933-2023 karta.png", "A 6933-2023")</f>
        <v/>
      </c>
      <c r="U258">
        <f>HYPERLINK("https://klasma.github.io/Logging_0880/knärot/A 6933-2023 karta knärot.png", "A 6933-2023")</f>
        <v/>
      </c>
      <c r="V258">
        <f>HYPERLINK("https://klasma.github.io/Logging_0880/klagomål/A 6933-2023 FSC-klagomål.docx", "A 6933-2023")</f>
        <v/>
      </c>
      <c r="W258">
        <f>HYPERLINK("https://klasma.github.io/Logging_0880/klagomålsmail/A 6933-2023 FSC-klagomål mail.docx", "A 6933-2023")</f>
        <v/>
      </c>
      <c r="X258">
        <f>HYPERLINK("https://klasma.github.io/Logging_0880/tillsyn/A 6933-2023 tillsynsbegäran.docx", "A 6933-2023")</f>
        <v/>
      </c>
      <c r="Y258">
        <f>HYPERLINK("https://klasma.github.io/Logging_0880/tillsynsmail/A 6933-2023 tillsynsbegäran mail.docx", "A 6933-2023")</f>
        <v/>
      </c>
    </row>
    <row r="259" ht="15" customHeight="1">
      <c r="A259" t="inlineStr">
        <is>
          <t>A 4645-2023</t>
        </is>
      </c>
      <c r="B259" s="1" t="n">
        <v>44952</v>
      </c>
      <c r="C259" s="1" t="n">
        <v>45715</v>
      </c>
      <c r="D259" t="inlineStr">
        <is>
          <t>KALMAR LÄN</t>
        </is>
      </c>
      <c r="E259" t="inlineStr">
        <is>
          <t>OSKARSHAMN</t>
        </is>
      </c>
      <c r="F259" t="inlineStr">
        <is>
          <t>Kyrkan</t>
        </is>
      </c>
      <c r="G259" t="n">
        <v>0.7</v>
      </c>
      <c r="H259" t="n">
        <v>2</v>
      </c>
      <c r="I259" t="n">
        <v>1</v>
      </c>
      <c r="J259" t="n">
        <v>2</v>
      </c>
      <c r="K259" t="n">
        <v>0</v>
      </c>
      <c r="L259" t="n">
        <v>0</v>
      </c>
      <c r="M259" t="n">
        <v>0</v>
      </c>
      <c r="N259" t="n">
        <v>0</v>
      </c>
      <c r="O259" t="n">
        <v>2</v>
      </c>
      <c r="P259" t="n">
        <v>0</v>
      </c>
      <c r="Q259" t="n">
        <v>4</v>
      </c>
      <c r="R259" s="2" t="inlineStr">
        <is>
          <t>Spillkråka
Tallticka
Blåmossa
Kungsfågel</t>
        </is>
      </c>
      <c r="S259">
        <f>HYPERLINK("https://klasma.github.io/Logging_0882/artfynd/A 4645-2023 artfynd.xlsx", "A 4645-2023")</f>
        <v/>
      </c>
      <c r="T259">
        <f>HYPERLINK("https://klasma.github.io/Logging_0882/kartor/A 4645-2023 karta.png", "A 4645-2023")</f>
        <v/>
      </c>
      <c r="V259">
        <f>HYPERLINK("https://klasma.github.io/Logging_0882/klagomål/A 4645-2023 FSC-klagomål.docx", "A 4645-2023")</f>
        <v/>
      </c>
      <c r="W259">
        <f>HYPERLINK("https://klasma.github.io/Logging_0882/klagomålsmail/A 4645-2023 FSC-klagomål mail.docx", "A 4645-2023")</f>
        <v/>
      </c>
      <c r="X259">
        <f>HYPERLINK("https://klasma.github.io/Logging_0882/tillsyn/A 4645-2023 tillsynsbegäran.docx", "A 4645-2023")</f>
        <v/>
      </c>
      <c r="Y259">
        <f>HYPERLINK("https://klasma.github.io/Logging_0882/tillsynsmail/A 4645-2023 tillsynsbegäran mail.docx", "A 4645-2023")</f>
        <v/>
      </c>
      <c r="Z259">
        <f>HYPERLINK("https://klasma.github.io/Logging_0882/fåglar/A 4645-2023 prioriterade fågelarter.docx", "A 4645-2023")</f>
        <v/>
      </c>
    </row>
    <row r="260" ht="15" customHeight="1">
      <c r="A260" t="inlineStr">
        <is>
          <t>A 12870-2023</t>
        </is>
      </c>
      <c r="B260" s="1" t="n">
        <v>45001</v>
      </c>
      <c r="C260" s="1" t="n">
        <v>45715</v>
      </c>
      <c r="D260" t="inlineStr">
        <is>
          <t>KALMAR LÄN</t>
        </is>
      </c>
      <c r="E260" t="inlineStr">
        <is>
          <t>TORSÅS</t>
        </is>
      </c>
      <c r="G260" t="n">
        <v>3.3</v>
      </c>
      <c r="H260" t="n">
        <v>2</v>
      </c>
      <c r="I260" t="n">
        <v>2</v>
      </c>
      <c r="J260" t="n">
        <v>1</v>
      </c>
      <c r="K260" t="n">
        <v>0</v>
      </c>
      <c r="L260" t="n">
        <v>0</v>
      </c>
      <c r="M260" t="n">
        <v>0</v>
      </c>
      <c r="N260" t="n">
        <v>0</v>
      </c>
      <c r="O260" t="n">
        <v>1</v>
      </c>
      <c r="P260" t="n">
        <v>0</v>
      </c>
      <c r="Q260" t="n">
        <v>4</v>
      </c>
      <c r="R260" s="2" t="inlineStr">
        <is>
          <t>Desmeknopp
Tvåblad
Vätteros
Blåsippa</t>
        </is>
      </c>
      <c r="S260">
        <f>HYPERLINK("https://klasma.github.io/Logging_0834/artfynd/A 12870-2023 artfynd.xlsx", "A 12870-2023")</f>
        <v/>
      </c>
      <c r="T260">
        <f>HYPERLINK("https://klasma.github.io/Logging_0834/kartor/A 12870-2023 karta.png", "A 12870-2023")</f>
        <v/>
      </c>
      <c r="V260">
        <f>HYPERLINK("https://klasma.github.io/Logging_0834/klagomål/A 12870-2023 FSC-klagomål.docx", "A 12870-2023")</f>
        <v/>
      </c>
      <c r="W260">
        <f>HYPERLINK("https://klasma.github.io/Logging_0834/klagomålsmail/A 12870-2023 FSC-klagomål mail.docx", "A 12870-2023")</f>
        <v/>
      </c>
      <c r="X260">
        <f>HYPERLINK("https://klasma.github.io/Logging_0834/tillsyn/A 12870-2023 tillsynsbegäran.docx", "A 12870-2023")</f>
        <v/>
      </c>
      <c r="Y260">
        <f>HYPERLINK("https://klasma.github.io/Logging_0834/tillsynsmail/A 12870-2023 tillsynsbegäran mail.docx", "A 12870-2023")</f>
        <v/>
      </c>
    </row>
    <row r="261" ht="15" customHeight="1">
      <c r="A261" t="inlineStr">
        <is>
          <t>A 30705-2023</t>
        </is>
      </c>
      <c r="B261" s="1" t="n">
        <v>45103</v>
      </c>
      <c r="C261" s="1" t="n">
        <v>45715</v>
      </c>
      <c r="D261" t="inlineStr">
        <is>
          <t>KALMAR LÄN</t>
        </is>
      </c>
      <c r="E261" t="inlineStr">
        <is>
          <t>MÖNSTERÅS</t>
        </is>
      </c>
      <c r="G261" t="n">
        <v>1.6</v>
      </c>
      <c r="H261" t="n">
        <v>2</v>
      </c>
      <c r="I261" t="n">
        <v>1</v>
      </c>
      <c r="J261" t="n">
        <v>2</v>
      </c>
      <c r="K261" t="n">
        <v>1</v>
      </c>
      <c r="L261" t="n">
        <v>0</v>
      </c>
      <c r="M261" t="n">
        <v>0</v>
      </c>
      <c r="N261" t="n">
        <v>0</v>
      </c>
      <c r="O261" t="n">
        <v>3</v>
      </c>
      <c r="P261" t="n">
        <v>1</v>
      </c>
      <c r="Q261" t="n">
        <v>4</v>
      </c>
      <c r="R261" s="2" t="inlineStr">
        <is>
          <t>Knärot
Spillkråka
Ullticka
Brandticka</t>
        </is>
      </c>
      <c r="S261">
        <f>HYPERLINK("https://klasma.github.io/Logging_0861/artfynd/A 30705-2023 artfynd.xlsx", "A 30705-2023")</f>
        <v/>
      </c>
      <c r="T261">
        <f>HYPERLINK("https://klasma.github.io/Logging_0861/kartor/A 30705-2023 karta.png", "A 30705-2023")</f>
        <v/>
      </c>
      <c r="U261">
        <f>HYPERLINK("https://klasma.github.io/Logging_0861/knärot/A 30705-2023 karta knärot.png", "A 30705-2023")</f>
        <v/>
      </c>
      <c r="V261">
        <f>HYPERLINK("https://klasma.github.io/Logging_0861/klagomål/A 30705-2023 FSC-klagomål.docx", "A 30705-2023")</f>
        <v/>
      </c>
      <c r="W261">
        <f>HYPERLINK("https://klasma.github.io/Logging_0861/klagomålsmail/A 30705-2023 FSC-klagomål mail.docx", "A 30705-2023")</f>
        <v/>
      </c>
      <c r="X261">
        <f>HYPERLINK("https://klasma.github.io/Logging_0861/tillsyn/A 30705-2023 tillsynsbegäran.docx", "A 30705-2023")</f>
        <v/>
      </c>
      <c r="Y261">
        <f>HYPERLINK("https://klasma.github.io/Logging_0861/tillsynsmail/A 30705-2023 tillsynsbegäran mail.docx", "A 30705-2023")</f>
        <v/>
      </c>
      <c r="Z261">
        <f>HYPERLINK("https://klasma.github.io/Logging_0861/fåglar/A 30705-2023 prioriterade fågelarter.docx", "A 30705-2023")</f>
        <v/>
      </c>
    </row>
    <row r="262" ht="15" customHeight="1">
      <c r="A262" t="inlineStr">
        <is>
          <t>A 32645-2023</t>
        </is>
      </c>
      <c r="B262" s="1" t="n">
        <v>45121</v>
      </c>
      <c r="C262" s="1" t="n">
        <v>45715</v>
      </c>
      <c r="D262" t="inlineStr">
        <is>
          <t>KALMAR LÄN</t>
        </is>
      </c>
      <c r="E262" t="inlineStr">
        <is>
          <t>VIMMERBY</t>
        </is>
      </c>
      <c r="F262" t="inlineStr">
        <is>
          <t>Sveaskog</t>
        </is>
      </c>
      <c r="G262" t="n">
        <v>1.5</v>
      </c>
      <c r="H262" t="n">
        <v>2</v>
      </c>
      <c r="I262" t="n">
        <v>1</v>
      </c>
      <c r="J262" t="n">
        <v>3</v>
      </c>
      <c r="K262" t="n">
        <v>0</v>
      </c>
      <c r="L262" t="n">
        <v>0</v>
      </c>
      <c r="M262" t="n">
        <v>0</v>
      </c>
      <c r="N262" t="n">
        <v>0</v>
      </c>
      <c r="O262" t="n">
        <v>3</v>
      </c>
      <c r="P262" t="n">
        <v>0</v>
      </c>
      <c r="Q262" t="n">
        <v>4</v>
      </c>
      <c r="R262" s="2" t="inlineStr">
        <is>
          <t>Dvärgbägarlav
Spillkråka
Talltita
Mindre märgborre</t>
        </is>
      </c>
      <c r="S262">
        <f>HYPERLINK("https://klasma.github.io/Logging_0884/artfynd/A 32645-2023 artfynd.xlsx", "A 32645-2023")</f>
        <v/>
      </c>
      <c r="T262">
        <f>HYPERLINK("https://klasma.github.io/Logging_0884/kartor/A 32645-2023 karta.png", "A 32645-2023")</f>
        <v/>
      </c>
      <c r="V262">
        <f>HYPERLINK("https://klasma.github.io/Logging_0884/klagomål/A 32645-2023 FSC-klagomål.docx", "A 32645-2023")</f>
        <v/>
      </c>
      <c r="W262">
        <f>HYPERLINK("https://klasma.github.io/Logging_0884/klagomålsmail/A 32645-2023 FSC-klagomål mail.docx", "A 32645-2023")</f>
        <v/>
      </c>
      <c r="X262">
        <f>HYPERLINK("https://klasma.github.io/Logging_0884/tillsyn/A 32645-2023 tillsynsbegäran.docx", "A 32645-2023")</f>
        <v/>
      </c>
      <c r="Y262">
        <f>HYPERLINK("https://klasma.github.io/Logging_0884/tillsynsmail/A 32645-2023 tillsynsbegäran mail.docx", "A 32645-2023")</f>
        <v/>
      </c>
      <c r="Z262">
        <f>HYPERLINK("https://klasma.github.io/Logging_0884/fåglar/A 32645-2023 prioriterade fågelarter.docx", "A 32645-2023")</f>
        <v/>
      </c>
    </row>
    <row r="263" ht="15" customHeight="1">
      <c r="A263" t="inlineStr">
        <is>
          <t>A 34047-2023</t>
        </is>
      </c>
      <c r="B263" s="1" t="n">
        <v>45124</v>
      </c>
      <c r="C263" s="1" t="n">
        <v>45715</v>
      </c>
      <c r="D263" t="inlineStr">
        <is>
          <t>KALMAR LÄN</t>
        </is>
      </c>
      <c r="E263" t="inlineStr">
        <is>
          <t>VÄSTERVIK</t>
        </is>
      </c>
      <c r="G263" t="n">
        <v>1.9</v>
      </c>
      <c r="H263" t="n">
        <v>3</v>
      </c>
      <c r="I263" t="n">
        <v>2</v>
      </c>
      <c r="J263" t="n">
        <v>0</v>
      </c>
      <c r="K263" t="n">
        <v>2</v>
      </c>
      <c r="L263" t="n">
        <v>0</v>
      </c>
      <c r="M263" t="n">
        <v>0</v>
      </c>
      <c r="N263" t="n">
        <v>0</v>
      </c>
      <c r="O263" t="n">
        <v>2</v>
      </c>
      <c r="P263" t="n">
        <v>2</v>
      </c>
      <c r="Q263" t="n">
        <v>4</v>
      </c>
      <c r="R263" s="2" t="inlineStr">
        <is>
          <t>Knärot
Kungsfiskare
Grön sköldmossa
Svart trolldruva</t>
        </is>
      </c>
      <c r="S263">
        <f>HYPERLINK("https://klasma.github.io/Logging_0883/artfynd/A 34047-2023 artfynd.xlsx", "A 34047-2023")</f>
        <v/>
      </c>
      <c r="T263">
        <f>HYPERLINK("https://klasma.github.io/Logging_0883/kartor/A 34047-2023 karta.png", "A 34047-2023")</f>
        <v/>
      </c>
      <c r="U263">
        <f>HYPERLINK("https://klasma.github.io/Logging_0883/knärot/A 34047-2023 karta knärot.png", "A 34047-2023")</f>
        <v/>
      </c>
      <c r="V263">
        <f>HYPERLINK("https://klasma.github.io/Logging_0883/klagomål/A 34047-2023 FSC-klagomål.docx", "A 34047-2023")</f>
        <v/>
      </c>
      <c r="W263">
        <f>HYPERLINK("https://klasma.github.io/Logging_0883/klagomålsmail/A 34047-2023 FSC-klagomål mail.docx", "A 34047-2023")</f>
        <v/>
      </c>
      <c r="X263">
        <f>HYPERLINK("https://klasma.github.io/Logging_0883/tillsyn/A 34047-2023 tillsynsbegäran.docx", "A 34047-2023")</f>
        <v/>
      </c>
      <c r="Y263">
        <f>HYPERLINK("https://klasma.github.io/Logging_0883/tillsynsmail/A 34047-2023 tillsynsbegäran mail.docx", "A 34047-2023")</f>
        <v/>
      </c>
    </row>
    <row r="264" ht="15" customHeight="1">
      <c r="A264" t="inlineStr">
        <is>
          <t>A 40522-2023</t>
        </is>
      </c>
      <c r="B264" s="1" t="n">
        <v>45170</v>
      </c>
      <c r="C264" s="1" t="n">
        <v>45715</v>
      </c>
      <c r="D264" t="inlineStr">
        <is>
          <t>KALMAR LÄN</t>
        </is>
      </c>
      <c r="E264" t="inlineStr">
        <is>
          <t>OSKARSHAMN</t>
        </is>
      </c>
      <c r="F264" t="inlineStr">
        <is>
          <t>Kyrkan</t>
        </is>
      </c>
      <c r="G264" t="n">
        <v>6</v>
      </c>
      <c r="H264" t="n">
        <v>2</v>
      </c>
      <c r="I264" t="n">
        <v>1</v>
      </c>
      <c r="J264" t="n">
        <v>1</v>
      </c>
      <c r="K264" t="n">
        <v>0</v>
      </c>
      <c r="L264" t="n">
        <v>0</v>
      </c>
      <c r="M264" t="n">
        <v>0</v>
      </c>
      <c r="N264" t="n">
        <v>0</v>
      </c>
      <c r="O264" t="n">
        <v>1</v>
      </c>
      <c r="P264" t="n">
        <v>0</v>
      </c>
      <c r="Q264" t="n">
        <v>4</v>
      </c>
      <c r="R264" s="2" t="inlineStr">
        <is>
          <t>Vedtrappmossa
Fällmossa
Blåsippa
Mattlummer</t>
        </is>
      </c>
      <c r="S264">
        <f>HYPERLINK("https://klasma.github.io/Logging_0882/artfynd/A 40522-2023 artfynd.xlsx", "A 40522-2023")</f>
        <v/>
      </c>
      <c r="T264">
        <f>HYPERLINK("https://klasma.github.io/Logging_0882/kartor/A 40522-2023 karta.png", "A 40522-2023")</f>
        <v/>
      </c>
      <c r="V264">
        <f>HYPERLINK("https://klasma.github.io/Logging_0882/klagomål/A 40522-2023 FSC-klagomål.docx", "A 40522-2023")</f>
        <v/>
      </c>
      <c r="W264">
        <f>HYPERLINK("https://klasma.github.io/Logging_0882/klagomålsmail/A 40522-2023 FSC-klagomål mail.docx", "A 40522-2023")</f>
        <v/>
      </c>
      <c r="X264">
        <f>HYPERLINK("https://klasma.github.io/Logging_0882/tillsyn/A 40522-2023 tillsynsbegäran.docx", "A 40522-2023")</f>
        <v/>
      </c>
      <c r="Y264">
        <f>HYPERLINK("https://klasma.github.io/Logging_0882/tillsynsmail/A 40522-2023 tillsynsbegäran mail.docx", "A 40522-2023")</f>
        <v/>
      </c>
    </row>
    <row r="265" ht="15" customHeight="1">
      <c r="A265" t="inlineStr">
        <is>
          <t>A 40688-2023</t>
        </is>
      </c>
      <c r="B265" s="1" t="n">
        <v>45170</v>
      </c>
      <c r="C265" s="1" t="n">
        <v>45715</v>
      </c>
      <c r="D265" t="inlineStr">
        <is>
          <t>KALMAR LÄN</t>
        </is>
      </c>
      <c r="E265" t="inlineStr">
        <is>
          <t>MÖRBYLÅNGA</t>
        </is>
      </c>
      <c r="G265" t="n">
        <v>2.7</v>
      </c>
      <c r="H265" t="n">
        <v>4</v>
      </c>
      <c r="I265" t="n">
        <v>1</v>
      </c>
      <c r="J265" t="n">
        <v>0</v>
      </c>
      <c r="K265" t="n">
        <v>1</v>
      </c>
      <c r="L265" t="n">
        <v>0</v>
      </c>
      <c r="M265" t="n">
        <v>0</v>
      </c>
      <c r="N265" t="n">
        <v>0</v>
      </c>
      <c r="O265" t="n">
        <v>1</v>
      </c>
      <c r="P265" t="n">
        <v>1</v>
      </c>
      <c r="Q265" t="n">
        <v>4</v>
      </c>
      <c r="R265" s="2" t="inlineStr">
        <is>
          <t>Väddnätfjäril
Skogsknipprot
Vanlig snok
Ängsnycklar</t>
        </is>
      </c>
      <c r="S265">
        <f>HYPERLINK("https://klasma.github.io/Logging_0840/artfynd/A 40688-2023 artfynd.xlsx", "A 40688-2023")</f>
        <v/>
      </c>
      <c r="T265">
        <f>HYPERLINK("https://klasma.github.io/Logging_0840/kartor/A 40688-2023 karta.png", "A 40688-2023")</f>
        <v/>
      </c>
      <c r="V265">
        <f>HYPERLINK("https://klasma.github.io/Logging_0840/klagomål/A 40688-2023 FSC-klagomål.docx", "A 40688-2023")</f>
        <v/>
      </c>
      <c r="W265">
        <f>HYPERLINK("https://klasma.github.io/Logging_0840/klagomålsmail/A 40688-2023 FSC-klagomål mail.docx", "A 40688-2023")</f>
        <v/>
      </c>
      <c r="X265">
        <f>HYPERLINK("https://klasma.github.io/Logging_0840/tillsyn/A 40688-2023 tillsynsbegäran.docx", "A 40688-2023")</f>
        <v/>
      </c>
      <c r="Y265">
        <f>HYPERLINK("https://klasma.github.io/Logging_0840/tillsynsmail/A 40688-2023 tillsynsbegäran mail.docx", "A 40688-2023")</f>
        <v/>
      </c>
    </row>
    <row r="266" ht="15" customHeight="1">
      <c r="A266" t="inlineStr">
        <is>
          <t>A 46007-2023</t>
        </is>
      </c>
      <c r="B266" s="1" t="n">
        <v>45189</v>
      </c>
      <c r="C266" s="1" t="n">
        <v>45715</v>
      </c>
      <c r="D266" t="inlineStr">
        <is>
          <t>KALMAR LÄN</t>
        </is>
      </c>
      <c r="E266" t="inlineStr">
        <is>
          <t>NYBRO</t>
        </is>
      </c>
      <c r="F266" t="inlineStr">
        <is>
          <t>Kyrkan</t>
        </is>
      </c>
      <c r="G266" t="n">
        <v>0.5</v>
      </c>
      <c r="H266" t="n">
        <v>4</v>
      </c>
      <c r="I266" t="n">
        <v>0</v>
      </c>
      <c r="J266" t="n">
        <v>2</v>
      </c>
      <c r="K266" t="n">
        <v>0</v>
      </c>
      <c r="L266" t="n">
        <v>0</v>
      </c>
      <c r="M266" t="n">
        <v>0</v>
      </c>
      <c r="N266" t="n">
        <v>0</v>
      </c>
      <c r="O266" t="n">
        <v>2</v>
      </c>
      <c r="P266" t="n">
        <v>0</v>
      </c>
      <c r="Q266" t="n">
        <v>4</v>
      </c>
      <c r="R266" s="2" t="inlineStr">
        <is>
          <t>Brunlångöra
Nordfladdermus
Dvärgpipistrell
Större brunfladdermus</t>
        </is>
      </c>
      <c r="S266">
        <f>HYPERLINK("https://klasma.github.io/Logging_0881/artfynd/A 46007-2023 artfynd.xlsx", "A 46007-2023")</f>
        <v/>
      </c>
      <c r="T266">
        <f>HYPERLINK("https://klasma.github.io/Logging_0881/kartor/A 46007-2023 karta.png", "A 46007-2023")</f>
        <v/>
      </c>
      <c r="V266">
        <f>HYPERLINK("https://klasma.github.io/Logging_0881/klagomål/A 46007-2023 FSC-klagomål.docx", "A 46007-2023")</f>
        <v/>
      </c>
      <c r="W266">
        <f>HYPERLINK("https://klasma.github.io/Logging_0881/klagomålsmail/A 46007-2023 FSC-klagomål mail.docx", "A 46007-2023")</f>
        <v/>
      </c>
      <c r="X266">
        <f>HYPERLINK("https://klasma.github.io/Logging_0881/tillsyn/A 46007-2023 tillsynsbegäran.docx", "A 46007-2023")</f>
        <v/>
      </c>
      <c r="Y266">
        <f>HYPERLINK("https://klasma.github.io/Logging_0881/tillsynsmail/A 46007-2023 tillsynsbegäran mail.docx", "A 46007-2023")</f>
        <v/>
      </c>
    </row>
    <row r="267" ht="15" customHeight="1">
      <c r="A267" t="inlineStr">
        <is>
          <t>A 54233-2023</t>
        </is>
      </c>
      <c r="B267" s="1" t="n">
        <v>45232</v>
      </c>
      <c r="C267" s="1" t="n">
        <v>45715</v>
      </c>
      <c r="D267" t="inlineStr">
        <is>
          <t>KALMAR LÄN</t>
        </is>
      </c>
      <c r="E267" t="inlineStr">
        <is>
          <t>VÄSTERVIK</t>
        </is>
      </c>
      <c r="G267" t="n">
        <v>1.9</v>
      </c>
      <c r="H267" t="n">
        <v>2</v>
      </c>
      <c r="I267" t="n">
        <v>1</v>
      </c>
      <c r="J267" t="n">
        <v>2</v>
      </c>
      <c r="K267" t="n">
        <v>1</v>
      </c>
      <c r="L267" t="n">
        <v>0</v>
      </c>
      <c r="M267" t="n">
        <v>0</v>
      </c>
      <c r="N267" t="n">
        <v>0</v>
      </c>
      <c r="O267" t="n">
        <v>3</v>
      </c>
      <c r="P267" t="n">
        <v>1</v>
      </c>
      <c r="Q267" t="n">
        <v>4</v>
      </c>
      <c r="R267" s="2" t="inlineStr">
        <is>
          <t>Knärot
Tallticka
Talltita
Blåmossa</t>
        </is>
      </c>
      <c r="S267">
        <f>HYPERLINK("https://klasma.github.io/Logging_0883/artfynd/A 54233-2023 artfynd.xlsx", "A 54233-2023")</f>
        <v/>
      </c>
      <c r="T267">
        <f>HYPERLINK("https://klasma.github.io/Logging_0883/kartor/A 54233-2023 karta.png", "A 54233-2023")</f>
        <v/>
      </c>
      <c r="U267">
        <f>HYPERLINK("https://klasma.github.io/Logging_0883/knärot/A 54233-2023 karta knärot.png", "A 54233-2023")</f>
        <v/>
      </c>
      <c r="V267">
        <f>HYPERLINK("https://klasma.github.io/Logging_0883/klagomål/A 54233-2023 FSC-klagomål.docx", "A 54233-2023")</f>
        <v/>
      </c>
      <c r="W267">
        <f>HYPERLINK("https://klasma.github.io/Logging_0883/klagomålsmail/A 54233-2023 FSC-klagomål mail.docx", "A 54233-2023")</f>
        <v/>
      </c>
      <c r="X267">
        <f>HYPERLINK("https://klasma.github.io/Logging_0883/tillsyn/A 54233-2023 tillsynsbegäran.docx", "A 54233-2023")</f>
        <v/>
      </c>
      <c r="Y267">
        <f>HYPERLINK("https://klasma.github.io/Logging_0883/tillsynsmail/A 54233-2023 tillsynsbegäran mail.docx", "A 54233-2023")</f>
        <v/>
      </c>
      <c r="Z267">
        <f>HYPERLINK("https://klasma.github.io/Logging_0883/fåglar/A 54233-2023 prioriterade fågelarter.docx", "A 54233-2023")</f>
        <v/>
      </c>
    </row>
    <row r="268" ht="15" customHeight="1">
      <c r="A268" t="inlineStr">
        <is>
          <t>A 57471-2023</t>
        </is>
      </c>
      <c r="B268" s="1" t="n">
        <v>45246</v>
      </c>
      <c r="C268" s="1" t="n">
        <v>45715</v>
      </c>
      <c r="D268" t="inlineStr">
        <is>
          <t>KALMAR LÄN</t>
        </is>
      </c>
      <c r="E268" t="inlineStr">
        <is>
          <t>MÖNSTERÅS</t>
        </is>
      </c>
      <c r="G268" t="n">
        <v>10.5</v>
      </c>
      <c r="H268" t="n">
        <v>3</v>
      </c>
      <c r="I268" t="n">
        <v>1</v>
      </c>
      <c r="J268" t="n">
        <v>2</v>
      </c>
      <c r="K268" t="n">
        <v>1</v>
      </c>
      <c r="L268" t="n">
        <v>0</v>
      </c>
      <c r="M268" t="n">
        <v>0</v>
      </c>
      <c r="N268" t="n">
        <v>0</v>
      </c>
      <c r="O268" t="n">
        <v>3</v>
      </c>
      <c r="P268" t="n">
        <v>1</v>
      </c>
      <c r="Q268" t="n">
        <v>4</v>
      </c>
      <c r="R268" s="2" t="inlineStr">
        <is>
          <t>Knärot
Spillkråka
Talltita
Grönpyrola</t>
        </is>
      </c>
      <c r="S268">
        <f>HYPERLINK("https://klasma.github.io/Logging_0861/artfynd/A 57471-2023 artfynd.xlsx", "A 57471-2023")</f>
        <v/>
      </c>
      <c r="T268">
        <f>HYPERLINK("https://klasma.github.io/Logging_0861/kartor/A 57471-2023 karta.png", "A 57471-2023")</f>
        <v/>
      </c>
      <c r="U268">
        <f>HYPERLINK("https://klasma.github.io/Logging_0861/knärot/A 57471-2023 karta knärot.png", "A 57471-2023")</f>
        <v/>
      </c>
      <c r="V268">
        <f>HYPERLINK("https://klasma.github.io/Logging_0861/klagomål/A 57471-2023 FSC-klagomål.docx", "A 57471-2023")</f>
        <v/>
      </c>
      <c r="W268">
        <f>HYPERLINK("https://klasma.github.io/Logging_0861/klagomålsmail/A 57471-2023 FSC-klagomål mail.docx", "A 57471-2023")</f>
        <v/>
      </c>
      <c r="X268">
        <f>HYPERLINK("https://klasma.github.io/Logging_0861/tillsyn/A 57471-2023 tillsynsbegäran.docx", "A 57471-2023")</f>
        <v/>
      </c>
      <c r="Y268">
        <f>HYPERLINK("https://klasma.github.io/Logging_0861/tillsynsmail/A 57471-2023 tillsynsbegäran mail.docx", "A 57471-2023")</f>
        <v/>
      </c>
      <c r="Z268">
        <f>HYPERLINK("https://klasma.github.io/Logging_0861/fåglar/A 57471-2023 prioriterade fågelarter.docx", "A 57471-2023")</f>
        <v/>
      </c>
    </row>
    <row r="269" ht="15" customHeight="1">
      <c r="A269" t="inlineStr">
        <is>
          <t>A 59319-2023</t>
        </is>
      </c>
      <c r="B269" s="1" t="n">
        <v>45253</v>
      </c>
      <c r="C269" s="1" t="n">
        <v>45715</v>
      </c>
      <c r="D269" t="inlineStr">
        <is>
          <t>KALMAR LÄN</t>
        </is>
      </c>
      <c r="E269" t="inlineStr">
        <is>
          <t>VÄSTERVIK</t>
        </is>
      </c>
      <c r="G269" t="n">
        <v>1</v>
      </c>
      <c r="H269" t="n">
        <v>1</v>
      </c>
      <c r="I269" t="n">
        <v>2</v>
      </c>
      <c r="J269" t="n">
        <v>0</v>
      </c>
      <c r="K269" t="n">
        <v>1</v>
      </c>
      <c r="L269" t="n">
        <v>1</v>
      </c>
      <c r="M269" t="n">
        <v>0</v>
      </c>
      <c r="N269" t="n">
        <v>0</v>
      </c>
      <c r="O269" t="n">
        <v>2</v>
      </c>
      <c r="P269" t="n">
        <v>2</v>
      </c>
      <c r="Q269" t="n">
        <v>4</v>
      </c>
      <c r="R269" s="2" t="inlineStr">
        <is>
          <t>Tallharticka
Knärot
Blomkålssvamp
Grönpyrola</t>
        </is>
      </c>
      <c r="S269">
        <f>HYPERLINK("https://klasma.github.io/Logging_0883/artfynd/A 59319-2023 artfynd.xlsx", "A 59319-2023")</f>
        <v/>
      </c>
      <c r="T269">
        <f>HYPERLINK("https://klasma.github.io/Logging_0883/kartor/A 59319-2023 karta.png", "A 59319-2023")</f>
        <v/>
      </c>
      <c r="U269">
        <f>HYPERLINK("https://klasma.github.io/Logging_0883/knärot/A 59319-2023 karta knärot.png", "A 59319-2023")</f>
        <v/>
      </c>
      <c r="V269">
        <f>HYPERLINK("https://klasma.github.io/Logging_0883/klagomål/A 59319-2023 FSC-klagomål.docx", "A 59319-2023")</f>
        <v/>
      </c>
      <c r="W269">
        <f>HYPERLINK("https://klasma.github.io/Logging_0883/klagomålsmail/A 59319-2023 FSC-klagomål mail.docx", "A 59319-2023")</f>
        <v/>
      </c>
      <c r="X269">
        <f>HYPERLINK("https://klasma.github.io/Logging_0883/tillsyn/A 59319-2023 tillsynsbegäran.docx", "A 59319-2023")</f>
        <v/>
      </c>
      <c r="Y269">
        <f>HYPERLINK("https://klasma.github.io/Logging_0883/tillsynsmail/A 59319-2023 tillsynsbegäran mail.docx", "A 59319-2023")</f>
        <v/>
      </c>
    </row>
    <row r="270" ht="15" customHeight="1">
      <c r="A270" t="inlineStr">
        <is>
          <t>A 62412-2023</t>
        </is>
      </c>
      <c r="B270" s="1" t="n">
        <v>45268</v>
      </c>
      <c r="C270" s="1" t="n">
        <v>45715</v>
      </c>
      <c r="D270" t="inlineStr">
        <is>
          <t>KALMAR LÄN</t>
        </is>
      </c>
      <c r="E270" t="inlineStr">
        <is>
          <t>HÖGSBY</t>
        </is>
      </c>
      <c r="G270" t="n">
        <v>7.7</v>
      </c>
      <c r="H270" t="n">
        <v>0</v>
      </c>
      <c r="I270" t="n">
        <v>3</v>
      </c>
      <c r="J270" t="n">
        <v>1</v>
      </c>
      <c r="K270" t="n">
        <v>0</v>
      </c>
      <c r="L270" t="n">
        <v>0</v>
      </c>
      <c r="M270" t="n">
        <v>0</v>
      </c>
      <c r="N270" t="n">
        <v>0</v>
      </c>
      <c r="O270" t="n">
        <v>1</v>
      </c>
      <c r="P270" t="n">
        <v>0</v>
      </c>
      <c r="Q270" t="n">
        <v>4</v>
      </c>
      <c r="R270" s="2" t="inlineStr">
        <is>
          <t>Vedtrappmossa
Bronshjon
Flagellkvastmossa
Vågbandad barkbock</t>
        </is>
      </c>
      <c r="S270">
        <f>HYPERLINK("https://klasma.github.io/Logging_0821/artfynd/A 62412-2023 artfynd.xlsx", "A 62412-2023")</f>
        <v/>
      </c>
      <c r="T270">
        <f>HYPERLINK("https://klasma.github.io/Logging_0821/kartor/A 62412-2023 karta.png", "A 62412-2023")</f>
        <v/>
      </c>
      <c r="V270">
        <f>HYPERLINK("https://klasma.github.io/Logging_0821/klagomål/A 62412-2023 FSC-klagomål.docx", "A 62412-2023")</f>
        <v/>
      </c>
      <c r="W270">
        <f>HYPERLINK("https://klasma.github.io/Logging_0821/klagomålsmail/A 62412-2023 FSC-klagomål mail.docx", "A 62412-2023")</f>
        <v/>
      </c>
      <c r="X270">
        <f>HYPERLINK("https://klasma.github.io/Logging_0821/tillsyn/A 62412-2023 tillsynsbegäran.docx", "A 62412-2023")</f>
        <v/>
      </c>
      <c r="Y270">
        <f>HYPERLINK("https://klasma.github.io/Logging_0821/tillsynsmail/A 62412-2023 tillsynsbegäran mail.docx", "A 62412-2023")</f>
        <v/>
      </c>
    </row>
    <row r="271" ht="15" customHeight="1">
      <c r="A271" t="inlineStr">
        <is>
          <t>A 62849-2023</t>
        </is>
      </c>
      <c r="B271" s="1" t="n">
        <v>45272</v>
      </c>
      <c r="C271" s="1" t="n">
        <v>45715</v>
      </c>
      <c r="D271" t="inlineStr">
        <is>
          <t>KALMAR LÄN</t>
        </is>
      </c>
      <c r="E271" t="inlineStr">
        <is>
          <t>VÄSTERVIK</t>
        </is>
      </c>
      <c r="G271" t="n">
        <v>2</v>
      </c>
      <c r="H271" t="n">
        <v>3</v>
      </c>
      <c r="I271" t="n">
        <v>1</v>
      </c>
      <c r="J271" t="n">
        <v>3</v>
      </c>
      <c r="K271" t="n">
        <v>0</v>
      </c>
      <c r="L271" t="n">
        <v>0</v>
      </c>
      <c r="M271" t="n">
        <v>0</v>
      </c>
      <c r="N271" t="n">
        <v>0</v>
      </c>
      <c r="O271" t="n">
        <v>3</v>
      </c>
      <c r="P271" t="n">
        <v>0</v>
      </c>
      <c r="Q271" t="n">
        <v>4</v>
      </c>
      <c r="R271" s="2" t="inlineStr">
        <is>
          <t>Entita
Spillkråka
Talltita
Murgröna</t>
        </is>
      </c>
      <c r="S271">
        <f>HYPERLINK("https://klasma.github.io/Logging_0883/artfynd/A 62849-2023 artfynd.xlsx", "A 62849-2023")</f>
        <v/>
      </c>
      <c r="T271">
        <f>HYPERLINK("https://klasma.github.io/Logging_0883/kartor/A 62849-2023 karta.png", "A 62849-2023")</f>
        <v/>
      </c>
      <c r="V271">
        <f>HYPERLINK("https://klasma.github.io/Logging_0883/klagomål/A 62849-2023 FSC-klagomål.docx", "A 62849-2023")</f>
        <v/>
      </c>
      <c r="W271">
        <f>HYPERLINK("https://klasma.github.io/Logging_0883/klagomålsmail/A 62849-2023 FSC-klagomål mail.docx", "A 62849-2023")</f>
        <v/>
      </c>
      <c r="X271">
        <f>HYPERLINK("https://klasma.github.io/Logging_0883/tillsyn/A 62849-2023 tillsynsbegäran.docx", "A 62849-2023")</f>
        <v/>
      </c>
      <c r="Y271">
        <f>HYPERLINK("https://klasma.github.io/Logging_0883/tillsynsmail/A 62849-2023 tillsynsbegäran mail.docx", "A 62849-2023")</f>
        <v/>
      </c>
      <c r="Z271">
        <f>HYPERLINK("https://klasma.github.io/Logging_0883/fåglar/A 62849-2023 prioriterade fågelarter.docx", "A 62849-2023")</f>
        <v/>
      </c>
    </row>
    <row r="272" ht="15" customHeight="1">
      <c r="A272" t="inlineStr">
        <is>
          <t>A 62847-2023</t>
        </is>
      </c>
      <c r="B272" s="1" t="n">
        <v>45272</v>
      </c>
      <c r="C272" s="1" t="n">
        <v>45715</v>
      </c>
      <c r="D272" t="inlineStr">
        <is>
          <t>KALMAR LÄN</t>
        </is>
      </c>
      <c r="E272" t="inlineStr">
        <is>
          <t>VÄSTERVIK</t>
        </is>
      </c>
      <c r="G272" t="n">
        <v>3.4</v>
      </c>
      <c r="H272" t="n">
        <v>4</v>
      </c>
      <c r="I272" t="n">
        <v>0</v>
      </c>
      <c r="J272" t="n">
        <v>3</v>
      </c>
      <c r="K272" t="n">
        <v>0</v>
      </c>
      <c r="L272" t="n">
        <v>0</v>
      </c>
      <c r="M272" t="n">
        <v>0</v>
      </c>
      <c r="N272" t="n">
        <v>0</v>
      </c>
      <c r="O272" t="n">
        <v>3</v>
      </c>
      <c r="P272" t="n">
        <v>0</v>
      </c>
      <c r="Q272" t="n">
        <v>4</v>
      </c>
      <c r="R272" s="2" t="inlineStr">
        <is>
          <t>Entita
Spillkråka
Talltita
Tjäder</t>
        </is>
      </c>
      <c r="S272">
        <f>HYPERLINK("https://klasma.github.io/Logging_0883/artfynd/A 62847-2023 artfynd.xlsx", "A 62847-2023")</f>
        <v/>
      </c>
      <c r="T272">
        <f>HYPERLINK("https://klasma.github.io/Logging_0883/kartor/A 62847-2023 karta.png", "A 62847-2023")</f>
        <v/>
      </c>
      <c r="U272">
        <f>HYPERLINK("https://klasma.github.io/Logging_0883/knärot/A 62847-2023 karta knärot.png", "A 62847-2023")</f>
        <v/>
      </c>
      <c r="V272">
        <f>HYPERLINK("https://klasma.github.io/Logging_0883/klagomål/A 62847-2023 FSC-klagomål.docx", "A 62847-2023")</f>
        <v/>
      </c>
      <c r="W272">
        <f>HYPERLINK("https://klasma.github.io/Logging_0883/klagomålsmail/A 62847-2023 FSC-klagomål mail.docx", "A 62847-2023")</f>
        <v/>
      </c>
      <c r="X272">
        <f>HYPERLINK("https://klasma.github.io/Logging_0883/tillsyn/A 62847-2023 tillsynsbegäran.docx", "A 62847-2023")</f>
        <v/>
      </c>
      <c r="Y272">
        <f>HYPERLINK("https://klasma.github.io/Logging_0883/tillsynsmail/A 62847-2023 tillsynsbegäran mail.docx", "A 62847-2023")</f>
        <v/>
      </c>
      <c r="Z272">
        <f>HYPERLINK("https://klasma.github.io/Logging_0883/fåglar/A 62847-2023 prioriterade fågelarter.docx", "A 62847-2023")</f>
        <v/>
      </c>
    </row>
    <row r="273" ht="15" customHeight="1">
      <c r="A273" t="inlineStr">
        <is>
          <t>A 63366-2023</t>
        </is>
      </c>
      <c r="B273" s="1" t="n">
        <v>45274</v>
      </c>
      <c r="C273" s="1" t="n">
        <v>45715</v>
      </c>
      <c r="D273" t="inlineStr">
        <is>
          <t>KALMAR LÄN</t>
        </is>
      </c>
      <c r="E273" t="inlineStr">
        <is>
          <t>VÄSTERVIK</t>
        </is>
      </c>
      <c r="G273" t="n">
        <v>4.1</v>
      </c>
      <c r="H273" t="n">
        <v>3</v>
      </c>
      <c r="I273" t="n">
        <v>0</v>
      </c>
      <c r="J273" t="n">
        <v>3</v>
      </c>
      <c r="K273" t="n">
        <v>1</v>
      </c>
      <c r="L273" t="n">
        <v>0</v>
      </c>
      <c r="M273" t="n">
        <v>0</v>
      </c>
      <c r="N273" t="n">
        <v>0</v>
      </c>
      <c r="O273" t="n">
        <v>4</v>
      </c>
      <c r="P273" t="n">
        <v>1</v>
      </c>
      <c r="Q273" t="n">
        <v>4</v>
      </c>
      <c r="R273" s="2" t="inlineStr">
        <is>
          <t>Knärot
Spillkråka
Tallticka
Talltita</t>
        </is>
      </c>
      <c r="S273">
        <f>HYPERLINK("https://klasma.github.io/Logging_0883/artfynd/A 63366-2023 artfynd.xlsx", "A 63366-2023")</f>
        <v/>
      </c>
      <c r="T273">
        <f>HYPERLINK("https://klasma.github.io/Logging_0883/kartor/A 63366-2023 karta.png", "A 63366-2023")</f>
        <v/>
      </c>
      <c r="U273">
        <f>HYPERLINK("https://klasma.github.io/Logging_0883/knärot/A 63366-2023 karta knärot.png", "A 63366-2023")</f>
        <v/>
      </c>
      <c r="V273">
        <f>HYPERLINK("https://klasma.github.io/Logging_0883/klagomål/A 63366-2023 FSC-klagomål.docx", "A 63366-2023")</f>
        <v/>
      </c>
      <c r="W273">
        <f>HYPERLINK("https://klasma.github.io/Logging_0883/klagomålsmail/A 63366-2023 FSC-klagomål mail.docx", "A 63366-2023")</f>
        <v/>
      </c>
      <c r="X273">
        <f>HYPERLINK("https://klasma.github.io/Logging_0883/tillsyn/A 63366-2023 tillsynsbegäran.docx", "A 63366-2023")</f>
        <v/>
      </c>
      <c r="Y273">
        <f>HYPERLINK("https://klasma.github.io/Logging_0883/tillsynsmail/A 63366-2023 tillsynsbegäran mail.docx", "A 63366-2023")</f>
        <v/>
      </c>
      <c r="Z273">
        <f>HYPERLINK("https://klasma.github.io/Logging_0883/fåglar/A 63366-2023 prioriterade fågelarter.docx", "A 63366-2023")</f>
        <v/>
      </c>
    </row>
    <row r="274" ht="15" customHeight="1">
      <c r="A274" t="inlineStr">
        <is>
          <t>A 64575-2023</t>
        </is>
      </c>
      <c r="B274" s="1" t="n">
        <v>45281</v>
      </c>
      <c r="C274" s="1" t="n">
        <v>45715</v>
      </c>
      <c r="D274" t="inlineStr">
        <is>
          <t>KALMAR LÄN</t>
        </is>
      </c>
      <c r="E274" t="inlineStr">
        <is>
          <t>VÄSTERVIK</t>
        </is>
      </c>
      <c r="G274" t="n">
        <v>7.9</v>
      </c>
      <c r="H274" t="n">
        <v>2</v>
      </c>
      <c r="I274" t="n">
        <v>0</v>
      </c>
      <c r="J274" t="n">
        <v>2</v>
      </c>
      <c r="K274" t="n">
        <v>0</v>
      </c>
      <c r="L274" t="n">
        <v>0</v>
      </c>
      <c r="M274" t="n">
        <v>0</v>
      </c>
      <c r="N274" t="n">
        <v>0</v>
      </c>
      <c r="O274" t="n">
        <v>2</v>
      </c>
      <c r="P274" t="n">
        <v>0</v>
      </c>
      <c r="Q274" t="n">
        <v>4</v>
      </c>
      <c r="R274" s="2" t="inlineStr">
        <is>
          <t>Blek fingersvamp
Såpfingersvamp
Vanlig groda
Vanlig snok</t>
        </is>
      </c>
      <c r="S274">
        <f>HYPERLINK("https://klasma.github.io/Logging_0883/artfynd/A 64575-2023 artfynd.xlsx", "A 64575-2023")</f>
        <v/>
      </c>
      <c r="T274">
        <f>HYPERLINK("https://klasma.github.io/Logging_0883/kartor/A 64575-2023 karta.png", "A 64575-2023")</f>
        <v/>
      </c>
      <c r="V274">
        <f>HYPERLINK("https://klasma.github.io/Logging_0883/klagomål/A 64575-2023 FSC-klagomål.docx", "A 64575-2023")</f>
        <v/>
      </c>
      <c r="W274">
        <f>HYPERLINK("https://klasma.github.io/Logging_0883/klagomålsmail/A 64575-2023 FSC-klagomål mail.docx", "A 64575-2023")</f>
        <v/>
      </c>
      <c r="X274">
        <f>HYPERLINK("https://klasma.github.io/Logging_0883/tillsyn/A 64575-2023 tillsynsbegäran.docx", "A 64575-2023")</f>
        <v/>
      </c>
      <c r="Y274">
        <f>HYPERLINK("https://klasma.github.io/Logging_0883/tillsynsmail/A 64575-2023 tillsynsbegäran mail.docx", "A 64575-2023")</f>
        <v/>
      </c>
    </row>
    <row r="275" ht="15" customHeight="1">
      <c r="A275" t="inlineStr">
        <is>
          <t>A 636-2024</t>
        </is>
      </c>
      <c r="B275" s="1" t="n">
        <v>45299</v>
      </c>
      <c r="C275" s="1" t="n">
        <v>45715</v>
      </c>
      <c r="D275" t="inlineStr">
        <is>
          <t>KALMAR LÄN</t>
        </is>
      </c>
      <c r="E275" t="inlineStr">
        <is>
          <t>VÄSTERVIK</t>
        </is>
      </c>
      <c r="F275" t="inlineStr">
        <is>
          <t>Övriga Aktiebolag</t>
        </is>
      </c>
      <c r="G275" t="n">
        <v>5.7</v>
      </c>
      <c r="H275" t="n">
        <v>3</v>
      </c>
      <c r="I275" t="n">
        <v>1</v>
      </c>
      <c r="J275" t="n">
        <v>1</v>
      </c>
      <c r="K275" t="n">
        <v>1</v>
      </c>
      <c r="L275" t="n">
        <v>0</v>
      </c>
      <c r="M275" t="n">
        <v>0</v>
      </c>
      <c r="N275" t="n">
        <v>0</v>
      </c>
      <c r="O275" t="n">
        <v>2</v>
      </c>
      <c r="P275" t="n">
        <v>1</v>
      </c>
      <c r="Q275" t="n">
        <v>4</v>
      </c>
      <c r="R275" s="2" t="inlineStr">
        <is>
          <t>Knärot
Talltita
Grönpyrola
Tjäder</t>
        </is>
      </c>
      <c r="S275">
        <f>HYPERLINK("https://klasma.github.io/Logging_0883/artfynd/A 636-2024 artfynd.xlsx", "A 636-2024")</f>
        <v/>
      </c>
      <c r="T275">
        <f>HYPERLINK("https://klasma.github.io/Logging_0883/kartor/A 636-2024 karta.png", "A 636-2024")</f>
        <v/>
      </c>
      <c r="U275">
        <f>HYPERLINK("https://klasma.github.io/Logging_0883/knärot/A 636-2024 karta knärot.png", "A 636-2024")</f>
        <v/>
      </c>
      <c r="V275">
        <f>HYPERLINK("https://klasma.github.io/Logging_0883/klagomål/A 636-2024 FSC-klagomål.docx", "A 636-2024")</f>
        <v/>
      </c>
      <c r="W275">
        <f>HYPERLINK("https://klasma.github.io/Logging_0883/klagomålsmail/A 636-2024 FSC-klagomål mail.docx", "A 636-2024")</f>
        <v/>
      </c>
      <c r="X275">
        <f>HYPERLINK("https://klasma.github.io/Logging_0883/tillsyn/A 636-2024 tillsynsbegäran.docx", "A 636-2024")</f>
        <v/>
      </c>
      <c r="Y275">
        <f>HYPERLINK("https://klasma.github.io/Logging_0883/tillsynsmail/A 636-2024 tillsynsbegäran mail.docx", "A 636-2024")</f>
        <v/>
      </c>
      <c r="Z275">
        <f>HYPERLINK("https://klasma.github.io/Logging_0883/fåglar/A 636-2024 prioriterade fågelarter.docx", "A 636-2024")</f>
        <v/>
      </c>
    </row>
    <row r="276" ht="15" customHeight="1">
      <c r="A276" t="inlineStr">
        <is>
          <t>A 938-2024</t>
        </is>
      </c>
      <c r="B276" s="1" t="n">
        <v>45301</v>
      </c>
      <c r="C276" s="1" t="n">
        <v>45715</v>
      </c>
      <c r="D276" t="inlineStr">
        <is>
          <t>KALMAR LÄN</t>
        </is>
      </c>
      <c r="E276" t="inlineStr">
        <is>
          <t>VÄSTERVIK</t>
        </is>
      </c>
      <c r="G276" t="n">
        <v>10</v>
      </c>
      <c r="H276" t="n">
        <v>1</v>
      </c>
      <c r="I276" t="n">
        <v>0</v>
      </c>
      <c r="J276" t="n">
        <v>3</v>
      </c>
      <c r="K276" t="n">
        <v>0</v>
      </c>
      <c r="L276" t="n">
        <v>0</v>
      </c>
      <c r="M276" t="n">
        <v>0</v>
      </c>
      <c r="N276" t="n">
        <v>0</v>
      </c>
      <c r="O276" t="n">
        <v>3</v>
      </c>
      <c r="P276" t="n">
        <v>0</v>
      </c>
      <c r="Q276" t="n">
        <v>4</v>
      </c>
      <c r="R276" s="2" t="inlineStr">
        <is>
          <t>Reliktbock
Tallticka
Vintertagging
Tjäder</t>
        </is>
      </c>
      <c r="S276">
        <f>HYPERLINK("https://klasma.github.io/Logging_0883/artfynd/A 938-2024 artfynd.xlsx", "A 938-2024")</f>
        <v/>
      </c>
      <c r="T276">
        <f>HYPERLINK("https://klasma.github.io/Logging_0883/kartor/A 938-2024 karta.png", "A 938-2024")</f>
        <v/>
      </c>
      <c r="V276">
        <f>HYPERLINK("https://klasma.github.io/Logging_0883/klagomål/A 938-2024 FSC-klagomål.docx", "A 938-2024")</f>
        <v/>
      </c>
      <c r="W276">
        <f>HYPERLINK("https://klasma.github.io/Logging_0883/klagomålsmail/A 938-2024 FSC-klagomål mail.docx", "A 938-2024")</f>
        <v/>
      </c>
      <c r="X276">
        <f>HYPERLINK("https://klasma.github.io/Logging_0883/tillsyn/A 938-2024 tillsynsbegäran.docx", "A 938-2024")</f>
        <v/>
      </c>
      <c r="Y276">
        <f>HYPERLINK("https://klasma.github.io/Logging_0883/tillsynsmail/A 938-2024 tillsynsbegäran mail.docx", "A 938-2024")</f>
        <v/>
      </c>
      <c r="Z276">
        <f>HYPERLINK("https://klasma.github.io/Logging_0883/fåglar/A 938-2024 prioriterade fågelarter.docx", "A 938-2024")</f>
        <v/>
      </c>
    </row>
    <row r="277" ht="15" customHeight="1">
      <c r="A277" t="inlineStr">
        <is>
          <t>A 3054-2024</t>
        </is>
      </c>
      <c r="B277" s="1" t="n">
        <v>45316</v>
      </c>
      <c r="C277" s="1" t="n">
        <v>45715</v>
      </c>
      <c r="D277" t="inlineStr">
        <is>
          <t>KALMAR LÄN</t>
        </is>
      </c>
      <c r="E277" t="inlineStr">
        <is>
          <t>MÖNSTERÅS</t>
        </is>
      </c>
      <c r="G277" t="n">
        <v>17.8</v>
      </c>
      <c r="H277" t="n">
        <v>2</v>
      </c>
      <c r="I277" t="n">
        <v>2</v>
      </c>
      <c r="J277" t="n">
        <v>1</v>
      </c>
      <c r="K277" t="n">
        <v>1</v>
      </c>
      <c r="L277" t="n">
        <v>0</v>
      </c>
      <c r="M277" t="n">
        <v>0</v>
      </c>
      <c r="N277" t="n">
        <v>0</v>
      </c>
      <c r="O277" t="n">
        <v>2</v>
      </c>
      <c r="P277" t="n">
        <v>1</v>
      </c>
      <c r="Q277" t="n">
        <v>4</v>
      </c>
      <c r="R277" s="2" t="inlineStr">
        <is>
          <t>Knärot
Spillkråka
Blåmossa
Grönpyrola</t>
        </is>
      </c>
      <c r="S277">
        <f>HYPERLINK("https://klasma.github.io/Logging_0861/artfynd/A 3054-2024 artfynd.xlsx", "A 3054-2024")</f>
        <v/>
      </c>
      <c r="T277">
        <f>HYPERLINK("https://klasma.github.io/Logging_0861/kartor/A 3054-2024 karta.png", "A 3054-2024")</f>
        <v/>
      </c>
      <c r="U277">
        <f>HYPERLINK("https://klasma.github.io/Logging_0861/knärot/A 3054-2024 karta knärot.png", "A 3054-2024")</f>
        <v/>
      </c>
      <c r="V277">
        <f>HYPERLINK("https://klasma.github.io/Logging_0861/klagomål/A 3054-2024 FSC-klagomål.docx", "A 3054-2024")</f>
        <v/>
      </c>
      <c r="W277">
        <f>HYPERLINK("https://klasma.github.io/Logging_0861/klagomålsmail/A 3054-2024 FSC-klagomål mail.docx", "A 3054-2024")</f>
        <v/>
      </c>
      <c r="X277">
        <f>HYPERLINK("https://klasma.github.io/Logging_0861/tillsyn/A 3054-2024 tillsynsbegäran.docx", "A 3054-2024")</f>
        <v/>
      </c>
      <c r="Y277">
        <f>HYPERLINK("https://klasma.github.io/Logging_0861/tillsynsmail/A 3054-2024 tillsynsbegäran mail.docx", "A 3054-2024")</f>
        <v/>
      </c>
      <c r="Z277">
        <f>HYPERLINK("https://klasma.github.io/Logging_0861/fåglar/A 3054-2024 prioriterade fågelarter.docx", "A 3054-2024")</f>
        <v/>
      </c>
    </row>
    <row r="278" ht="15" customHeight="1">
      <c r="A278" t="inlineStr">
        <is>
          <t>A 6994-2024</t>
        </is>
      </c>
      <c r="B278" s="1" t="n">
        <v>45343</v>
      </c>
      <c r="C278" s="1" t="n">
        <v>45715</v>
      </c>
      <c r="D278" t="inlineStr">
        <is>
          <t>KALMAR LÄN</t>
        </is>
      </c>
      <c r="E278" t="inlineStr">
        <is>
          <t>KALMAR</t>
        </is>
      </c>
      <c r="G278" t="n">
        <v>6.4</v>
      </c>
      <c r="H278" t="n">
        <v>1</v>
      </c>
      <c r="I278" t="n">
        <v>2</v>
      </c>
      <c r="J278" t="n">
        <v>1</v>
      </c>
      <c r="K278" t="n">
        <v>1</v>
      </c>
      <c r="L278" t="n">
        <v>0</v>
      </c>
      <c r="M278" t="n">
        <v>0</v>
      </c>
      <c r="N278" t="n">
        <v>0</v>
      </c>
      <c r="O278" t="n">
        <v>2</v>
      </c>
      <c r="P278" t="n">
        <v>1</v>
      </c>
      <c r="Q278" t="n">
        <v>4</v>
      </c>
      <c r="R278" s="2" t="inlineStr">
        <is>
          <t>Knärot
Orange taggsvamp
Blomkålssvamp
Blåmossa</t>
        </is>
      </c>
      <c r="S278">
        <f>HYPERLINK("https://klasma.github.io/Logging_0880/artfynd/A 6994-2024 artfynd.xlsx", "A 6994-2024")</f>
        <v/>
      </c>
      <c r="T278">
        <f>HYPERLINK("https://klasma.github.io/Logging_0880/kartor/A 6994-2024 karta.png", "A 6994-2024")</f>
        <v/>
      </c>
      <c r="U278">
        <f>HYPERLINK("https://klasma.github.io/Logging_0880/knärot/A 6994-2024 karta knärot.png", "A 6994-2024")</f>
        <v/>
      </c>
      <c r="V278">
        <f>HYPERLINK("https://klasma.github.io/Logging_0880/klagomål/A 6994-2024 FSC-klagomål.docx", "A 6994-2024")</f>
        <v/>
      </c>
      <c r="W278">
        <f>HYPERLINK("https://klasma.github.io/Logging_0880/klagomålsmail/A 6994-2024 FSC-klagomål mail.docx", "A 6994-2024")</f>
        <v/>
      </c>
      <c r="X278">
        <f>HYPERLINK("https://klasma.github.io/Logging_0880/tillsyn/A 6994-2024 tillsynsbegäran.docx", "A 6994-2024")</f>
        <v/>
      </c>
      <c r="Y278">
        <f>HYPERLINK("https://klasma.github.io/Logging_0880/tillsynsmail/A 6994-2024 tillsynsbegäran mail.docx", "A 6994-2024")</f>
        <v/>
      </c>
    </row>
    <row r="279" ht="15" customHeight="1">
      <c r="A279" t="inlineStr">
        <is>
          <t>A 7450-2024</t>
        </is>
      </c>
      <c r="B279" s="1" t="n">
        <v>45345</v>
      </c>
      <c r="C279" s="1" t="n">
        <v>45715</v>
      </c>
      <c r="D279" t="inlineStr">
        <is>
          <t>KALMAR LÄN</t>
        </is>
      </c>
      <c r="E279" t="inlineStr">
        <is>
          <t>VIMMERBY</t>
        </is>
      </c>
      <c r="G279" t="n">
        <v>8.800000000000001</v>
      </c>
      <c r="H279" t="n">
        <v>3</v>
      </c>
      <c r="I279" t="n">
        <v>0</v>
      </c>
      <c r="J279" t="n">
        <v>3</v>
      </c>
      <c r="K279" t="n">
        <v>1</v>
      </c>
      <c r="L279" t="n">
        <v>0</v>
      </c>
      <c r="M279" t="n">
        <v>0</v>
      </c>
      <c r="N279" t="n">
        <v>0</v>
      </c>
      <c r="O279" t="n">
        <v>4</v>
      </c>
      <c r="P279" t="n">
        <v>1</v>
      </c>
      <c r="Q279" t="n">
        <v>4</v>
      </c>
      <c r="R279" s="2" t="inlineStr">
        <is>
          <t>Knärot
Spillkråka
Tallticka
Talltita</t>
        </is>
      </c>
      <c r="S279">
        <f>HYPERLINK("https://klasma.github.io/Logging_0884/artfynd/A 7450-2024 artfynd.xlsx", "A 7450-2024")</f>
        <v/>
      </c>
      <c r="T279">
        <f>HYPERLINK("https://klasma.github.io/Logging_0884/kartor/A 7450-2024 karta.png", "A 7450-2024")</f>
        <v/>
      </c>
      <c r="U279">
        <f>HYPERLINK("https://klasma.github.io/Logging_0884/knärot/A 7450-2024 karta knärot.png", "A 7450-2024")</f>
        <v/>
      </c>
      <c r="V279">
        <f>HYPERLINK("https://klasma.github.io/Logging_0884/klagomål/A 7450-2024 FSC-klagomål.docx", "A 7450-2024")</f>
        <v/>
      </c>
      <c r="W279">
        <f>HYPERLINK("https://klasma.github.io/Logging_0884/klagomålsmail/A 7450-2024 FSC-klagomål mail.docx", "A 7450-2024")</f>
        <v/>
      </c>
      <c r="X279">
        <f>HYPERLINK("https://klasma.github.io/Logging_0884/tillsyn/A 7450-2024 tillsynsbegäran.docx", "A 7450-2024")</f>
        <v/>
      </c>
      <c r="Y279">
        <f>HYPERLINK("https://klasma.github.io/Logging_0884/tillsynsmail/A 7450-2024 tillsynsbegäran mail.docx", "A 7450-2024")</f>
        <v/>
      </c>
      <c r="Z279">
        <f>HYPERLINK("https://klasma.github.io/Logging_0884/fåglar/A 7450-2024 prioriterade fågelarter.docx", "A 7450-2024")</f>
        <v/>
      </c>
    </row>
    <row r="280" ht="15" customHeight="1">
      <c r="A280" t="inlineStr">
        <is>
          <t>A 9129-2024</t>
        </is>
      </c>
      <c r="B280" s="1" t="n">
        <v>45358</v>
      </c>
      <c r="C280" s="1" t="n">
        <v>45715</v>
      </c>
      <c r="D280" t="inlineStr">
        <is>
          <t>KALMAR LÄN</t>
        </is>
      </c>
      <c r="E280" t="inlineStr">
        <is>
          <t>VÄSTERVIK</t>
        </is>
      </c>
      <c r="G280" t="n">
        <v>1.4</v>
      </c>
      <c r="H280" t="n">
        <v>1</v>
      </c>
      <c r="I280" t="n">
        <v>1</v>
      </c>
      <c r="J280" t="n">
        <v>2</v>
      </c>
      <c r="K280" t="n">
        <v>1</v>
      </c>
      <c r="L280" t="n">
        <v>0</v>
      </c>
      <c r="M280" t="n">
        <v>0</v>
      </c>
      <c r="N280" t="n">
        <v>0</v>
      </c>
      <c r="O280" t="n">
        <v>3</v>
      </c>
      <c r="P280" t="n">
        <v>1</v>
      </c>
      <c r="Q280" t="n">
        <v>4</v>
      </c>
      <c r="R280" s="2" t="inlineStr">
        <is>
          <t>Knärot
Motaggsvamp
Tallticka
Grönpyrola</t>
        </is>
      </c>
      <c r="S280">
        <f>HYPERLINK("https://klasma.github.io/Logging_0883/artfynd/A 9129-2024 artfynd.xlsx", "A 9129-2024")</f>
        <v/>
      </c>
      <c r="T280">
        <f>HYPERLINK("https://klasma.github.io/Logging_0883/kartor/A 9129-2024 karta.png", "A 9129-2024")</f>
        <v/>
      </c>
      <c r="U280">
        <f>HYPERLINK("https://klasma.github.io/Logging_0883/knärot/A 9129-2024 karta knärot.png", "A 9129-2024")</f>
        <v/>
      </c>
      <c r="V280">
        <f>HYPERLINK("https://klasma.github.io/Logging_0883/klagomål/A 9129-2024 FSC-klagomål.docx", "A 9129-2024")</f>
        <v/>
      </c>
      <c r="W280">
        <f>HYPERLINK("https://klasma.github.io/Logging_0883/klagomålsmail/A 9129-2024 FSC-klagomål mail.docx", "A 9129-2024")</f>
        <v/>
      </c>
      <c r="X280">
        <f>HYPERLINK("https://klasma.github.io/Logging_0883/tillsyn/A 9129-2024 tillsynsbegäran.docx", "A 9129-2024")</f>
        <v/>
      </c>
      <c r="Y280">
        <f>HYPERLINK("https://klasma.github.io/Logging_0883/tillsynsmail/A 9129-2024 tillsynsbegäran mail.docx", "A 9129-2024")</f>
        <v/>
      </c>
    </row>
    <row r="281" ht="15" customHeight="1">
      <c r="A281" t="inlineStr">
        <is>
          <t>A 9975-2024</t>
        </is>
      </c>
      <c r="B281" s="1" t="n">
        <v>45363</v>
      </c>
      <c r="C281" s="1" t="n">
        <v>45715</v>
      </c>
      <c r="D281" t="inlineStr">
        <is>
          <t>KALMAR LÄN</t>
        </is>
      </c>
      <c r="E281" t="inlineStr">
        <is>
          <t>VÄSTERVIK</t>
        </is>
      </c>
      <c r="G281" t="n">
        <v>2.2</v>
      </c>
      <c r="H281" t="n">
        <v>3</v>
      </c>
      <c r="I281" t="n">
        <v>0</v>
      </c>
      <c r="J281" t="n">
        <v>3</v>
      </c>
      <c r="K281" t="n">
        <v>1</v>
      </c>
      <c r="L281" t="n">
        <v>0</v>
      </c>
      <c r="M281" t="n">
        <v>0</v>
      </c>
      <c r="N281" t="n">
        <v>0</v>
      </c>
      <c r="O281" t="n">
        <v>4</v>
      </c>
      <c r="P281" t="n">
        <v>1</v>
      </c>
      <c r="Q281" t="n">
        <v>4</v>
      </c>
      <c r="R281" s="2" t="inlineStr">
        <is>
          <t>Knärot
Spillkråka
Tallticka
Talltita</t>
        </is>
      </c>
      <c r="S281">
        <f>HYPERLINK("https://klasma.github.io/Logging_0883/artfynd/A 9975-2024 artfynd.xlsx", "A 9975-2024")</f>
        <v/>
      </c>
      <c r="T281">
        <f>HYPERLINK("https://klasma.github.io/Logging_0883/kartor/A 9975-2024 karta.png", "A 9975-2024")</f>
        <v/>
      </c>
      <c r="U281">
        <f>HYPERLINK("https://klasma.github.io/Logging_0883/knärot/A 9975-2024 karta knärot.png", "A 9975-2024")</f>
        <v/>
      </c>
      <c r="V281">
        <f>HYPERLINK("https://klasma.github.io/Logging_0883/klagomål/A 9975-2024 FSC-klagomål.docx", "A 9975-2024")</f>
        <v/>
      </c>
      <c r="W281">
        <f>HYPERLINK("https://klasma.github.io/Logging_0883/klagomålsmail/A 9975-2024 FSC-klagomål mail.docx", "A 9975-2024")</f>
        <v/>
      </c>
      <c r="X281">
        <f>HYPERLINK("https://klasma.github.io/Logging_0883/tillsyn/A 9975-2024 tillsynsbegäran.docx", "A 9975-2024")</f>
        <v/>
      </c>
      <c r="Y281">
        <f>HYPERLINK("https://klasma.github.io/Logging_0883/tillsynsmail/A 9975-2024 tillsynsbegäran mail.docx", "A 9975-2024")</f>
        <v/>
      </c>
      <c r="Z281">
        <f>HYPERLINK("https://klasma.github.io/Logging_0883/fåglar/A 9975-2024 prioriterade fågelarter.docx", "A 9975-2024")</f>
        <v/>
      </c>
    </row>
    <row r="282" ht="15" customHeight="1">
      <c r="A282" t="inlineStr">
        <is>
          <t>A 10179-2024</t>
        </is>
      </c>
      <c r="B282" s="1" t="n">
        <v>45364</v>
      </c>
      <c r="C282" s="1" t="n">
        <v>45715</v>
      </c>
      <c r="D282" t="inlineStr">
        <is>
          <t>KALMAR LÄN</t>
        </is>
      </c>
      <c r="E282" t="inlineStr">
        <is>
          <t>MÖNSTERÅS</t>
        </is>
      </c>
      <c r="F282" t="inlineStr">
        <is>
          <t>Övriga Aktiebolag</t>
        </is>
      </c>
      <c r="G282" t="n">
        <v>6.6</v>
      </c>
      <c r="H282" t="n">
        <v>4</v>
      </c>
      <c r="I282" t="n">
        <v>0</v>
      </c>
      <c r="J282" t="n">
        <v>1</v>
      </c>
      <c r="K282" t="n">
        <v>0</v>
      </c>
      <c r="L282" t="n">
        <v>0</v>
      </c>
      <c r="M282" t="n">
        <v>0</v>
      </c>
      <c r="N282" t="n">
        <v>0</v>
      </c>
      <c r="O282" t="n">
        <v>1</v>
      </c>
      <c r="P282" t="n">
        <v>0</v>
      </c>
      <c r="Q282" t="n">
        <v>4</v>
      </c>
      <c r="R282" s="2" t="inlineStr">
        <is>
          <t>Sydfladdermus
Dvärgpipistrell
Större brunfladdermus
Vattenfladdermus</t>
        </is>
      </c>
      <c r="S282">
        <f>HYPERLINK("https://klasma.github.io/Logging_0861/artfynd/A 10179-2024 artfynd.xlsx", "A 10179-2024")</f>
        <v/>
      </c>
      <c r="T282">
        <f>HYPERLINK("https://klasma.github.io/Logging_0861/kartor/A 10179-2024 karta.png", "A 10179-2024")</f>
        <v/>
      </c>
      <c r="V282">
        <f>HYPERLINK("https://klasma.github.io/Logging_0861/klagomål/A 10179-2024 FSC-klagomål.docx", "A 10179-2024")</f>
        <v/>
      </c>
      <c r="W282">
        <f>HYPERLINK("https://klasma.github.io/Logging_0861/klagomålsmail/A 10179-2024 FSC-klagomål mail.docx", "A 10179-2024")</f>
        <v/>
      </c>
      <c r="X282">
        <f>HYPERLINK("https://klasma.github.io/Logging_0861/tillsyn/A 10179-2024 tillsynsbegäran.docx", "A 10179-2024")</f>
        <v/>
      </c>
      <c r="Y282">
        <f>HYPERLINK("https://klasma.github.io/Logging_0861/tillsynsmail/A 10179-2024 tillsynsbegäran mail.docx", "A 10179-2024")</f>
        <v/>
      </c>
    </row>
    <row r="283" ht="15" customHeight="1">
      <c r="A283" t="inlineStr">
        <is>
          <t>A 10990-2024</t>
        </is>
      </c>
      <c r="B283" s="1" t="n">
        <v>45370</v>
      </c>
      <c r="C283" s="1" t="n">
        <v>45715</v>
      </c>
      <c r="D283" t="inlineStr">
        <is>
          <t>KALMAR LÄN</t>
        </is>
      </c>
      <c r="E283" t="inlineStr">
        <is>
          <t>TORSÅS</t>
        </is>
      </c>
      <c r="G283" t="n">
        <v>7.3</v>
      </c>
      <c r="H283" t="n">
        <v>2</v>
      </c>
      <c r="I283" t="n">
        <v>0</v>
      </c>
      <c r="J283" t="n">
        <v>3</v>
      </c>
      <c r="K283" t="n">
        <v>0</v>
      </c>
      <c r="L283" t="n">
        <v>0</v>
      </c>
      <c r="M283" t="n">
        <v>0</v>
      </c>
      <c r="N283" t="n">
        <v>0</v>
      </c>
      <c r="O283" t="n">
        <v>3</v>
      </c>
      <c r="P283" t="n">
        <v>0</v>
      </c>
      <c r="Q283" t="n">
        <v>4</v>
      </c>
      <c r="R283" s="2" t="inlineStr">
        <is>
          <t>Kortskaftad ärgspik
Spillkråka
Tallticka
Tjäder</t>
        </is>
      </c>
      <c r="S283">
        <f>HYPERLINK("https://klasma.github.io/Logging_0834/artfynd/A 10990-2024 artfynd.xlsx", "A 10990-2024")</f>
        <v/>
      </c>
      <c r="T283">
        <f>HYPERLINK("https://klasma.github.io/Logging_0834/kartor/A 10990-2024 karta.png", "A 10990-2024")</f>
        <v/>
      </c>
      <c r="V283">
        <f>HYPERLINK("https://klasma.github.io/Logging_0834/klagomål/A 10990-2024 FSC-klagomål.docx", "A 10990-2024")</f>
        <v/>
      </c>
      <c r="W283">
        <f>HYPERLINK("https://klasma.github.io/Logging_0834/klagomålsmail/A 10990-2024 FSC-klagomål mail.docx", "A 10990-2024")</f>
        <v/>
      </c>
      <c r="X283">
        <f>HYPERLINK("https://klasma.github.io/Logging_0834/tillsyn/A 10990-2024 tillsynsbegäran.docx", "A 10990-2024")</f>
        <v/>
      </c>
      <c r="Y283">
        <f>HYPERLINK("https://klasma.github.io/Logging_0834/tillsynsmail/A 10990-2024 tillsynsbegäran mail.docx", "A 10990-2024")</f>
        <v/>
      </c>
      <c r="Z283">
        <f>HYPERLINK("https://klasma.github.io/Logging_0834/fåglar/A 10990-2024 prioriterade fågelarter.docx", "A 10990-2024")</f>
        <v/>
      </c>
    </row>
    <row r="284" ht="15" customHeight="1">
      <c r="A284" t="inlineStr">
        <is>
          <t>A 11299-2024</t>
        </is>
      </c>
      <c r="B284" s="1" t="n">
        <v>45371</v>
      </c>
      <c r="C284" s="1" t="n">
        <v>45715</v>
      </c>
      <c r="D284" t="inlineStr">
        <is>
          <t>KALMAR LÄN</t>
        </is>
      </c>
      <c r="E284" t="inlineStr">
        <is>
          <t>OSKARSHAMN</t>
        </is>
      </c>
      <c r="F284" t="inlineStr">
        <is>
          <t>Sveaskog</t>
        </is>
      </c>
      <c r="G284" t="n">
        <v>4.5</v>
      </c>
      <c r="H284" t="n">
        <v>4</v>
      </c>
      <c r="I284" t="n">
        <v>0</v>
      </c>
      <c r="J284" t="n">
        <v>2</v>
      </c>
      <c r="K284" t="n">
        <v>0</v>
      </c>
      <c r="L284" t="n">
        <v>0</v>
      </c>
      <c r="M284" t="n">
        <v>0</v>
      </c>
      <c r="N284" t="n">
        <v>0</v>
      </c>
      <c r="O284" t="n">
        <v>2</v>
      </c>
      <c r="P284" t="n">
        <v>0</v>
      </c>
      <c r="Q284" t="n">
        <v>4</v>
      </c>
      <c r="R284" s="2" t="inlineStr">
        <is>
          <t>Brunlångöra
Nordfladdermus
Dvärgpipistrell
Större brunfladdermus</t>
        </is>
      </c>
      <c r="S284">
        <f>HYPERLINK("https://klasma.github.io/Logging_0882/artfynd/A 11299-2024 artfynd.xlsx", "A 11299-2024")</f>
        <v/>
      </c>
      <c r="T284">
        <f>HYPERLINK("https://klasma.github.io/Logging_0882/kartor/A 11299-2024 karta.png", "A 11299-2024")</f>
        <v/>
      </c>
      <c r="V284">
        <f>HYPERLINK("https://klasma.github.io/Logging_0882/klagomål/A 11299-2024 FSC-klagomål.docx", "A 11299-2024")</f>
        <v/>
      </c>
      <c r="W284">
        <f>HYPERLINK("https://klasma.github.io/Logging_0882/klagomålsmail/A 11299-2024 FSC-klagomål mail.docx", "A 11299-2024")</f>
        <v/>
      </c>
      <c r="X284">
        <f>HYPERLINK("https://klasma.github.io/Logging_0882/tillsyn/A 11299-2024 tillsynsbegäran.docx", "A 11299-2024")</f>
        <v/>
      </c>
      <c r="Y284">
        <f>HYPERLINK("https://klasma.github.io/Logging_0882/tillsynsmail/A 11299-2024 tillsynsbegäran mail.docx", "A 11299-2024")</f>
        <v/>
      </c>
    </row>
    <row r="285" ht="15" customHeight="1">
      <c r="A285" t="inlineStr">
        <is>
          <t>A 11862-2024</t>
        </is>
      </c>
      <c r="B285" s="1" t="n">
        <v>45376</v>
      </c>
      <c r="C285" s="1" t="n">
        <v>45715</v>
      </c>
      <c r="D285" t="inlineStr">
        <is>
          <t>KALMAR LÄN</t>
        </is>
      </c>
      <c r="E285" t="inlineStr">
        <is>
          <t>VÄSTERVIK</t>
        </is>
      </c>
      <c r="F285" t="inlineStr">
        <is>
          <t>Sveaskog</t>
        </is>
      </c>
      <c r="G285" t="n">
        <v>3.5</v>
      </c>
      <c r="H285" t="n">
        <v>1</v>
      </c>
      <c r="I285" t="n">
        <v>1</v>
      </c>
      <c r="J285" t="n">
        <v>2</v>
      </c>
      <c r="K285" t="n">
        <v>0</v>
      </c>
      <c r="L285" t="n">
        <v>0</v>
      </c>
      <c r="M285" t="n">
        <v>0</v>
      </c>
      <c r="N285" t="n">
        <v>0</v>
      </c>
      <c r="O285" t="n">
        <v>2</v>
      </c>
      <c r="P285" t="n">
        <v>0</v>
      </c>
      <c r="Q285" t="n">
        <v>4</v>
      </c>
      <c r="R285" s="2" t="inlineStr">
        <is>
          <t>Oxtungssvamp
Solvända
Svart trolldruva
Blåsippa</t>
        </is>
      </c>
      <c r="S285">
        <f>HYPERLINK("https://klasma.github.io/Logging_0883/artfynd/A 11862-2024 artfynd.xlsx", "A 11862-2024")</f>
        <v/>
      </c>
      <c r="T285">
        <f>HYPERLINK("https://klasma.github.io/Logging_0883/kartor/A 11862-2024 karta.png", "A 11862-2024")</f>
        <v/>
      </c>
      <c r="V285">
        <f>HYPERLINK("https://klasma.github.io/Logging_0883/klagomål/A 11862-2024 FSC-klagomål.docx", "A 11862-2024")</f>
        <v/>
      </c>
      <c r="W285">
        <f>HYPERLINK("https://klasma.github.io/Logging_0883/klagomålsmail/A 11862-2024 FSC-klagomål mail.docx", "A 11862-2024")</f>
        <v/>
      </c>
      <c r="X285">
        <f>HYPERLINK("https://klasma.github.io/Logging_0883/tillsyn/A 11862-2024 tillsynsbegäran.docx", "A 11862-2024")</f>
        <v/>
      </c>
      <c r="Y285">
        <f>HYPERLINK("https://klasma.github.io/Logging_0883/tillsynsmail/A 11862-2024 tillsynsbegäran mail.docx", "A 11862-2024")</f>
        <v/>
      </c>
    </row>
    <row r="286" ht="15" customHeight="1">
      <c r="A286" t="inlineStr">
        <is>
          <t>A 13242-2024</t>
        </is>
      </c>
      <c r="B286" s="1" t="n">
        <v>45386</v>
      </c>
      <c r="C286" s="1" t="n">
        <v>45715</v>
      </c>
      <c r="D286" t="inlineStr">
        <is>
          <t>KALMAR LÄN</t>
        </is>
      </c>
      <c r="E286" t="inlineStr">
        <is>
          <t>OSKARSHAMN</t>
        </is>
      </c>
      <c r="G286" t="n">
        <v>1.8</v>
      </c>
      <c r="H286" t="n">
        <v>1</v>
      </c>
      <c r="I286" t="n">
        <v>0</v>
      </c>
      <c r="J286" t="n">
        <v>4</v>
      </c>
      <c r="K286" t="n">
        <v>0</v>
      </c>
      <c r="L286" t="n">
        <v>0</v>
      </c>
      <c r="M286" t="n">
        <v>0</v>
      </c>
      <c r="N286" t="n">
        <v>0</v>
      </c>
      <c r="O286" t="n">
        <v>4</v>
      </c>
      <c r="P286" t="n">
        <v>0</v>
      </c>
      <c r="Q286" t="n">
        <v>4</v>
      </c>
      <c r="R286" s="2" t="inlineStr">
        <is>
          <t>Bredbrämad bastardsvärmare
Klubbsprötad bastardsvärmare
Mindre bastardsvärmare
Spillkråka</t>
        </is>
      </c>
      <c r="S286">
        <f>HYPERLINK("https://klasma.github.io/Logging_0882/artfynd/A 13242-2024 artfynd.xlsx", "A 13242-2024")</f>
        <v/>
      </c>
      <c r="T286">
        <f>HYPERLINK("https://klasma.github.io/Logging_0882/kartor/A 13242-2024 karta.png", "A 13242-2024")</f>
        <v/>
      </c>
      <c r="V286">
        <f>HYPERLINK("https://klasma.github.io/Logging_0882/klagomål/A 13242-2024 FSC-klagomål.docx", "A 13242-2024")</f>
        <v/>
      </c>
      <c r="W286">
        <f>HYPERLINK("https://klasma.github.io/Logging_0882/klagomålsmail/A 13242-2024 FSC-klagomål mail.docx", "A 13242-2024")</f>
        <v/>
      </c>
      <c r="X286">
        <f>HYPERLINK("https://klasma.github.io/Logging_0882/tillsyn/A 13242-2024 tillsynsbegäran.docx", "A 13242-2024")</f>
        <v/>
      </c>
      <c r="Y286">
        <f>HYPERLINK("https://klasma.github.io/Logging_0882/tillsynsmail/A 13242-2024 tillsynsbegäran mail.docx", "A 13242-2024")</f>
        <v/>
      </c>
      <c r="Z286">
        <f>HYPERLINK("https://klasma.github.io/Logging_0882/fåglar/A 13242-2024 prioriterade fågelarter.docx", "A 13242-2024")</f>
        <v/>
      </c>
    </row>
    <row r="287" ht="15" customHeight="1">
      <c r="A287" t="inlineStr">
        <is>
          <t>A 15084-2024</t>
        </is>
      </c>
      <c r="B287" s="1" t="n">
        <v>45399</v>
      </c>
      <c r="C287" s="1" t="n">
        <v>45715</v>
      </c>
      <c r="D287" t="inlineStr">
        <is>
          <t>KALMAR LÄN</t>
        </is>
      </c>
      <c r="E287" t="inlineStr">
        <is>
          <t>HULTSFRED</t>
        </is>
      </c>
      <c r="G287" t="n">
        <v>3.1</v>
      </c>
      <c r="H287" t="n">
        <v>3</v>
      </c>
      <c r="I287" t="n">
        <v>1</v>
      </c>
      <c r="J287" t="n">
        <v>0</v>
      </c>
      <c r="K287" t="n">
        <v>0</v>
      </c>
      <c r="L287" t="n">
        <v>0</v>
      </c>
      <c r="M287" t="n">
        <v>0</v>
      </c>
      <c r="N287" t="n">
        <v>0</v>
      </c>
      <c r="O287" t="n">
        <v>0</v>
      </c>
      <c r="P287" t="n">
        <v>0</v>
      </c>
      <c r="Q287" t="n">
        <v>4</v>
      </c>
      <c r="R287" s="2" t="inlineStr">
        <is>
          <t>Rostfläck
Skogsduva
Blåsippa
Gullviva</t>
        </is>
      </c>
      <c r="S287">
        <f>HYPERLINK("https://klasma.github.io/Logging_0860/artfynd/A 15084-2024 artfynd.xlsx", "A 15084-2024")</f>
        <v/>
      </c>
      <c r="T287">
        <f>HYPERLINK("https://klasma.github.io/Logging_0860/kartor/A 15084-2024 karta.png", "A 15084-2024")</f>
        <v/>
      </c>
      <c r="V287">
        <f>HYPERLINK("https://klasma.github.io/Logging_0860/klagomål/A 15084-2024 FSC-klagomål.docx", "A 15084-2024")</f>
        <v/>
      </c>
      <c r="W287">
        <f>HYPERLINK("https://klasma.github.io/Logging_0860/klagomålsmail/A 15084-2024 FSC-klagomål mail.docx", "A 15084-2024")</f>
        <v/>
      </c>
      <c r="X287">
        <f>HYPERLINK("https://klasma.github.io/Logging_0860/tillsyn/A 15084-2024 tillsynsbegäran.docx", "A 15084-2024")</f>
        <v/>
      </c>
      <c r="Y287">
        <f>HYPERLINK("https://klasma.github.io/Logging_0860/tillsynsmail/A 15084-2024 tillsynsbegäran mail.docx", "A 15084-2024")</f>
        <v/>
      </c>
      <c r="Z287">
        <f>HYPERLINK("https://klasma.github.io/Logging_0860/fåglar/A 15084-2024 prioriterade fågelarter.docx", "A 15084-2024")</f>
        <v/>
      </c>
    </row>
    <row r="288" ht="15" customHeight="1">
      <c r="A288" t="inlineStr">
        <is>
          <t>A 15307-2024</t>
        </is>
      </c>
      <c r="B288" s="1" t="n">
        <v>45400</v>
      </c>
      <c r="C288" s="1" t="n">
        <v>45715</v>
      </c>
      <c r="D288" t="inlineStr">
        <is>
          <t>KALMAR LÄN</t>
        </is>
      </c>
      <c r="E288" t="inlineStr">
        <is>
          <t>MÖNSTERÅS</t>
        </is>
      </c>
      <c r="G288" t="n">
        <v>7</v>
      </c>
      <c r="H288" t="n">
        <v>3</v>
      </c>
      <c r="I288" t="n">
        <v>1</v>
      </c>
      <c r="J288" t="n">
        <v>1</v>
      </c>
      <c r="K288" t="n">
        <v>1</v>
      </c>
      <c r="L288" t="n">
        <v>0</v>
      </c>
      <c r="M288" t="n">
        <v>0</v>
      </c>
      <c r="N288" t="n">
        <v>0</v>
      </c>
      <c r="O288" t="n">
        <v>2</v>
      </c>
      <c r="P288" t="n">
        <v>1</v>
      </c>
      <c r="Q288" t="n">
        <v>4</v>
      </c>
      <c r="R288" s="2" t="inlineStr">
        <is>
          <t>Knärot
Spillkråka
Grönpyrola
Blåsippa</t>
        </is>
      </c>
      <c r="S288">
        <f>HYPERLINK("https://klasma.github.io/Logging_0861/artfynd/A 15307-2024 artfynd.xlsx", "A 15307-2024")</f>
        <v/>
      </c>
      <c r="T288">
        <f>HYPERLINK("https://klasma.github.io/Logging_0861/kartor/A 15307-2024 karta.png", "A 15307-2024")</f>
        <v/>
      </c>
      <c r="U288">
        <f>HYPERLINK("https://klasma.github.io/Logging_0861/knärot/A 15307-2024 karta knärot.png", "A 15307-2024")</f>
        <v/>
      </c>
      <c r="V288">
        <f>HYPERLINK("https://klasma.github.io/Logging_0861/klagomål/A 15307-2024 FSC-klagomål.docx", "A 15307-2024")</f>
        <v/>
      </c>
      <c r="W288">
        <f>HYPERLINK("https://klasma.github.io/Logging_0861/klagomålsmail/A 15307-2024 FSC-klagomål mail.docx", "A 15307-2024")</f>
        <v/>
      </c>
      <c r="X288">
        <f>HYPERLINK("https://klasma.github.io/Logging_0861/tillsyn/A 15307-2024 tillsynsbegäran.docx", "A 15307-2024")</f>
        <v/>
      </c>
      <c r="Y288">
        <f>HYPERLINK("https://klasma.github.io/Logging_0861/tillsynsmail/A 15307-2024 tillsynsbegäran mail.docx", "A 15307-2024")</f>
        <v/>
      </c>
      <c r="Z288">
        <f>HYPERLINK("https://klasma.github.io/Logging_0861/fåglar/A 15307-2024 prioriterade fågelarter.docx", "A 15307-2024")</f>
        <v/>
      </c>
    </row>
    <row r="289" ht="15" customHeight="1">
      <c r="A289" t="inlineStr">
        <is>
          <t>A 18397-2024</t>
        </is>
      </c>
      <c r="B289" s="1" t="n">
        <v>45425</v>
      </c>
      <c r="C289" s="1" t="n">
        <v>45715</v>
      </c>
      <c r="D289" t="inlineStr">
        <is>
          <t>KALMAR LÄN</t>
        </is>
      </c>
      <c r="E289" t="inlineStr">
        <is>
          <t>VÄSTERVIK</t>
        </is>
      </c>
      <c r="F289" t="inlineStr">
        <is>
          <t>Holmen skog AB</t>
        </is>
      </c>
      <c r="G289" t="n">
        <v>3.5</v>
      </c>
      <c r="H289" t="n">
        <v>3</v>
      </c>
      <c r="I289" t="n">
        <v>1</v>
      </c>
      <c r="J289" t="n">
        <v>2</v>
      </c>
      <c r="K289" t="n">
        <v>1</v>
      </c>
      <c r="L289" t="n">
        <v>0</v>
      </c>
      <c r="M289" t="n">
        <v>0</v>
      </c>
      <c r="N289" t="n">
        <v>0</v>
      </c>
      <c r="O289" t="n">
        <v>3</v>
      </c>
      <c r="P289" t="n">
        <v>1</v>
      </c>
      <c r="Q289" t="n">
        <v>4</v>
      </c>
      <c r="R289" s="2" t="inlineStr">
        <is>
          <t>Knärot
Spillkråka
Talltita
Grönpyrola</t>
        </is>
      </c>
      <c r="S289">
        <f>HYPERLINK("https://klasma.github.io/Logging_0883/artfynd/A 18397-2024 artfynd.xlsx", "A 18397-2024")</f>
        <v/>
      </c>
      <c r="T289">
        <f>HYPERLINK("https://klasma.github.io/Logging_0883/kartor/A 18397-2024 karta.png", "A 18397-2024")</f>
        <v/>
      </c>
      <c r="U289">
        <f>HYPERLINK("https://klasma.github.io/Logging_0883/knärot/A 18397-2024 karta knärot.png", "A 18397-2024")</f>
        <v/>
      </c>
      <c r="V289">
        <f>HYPERLINK("https://klasma.github.io/Logging_0883/klagomål/A 18397-2024 FSC-klagomål.docx", "A 18397-2024")</f>
        <v/>
      </c>
      <c r="W289">
        <f>HYPERLINK("https://klasma.github.io/Logging_0883/klagomålsmail/A 18397-2024 FSC-klagomål mail.docx", "A 18397-2024")</f>
        <v/>
      </c>
      <c r="X289">
        <f>HYPERLINK("https://klasma.github.io/Logging_0883/tillsyn/A 18397-2024 tillsynsbegäran.docx", "A 18397-2024")</f>
        <v/>
      </c>
      <c r="Y289">
        <f>HYPERLINK("https://klasma.github.io/Logging_0883/tillsynsmail/A 18397-2024 tillsynsbegäran mail.docx", "A 18397-2024")</f>
        <v/>
      </c>
      <c r="Z289">
        <f>HYPERLINK("https://klasma.github.io/Logging_0883/fåglar/A 18397-2024 prioriterade fågelarter.docx", "A 18397-2024")</f>
        <v/>
      </c>
    </row>
    <row r="290" ht="15" customHeight="1">
      <c r="A290" t="inlineStr">
        <is>
          <t>A 20366-2024</t>
        </is>
      </c>
      <c r="B290" s="1" t="n">
        <v>45435</v>
      </c>
      <c r="C290" s="1" t="n">
        <v>45715</v>
      </c>
      <c r="D290" t="inlineStr">
        <is>
          <t>KALMAR LÄN</t>
        </is>
      </c>
      <c r="E290" t="inlineStr">
        <is>
          <t>VÄSTERVIK</t>
        </is>
      </c>
      <c r="G290" t="n">
        <v>0.8</v>
      </c>
      <c r="H290" t="n">
        <v>3</v>
      </c>
      <c r="I290" t="n">
        <v>1</v>
      </c>
      <c r="J290" t="n">
        <v>3</v>
      </c>
      <c r="K290" t="n">
        <v>0</v>
      </c>
      <c r="L290" t="n">
        <v>0</v>
      </c>
      <c r="M290" t="n">
        <v>0</v>
      </c>
      <c r="N290" t="n">
        <v>0</v>
      </c>
      <c r="O290" t="n">
        <v>3</v>
      </c>
      <c r="P290" t="n">
        <v>0</v>
      </c>
      <c r="Q290" t="n">
        <v>4</v>
      </c>
      <c r="R290" s="2" t="inlineStr">
        <is>
          <t>Entita
Spillkråka
Tallticka
Purpurknipprot</t>
        </is>
      </c>
      <c r="S290">
        <f>HYPERLINK("https://klasma.github.io/Logging_0883/artfynd/A 20366-2024 artfynd.xlsx", "A 20366-2024")</f>
        <v/>
      </c>
      <c r="T290">
        <f>HYPERLINK("https://klasma.github.io/Logging_0883/kartor/A 20366-2024 karta.png", "A 20366-2024")</f>
        <v/>
      </c>
      <c r="V290">
        <f>HYPERLINK("https://klasma.github.io/Logging_0883/klagomål/A 20366-2024 FSC-klagomål.docx", "A 20366-2024")</f>
        <v/>
      </c>
      <c r="W290">
        <f>HYPERLINK("https://klasma.github.io/Logging_0883/klagomålsmail/A 20366-2024 FSC-klagomål mail.docx", "A 20366-2024")</f>
        <v/>
      </c>
      <c r="X290">
        <f>HYPERLINK("https://klasma.github.io/Logging_0883/tillsyn/A 20366-2024 tillsynsbegäran.docx", "A 20366-2024")</f>
        <v/>
      </c>
      <c r="Y290">
        <f>HYPERLINK("https://klasma.github.io/Logging_0883/tillsynsmail/A 20366-2024 tillsynsbegäran mail.docx", "A 20366-2024")</f>
        <v/>
      </c>
      <c r="Z290">
        <f>HYPERLINK("https://klasma.github.io/Logging_0883/fåglar/A 20366-2024 prioriterade fågelarter.docx", "A 20366-2024")</f>
        <v/>
      </c>
    </row>
    <row r="291" ht="15" customHeight="1">
      <c r="A291" t="inlineStr">
        <is>
          <t>A 20714-2024</t>
        </is>
      </c>
      <c r="B291" s="1" t="n">
        <v>45436</v>
      </c>
      <c r="C291" s="1" t="n">
        <v>45715</v>
      </c>
      <c r="D291" t="inlineStr">
        <is>
          <t>KALMAR LÄN</t>
        </is>
      </c>
      <c r="E291" t="inlineStr">
        <is>
          <t>HÖGSBY</t>
        </is>
      </c>
      <c r="G291" t="n">
        <v>3.8</v>
      </c>
      <c r="H291" t="n">
        <v>1</v>
      </c>
      <c r="I291" t="n">
        <v>2</v>
      </c>
      <c r="J291" t="n">
        <v>1</v>
      </c>
      <c r="K291" t="n">
        <v>1</v>
      </c>
      <c r="L291" t="n">
        <v>0</v>
      </c>
      <c r="M291" t="n">
        <v>0</v>
      </c>
      <c r="N291" t="n">
        <v>0</v>
      </c>
      <c r="O291" t="n">
        <v>2</v>
      </c>
      <c r="P291" t="n">
        <v>1</v>
      </c>
      <c r="Q291" t="n">
        <v>4</v>
      </c>
      <c r="R291" s="2" t="inlineStr">
        <is>
          <t>Knärot
Ullticka
Dropptaggsvamp
Kornknutmossa</t>
        </is>
      </c>
      <c r="S291">
        <f>HYPERLINK("https://klasma.github.io/Logging_0821/artfynd/A 20714-2024 artfynd.xlsx", "A 20714-2024")</f>
        <v/>
      </c>
      <c r="T291">
        <f>HYPERLINK("https://klasma.github.io/Logging_0821/kartor/A 20714-2024 karta.png", "A 20714-2024")</f>
        <v/>
      </c>
      <c r="U291">
        <f>HYPERLINK("https://klasma.github.io/Logging_0821/knärot/A 20714-2024 karta knärot.png", "A 20714-2024")</f>
        <v/>
      </c>
      <c r="V291">
        <f>HYPERLINK("https://klasma.github.io/Logging_0821/klagomål/A 20714-2024 FSC-klagomål.docx", "A 20714-2024")</f>
        <v/>
      </c>
      <c r="W291">
        <f>HYPERLINK("https://klasma.github.io/Logging_0821/klagomålsmail/A 20714-2024 FSC-klagomål mail.docx", "A 20714-2024")</f>
        <v/>
      </c>
      <c r="X291">
        <f>HYPERLINK("https://klasma.github.io/Logging_0821/tillsyn/A 20714-2024 tillsynsbegäran.docx", "A 20714-2024")</f>
        <v/>
      </c>
      <c r="Y291">
        <f>HYPERLINK("https://klasma.github.io/Logging_0821/tillsynsmail/A 20714-2024 tillsynsbegäran mail.docx", "A 20714-2024")</f>
        <v/>
      </c>
    </row>
    <row r="292" ht="15" customHeight="1">
      <c r="A292" t="inlineStr">
        <is>
          <t>A 25534-2024</t>
        </is>
      </c>
      <c r="B292" s="1" t="n">
        <v>45463</v>
      </c>
      <c r="C292" s="1" t="n">
        <v>45715</v>
      </c>
      <c r="D292" t="inlineStr">
        <is>
          <t>KALMAR LÄN</t>
        </is>
      </c>
      <c r="E292" t="inlineStr">
        <is>
          <t>VÄSTERVIK</t>
        </is>
      </c>
      <c r="F292" t="inlineStr">
        <is>
          <t>Holmen skog AB</t>
        </is>
      </c>
      <c r="G292" t="n">
        <v>9.5</v>
      </c>
      <c r="H292" t="n">
        <v>1</v>
      </c>
      <c r="I292" t="n">
        <v>2</v>
      </c>
      <c r="J292" t="n">
        <v>1</v>
      </c>
      <c r="K292" t="n">
        <v>1</v>
      </c>
      <c r="L292" t="n">
        <v>0</v>
      </c>
      <c r="M292" t="n">
        <v>0</v>
      </c>
      <c r="N292" t="n">
        <v>0</v>
      </c>
      <c r="O292" t="n">
        <v>2</v>
      </c>
      <c r="P292" t="n">
        <v>1</v>
      </c>
      <c r="Q292" t="n">
        <v>4</v>
      </c>
      <c r="R292" s="2" t="inlineStr">
        <is>
          <t>Knärot
Tallticka
Brandticka
Bronshjon</t>
        </is>
      </c>
      <c r="S292">
        <f>HYPERLINK("https://klasma.github.io/Logging_0883/artfynd/A 25534-2024 artfynd.xlsx", "A 25534-2024")</f>
        <v/>
      </c>
      <c r="T292">
        <f>HYPERLINK("https://klasma.github.io/Logging_0883/kartor/A 25534-2024 karta.png", "A 25534-2024")</f>
        <v/>
      </c>
      <c r="U292">
        <f>HYPERLINK("https://klasma.github.io/Logging_0883/knärot/A 25534-2024 karta knärot.png", "A 25534-2024")</f>
        <v/>
      </c>
      <c r="V292">
        <f>HYPERLINK("https://klasma.github.io/Logging_0883/klagomål/A 25534-2024 FSC-klagomål.docx", "A 25534-2024")</f>
        <v/>
      </c>
      <c r="W292">
        <f>HYPERLINK("https://klasma.github.io/Logging_0883/klagomålsmail/A 25534-2024 FSC-klagomål mail.docx", "A 25534-2024")</f>
        <v/>
      </c>
      <c r="X292">
        <f>HYPERLINK("https://klasma.github.io/Logging_0883/tillsyn/A 25534-2024 tillsynsbegäran.docx", "A 25534-2024")</f>
        <v/>
      </c>
      <c r="Y292">
        <f>HYPERLINK("https://klasma.github.io/Logging_0883/tillsynsmail/A 25534-2024 tillsynsbegäran mail.docx", "A 25534-2024")</f>
        <v/>
      </c>
    </row>
    <row r="293" ht="15" customHeight="1">
      <c r="A293" t="inlineStr">
        <is>
          <t>A 28723-2024</t>
        </is>
      </c>
      <c r="B293" s="1" t="n">
        <v>45478</v>
      </c>
      <c r="C293" s="1" t="n">
        <v>45715</v>
      </c>
      <c r="D293" t="inlineStr">
        <is>
          <t>KALMAR LÄN</t>
        </is>
      </c>
      <c r="E293" t="inlineStr">
        <is>
          <t>MÖRBYLÅNGA</t>
        </is>
      </c>
      <c r="G293" t="n">
        <v>4</v>
      </c>
      <c r="H293" t="n">
        <v>1</v>
      </c>
      <c r="I293" t="n">
        <v>1</v>
      </c>
      <c r="J293" t="n">
        <v>0</v>
      </c>
      <c r="K293" t="n">
        <v>1</v>
      </c>
      <c r="L293" t="n">
        <v>1</v>
      </c>
      <c r="M293" t="n">
        <v>0</v>
      </c>
      <c r="N293" t="n">
        <v>0</v>
      </c>
      <c r="O293" t="n">
        <v>2</v>
      </c>
      <c r="P293" t="n">
        <v>2</v>
      </c>
      <c r="Q293" t="n">
        <v>4</v>
      </c>
      <c r="R293" s="2" t="inlineStr">
        <is>
          <t>Naveljordstjärna
Liten diskröksvamp
Murgröna
Blåsippa</t>
        </is>
      </c>
      <c r="S293">
        <f>HYPERLINK("https://klasma.github.io/Logging_0840/artfynd/A 28723-2024 artfynd.xlsx", "A 28723-2024")</f>
        <v/>
      </c>
      <c r="T293">
        <f>HYPERLINK("https://klasma.github.io/Logging_0840/kartor/A 28723-2024 karta.png", "A 28723-2024")</f>
        <v/>
      </c>
      <c r="U293">
        <f>HYPERLINK("https://klasma.github.io/Logging_0840/knärot/A 28723-2024 karta knärot.png", "A 28723-2024")</f>
        <v/>
      </c>
      <c r="V293">
        <f>HYPERLINK("https://klasma.github.io/Logging_0840/klagomål/A 28723-2024 FSC-klagomål.docx", "A 28723-2024")</f>
        <v/>
      </c>
      <c r="W293">
        <f>HYPERLINK("https://klasma.github.io/Logging_0840/klagomålsmail/A 28723-2024 FSC-klagomål mail.docx", "A 28723-2024")</f>
        <v/>
      </c>
      <c r="X293">
        <f>HYPERLINK("https://klasma.github.io/Logging_0840/tillsyn/A 28723-2024 tillsynsbegäran.docx", "A 28723-2024")</f>
        <v/>
      </c>
      <c r="Y293">
        <f>HYPERLINK("https://klasma.github.io/Logging_0840/tillsynsmail/A 28723-2024 tillsynsbegäran mail.docx", "A 28723-2024")</f>
        <v/>
      </c>
    </row>
    <row r="294" ht="15" customHeight="1">
      <c r="A294" t="inlineStr">
        <is>
          <t>A 35939-2024</t>
        </is>
      </c>
      <c r="B294" s="1" t="n">
        <v>45533</v>
      </c>
      <c r="C294" s="1" t="n">
        <v>45715</v>
      </c>
      <c r="D294" t="inlineStr">
        <is>
          <t>KALMAR LÄN</t>
        </is>
      </c>
      <c r="E294" t="inlineStr">
        <is>
          <t>VÄSTERVIK</t>
        </is>
      </c>
      <c r="G294" t="n">
        <v>3.8</v>
      </c>
      <c r="H294" t="n">
        <v>1</v>
      </c>
      <c r="I294" t="n">
        <v>1</v>
      </c>
      <c r="J294" t="n">
        <v>3</v>
      </c>
      <c r="K294" t="n">
        <v>0</v>
      </c>
      <c r="L294" t="n">
        <v>0</v>
      </c>
      <c r="M294" t="n">
        <v>0</v>
      </c>
      <c r="N294" t="n">
        <v>0</v>
      </c>
      <c r="O294" t="n">
        <v>3</v>
      </c>
      <c r="P294" t="n">
        <v>0</v>
      </c>
      <c r="Q294" t="n">
        <v>4</v>
      </c>
      <c r="R294" s="2" t="inlineStr">
        <is>
          <t>Svart taggsvamp
Tallticka
Talltita
Blåmossa</t>
        </is>
      </c>
      <c r="S294">
        <f>HYPERLINK("https://klasma.github.io/Logging_0883/artfynd/A 35939-2024 artfynd.xlsx", "A 35939-2024")</f>
        <v/>
      </c>
      <c r="T294">
        <f>HYPERLINK("https://klasma.github.io/Logging_0883/kartor/A 35939-2024 karta.png", "A 35939-2024")</f>
        <v/>
      </c>
      <c r="V294">
        <f>HYPERLINK("https://klasma.github.io/Logging_0883/klagomål/A 35939-2024 FSC-klagomål.docx", "A 35939-2024")</f>
        <v/>
      </c>
      <c r="W294">
        <f>HYPERLINK("https://klasma.github.io/Logging_0883/klagomålsmail/A 35939-2024 FSC-klagomål mail.docx", "A 35939-2024")</f>
        <v/>
      </c>
      <c r="X294">
        <f>HYPERLINK("https://klasma.github.io/Logging_0883/tillsyn/A 35939-2024 tillsynsbegäran.docx", "A 35939-2024")</f>
        <v/>
      </c>
      <c r="Y294">
        <f>HYPERLINK("https://klasma.github.io/Logging_0883/tillsynsmail/A 35939-2024 tillsynsbegäran mail.docx", "A 35939-2024")</f>
        <v/>
      </c>
      <c r="Z294">
        <f>HYPERLINK("https://klasma.github.io/Logging_0883/fåglar/A 35939-2024 prioriterade fågelarter.docx", "A 35939-2024")</f>
        <v/>
      </c>
    </row>
    <row r="295" ht="15" customHeight="1">
      <c r="A295" t="inlineStr">
        <is>
          <t>A 37640-2024</t>
        </is>
      </c>
      <c r="B295" s="1" t="n">
        <v>45541</v>
      </c>
      <c r="C295" s="1" t="n">
        <v>45715</v>
      </c>
      <c r="D295" t="inlineStr">
        <is>
          <t>KALMAR LÄN</t>
        </is>
      </c>
      <c r="E295" t="inlineStr">
        <is>
          <t>HULTSFRED</t>
        </is>
      </c>
      <c r="F295" t="inlineStr">
        <is>
          <t>Övriga Aktiebolag</t>
        </is>
      </c>
      <c r="G295" t="n">
        <v>4.6</v>
      </c>
      <c r="H295" t="n">
        <v>3</v>
      </c>
      <c r="I295" t="n">
        <v>0</v>
      </c>
      <c r="J295" t="n">
        <v>2</v>
      </c>
      <c r="K295" t="n">
        <v>1</v>
      </c>
      <c r="L295" t="n">
        <v>0</v>
      </c>
      <c r="M295" t="n">
        <v>0</v>
      </c>
      <c r="N295" t="n">
        <v>0</v>
      </c>
      <c r="O295" t="n">
        <v>3</v>
      </c>
      <c r="P295" t="n">
        <v>1</v>
      </c>
      <c r="Q295" t="n">
        <v>4</v>
      </c>
      <c r="R295" s="2" t="inlineStr">
        <is>
          <t>Knärot
Tallticka
Ärtsångare
Blåsippa</t>
        </is>
      </c>
      <c r="S295">
        <f>HYPERLINK("https://klasma.github.io/Logging_0860/artfynd/A 37640-2024 artfynd.xlsx", "A 37640-2024")</f>
        <v/>
      </c>
      <c r="T295">
        <f>HYPERLINK("https://klasma.github.io/Logging_0860/kartor/A 37640-2024 karta.png", "A 37640-2024")</f>
        <v/>
      </c>
      <c r="U295">
        <f>HYPERLINK("https://klasma.github.io/Logging_0860/knärot/A 37640-2024 karta knärot.png", "A 37640-2024")</f>
        <v/>
      </c>
      <c r="V295">
        <f>HYPERLINK("https://klasma.github.io/Logging_0860/klagomål/A 37640-2024 FSC-klagomål.docx", "A 37640-2024")</f>
        <v/>
      </c>
      <c r="W295">
        <f>HYPERLINK("https://klasma.github.io/Logging_0860/klagomålsmail/A 37640-2024 FSC-klagomål mail.docx", "A 37640-2024")</f>
        <v/>
      </c>
      <c r="X295">
        <f>HYPERLINK("https://klasma.github.io/Logging_0860/tillsyn/A 37640-2024 tillsynsbegäran.docx", "A 37640-2024")</f>
        <v/>
      </c>
      <c r="Y295">
        <f>HYPERLINK("https://klasma.github.io/Logging_0860/tillsynsmail/A 37640-2024 tillsynsbegäran mail.docx", "A 37640-2024")</f>
        <v/>
      </c>
      <c r="Z295">
        <f>HYPERLINK("https://klasma.github.io/Logging_0860/fåglar/A 37640-2024 prioriterade fågelarter.docx", "A 37640-2024")</f>
        <v/>
      </c>
    </row>
    <row r="296" ht="15" customHeight="1">
      <c r="A296" t="inlineStr">
        <is>
          <t>A 39258-2024</t>
        </is>
      </c>
      <c r="B296" s="1" t="n">
        <v>45551</v>
      </c>
      <c r="C296" s="1" t="n">
        <v>45715</v>
      </c>
      <c r="D296" t="inlineStr">
        <is>
          <t>KALMAR LÄN</t>
        </is>
      </c>
      <c r="E296" t="inlineStr">
        <is>
          <t>VÄSTERVIK</t>
        </is>
      </c>
      <c r="G296" t="n">
        <v>6</v>
      </c>
      <c r="H296" t="n">
        <v>0</v>
      </c>
      <c r="I296" t="n">
        <v>2</v>
      </c>
      <c r="J296" t="n">
        <v>2</v>
      </c>
      <c r="K296" t="n">
        <v>0</v>
      </c>
      <c r="L296" t="n">
        <v>0</v>
      </c>
      <c r="M296" t="n">
        <v>0</v>
      </c>
      <c r="N296" t="n">
        <v>0</v>
      </c>
      <c r="O296" t="n">
        <v>2</v>
      </c>
      <c r="P296" t="n">
        <v>0</v>
      </c>
      <c r="Q296" t="n">
        <v>4</v>
      </c>
      <c r="R296" s="2" t="inlineStr">
        <is>
          <t>Motaggsvamp
Tallticka
Blåmossa
Dropptaggsvamp</t>
        </is>
      </c>
      <c r="S296">
        <f>HYPERLINK("https://klasma.github.io/Logging_0883/artfynd/A 39258-2024 artfynd.xlsx", "A 39258-2024")</f>
        <v/>
      </c>
      <c r="T296">
        <f>HYPERLINK("https://klasma.github.io/Logging_0883/kartor/A 39258-2024 karta.png", "A 39258-2024")</f>
        <v/>
      </c>
      <c r="V296">
        <f>HYPERLINK("https://klasma.github.io/Logging_0883/klagomål/A 39258-2024 FSC-klagomål.docx", "A 39258-2024")</f>
        <v/>
      </c>
      <c r="W296">
        <f>HYPERLINK("https://klasma.github.io/Logging_0883/klagomålsmail/A 39258-2024 FSC-klagomål mail.docx", "A 39258-2024")</f>
        <v/>
      </c>
      <c r="X296">
        <f>HYPERLINK("https://klasma.github.io/Logging_0883/tillsyn/A 39258-2024 tillsynsbegäran.docx", "A 39258-2024")</f>
        <v/>
      </c>
      <c r="Y296">
        <f>HYPERLINK("https://klasma.github.io/Logging_0883/tillsynsmail/A 39258-2024 tillsynsbegäran mail.docx", "A 39258-2024")</f>
        <v/>
      </c>
    </row>
    <row r="297" ht="15" customHeight="1">
      <c r="A297" t="inlineStr">
        <is>
          <t>A 39320-2024</t>
        </is>
      </c>
      <c r="B297" s="1" t="n">
        <v>45551</v>
      </c>
      <c r="C297" s="1" t="n">
        <v>45715</v>
      </c>
      <c r="D297" t="inlineStr">
        <is>
          <t>KALMAR LÄN</t>
        </is>
      </c>
      <c r="E297" t="inlineStr">
        <is>
          <t>MÖRBYLÅNGA</t>
        </is>
      </c>
      <c r="G297" t="n">
        <v>3.3</v>
      </c>
      <c r="H297" t="n">
        <v>0</v>
      </c>
      <c r="I297" t="n">
        <v>2</v>
      </c>
      <c r="J297" t="n">
        <v>1</v>
      </c>
      <c r="K297" t="n">
        <v>1</v>
      </c>
      <c r="L297" t="n">
        <v>0</v>
      </c>
      <c r="M297" t="n">
        <v>0</v>
      </c>
      <c r="N297" t="n">
        <v>0</v>
      </c>
      <c r="O297" t="n">
        <v>2</v>
      </c>
      <c r="P297" t="n">
        <v>1</v>
      </c>
      <c r="Q297" t="n">
        <v>4</v>
      </c>
      <c r="R297" s="2" t="inlineStr">
        <is>
          <t>Toppjungfrulin
Korskovall
Underviol
Vårärt</t>
        </is>
      </c>
      <c r="S297">
        <f>HYPERLINK("https://klasma.github.io/Logging_0840/artfynd/A 39320-2024 artfynd.xlsx", "A 39320-2024")</f>
        <v/>
      </c>
      <c r="T297">
        <f>HYPERLINK("https://klasma.github.io/Logging_0840/kartor/A 39320-2024 karta.png", "A 39320-2024")</f>
        <v/>
      </c>
      <c r="V297">
        <f>HYPERLINK("https://klasma.github.io/Logging_0840/klagomål/A 39320-2024 FSC-klagomål.docx", "A 39320-2024")</f>
        <v/>
      </c>
      <c r="W297">
        <f>HYPERLINK("https://klasma.github.io/Logging_0840/klagomålsmail/A 39320-2024 FSC-klagomål mail.docx", "A 39320-2024")</f>
        <v/>
      </c>
      <c r="X297">
        <f>HYPERLINK("https://klasma.github.io/Logging_0840/tillsyn/A 39320-2024 tillsynsbegäran.docx", "A 39320-2024")</f>
        <v/>
      </c>
      <c r="Y297">
        <f>HYPERLINK("https://klasma.github.io/Logging_0840/tillsynsmail/A 39320-2024 tillsynsbegäran mail.docx", "A 39320-2024")</f>
        <v/>
      </c>
    </row>
    <row r="298" ht="15" customHeight="1">
      <c r="A298" t="inlineStr">
        <is>
          <t>A 45167-2024</t>
        </is>
      </c>
      <c r="B298" s="1" t="n">
        <v>45575</v>
      </c>
      <c r="C298" s="1" t="n">
        <v>45715</v>
      </c>
      <c r="D298" t="inlineStr">
        <is>
          <t>KALMAR LÄN</t>
        </is>
      </c>
      <c r="E298" t="inlineStr">
        <is>
          <t>HULTSFRED</t>
        </is>
      </c>
      <c r="G298" t="n">
        <v>0.8</v>
      </c>
      <c r="H298" t="n">
        <v>0</v>
      </c>
      <c r="I298" t="n">
        <v>1</v>
      </c>
      <c r="J298" t="n">
        <v>2</v>
      </c>
      <c r="K298" t="n">
        <v>0</v>
      </c>
      <c r="L298" t="n">
        <v>1</v>
      </c>
      <c r="M298" t="n">
        <v>0</v>
      </c>
      <c r="N298" t="n">
        <v>0</v>
      </c>
      <c r="O298" t="n">
        <v>3</v>
      </c>
      <c r="P298" t="n">
        <v>1</v>
      </c>
      <c r="Q298" t="n">
        <v>4</v>
      </c>
      <c r="R298" s="2" t="inlineStr">
        <is>
          <t>Karelsk maskros
Persiljespindling
Tallticka
Dvärgkällmossa</t>
        </is>
      </c>
      <c r="S298">
        <f>HYPERLINK("https://klasma.github.io/Logging_0860/artfynd/A 45167-2024 artfynd.xlsx", "A 45167-2024")</f>
        <v/>
      </c>
      <c r="T298">
        <f>HYPERLINK("https://klasma.github.io/Logging_0860/kartor/A 45167-2024 karta.png", "A 45167-2024")</f>
        <v/>
      </c>
      <c r="V298">
        <f>HYPERLINK("https://klasma.github.io/Logging_0860/klagomål/A 45167-2024 FSC-klagomål.docx", "A 45167-2024")</f>
        <v/>
      </c>
      <c r="W298">
        <f>HYPERLINK("https://klasma.github.io/Logging_0860/klagomålsmail/A 45167-2024 FSC-klagomål mail.docx", "A 45167-2024")</f>
        <v/>
      </c>
      <c r="X298">
        <f>HYPERLINK("https://klasma.github.io/Logging_0860/tillsyn/A 45167-2024 tillsynsbegäran.docx", "A 45167-2024")</f>
        <v/>
      </c>
      <c r="Y298">
        <f>HYPERLINK("https://klasma.github.io/Logging_0860/tillsynsmail/A 45167-2024 tillsynsbegäran mail.docx", "A 45167-2024")</f>
        <v/>
      </c>
    </row>
    <row r="299" ht="15" customHeight="1">
      <c r="A299" t="inlineStr">
        <is>
          <t>A 54167-2024</t>
        </is>
      </c>
      <c r="B299" s="1" t="n">
        <v>45616</v>
      </c>
      <c r="C299" s="1" t="n">
        <v>45715</v>
      </c>
      <c r="D299" t="inlineStr">
        <is>
          <t>KALMAR LÄN</t>
        </is>
      </c>
      <c r="E299" t="inlineStr">
        <is>
          <t>MÖRBYLÅNGA</t>
        </is>
      </c>
      <c r="G299" t="n">
        <v>1.5</v>
      </c>
      <c r="H299" t="n">
        <v>2</v>
      </c>
      <c r="I299" t="n">
        <v>2</v>
      </c>
      <c r="J299" t="n">
        <v>0</v>
      </c>
      <c r="K299" t="n">
        <v>0</v>
      </c>
      <c r="L299" t="n">
        <v>1</v>
      </c>
      <c r="M299" t="n">
        <v>0</v>
      </c>
      <c r="N299" t="n">
        <v>0</v>
      </c>
      <c r="O299" t="n">
        <v>1</v>
      </c>
      <c r="P299" t="n">
        <v>1</v>
      </c>
      <c r="Q299" t="n">
        <v>4</v>
      </c>
      <c r="R299" s="2" t="inlineStr">
        <is>
          <t>Ask
Murgröna
Tvåblad
Blåsippa</t>
        </is>
      </c>
      <c r="S299">
        <f>HYPERLINK("https://klasma.github.io/Logging_0840/artfynd/A 54167-2024 artfynd.xlsx", "A 54167-2024")</f>
        <v/>
      </c>
      <c r="T299">
        <f>HYPERLINK("https://klasma.github.io/Logging_0840/kartor/A 54167-2024 karta.png", "A 54167-2024")</f>
        <v/>
      </c>
      <c r="V299">
        <f>HYPERLINK("https://klasma.github.io/Logging_0840/klagomål/A 54167-2024 FSC-klagomål.docx", "A 54167-2024")</f>
        <v/>
      </c>
      <c r="W299">
        <f>HYPERLINK("https://klasma.github.io/Logging_0840/klagomålsmail/A 54167-2024 FSC-klagomål mail.docx", "A 54167-2024")</f>
        <v/>
      </c>
      <c r="X299">
        <f>HYPERLINK("https://klasma.github.io/Logging_0840/tillsyn/A 54167-2024 tillsynsbegäran.docx", "A 54167-2024")</f>
        <v/>
      </c>
      <c r="Y299">
        <f>HYPERLINK("https://klasma.github.io/Logging_0840/tillsynsmail/A 54167-2024 tillsynsbegäran mail.docx", "A 54167-2024")</f>
        <v/>
      </c>
    </row>
    <row r="300" ht="15" customHeight="1">
      <c r="A300" t="inlineStr">
        <is>
          <t>A 54034-2024</t>
        </is>
      </c>
      <c r="B300" s="1" t="n">
        <v>45616</v>
      </c>
      <c r="C300" s="1" t="n">
        <v>45715</v>
      </c>
      <c r="D300" t="inlineStr">
        <is>
          <t>KALMAR LÄN</t>
        </is>
      </c>
      <c r="E300" t="inlineStr">
        <is>
          <t>OSKARSHAMN</t>
        </is>
      </c>
      <c r="F300" t="inlineStr">
        <is>
          <t>Kyrkan</t>
        </is>
      </c>
      <c r="G300" t="n">
        <v>1.7</v>
      </c>
      <c r="H300" t="n">
        <v>3</v>
      </c>
      <c r="I300" t="n">
        <v>0</v>
      </c>
      <c r="J300" t="n">
        <v>2</v>
      </c>
      <c r="K300" t="n">
        <v>1</v>
      </c>
      <c r="L300" t="n">
        <v>0</v>
      </c>
      <c r="M300" t="n">
        <v>0</v>
      </c>
      <c r="N300" t="n">
        <v>0</v>
      </c>
      <c r="O300" t="n">
        <v>3</v>
      </c>
      <c r="P300" t="n">
        <v>1</v>
      </c>
      <c r="Q300" t="n">
        <v>4</v>
      </c>
      <c r="R300" s="2" t="inlineStr">
        <is>
          <t>Knärot
Talltita
Vedskivlav
Kungsfågel</t>
        </is>
      </c>
      <c r="S300">
        <f>HYPERLINK("https://klasma.github.io/Logging_0882/artfynd/A 54034-2024 artfynd.xlsx", "A 54034-2024")</f>
        <v/>
      </c>
      <c r="T300">
        <f>HYPERLINK("https://klasma.github.io/Logging_0882/kartor/A 54034-2024 karta.png", "A 54034-2024")</f>
        <v/>
      </c>
      <c r="U300">
        <f>HYPERLINK("https://klasma.github.io/Logging_0882/knärot/A 54034-2024 karta knärot.png", "A 54034-2024")</f>
        <v/>
      </c>
      <c r="V300">
        <f>HYPERLINK("https://klasma.github.io/Logging_0882/klagomål/A 54034-2024 FSC-klagomål.docx", "A 54034-2024")</f>
        <v/>
      </c>
      <c r="W300">
        <f>HYPERLINK("https://klasma.github.io/Logging_0882/klagomålsmail/A 54034-2024 FSC-klagomål mail.docx", "A 54034-2024")</f>
        <v/>
      </c>
      <c r="X300">
        <f>HYPERLINK("https://klasma.github.io/Logging_0882/tillsyn/A 54034-2024 tillsynsbegäran.docx", "A 54034-2024")</f>
        <v/>
      </c>
      <c r="Y300">
        <f>HYPERLINK("https://klasma.github.io/Logging_0882/tillsynsmail/A 54034-2024 tillsynsbegäran mail.docx", "A 54034-2024")</f>
        <v/>
      </c>
      <c r="Z300">
        <f>HYPERLINK("https://klasma.github.io/Logging_0882/fåglar/A 54034-2024 prioriterade fågelarter.docx", "A 54034-2024")</f>
        <v/>
      </c>
    </row>
    <row r="301" ht="15" customHeight="1">
      <c r="A301" t="inlineStr">
        <is>
          <t>A 54062-2024</t>
        </is>
      </c>
      <c r="B301" s="1" t="n">
        <v>45616</v>
      </c>
      <c r="C301" s="1" t="n">
        <v>45715</v>
      </c>
      <c r="D301" t="inlineStr">
        <is>
          <t>KALMAR LÄN</t>
        </is>
      </c>
      <c r="E301" t="inlineStr">
        <is>
          <t>NYBRO</t>
        </is>
      </c>
      <c r="G301" t="n">
        <v>2.9</v>
      </c>
      <c r="H301" t="n">
        <v>1</v>
      </c>
      <c r="I301" t="n">
        <v>3</v>
      </c>
      <c r="J301" t="n">
        <v>0</v>
      </c>
      <c r="K301" t="n">
        <v>0</v>
      </c>
      <c r="L301" t="n">
        <v>0</v>
      </c>
      <c r="M301" t="n">
        <v>0</v>
      </c>
      <c r="N301" t="n">
        <v>0</v>
      </c>
      <c r="O301" t="n">
        <v>0</v>
      </c>
      <c r="P301" t="n">
        <v>0</v>
      </c>
      <c r="Q301" t="n">
        <v>4</v>
      </c>
      <c r="R301" s="2" t="inlineStr">
        <is>
          <t>Fjällig taggsvamp s.str.
Skarp dropptaggsvamp
Zontaggsvamp
Blåsippa</t>
        </is>
      </c>
      <c r="S301">
        <f>HYPERLINK("https://klasma.github.io/Logging_0881/artfynd/A 54062-2024 artfynd.xlsx", "A 54062-2024")</f>
        <v/>
      </c>
      <c r="T301">
        <f>HYPERLINK("https://klasma.github.io/Logging_0881/kartor/A 54062-2024 karta.png", "A 54062-2024")</f>
        <v/>
      </c>
      <c r="V301">
        <f>HYPERLINK("https://klasma.github.io/Logging_0881/klagomål/A 54062-2024 FSC-klagomål.docx", "A 54062-2024")</f>
        <v/>
      </c>
      <c r="W301">
        <f>HYPERLINK("https://klasma.github.io/Logging_0881/klagomålsmail/A 54062-2024 FSC-klagomål mail.docx", "A 54062-2024")</f>
        <v/>
      </c>
      <c r="X301">
        <f>HYPERLINK("https://klasma.github.io/Logging_0881/tillsyn/A 54062-2024 tillsynsbegäran.docx", "A 54062-2024")</f>
        <v/>
      </c>
      <c r="Y301">
        <f>HYPERLINK("https://klasma.github.io/Logging_0881/tillsynsmail/A 54062-2024 tillsynsbegäran mail.docx", "A 54062-2024")</f>
        <v/>
      </c>
    </row>
    <row r="302" ht="15" customHeight="1">
      <c r="A302" t="inlineStr">
        <is>
          <t>A 954-2025</t>
        </is>
      </c>
      <c r="B302" s="1" t="n">
        <v>45666</v>
      </c>
      <c r="C302" s="1" t="n">
        <v>45715</v>
      </c>
      <c r="D302" t="inlineStr">
        <is>
          <t>KALMAR LÄN</t>
        </is>
      </c>
      <c r="E302" t="inlineStr">
        <is>
          <t>VÄSTERVIK</t>
        </is>
      </c>
      <c r="G302" t="n">
        <v>2.8</v>
      </c>
      <c r="H302" t="n">
        <v>3</v>
      </c>
      <c r="I302" t="n">
        <v>1</v>
      </c>
      <c r="J302" t="n">
        <v>1</v>
      </c>
      <c r="K302" t="n">
        <v>1</v>
      </c>
      <c r="L302" t="n">
        <v>0</v>
      </c>
      <c r="M302" t="n">
        <v>0</v>
      </c>
      <c r="N302" t="n">
        <v>0</v>
      </c>
      <c r="O302" t="n">
        <v>2</v>
      </c>
      <c r="P302" t="n">
        <v>1</v>
      </c>
      <c r="Q302" t="n">
        <v>4</v>
      </c>
      <c r="R302" s="2" t="inlineStr">
        <is>
          <t>Knärot
Talltita
Grovticka
Kungsfågel</t>
        </is>
      </c>
      <c r="S302">
        <f>HYPERLINK("https://klasma.github.io/Logging_0883/artfynd/A 954-2025 artfynd.xlsx", "A 954-2025")</f>
        <v/>
      </c>
      <c r="T302">
        <f>HYPERLINK("https://klasma.github.io/Logging_0883/kartor/A 954-2025 karta.png", "A 954-2025")</f>
        <v/>
      </c>
      <c r="U302">
        <f>HYPERLINK("https://klasma.github.io/Logging_0883/knärot/A 954-2025 karta knärot.png", "A 954-2025")</f>
        <v/>
      </c>
      <c r="V302">
        <f>HYPERLINK("https://klasma.github.io/Logging_0883/klagomål/A 954-2025 FSC-klagomål.docx", "A 954-2025")</f>
        <v/>
      </c>
      <c r="W302">
        <f>HYPERLINK("https://klasma.github.io/Logging_0883/klagomålsmail/A 954-2025 FSC-klagomål mail.docx", "A 954-2025")</f>
        <v/>
      </c>
      <c r="X302">
        <f>HYPERLINK("https://klasma.github.io/Logging_0883/tillsyn/A 954-2025 tillsynsbegäran.docx", "A 954-2025")</f>
        <v/>
      </c>
      <c r="Y302">
        <f>HYPERLINK("https://klasma.github.io/Logging_0883/tillsynsmail/A 954-2025 tillsynsbegäran mail.docx", "A 954-2025")</f>
        <v/>
      </c>
      <c r="Z302">
        <f>HYPERLINK("https://klasma.github.io/Logging_0883/fåglar/A 954-2025 prioriterade fågelarter.docx", "A 954-2025")</f>
        <v/>
      </c>
    </row>
    <row r="303" ht="15" customHeight="1">
      <c r="A303" t="inlineStr">
        <is>
          <t>A 1742-2025</t>
        </is>
      </c>
      <c r="B303" s="1" t="n">
        <v>45671</v>
      </c>
      <c r="C303" s="1" t="n">
        <v>45715</v>
      </c>
      <c r="D303" t="inlineStr">
        <is>
          <t>KALMAR LÄN</t>
        </is>
      </c>
      <c r="E303" t="inlineStr">
        <is>
          <t>VÄSTERVIK</t>
        </is>
      </c>
      <c r="G303" t="n">
        <v>2</v>
      </c>
      <c r="H303" t="n">
        <v>1</v>
      </c>
      <c r="I303" t="n">
        <v>3</v>
      </c>
      <c r="J303" t="n">
        <v>1</v>
      </c>
      <c r="K303" t="n">
        <v>0</v>
      </c>
      <c r="L303" t="n">
        <v>0</v>
      </c>
      <c r="M303" t="n">
        <v>0</v>
      </c>
      <c r="N303" t="n">
        <v>0</v>
      </c>
      <c r="O303" t="n">
        <v>1</v>
      </c>
      <c r="P303" t="n">
        <v>0</v>
      </c>
      <c r="Q303" t="n">
        <v>4</v>
      </c>
      <c r="R303" s="2" t="inlineStr">
        <is>
          <t>Spillkråka
Blåmossa
Dropptaggsvamp
Grönpyrola</t>
        </is>
      </c>
      <c r="S303">
        <f>HYPERLINK("https://klasma.github.io/Logging_0883/artfynd/A 1742-2025 artfynd.xlsx", "A 1742-2025")</f>
        <v/>
      </c>
      <c r="T303">
        <f>HYPERLINK("https://klasma.github.io/Logging_0883/kartor/A 1742-2025 karta.png", "A 1742-2025")</f>
        <v/>
      </c>
      <c r="V303">
        <f>HYPERLINK("https://klasma.github.io/Logging_0883/klagomål/A 1742-2025 FSC-klagomål.docx", "A 1742-2025")</f>
        <v/>
      </c>
      <c r="W303">
        <f>HYPERLINK("https://klasma.github.io/Logging_0883/klagomålsmail/A 1742-2025 FSC-klagomål mail.docx", "A 1742-2025")</f>
        <v/>
      </c>
      <c r="X303">
        <f>HYPERLINK("https://klasma.github.io/Logging_0883/tillsyn/A 1742-2025 tillsynsbegäran.docx", "A 1742-2025")</f>
        <v/>
      </c>
      <c r="Y303">
        <f>HYPERLINK("https://klasma.github.io/Logging_0883/tillsynsmail/A 1742-2025 tillsynsbegäran mail.docx", "A 1742-2025")</f>
        <v/>
      </c>
      <c r="Z303">
        <f>HYPERLINK("https://klasma.github.io/Logging_0883/fåglar/A 1742-2025 prioriterade fågelarter.docx", "A 1742-2025")</f>
        <v/>
      </c>
    </row>
    <row r="304" ht="15" customHeight="1">
      <c r="A304" t="inlineStr">
        <is>
          <t>A 3290-2025</t>
        </is>
      </c>
      <c r="B304" s="1" t="n">
        <v>45679</v>
      </c>
      <c r="C304" s="1" t="n">
        <v>45715</v>
      </c>
      <c r="D304" t="inlineStr">
        <is>
          <t>KALMAR LÄN</t>
        </is>
      </c>
      <c r="E304" t="inlineStr">
        <is>
          <t>MÖNSTERÅS</t>
        </is>
      </c>
      <c r="G304" t="n">
        <v>3.5</v>
      </c>
      <c r="H304" t="n">
        <v>2</v>
      </c>
      <c r="I304" t="n">
        <v>1</v>
      </c>
      <c r="J304" t="n">
        <v>1</v>
      </c>
      <c r="K304" t="n">
        <v>1</v>
      </c>
      <c r="L304" t="n">
        <v>0</v>
      </c>
      <c r="M304" t="n">
        <v>0</v>
      </c>
      <c r="N304" t="n">
        <v>0</v>
      </c>
      <c r="O304" t="n">
        <v>2</v>
      </c>
      <c r="P304" t="n">
        <v>1</v>
      </c>
      <c r="Q304" t="n">
        <v>4</v>
      </c>
      <c r="R304" s="2" t="inlineStr">
        <is>
          <t>Knärot
Tallticka
Blåmossa
Mattlummer</t>
        </is>
      </c>
      <c r="S304">
        <f>HYPERLINK("https://klasma.github.io/Logging_0861/artfynd/A 3290-2025 artfynd.xlsx", "A 3290-2025")</f>
        <v/>
      </c>
      <c r="T304">
        <f>HYPERLINK("https://klasma.github.io/Logging_0861/kartor/A 3290-2025 karta.png", "A 3290-2025")</f>
        <v/>
      </c>
      <c r="U304">
        <f>HYPERLINK("https://klasma.github.io/Logging_0861/knärot/A 3290-2025 karta knärot.png", "A 3290-2025")</f>
        <v/>
      </c>
      <c r="V304">
        <f>HYPERLINK("https://klasma.github.io/Logging_0861/klagomål/A 3290-2025 FSC-klagomål.docx", "A 3290-2025")</f>
        <v/>
      </c>
      <c r="W304">
        <f>HYPERLINK("https://klasma.github.io/Logging_0861/klagomålsmail/A 3290-2025 FSC-klagomål mail.docx", "A 3290-2025")</f>
        <v/>
      </c>
      <c r="X304">
        <f>HYPERLINK("https://klasma.github.io/Logging_0861/tillsyn/A 3290-2025 tillsynsbegäran.docx", "A 3290-2025")</f>
        <v/>
      </c>
      <c r="Y304">
        <f>HYPERLINK("https://klasma.github.io/Logging_0861/tillsynsmail/A 3290-2025 tillsynsbegäran mail.docx", "A 3290-2025")</f>
        <v/>
      </c>
    </row>
    <row r="305" ht="15" customHeight="1">
      <c r="A305" t="inlineStr">
        <is>
          <t>A 26717-2019</t>
        </is>
      </c>
      <c r="B305" s="1" t="n">
        <v>43613</v>
      </c>
      <c r="C305" s="1" t="n">
        <v>45715</v>
      </c>
      <c r="D305" t="inlineStr">
        <is>
          <t>KALMAR LÄN</t>
        </is>
      </c>
      <c r="E305" t="inlineStr">
        <is>
          <t>KALMAR</t>
        </is>
      </c>
      <c r="G305" t="n">
        <v>6.9</v>
      </c>
      <c r="H305" t="n">
        <v>1</v>
      </c>
      <c r="I305" t="n">
        <v>1</v>
      </c>
      <c r="J305" t="n">
        <v>1</v>
      </c>
      <c r="K305" t="n">
        <v>1</v>
      </c>
      <c r="L305" t="n">
        <v>0</v>
      </c>
      <c r="M305" t="n">
        <v>0</v>
      </c>
      <c r="N305" t="n">
        <v>0</v>
      </c>
      <c r="O305" t="n">
        <v>2</v>
      </c>
      <c r="P305" t="n">
        <v>1</v>
      </c>
      <c r="Q305" t="n">
        <v>3</v>
      </c>
      <c r="R305" s="2" t="inlineStr">
        <is>
          <t>Knärot
Motaggsvamp
Blomkålssvamp</t>
        </is>
      </c>
      <c r="S305">
        <f>HYPERLINK("https://klasma.github.io/Logging_0880/artfynd/A 26717-2019 artfynd.xlsx", "A 26717-2019")</f>
        <v/>
      </c>
      <c r="T305">
        <f>HYPERLINK("https://klasma.github.io/Logging_0880/kartor/A 26717-2019 karta.png", "A 26717-2019")</f>
        <v/>
      </c>
      <c r="U305">
        <f>HYPERLINK("https://klasma.github.io/Logging_0880/knärot/A 26717-2019 karta knärot.png", "A 26717-2019")</f>
        <v/>
      </c>
      <c r="V305">
        <f>HYPERLINK("https://klasma.github.io/Logging_0880/klagomål/A 26717-2019 FSC-klagomål.docx", "A 26717-2019")</f>
        <v/>
      </c>
      <c r="W305">
        <f>HYPERLINK("https://klasma.github.io/Logging_0880/klagomålsmail/A 26717-2019 FSC-klagomål mail.docx", "A 26717-2019")</f>
        <v/>
      </c>
      <c r="X305">
        <f>HYPERLINK("https://klasma.github.io/Logging_0880/tillsyn/A 26717-2019 tillsynsbegäran.docx", "A 26717-2019")</f>
        <v/>
      </c>
      <c r="Y305">
        <f>HYPERLINK("https://klasma.github.io/Logging_0880/tillsynsmail/A 26717-2019 tillsynsbegäran mail.docx", "A 26717-2019")</f>
        <v/>
      </c>
    </row>
    <row r="306" ht="15" customHeight="1">
      <c r="A306" t="inlineStr">
        <is>
          <t>A 31267-2019</t>
        </is>
      </c>
      <c r="B306" s="1" t="n">
        <v>43640</v>
      </c>
      <c r="C306" s="1" t="n">
        <v>45715</v>
      </c>
      <c r="D306" t="inlineStr">
        <is>
          <t>KALMAR LÄN</t>
        </is>
      </c>
      <c r="E306" t="inlineStr">
        <is>
          <t>KALMAR</t>
        </is>
      </c>
      <c r="G306" t="n">
        <v>2.1</v>
      </c>
      <c r="H306" t="n">
        <v>1</v>
      </c>
      <c r="I306" t="n">
        <v>2</v>
      </c>
      <c r="J306" t="n">
        <v>0</v>
      </c>
      <c r="K306" t="n">
        <v>1</v>
      </c>
      <c r="L306" t="n">
        <v>0</v>
      </c>
      <c r="M306" t="n">
        <v>0</v>
      </c>
      <c r="N306" t="n">
        <v>0</v>
      </c>
      <c r="O306" t="n">
        <v>1</v>
      </c>
      <c r="P306" t="n">
        <v>1</v>
      </c>
      <c r="Q306" t="n">
        <v>3</v>
      </c>
      <c r="R306" s="2" t="inlineStr">
        <is>
          <t>Knärot
Blåmossa
Vedticka</t>
        </is>
      </c>
      <c r="S306">
        <f>HYPERLINK("https://klasma.github.io/Logging_0880/artfynd/A 31267-2019 artfynd.xlsx", "A 31267-2019")</f>
        <v/>
      </c>
      <c r="T306">
        <f>HYPERLINK("https://klasma.github.io/Logging_0880/kartor/A 31267-2019 karta.png", "A 31267-2019")</f>
        <v/>
      </c>
      <c r="U306">
        <f>HYPERLINK("https://klasma.github.io/Logging_0880/knärot/A 31267-2019 karta knärot.png", "A 31267-2019")</f>
        <v/>
      </c>
      <c r="V306">
        <f>HYPERLINK("https://klasma.github.io/Logging_0880/klagomål/A 31267-2019 FSC-klagomål.docx", "A 31267-2019")</f>
        <v/>
      </c>
      <c r="W306">
        <f>HYPERLINK("https://klasma.github.io/Logging_0880/klagomålsmail/A 31267-2019 FSC-klagomål mail.docx", "A 31267-2019")</f>
        <v/>
      </c>
      <c r="X306">
        <f>HYPERLINK("https://klasma.github.io/Logging_0880/tillsyn/A 31267-2019 tillsynsbegäran.docx", "A 31267-2019")</f>
        <v/>
      </c>
      <c r="Y306">
        <f>HYPERLINK("https://klasma.github.io/Logging_0880/tillsynsmail/A 31267-2019 tillsynsbegäran mail.docx", "A 31267-2019")</f>
        <v/>
      </c>
    </row>
    <row r="307" ht="15" customHeight="1">
      <c r="A307" t="inlineStr">
        <is>
          <t>A 36349-2019</t>
        </is>
      </c>
      <c r="B307" s="1" t="n">
        <v>43670</v>
      </c>
      <c r="C307" s="1" t="n">
        <v>45715</v>
      </c>
      <c r="D307" t="inlineStr">
        <is>
          <t>KALMAR LÄN</t>
        </is>
      </c>
      <c r="E307" t="inlineStr">
        <is>
          <t>VIMMERBY</t>
        </is>
      </c>
      <c r="G307" t="n">
        <v>2.6</v>
      </c>
      <c r="H307" t="n">
        <v>1</v>
      </c>
      <c r="I307" t="n">
        <v>2</v>
      </c>
      <c r="J307" t="n">
        <v>0</v>
      </c>
      <c r="K307" t="n">
        <v>0</v>
      </c>
      <c r="L307" t="n">
        <v>0</v>
      </c>
      <c r="M307" t="n">
        <v>0</v>
      </c>
      <c r="N307" t="n">
        <v>0</v>
      </c>
      <c r="O307" t="n">
        <v>0</v>
      </c>
      <c r="P307" t="n">
        <v>0</v>
      </c>
      <c r="Q307" t="n">
        <v>3</v>
      </c>
      <c r="R307" s="2" t="inlineStr">
        <is>
          <t>Fällmossa
Guldlockmossa
Blåsippa</t>
        </is>
      </c>
      <c r="S307">
        <f>HYPERLINK("https://klasma.github.io/Logging_0884/artfynd/A 36349-2019 artfynd.xlsx", "A 36349-2019")</f>
        <v/>
      </c>
      <c r="T307">
        <f>HYPERLINK("https://klasma.github.io/Logging_0884/kartor/A 36349-2019 karta.png", "A 36349-2019")</f>
        <v/>
      </c>
      <c r="V307">
        <f>HYPERLINK("https://klasma.github.io/Logging_0884/klagomål/A 36349-2019 FSC-klagomål.docx", "A 36349-2019")</f>
        <v/>
      </c>
      <c r="W307">
        <f>HYPERLINK("https://klasma.github.io/Logging_0884/klagomålsmail/A 36349-2019 FSC-klagomål mail.docx", "A 36349-2019")</f>
        <v/>
      </c>
      <c r="X307">
        <f>HYPERLINK("https://klasma.github.io/Logging_0884/tillsyn/A 36349-2019 tillsynsbegäran.docx", "A 36349-2019")</f>
        <v/>
      </c>
      <c r="Y307">
        <f>HYPERLINK("https://klasma.github.io/Logging_0884/tillsynsmail/A 36349-2019 tillsynsbegäran mail.docx", "A 36349-2019")</f>
        <v/>
      </c>
    </row>
    <row r="308" ht="15" customHeight="1">
      <c r="A308" t="inlineStr">
        <is>
          <t>A 48149-2019</t>
        </is>
      </c>
      <c r="B308" s="1" t="n">
        <v>43726</v>
      </c>
      <c r="C308" s="1" t="n">
        <v>45715</v>
      </c>
      <c r="D308" t="inlineStr">
        <is>
          <t>KALMAR LÄN</t>
        </is>
      </c>
      <c r="E308" t="inlineStr">
        <is>
          <t>BORGHOLM</t>
        </is>
      </c>
      <c r="G308" t="n">
        <v>1.2</v>
      </c>
      <c r="H308" t="n">
        <v>0</v>
      </c>
      <c r="I308" t="n">
        <v>1</v>
      </c>
      <c r="J308" t="n">
        <v>1</v>
      </c>
      <c r="K308" t="n">
        <v>0</v>
      </c>
      <c r="L308" t="n">
        <v>1</v>
      </c>
      <c r="M308" t="n">
        <v>0</v>
      </c>
      <c r="N308" t="n">
        <v>0</v>
      </c>
      <c r="O308" t="n">
        <v>2</v>
      </c>
      <c r="P308" t="n">
        <v>1</v>
      </c>
      <c r="Q308" t="n">
        <v>3</v>
      </c>
      <c r="R308" s="2" t="inlineStr">
        <is>
          <t>Ask
Backklöver
Murgröna</t>
        </is>
      </c>
      <c r="S308">
        <f>HYPERLINK("https://klasma.github.io/Logging_0885/artfynd/A 48149-2019 artfynd.xlsx", "A 48149-2019")</f>
        <v/>
      </c>
      <c r="T308">
        <f>HYPERLINK("https://klasma.github.io/Logging_0885/kartor/A 48149-2019 karta.png", "A 48149-2019")</f>
        <v/>
      </c>
      <c r="V308">
        <f>HYPERLINK("https://klasma.github.io/Logging_0885/klagomål/A 48149-2019 FSC-klagomål.docx", "A 48149-2019")</f>
        <v/>
      </c>
      <c r="W308">
        <f>HYPERLINK("https://klasma.github.io/Logging_0885/klagomålsmail/A 48149-2019 FSC-klagomål mail.docx", "A 48149-2019")</f>
        <v/>
      </c>
      <c r="X308">
        <f>HYPERLINK("https://klasma.github.io/Logging_0885/tillsyn/A 48149-2019 tillsynsbegäran.docx", "A 48149-2019")</f>
        <v/>
      </c>
      <c r="Y308">
        <f>HYPERLINK("https://klasma.github.io/Logging_0885/tillsynsmail/A 48149-2019 tillsynsbegäran mail.docx", "A 48149-2019")</f>
        <v/>
      </c>
    </row>
    <row r="309" ht="15" customHeight="1">
      <c r="A309" t="inlineStr">
        <is>
          <t>A 61247-2019</t>
        </is>
      </c>
      <c r="B309" s="1" t="n">
        <v>43783</v>
      </c>
      <c r="C309" s="1" t="n">
        <v>45715</v>
      </c>
      <c r="D309" t="inlineStr">
        <is>
          <t>KALMAR LÄN</t>
        </is>
      </c>
      <c r="E309" t="inlineStr">
        <is>
          <t>TORSÅS</t>
        </is>
      </c>
      <c r="G309" t="n">
        <v>4.8</v>
      </c>
      <c r="H309" t="n">
        <v>0</v>
      </c>
      <c r="I309" t="n">
        <v>2</v>
      </c>
      <c r="J309" t="n">
        <v>1</v>
      </c>
      <c r="K309" t="n">
        <v>0</v>
      </c>
      <c r="L309" t="n">
        <v>0</v>
      </c>
      <c r="M309" t="n">
        <v>0</v>
      </c>
      <c r="N309" t="n">
        <v>0</v>
      </c>
      <c r="O309" t="n">
        <v>1</v>
      </c>
      <c r="P309" t="n">
        <v>0</v>
      </c>
      <c r="Q309" t="n">
        <v>3</v>
      </c>
      <c r="R309" s="2" t="inlineStr">
        <is>
          <t>Barrviolspindling
Gul vaxskivling
Murgröna</t>
        </is>
      </c>
      <c r="S309">
        <f>HYPERLINK("https://klasma.github.io/Logging_0834/artfynd/A 61247-2019 artfynd.xlsx", "A 61247-2019")</f>
        <v/>
      </c>
      <c r="T309">
        <f>HYPERLINK("https://klasma.github.io/Logging_0834/kartor/A 61247-2019 karta.png", "A 61247-2019")</f>
        <v/>
      </c>
      <c r="V309">
        <f>HYPERLINK("https://klasma.github.io/Logging_0834/klagomål/A 61247-2019 FSC-klagomål.docx", "A 61247-2019")</f>
        <v/>
      </c>
      <c r="W309">
        <f>HYPERLINK("https://klasma.github.io/Logging_0834/klagomålsmail/A 61247-2019 FSC-klagomål mail.docx", "A 61247-2019")</f>
        <v/>
      </c>
      <c r="X309">
        <f>HYPERLINK("https://klasma.github.io/Logging_0834/tillsyn/A 61247-2019 tillsynsbegäran.docx", "A 61247-2019")</f>
        <v/>
      </c>
      <c r="Y309">
        <f>HYPERLINK("https://klasma.github.io/Logging_0834/tillsynsmail/A 61247-2019 tillsynsbegäran mail.docx", "A 61247-2019")</f>
        <v/>
      </c>
    </row>
    <row r="310" ht="15" customHeight="1">
      <c r="A310" t="inlineStr">
        <is>
          <t>A 61610-2019</t>
        </is>
      </c>
      <c r="B310" s="1" t="n">
        <v>43784</v>
      </c>
      <c r="C310" s="1" t="n">
        <v>45715</v>
      </c>
      <c r="D310" t="inlineStr">
        <is>
          <t>KALMAR LÄN</t>
        </is>
      </c>
      <c r="E310" t="inlineStr">
        <is>
          <t>HÖGSBY</t>
        </is>
      </c>
      <c r="G310" t="n">
        <v>17</v>
      </c>
      <c r="H310" t="n">
        <v>1</v>
      </c>
      <c r="I310" t="n">
        <v>2</v>
      </c>
      <c r="J310" t="n">
        <v>1</v>
      </c>
      <c r="K310" t="n">
        <v>0</v>
      </c>
      <c r="L310" t="n">
        <v>0</v>
      </c>
      <c r="M310" t="n">
        <v>0</v>
      </c>
      <c r="N310" t="n">
        <v>0</v>
      </c>
      <c r="O310" t="n">
        <v>1</v>
      </c>
      <c r="P310" t="n">
        <v>0</v>
      </c>
      <c r="Q310" t="n">
        <v>3</v>
      </c>
      <c r="R310" s="2" t="inlineStr">
        <is>
          <t>Åkerkål
Purpurknipprot
Sårläka</t>
        </is>
      </c>
      <c r="S310">
        <f>HYPERLINK("https://klasma.github.io/Logging_0821/artfynd/A 61610-2019 artfynd.xlsx", "A 61610-2019")</f>
        <v/>
      </c>
      <c r="T310">
        <f>HYPERLINK("https://klasma.github.io/Logging_0821/kartor/A 61610-2019 karta.png", "A 61610-2019")</f>
        <v/>
      </c>
      <c r="V310">
        <f>HYPERLINK("https://klasma.github.io/Logging_0821/klagomål/A 61610-2019 FSC-klagomål.docx", "A 61610-2019")</f>
        <v/>
      </c>
      <c r="W310">
        <f>HYPERLINK("https://klasma.github.io/Logging_0821/klagomålsmail/A 61610-2019 FSC-klagomål mail.docx", "A 61610-2019")</f>
        <v/>
      </c>
      <c r="X310">
        <f>HYPERLINK("https://klasma.github.io/Logging_0821/tillsyn/A 61610-2019 tillsynsbegäran.docx", "A 61610-2019")</f>
        <v/>
      </c>
      <c r="Y310">
        <f>HYPERLINK("https://klasma.github.io/Logging_0821/tillsynsmail/A 61610-2019 tillsynsbegäran mail.docx", "A 61610-2019")</f>
        <v/>
      </c>
    </row>
    <row r="311" ht="15" customHeight="1">
      <c r="A311" t="inlineStr">
        <is>
          <t>A 6509-2020</t>
        </is>
      </c>
      <c r="B311" s="1" t="n">
        <v>43867</v>
      </c>
      <c r="C311" s="1" t="n">
        <v>45715</v>
      </c>
      <c r="D311" t="inlineStr">
        <is>
          <t>KALMAR LÄN</t>
        </is>
      </c>
      <c r="E311" t="inlineStr">
        <is>
          <t>MÖNSTERÅS</t>
        </is>
      </c>
      <c r="G311" t="n">
        <v>5.3</v>
      </c>
      <c r="H311" t="n">
        <v>2</v>
      </c>
      <c r="I311" t="n">
        <v>1</v>
      </c>
      <c r="J311" t="n">
        <v>0</v>
      </c>
      <c r="K311" t="n">
        <v>1</v>
      </c>
      <c r="L311" t="n">
        <v>0</v>
      </c>
      <c r="M311" t="n">
        <v>0</v>
      </c>
      <c r="N311" t="n">
        <v>0</v>
      </c>
      <c r="O311" t="n">
        <v>1</v>
      </c>
      <c r="P311" t="n">
        <v>1</v>
      </c>
      <c r="Q311" t="n">
        <v>3</v>
      </c>
      <c r="R311" s="2" t="inlineStr">
        <is>
          <t>Knärot
Blåmossa
Mattlummer</t>
        </is>
      </c>
      <c r="S311">
        <f>HYPERLINK("https://klasma.github.io/Logging_0861/artfynd/A 6509-2020 artfynd.xlsx", "A 6509-2020")</f>
        <v/>
      </c>
      <c r="T311">
        <f>HYPERLINK("https://klasma.github.io/Logging_0861/kartor/A 6509-2020 karta.png", "A 6509-2020")</f>
        <v/>
      </c>
      <c r="U311">
        <f>HYPERLINK("https://klasma.github.io/Logging_0861/knärot/A 6509-2020 karta knärot.png", "A 6509-2020")</f>
        <v/>
      </c>
      <c r="V311">
        <f>HYPERLINK("https://klasma.github.io/Logging_0861/klagomål/A 6509-2020 FSC-klagomål.docx", "A 6509-2020")</f>
        <v/>
      </c>
      <c r="W311">
        <f>HYPERLINK("https://klasma.github.io/Logging_0861/klagomålsmail/A 6509-2020 FSC-klagomål mail.docx", "A 6509-2020")</f>
        <v/>
      </c>
      <c r="X311">
        <f>HYPERLINK("https://klasma.github.io/Logging_0861/tillsyn/A 6509-2020 tillsynsbegäran.docx", "A 6509-2020")</f>
        <v/>
      </c>
      <c r="Y311">
        <f>HYPERLINK("https://klasma.github.io/Logging_0861/tillsynsmail/A 6509-2020 tillsynsbegäran mail.docx", "A 6509-2020")</f>
        <v/>
      </c>
    </row>
    <row r="312" ht="15" customHeight="1">
      <c r="A312" t="inlineStr">
        <is>
          <t>A 9270-2020</t>
        </is>
      </c>
      <c r="B312" s="1" t="n">
        <v>43880</v>
      </c>
      <c r="C312" s="1" t="n">
        <v>45715</v>
      </c>
      <c r="D312" t="inlineStr">
        <is>
          <t>KALMAR LÄN</t>
        </is>
      </c>
      <c r="E312" t="inlineStr">
        <is>
          <t>MÖRBYLÅNGA</t>
        </is>
      </c>
      <c r="G312" t="n">
        <v>2.8</v>
      </c>
      <c r="H312" t="n">
        <v>1</v>
      </c>
      <c r="I312" t="n">
        <v>3</v>
      </c>
      <c r="J312" t="n">
        <v>0</v>
      </c>
      <c r="K312" t="n">
        <v>0</v>
      </c>
      <c r="L312" t="n">
        <v>0</v>
      </c>
      <c r="M312" t="n">
        <v>0</v>
      </c>
      <c r="N312" t="n">
        <v>0</v>
      </c>
      <c r="O312" t="n">
        <v>0</v>
      </c>
      <c r="P312" t="n">
        <v>0</v>
      </c>
      <c r="Q312" t="n">
        <v>3</v>
      </c>
      <c r="R312" s="2" t="inlineStr">
        <is>
          <t>Murgröna
Skogsknipprot
Strävlosta</t>
        </is>
      </c>
      <c r="S312">
        <f>HYPERLINK("https://klasma.github.io/Logging_0840/artfynd/A 9270-2020 artfynd.xlsx", "A 9270-2020")</f>
        <v/>
      </c>
      <c r="T312">
        <f>HYPERLINK("https://klasma.github.io/Logging_0840/kartor/A 9270-2020 karta.png", "A 9270-2020")</f>
        <v/>
      </c>
      <c r="V312">
        <f>HYPERLINK("https://klasma.github.io/Logging_0840/klagomål/A 9270-2020 FSC-klagomål.docx", "A 9270-2020")</f>
        <v/>
      </c>
      <c r="W312">
        <f>HYPERLINK("https://klasma.github.io/Logging_0840/klagomålsmail/A 9270-2020 FSC-klagomål mail.docx", "A 9270-2020")</f>
        <v/>
      </c>
      <c r="X312">
        <f>HYPERLINK("https://klasma.github.io/Logging_0840/tillsyn/A 9270-2020 tillsynsbegäran.docx", "A 9270-2020")</f>
        <v/>
      </c>
      <c r="Y312">
        <f>HYPERLINK("https://klasma.github.io/Logging_0840/tillsynsmail/A 9270-2020 tillsynsbegäran mail.docx", "A 9270-2020")</f>
        <v/>
      </c>
    </row>
    <row r="313" ht="15" customHeight="1">
      <c r="A313" t="inlineStr">
        <is>
          <t>A 10069-2020</t>
        </is>
      </c>
      <c r="B313" s="1" t="n">
        <v>43883</v>
      </c>
      <c r="C313" s="1" t="n">
        <v>45715</v>
      </c>
      <c r="D313" t="inlineStr">
        <is>
          <t>KALMAR LÄN</t>
        </is>
      </c>
      <c r="E313" t="inlineStr">
        <is>
          <t>OSKARSHAMN</t>
        </is>
      </c>
      <c r="G313" t="n">
        <v>2.8</v>
      </c>
      <c r="H313" t="n">
        <v>1</v>
      </c>
      <c r="I313" t="n">
        <v>0</v>
      </c>
      <c r="J313" t="n">
        <v>2</v>
      </c>
      <c r="K313" t="n">
        <v>1</v>
      </c>
      <c r="L313" t="n">
        <v>0</v>
      </c>
      <c r="M313" t="n">
        <v>0</v>
      </c>
      <c r="N313" t="n">
        <v>0</v>
      </c>
      <c r="O313" t="n">
        <v>3</v>
      </c>
      <c r="P313" t="n">
        <v>1</v>
      </c>
      <c r="Q313" t="n">
        <v>3</v>
      </c>
      <c r="R313" s="2" t="inlineStr">
        <is>
          <t>Knärot
Backtimjan
Tallticka</t>
        </is>
      </c>
      <c r="S313">
        <f>HYPERLINK("https://klasma.github.io/Logging_0882/artfynd/A 10069-2020 artfynd.xlsx", "A 10069-2020")</f>
        <v/>
      </c>
      <c r="T313">
        <f>HYPERLINK("https://klasma.github.io/Logging_0882/kartor/A 10069-2020 karta.png", "A 10069-2020")</f>
        <v/>
      </c>
      <c r="U313">
        <f>HYPERLINK("https://klasma.github.io/Logging_0882/knärot/A 10069-2020 karta knärot.png", "A 10069-2020")</f>
        <v/>
      </c>
      <c r="V313">
        <f>HYPERLINK("https://klasma.github.io/Logging_0882/klagomål/A 10069-2020 FSC-klagomål.docx", "A 10069-2020")</f>
        <v/>
      </c>
      <c r="W313">
        <f>HYPERLINK("https://klasma.github.io/Logging_0882/klagomålsmail/A 10069-2020 FSC-klagomål mail.docx", "A 10069-2020")</f>
        <v/>
      </c>
      <c r="X313">
        <f>HYPERLINK("https://klasma.github.io/Logging_0882/tillsyn/A 10069-2020 tillsynsbegäran.docx", "A 10069-2020")</f>
        <v/>
      </c>
      <c r="Y313">
        <f>HYPERLINK("https://klasma.github.io/Logging_0882/tillsynsmail/A 10069-2020 tillsynsbegäran mail.docx", "A 10069-2020")</f>
        <v/>
      </c>
    </row>
    <row r="314" ht="15" customHeight="1">
      <c r="A314" t="inlineStr">
        <is>
          <t>A 25348-2020</t>
        </is>
      </c>
      <c r="B314" s="1" t="n">
        <v>43980</v>
      </c>
      <c r="C314" s="1" t="n">
        <v>45715</v>
      </c>
      <c r="D314" t="inlineStr">
        <is>
          <t>KALMAR LÄN</t>
        </is>
      </c>
      <c r="E314" t="inlineStr">
        <is>
          <t>MÖNSTERÅS</t>
        </is>
      </c>
      <c r="G314" t="n">
        <v>1.3</v>
      </c>
      <c r="H314" t="n">
        <v>1</v>
      </c>
      <c r="I314" t="n">
        <v>2</v>
      </c>
      <c r="J314" t="n">
        <v>0</v>
      </c>
      <c r="K314" t="n">
        <v>1</v>
      </c>
      <c r="L314" t="n">
        <v>0</v>
      </c>
      <c r="M314" t="n">
        <v>0</v>
      </c>
      <c r="N314" t="n">
        <v>0</v>
      </c>
      <c r="O314" t="n">
        <v>1</v>
      </c>
      <c r="P314" t="n">
        <v>1</v>
      </c>
      <c r="Q314" t="n">
        <v>3</v>
      </c>
      <c r="R314" s="2" t="inlineStr">
        <is>
          <t>Knärot
Blåmossa
Grönpyrola</t>
        </is>
      </c>
      <c r="S314">
        <f>HYPERLINK("https://klasma.github.io/Logging_0861/artfynd/A 25348-2020 artfynd.xlsx", "A 25348-2020")</f>
        <v/>
      </c>
      <c r="T314">
        <f>HYPERLINK("https://klasma.github.io/Logging_0861/kartor/A 25348-2020 karta.png", "A 25348-2020")</f>
        <v/>
      </c>
      <c r="U314">
        <f>HYPERLINK("https://klasma.github.io/Logging_0861/knärot/A 25348-2020 karta knärot.png", "A 25348-2020")</f>
        <v/>
      </c>
      <c r="V314">
        <f>HYPERLINK("https://klasma.github.io/Logging_0861/klagomål/A 25348-2020 FSC-klagomål.docx", "A 25348-2020")</f>
        <v/>
      </c>
      <c r="W314">
        <f>HYPERLINK("https://klasma.github.io/Logging_0861/klagomålsmail/A 25348-2020 FSC-klagomål mail.docx", "A 25348-2020")</f>
        <v/>
      </c>
      <c r="X314">
        <f>HYPERLINK("https://klasma.github.io/Logging_0861/tillsyn/A 25348-2020 tillsynsbegäran.docx", "A 25348-2020")</f>
        <v/>
      </c>
      <c r="Y314">
        <f>HYPERLINK("https://klasma.github.io/Logging_0861/tillsynsmail/A 25348-2020 tillsynsbegäran mail.docx", "A 25348-2020")</f>
        <v/>
      </c>
    </row>
    <row r="315" ht="15" customHeight="1">
      <c r="A315" t="inlineStr">
        <is>
          <t>A 48581-2020</t>
        </is>
      </c>
      <c r="B315" s="1" t="n">
        <v>44103</v>
      </c>
      <c r="C315" s="1" t="n">
        <v>45715</v>
      </c>
      <c r="D315" t="inlineStr">
        <is>
          <t>KALMAR LÄN</t>
        </is>
      </c>
      <c r="E315" t="inlineStr">
        <is>
          <t>KALMAR</t>
        </is>
      </c>
      <c r="G315" t="n">
        <v>2.1</v>
      </c>
      <c r="H315" t="n">
        <v>0</v>
      </c>
      <c r="I315" t="n">
        <v>2</v>
      </c>
      <c r="J315" t="n">
        <v>1</v>
      </c>
      <c r="K315" t="n">
        <v>0</v>
      </c>
      <c r="L315" t="n">
        <v>0</v>
      </c>
      <c r="M315" t="n">
        <v>0</v>
      </c>
      <c r="N315" t="n">
        <v>0</v>
      </c>
      <c r="O315" t="n">
        <v>1</v>
      </c>
      <c r="P315" t="n">
        <v>0</v>
      </c>
      <c r="Q315" t="n">
        <v>3</v>
      </c>
      <c r="R315" s="2" t="inlineStr">
        <is>
          <t>Leptoporus erubescens
Blomkålssvamp
Tallfingersvamp</t>
        </is>
      </c>
      <c r="S315">
        <f>HYPERLINK("https://klasma.github.io/Logging_0880/artfynd/A 48581-2020 artfynd.xlsx", "A 48581-2020")</f>
        <v/>
      </c>
      <c r="T315">
        <f>HYPERLINK("https://klasma.github.io/Logging_0880/kartor/A 48581-2020 karta.png", "A 48581-2020")</f>
        <v/>
      </c>
      <c r="V315">
        <f>HYPERLINK("https://klasma.github.io/Logging_0880/klagomål/A 48581-2020 FSC-klagomål.docx", "A 48581-2020")</f>
        <v/>
      </c>
      <c r="W315">
        <f>HYPERLINK("https://klasma.github.io/Logging_0880/klagomålsmail/A 48581-2020 FSC-klagomål mail.docx", "A 48581-2020")</f>
        <v/>
      </c>
      <c r="X315">
        <f>HYPERLINK("https://klasma.github.io/Logging_0880/tillsyn/A 48581-2020 tillsynsbegäran.docx", "A 48581-2020")</f>
        <v/>
      </c>
      <c r="Y315">
        <f>HYPERLINK("https://klasma.github.io/Logging_0880/tillsynsmail/A 48581-2020 tillsynsbegäran mail.docx", "A 48581-2020")</f>
        <v/>
      </c>
    </row>
    <row r="316" ht="15" customHeight="1">
      <c r="A316" t="inlineStr">
        <is>
          <t>A 51595-2020</t>
        </is>
      </c>
      <c r="B316" s="1" t="n">
        <v>44109</v>
      </c>
      <c r="C316" s="1" t="n">
        <v>45715</v>
      </c>
      <c r="D316" t="inlineStr">
        <is>
          <t>KALMAR LÄN</t>
        </is>
      </c>
      <c r="E316" t="inlineStr">
        <is>
          <t>HÖGSBY</t>
        </is>
      </c>
      <c r="G316" t="n">
        <v>8.1</v>
      </c>
      <c r="H316" t="n">
        <v>1</v>
      </c>
      <c r="I316" t="n">
        <v>1</v>
      </c>
      <c r="J316" t="n">
        <v>0</v>
      </c>
      <c r="K316" t="n">
        <v>1</v>
      </c>
      <c r="L316" t="n">
        <v>0</v>
      </c>
      <c r="M316" t="n">
        <v>0</v>
      </c>
      <c r="N316" t="n">
        <v>0</v>
      </c>
      <c r="O316" t="n">
        <v>1</v>
      </c>
      <c r="P316" t="n">
        <v>1</v>
      </c>
      <c r="Q316" t="n">
        <v>3</v>
      </c>
      <c r="R316" s="2" t="inlineStr">
        <is>
          <t>Vågticka
Blodticka
Blåsippa</t>
        </is>
      </c>
      <c r="S316">
        <f>HYPERLINK("https://klasma.github.io/Logging_0821/artfynd/A 51595-2020 artfynd.xlsx", "A 51595-2020")</f>
        <v/>
      </c>
      <c r="T316">
        <f>HYPERLINK("https://klasma.github.io/Logging_0821/kartor/A 51595-2020 karta.png", "A 51595-2020")</f>
        <v/>
      </c>
      <c r="V316">
        <f>HYPERLINK("https://klasma.github.io/Logging_0821/klagomål/A 51595-2020 FSC-klagomål.docx", "A 51595-2020")</f>
        <v/>
      </c>
      <c r="W316">
        <f>HYPERLINK("https://klasma.github.io/Logging_0821/klagomålsmail/A 51595-2020 FSC-klagomål mail.docx", "A 51595-2020")</f>
        <v/>
      </c>
      <c r="X316">
        <f>HYPERLINK("https://klasma.github.io/Logging_0821/tillsyn/A 51595-2020 tillsynsbegäran.docx", "A 51595-2020")</f>
        <v/>
      </c>
      <c r="Y316">
        <f>HYPERLINK("https://klasma.github.io/Logging_0821/tillsynsmail/A 51595-2020 tillsynsbegäran mail.docx", "A 51595-2020")</f>
        <v/>
      </c>
    </row>
    <row r="317" ht="15" customHeight="1">
      <c r="A317" t="inlineStr">
        <is>
          <t>A 51270-2020</t>
        </is>
      </c>
      <c r="B317" s="1" t="n">
        <v>44112</v>
      </c>
      <c r="C317" s="1" t="n">
        <v>45715</v>
      </c>
      <c r="D317" t="inlineStr">
        <is>
          <t>KALMAR LÄN</t>
        </is>
      </c>
      <c r="E317" t="inlineStr">
        <is>
          <t>NYBRO</t>
        </is>
      </c>
      <c r="G317" t="n">
        <v>7.2</v>
      </c>
      <c r="H317" t="n">
        <v>1</v>
      </c>
      <c r="I317" t="n">
        <v>1</v>
      </c>
      <c r="J317" t="n">
        <v>1</v>
      </c>
      <c r="K317" t="n">
        <v>1</v>
      </c>
      <c r="L317" t="n">
        <v>0</v>
      </c>
      <c r="M317" t="n">
        <v>0</v>
      </c>
      <c r="N317" t="n">
        <v>0</v>
      </c>
      <c r="O317" t="n">
        <v>2</v>
      </c>
      <c r="P317" t="n">
        <v>1</v>
      </c>
      <c r="Q317" t="n">
        <v>3</v>
      </c>
      <c r="R317" s="2" t="inlineStr">
        <is>
          <t>Knärot
Ullticka
Blåmossa</t>
        </is>
      </c>
      <c r="S317">
        <f>HYPERLINK("https://klasma.github.io/Logging_0881/artfynd/A 51270-2020 artfynd.xlsx", "A 51270-2020")</f>
        <v/>
      </c>
      <c r="T317">
        <f>HYPERLINK("https://klasma.github.io/Logging_0881/kartor/A 51270-2020 karta.png", "A 51270-2020")</f>
        <v/>
      </c>
      <c r="U317">
        <f>HYPERLINK("https://klasma.github.io/Logging_0881/knärot/A 51270-2020 karta knärot.png", "A 51270-2020")</f>
        <v/>
      </c>
      <c r="V317">
        <f>HYPERLINK("https://klasma.github.io/Logging_0881/klagomål/A 51270-2020 FSC-klagomål.docx", "A 51270-2020")</f>
        <v/>
      </c>
      <c r="W317">
        <f>HYPERLINK("https://klasma.github.io/Logging_0881/klagomålsmail/A 51270-2020 FSC-klagomål mail.docx", "A 51270-2020")</f>
        <v/>
      </c>
      <c r="X317">
        <f>HYPERLINK("https://klasma.github.io/Logging_0881/tillsyn/A 51270-2020 tillsynsbegäran.docx", "A 51270-2020")</f>
        <v/>
      </c>
      <c r="Y317">
        <f>HYPERLINK("https://klasma.github.io/Logging_0881/tillsynsmail/A 51270-2020 tillsynsbegäran mail.docx", "A 51270-2020")</f>
        <v/>
      </c>
    </row>
    <row r="318" ht="15" customHeight="1">
      <c r="A318" t="inlineStr">
        <is>
          <t>A 57704-2020</t>
        </is>
      </c>
      <c r="B318" s="1" t="n">
        <v>44140</v>
      </c>
      <c r="C318" s="1" t="n">
        <v>45715</v>
      </c>
      <c r="D318" t="inlineStr">
        <is>
          <t>KALMAR LÄN</t>
        </is>
      </c>
      <c r="E318" t="inlineStr">
        <is>
          <t>MÖRBYLÅNGA</t>
        </is>
      </c>
      <c r="G318" t="n">
        <v>2.5</v>
      </c>
      <c r="H318" t="n">
        <v>0</v>
      </c>
      <c r="I318" t="n">
        <v>0</v>
      </c>
      <c r="J318" t="n">
        <v>3</v>
      </c>
      <c r="K318" t="n">
        <v>0</v>
      </c>
      <c r="L318" t="n">
        <v>0</v>
      </c>
      <c r="M318" t="n">
        <v>0</v>
      </c>
      <c r="N318" t="n">
        <v>0</v>
      </c>
      <c r="O318" t="n">
        <v>3</v>
      </c>
      <c r="P318" t="n">
        <v>0</v>
      </c>
      <c r="Q318" t="n">
        <v>3</v>
      </c>
      <c r="R318" s="2" t="inlineStr">
        <is>
          <t>Ekträdlöpare
Jordtistel
Vanlig sandviol</t>
        </is>
      </c>
      <c r="S318">
        <f>HYPERLINK("https://klasma.github.io/Logging_0840/artfynd/A 57704-2020 artfynd.xlsx", "A 57704-2020")</f>
        <v/>
      </c>
      <c r="T318">
        <f>HYPERLINK("https://klasma.github.io/Logging_0840/kartor/A 57704-2020 karta.png", "A 57704-2020")</f>
        <v/>
      </c>
      <c r="V318">
        <f>HYPERLINK("https://klasma.github.io/Logging_0840/klagomål/A 57704-2020 FSC-klagomål.docx", "A 57704-2020")</f>
        <v/>
      </c>
      <c r="W318">
        <f>HYPERLINK("https://klasma.github.io/Logging_0840/klagomålsmail/A 57704-2020 FSC-klagomål mail.docx", "A 57704-2020")</f>
        <v/>
      </c>
      <c r="X318">
        <f>HYPERLINK("https://klasma.github.io/Logging_0840/tillsyn/A 57704-2020 tillsynsbegäran.docx", "A 57704-2020")</f>
        <v/>
      </c>
      <c r="Y318">
        <f>HYPERLINK("https://klasma.github.io/Logging_0840/tillsynsmail/A 57704-2020 tillsynsbegäran mail.docx", "A 57704-2020")</f>
        <v/>
      </c>
    </row>
    <row r="319" ht="15" customHeight="1">
      <c r="A319" t="inlineStr">
        <is>
          <t>A 58231-2020</t>
        </is>
      </c>
      <c r="B319" s="1" t="n">
        <v>44144</v>
      </c>
      <c r="C319" s="1" t="n">
        <v>45715</v>
      </c>
      <c r="D319" t="inlineStr">
        <is>
          <t>KALMAR LÄN</t>
        </is>
      </c>
      <c r="E319" t="inlineStr">
        <is>
          <t>BORGHOLM</t>
        </is>
      </c>
      <c r="F319" t="inlineStr">
        <is>
          <t>Sveaskog</t>
        </is>
      </c>
      <c r="G319" t="n">
        <v>8.5</v>
      </c>
      <c r="H319" t="n">
        <v>1</v>
      </c>
      <c r="I319" t="n">
        <v>2</v>
      </c>
      <c r="J319" t="n">
        <v>1</v>
      </c>
      <c r="K319" t="n">
        <v>0</v>
      </c>
      <c r="L319" t="n">
        <v>0</v>
      </c>
      <c r="M319" t="n">
        <v>0</v>
      </c>
      <c r="N319" t="n">
        <v>0</v>
      </c>
      <c r="O319" t="n">
        <v>1</v>
      </c>
      <c r="P319" t="n">
        <v>0</v>
      </c>
      <c r="Q319" t="n">
        <v>3</v>
      </c>
      <c r="R319" s="2" t="inlineStr">
        <is>
          <t>Skugglosta
Skogsknipprot
Strävlosta</t>
        </is>
      </c>
      <c r="S319">
        <f>HYPERLINK("https://klasma.github.io/Logging_0885/artfynd/A 58231-2020 artfynd.xlsx", "A 58231-2020")</f>
        <v/>
      </c>
      <c r="T319">
        <f>HYPERLINK("https://klasma.github.io/Logging_0885/kartor/A 58231-2020 karta.png", "A 58231-2020")</f>
        <v/>
      </c>
      <c r="V319">
        <f>HYPERLINK("https://klasma.github.io/Logging_0885/klagomål/A 58231-2020 FSC-klagomål.docx", "A 58231-2020")</f>
        <v/>
      </c>
      <c r="W319">
        <f>HYPERLINK("https://klasma.github.io/Logging_0885/klagomålsmail/A 58231-2020 FSC-klagomål mail.docx", "A 58231-2020")</f>
        <v/>
      </c>
      <c r="X319">
        <f>HYPERLINK("https://klasma.github.io/Logging_0885/tillsyn/A 58231-2020 tillsynsbegäran.docx", "A 58231-2020")</f>
        <v/>
      </c>
      <c r="Y319">
        <f>HYPERLINK("https://klasma.github.io/Logging_0885/tillsynsmail/A 58231-2020 tillsynsbegäran mail.docx", "A 58231-2020")</f>
        <v/>
      </c>
    </row>
    <row r="320" ht="15" customHeight="1">
      <c r="A320" t="inlineStr">
        <is>
          <t>A 4574-2021</t>
        </is>
      </c>
      <c r="B320" s="1" t="n">
        <v>44224</v>
      </c>
      <c r="C320" s="1" t="n">
        <v>45715</v>
      </c>
      <c r="D320" t="inlineStr">
        <is>
          <t>KALMAR LÄN</t>
        </is>
      </c>
      <c r="E320" t="inlineStr">
        <is>
          <t>HULTSFRED</t>
        </is>
      </c>
      <c r="G320" t="n">
        <v>7.2</v>
      </c>
      <c r="H320" t="n">
        <v>3</v>
      </c>
      <c r="I320" t="n">
        <v>0</v>
      </c>
      <c r="J320" t="n">
        <v>0</v>
      </c>
      <c r="K320" t="n">
        <v>0</v>
      </c>
      <c r="L320" t="n">
        <v>0</v>
      </c>
      <c r="M320" t="n">
        <v>0</v>
      </c>
      <c r="N320" t="n">
        <v>0</v>
      </c>
      <c r="O320" t="n">
        <v>0</v>
      </c>
      <c r="P320" t="n">
        <v>0</v>
      </c>
      <c r="Q320" t="n">
        <v>3</v>
      </c>
      <c r="R320" s="2" t="inlineStr">
        <is>
          <t>Fläcknycklar
Grönvit nattviol
Mattlummer</t>
        </is>
      </c>
      <c r="S320">
        <f>HYPERLINK("https://klasma.github.io/Logging_0860/artfynd/A 4574-2021 artfynd.xlsx", "A 4574-2021")</f>
        <v/>
      </c>
      <c r="T320">
        <f>HYPERLINK("https://klasma.github.io/Logging_0860/kartor/A 4574-2021 karta.png", "A 4574-2021")</f>
        <v/>
      </c>
      <c r="V320">
        <f>HYPERLINK("https://klasma.github.io/Logging_0860/klagomål/A 4574-2021 FSC-klagomål.docx", "A 4574-2021")</f>
        <v/>
      </c>
      <c r="W320">
        <f>HYPERLINK("https://klasma.github.io/Logging_0860/klagomålsmail/A 4574-2021 FSC-klagomål mail.docx", "A 4574-2021")</f>
        <v/>
      </c>
      <c r="X320">
        <f>HYPERLINK("https://klasma.github.io/Logging_0860/tillsyn/A 4574-2021 tillsynsbegäran.docx", "A 4574-2021")</f>
        <v/>
      </c>
      <c r="Y320">
        <f>HYPERLINK("https://klasma.github.io/Logging_0860/tillsynsmail/A 4574-2021 tillsynsbegäran mail.docx", "A 4574-2021")</f>
        <v/>
      </c>
    </row>
    <row r="321" ht="15" customHeight="1">
      <c r="A321" t="inlineStr">
        <is>
          <t>A 8411-2021</t>
        </is>
      </c>
      <c r="B321" s="1" t="n">
        <v>44245</v>
      </c>
      <c r="C321" s="1" t="n">
        <v>45715</v>
      </c>
      <c r="D321" t="inlineStr">
        <is>
          <t>KALMAR LÄN</t>
        </is>
      </c>
      <c r="E321" t="inlineStr">
        <is>
          <t>VIMMERBY</t>
        </is>
      </c>
      <c r="G321" t="n">
        <v>12.5</v>
      </c>
      <c r="H321" t="n">
        <v>1</v>
      </c>
      <c r="I321" t="n">
        <v>1</v>
      </c>
      <c r="J321" t="n">
        <v>1</v>
      </c>
      <c r="K321" t="n">
        <v>0</v>
      </c>
      <c r="L321" t="n">
        <v>0</v>
      </c>
      <c r="M321" t="n">
        <v>0</v>
      </c>
      <c r="N321" t="n">
        <v>0</v>
      </c>
      <c r="O321" t="n">
        <v>1</v>
      </c>
      <c r="P321" t="n">
        <v>0</v>
      </c>
      <c r="Q321" t="n">
        <v>3</v>
      </c>
      <c r="R321" s="2" t="inlineStr">
        <is>
          <t>Motaggsvamp
Svart trolldruva
Revlummer</t>
        </is>
      </c>
      <c r="S321">
        <f>HYPERLINK("https://klasma.github.io/Logging_0884/artfynd/A 8411-2021 artfynd.xlsx", "A 8411-2021")</f>
        <v/>
      </c>
      <c r="T321">
        <f>HYPERLINK("https://klasma.github.io/Logging_0884/kartor/A 8411-2021 karta.png", "A 8411-2021")</f>
        <v/>
      </c>
      <c r="V321">
        <f>HYPERLINK("https://klasma.github.io/Logging_0884/klagomål/A 8411-2021 FSC-klagomål.docx", "A 8411-2021")</f>
        <v/>
      </c>
      <c r="W321">
        <f>HYPERLINK("https://klasma.github.io/Logging_0884/klagomålsmail/A 8411-2021 FSC-klagomål mail.docx", "A 8411-2021")</f>
        <v/>
      </c>
      <c r="X321">
        <f>HYPERLINK("https://klasma.github.io/Logging_0884/tillsyn/A 8411-2021 tillsynsbegäran.docx", "A 8411-2021")</f>
        <v/>
      </c>
      <c r="Y321">
        <f>HYPERLINK("https://klasma.github.io/Logging_0884/tillsynsmail/A 8411-2021 tillsynsbegäran mail.docx", "A 8411-2021")</f>
        <v/>
      </c>
    </row>
    <row r="322" ht="15" customHeight="1">
      <c r="A322" t="inlineStr">
        <is>
          <t>A 9097-2021</t>
        </is>
      </c>
      <c r="B322" s="1" t="n">
        <v>44249</v>
      </c>
      <c r="C322" s="1" t="n">
        <v>45715</v>
      </c>
      <c r="D322" t="inlineStr">
        <is>
          <t>KALMAR LÄN</t>
        </is>
      </c>
      <c r="E322" t="inlineStr">
        <is>
          <t>VÄSTERVIK</t>
        </is>
      </c>
      <c r="F322" t="inlineStr">
        <is>
          <t>Sveaskog</t>
        </is>
      </c>
      <c r="G322" t="n">
        <v>1.9</v>
      </c>
      <c r="H322" t="n">
        <v>0</v>
      </c>
      <c r="I322" t="n">
        <v>1</v>
      </c>
      <c r="J322" t="n">
        <v>2</v>
      </c>
      <c r="K322" t="n">
        <v>0</v>
      </c>
      <c r="L322" t="n">
        <v>0</v>
      </c>
      <c r="M322" t="n">
        <v>0</v>
      </c>
      <c r="N322" t="n">
        <v>0</v>
      </c>
      <c r="O322" t="n">
        <v>2</v>
      </c>
      <c r="P322" t="n">
        <v>0</v>
      </c>
      <c r="Q322" t="n">
        <v>3</v>
      </c>
      <c r="R322" s="2" t="inlineStr">
        <is>
          <t>Tallticka
Vedskivlav
Vätteros</t>
        </is>
      </c>
      <c r="S322">
        <f>HYPERLINK("https://klasma.github.io/Logging_0883/artfynd/A 9097-2021 artfynd.xlsx", "A 9097-2021")</f>
        <v/>
      </c>
      <c r="T322">
        <f>HYPERLINK("https://klasma.github.io/Logging_0883/kartor/A 9097-2021 karta.png", "A 9097-2021")</f>
        <v/>
      </c>
      <c r="V322">
        <f>HYPERLINK("https://klasma.github.io/Logging_0883/klagomål/A 9097-2021 FSC-klagomål.docx", "A 9097-2021")</f>
        <v/>
      </c>
      <c r="W322">
        <f>HYPERLINK("https://klasma.github.io/Logging_0883/klagomålsmail/A 9097-2021 FSC-klagomål mail.docx", "A 9097-2021")</f>
        <v/>
      </c>
      <c r="X322">
        <f>HYPERLINK("https://klasma.github.io/Logging_0883/tillsyn/A 9097-2021 tillsynsbegäran.docx", "A 9097-2021")</f>
        <v/>
      </c>
      <c r="Y322">
        <f>HYPERLINK("https://klasma.github.io/Logging_0883/tillsynsmail/A 9097-2021 tillsynsbegäran mail.docx", "A 9097-2021")</f>
        <v/>
      </c>
    </row>
    <row r="323" ht="15" customHeight="1">
      <c r="A323" t="inlineStr">
        <is>
          <t>A 32026-2021</t>
        </is>
      </c>
      <c r="B323" s="1" t="n">
        <v>44370</v>
      </c>
      <c r="C323" s="1" t="n">
        <v>45715</v>
      </c>
      <c r="D323" t="inlineStr">
        <is>
          <t>KALMAR LÄN</t>
        </is>
      </c>
      <c r="E323" t="inlineStr">
        <is>
          <t>NYBRO</t>
        </is>
      </c>
      <c r="G323" t="n">
        <v>6.2</v>
      </c>
      <c r="H323" t="n">
        <v>3</v>
      </c>
      <c r="I323" t="n">
        <v>0</v>
      </c>
      <c r="J323" t="n">
        <v>2</v>
      </c>
      <c r="K323" t="n">
        <v>0</v>
      </c>
      <c r="L323" t="n">
        <v>0</v>
      </c>
      <c r="M323" t="n">
        <v>0</v>
      </c>
      <c r="N323" t="n">
        <v>0</v>
      </c>
      <c r="O323" t="n">
        <v>2</v>
      </c>
      <c r="P323" t="n">
        <v>0</v>
      </c>
      <c r="Q323" t="n">
        <v>3</v>
      </c>
      <c r="R323" s="2" t="inlineStr">
        <is>
          <t>Entita
Talltita
Gröngöling</t>
        </is>
      </c>
      <c r="S323">
        <f>HYPERLINK("https://klasma.github.io/Logging_0881/artfynd/A 32026-2021 artfynd.xlsx", "A 32026-2021")</f>
        <v/>
      </c>
      <c r="T323">
        <f>HYPERLINK("https://klasma.github.io/Logging_0881/kartor/A 32026-2021 karta.png", "A 32026-2021")</f>
        <v/>
      </c>
      <c r="V323">
        <f>HYPERLINK("https://klasma.github.io/Logging_0881/klagomål/A 32026-2021 FSC-klagomål.docx", "A 32026-2021")</f>
        <v/>
      </c>
      <c r="W323">
        <f>HYPERLINK("https://klasma.github.io/Logging_0881/klagomålsmail/A 32026-2021 FSC-klagomål mail.docx", "A 32026-2021")</f>
        <v/>
      </c>
      <c r="X323">
        <f>HYPERLINK("https://klasma.github.io/Logging_0881/tillsyn/A 32026-2021 tillsynsbegäran.docx", "A 32026-2021")</f>
        <v/>
      </c>
      <c r="Y323">
        <f>HYPERLINK("https://klasma.github.io/Logging_0881/tillsynsmail/A 32026-2021 tillsynsbegäran mail.docx", "A 32026-2021")</f>
        <v/>
      </c>
      <c r="Z323">
        <f>HYPERLINK("https://klasma.github.io/Logging_0881/fåglar/A 32026-2021 prioriterade fågelarter.docx", "A 32026-2021")</f>
        <v/>
      </c>
    </row>
    <row r="324" ht="15" customHeight="1">
      <c r="A324" t="inlineStr">
        <is>
          <t>A 44284-2021</t>
        </is>
      </c>
      <c r="B324" s="1" t="n">
        <v>44434</v>
      </c>
      <c r="C324" s="1" t="n">
        <v>45715</v>
      </c>
      <c r="D324" t="inlineStr">
        <is>
          <t>KALMAR LÄN</t>
        </is>
      </c>
      <c r="E324" t="inlineStr">
        <is>
          <t>MÖNSTERÅS</t>
        </is>
      </c>
      <c r="G324" t="n">
        <v>18.4</v>
      </c>
      <c r="H324" t="n">
        <v>3</v>
      </c>
      <c r="I324" t="n">
        <v>0</v>
      </c>
      <c r="J324" t="n">
        <v>1</v>
      </c>
      <c r="K324" t="n">
        <v>0</v>
      </c>
      <c r="L324" t="n">
        <v>0</v>
      </c>
      <c r="M324" t="n">
        <v>0</v>
      </c>
      <c r="N324" t="n">
        <v>0</v>
      </c>
      <c r="O324" t="n">
        <v>1</v>
      </c>
      <c r="P324" t="n">
        <v>0</v>
      </c>
      <c r="Q324" t="n">
        <v>3</v>
      </c>
      <c r="R324" s="2" t="inlineStr">
        <is>
          <t>Gulsparv
Trana
Trädlärka</t>
        </is>
      </c>
      <c r="S324">
        <f>HYPERLINK("https://klasma.github.io/Logging_0861/artfynd/A 44284-2021 artfynd.xlsx", "A 44284-2021")</f>
        <v/>
      </c>
      <c r="T324">
        <f>HYPERLINK("https://klasma.github.io/Logging_0861/kartor/A 44284-2021 karta.png", "A 44284-2021")</f>
        <v/>
      </c>
      <c r="V324">
        <f>HYPERLINK("https://klasma.github.io/Logging_0861/klagomål/A 44284-2021 FSC-klagomål.docx", "A 44284-2021")</f>
        <v/>
      </c>
      <c r="W324">
        <f>HYPERLINK("https://klasma.github.io/Logging_0861/klagomålsmail/A 44284-2021 FSC-klagomål mail.docx", "A 44284-2021")</f>
        <v/>
      </c>
      <c r="X324">
        <f>HYPERLINK("https://klasma.github.io/Logging_0861/tillsyn/A 44284-2021 tillsynsbegäran.docx", "A 44284-2021")</f>
        <v/>
      </c>
      <c r="Y324">
        <f>HYPERLINK("https://klasma.github.io/Logging_0861/tillsynsmail/A 44284-2021 tillsynsbegäran mail.docx", "A 44284-2021")</f>
        <v/>
      </c>
      <c r="Z324">
        <f>HYPERLINK("https://klasma.github.io/Logging_0861/fåglar/A 44284-2021 prioriterade fågelarter.docx", "A 44284-2021")</f>
        <v/>
      </c>
    </row>
    <row r="325" ht="15" customHeight="1">
      <c r="A325" t="inlineStr">
        <is>
          <t>A 46995-2021</t>
        </is>
      </c>
      <c r="B325" s="1" t="n">
        <v>44446</v>
      </c>
      <c r="C325" s="1" t="n">
        <v>45715</v>
      </c>
      <c r="D325" t="inlineStr">
        <is>
          <t>KALMAR LÄN</t>
        </is>
      </c>
      <c r="E325" t="inlineStr">
        <is>
          <t>MÖNSTERÅS</t>
        </is>
      </c>
      <c r="G325" t="n">
        <v>2.6</v>
      </c>
      <c r="H325" t="n">
        <v>2</v>
      </c>
      <c r="I325" t="n">
        <v>1</v>
      </c>
      <c r="J325" t="n">
        <v>0</v>
      </c>
      <c r="K325" t="n">
        <v>1</v>
      </c>
      <c r="L325" t="n">
        <v>0</v>
      </c>
      <c r="M325" t="n">
        <v>0</v>
      </c>
      <c r="N325" t="n">
        <v>0</v>
      </c>
      <c r="O325" t="n">
        <v>1</v>
      </c>
      <c r="P325" t="n">
        <v>1</v>
      </c>
      <c r="Q325" t="n">
        <v>3</v>
      </c>
      <c r="R325" s="2" t="inlineStr">
        <is>
          <t>Knärot
Murgröna
Blåsippa</t>
        </is>
      </c>
      <c r="S325">
        <f>HYPERLINK("https://klasma.github.io/Logging_0861/artfynd/A 46995-2021 artfynd.xlsx", "A 46995-2021")</f>
        <v/>
      </c>
      <c r="T325">
        <f>HYPERLINK("https://klasma.github.io/Logging_0861/kartor/A 46995-2021 karta.png", "A 46995-2021")</f>
        <v/>
      </c>
      <c r="U325">
        <f>HYPERLINK("https://klasma.github.io/Logging_0861/knärot/A 46995-2021 karta knärot.png", "A 46995-2021")</f>
        <v/>
      </c>
      <c r="V325">
        <f>HYPERLINK("https://klasma.github.io/Logging_0861/klagomål/A 46995-2021 FSC-klagomål.docx", "A 46995-2021")</f>
        <v/>
      </c>
      <c r="W325">
        <f>HYPERLINK("https://klasma.github.io/Logging_0861/klagomålsmail/A 46995-2021 FSC-klagomål mail.docx", "A 46995-2021")</f>
        <v/>
      </c>
      <c r="X325">
        <f>HYPERLINK("https://klasma.github.io/Logging_0861/tillsyn/A 46995-2021 tillsynsbegäran.docx", "A 46995-2021")</f>
        <v/>
      </c>
      <c r="Y325">
        <f>HYPERLINK("https://klasma.github.io/Logging_0861/tillsynsmail/A 46995-2021 tillsynsbegäran mail.docx", "A 46995-2021")</f>
        <v/>
      </c>
    </row>
    <row r="326" ht="15" customHeight="1">
      <c r="A326" t="inlineStr">
        <is>
          <t>A 49122-2021</t>
        </is>
      </c>
      <c r="B326" s="1" t="n">
        <v>44453</v>
      </c>
      <c r="C326" s="1" t="n">
        <v>45715</v>
      </c>
      <c r="D326" t="inlineStr">
        <is>
          <t>KALMAR LÄN</t>
        </is>
      </c>
      <c r="E326" t="inlineStr">
        <is>
          <t>MÖNSTERÅS</t>
        </is>
      </c>
      <c r="G326" t="n">
        <v>1.6</v>
      </c>
      <c r="H326" t="n">
        <v>1</v>
      </c>
      <c r="I326" t="n">
        <v>0</v>
      </c>
      <c r="J326" t="n">
        <v>2</v>
      </c>
      <c r="K326" t="n">
        <v>0</v>
      </c>
      <c r="L326" t="n">
        <v>1</v>
      </c>
      <c r="M326" t="n">
        <v>0</v>
      </c>
      <c r="N326" t="n">
        <v>0</v>
      </c>
      <c r="O326" t="n">
        <v>3</v>
      </c>
      <c r="P326" t="n">
        <v>1</v>
      </c>
      <c r="Q326" t="n">
        <v>3</v>
      </c>
      <c r="R326" s="2" t="inlineStr">
        <is>
          <t>Brandnäva
Spillkråka
Svedjenäva</t>
        </is>
      </c>
      <c r="S326">
        <f>HYPERLINK("https://klasma.github.io/Logging_0861/artfynd/A 49122-2021 artfynd.xlsx", "A 49122-2021")</f>
        <v/>
      </c>
      <c r="T326">
        <f>HYPERLINK("https://klasma.github.io/Logging_0861/kartor/A 49122-2021 karta.png", "A 49122-2021")</f>
        <v/>
      </c>
      <c r="V326">
        <f>HYPERLINK("https://klasma.github.io/Logging_0861/klagomål/A 49122-2021 FSC-klagomål.docx", "A 49122-2021")</f>
        <v/>
      </c>
      <c r="W326">
        <f>HYPERLINK("https://klasma.github.io/Logging_0861/klagomålsmail/A 49122-2021 FSC-klagomål mail.docx", "A 49122-2021")</f>
        <v/>
      </c>
      <c r="X326">
        <f>HYPERLINK("https://klasma.github.io/Logging_0861/tillsyn/A 49122-2021 tillsynsbegäran.docx", "A 49122-2021")</f>
        <v/>
      </c>
      <c r="Y326">
        <f>HYPERLINK("https://klasma.github.io/Logging_0861/tillsynsmail/A 49122-2021 tillsynsbegäran mail.docx", "A 49122-2021")</f>
        <v/>
      </c>
      <c r="Z326">
        <f>HYPERLINK("https://klasma.github.io/Logging_0861/fåglar/A 49122-2021 prioriterade fågelarter.docx", "A 49122-2021")</f>
        <v/>
      </c>
    </row>
    <row r="327" ht="15" customHeight="1">
      <c r="A327" t="inlineStr">
        <is>
          <t>A 50351-2021</t>
        </is>
      </c>
      <c r="B327" s="1" t="n">
        <v>44459</v>
      </c>
      <c r="C327" s="1" t="n">
        <v>45715</v>
      </c>
      <c r="D327" t="inlineStr">
        <is>
          <t>KALMAR LÄN</t>
        </is>
      </c>
      <c r="E327" t="inlineStr">
        <is>
          <t>TORSÅS</t>
        </is>
      </c>
      <c r="G327" t="n">
        <v>1.9</v>
      </c>
      <c r="H327" t="n">
        <v>3</v>
      </c>
      <c r="I327" t="n">
        <v>0</v>
      </c>
      <c r="J327" t="n">
        <v>1</v>
      </c>
      <c r="K327" t="n">
        <v>0</v>
      </c>
      <c r="L327" t="n">
        <v>0</v>
      </c>
      <c r="M327" t="n">
        <v>0</v>
      </c>
      <c r="N327" t="n">
        <v>0</v>
      </c>
      <c r="O327" t="n">
        <v>1</v>
      </c>
      <c r="P327" t="n">
        <v>0</v>
      </c>
      <c r="Q327" t="n">
        <v>3</v>
      </c>
      <c r="R327" s="2" t="inlineStr">
        <is>
          <t>Nordfladdermus
Dvärgpipistrell
Större brunfladdermus</t>
        </is>
      </c>
      <c r="S327">
        <f>HYPERLINK("https://klasma.github.io/Logging_0834/artfynd/A 50351-2021 artfynd.xlsx", "A 50351-2021")</f>
        <v/>
      </c>
      <c r="T327">
        <f>HYPERLINK("https://klasma.github.io/Logging_0834/kartor/A 50351-2021 karta.png", "A 50351-2021")</f>
        <v/>
      </c>
      <c r="V327">
        <f>HYPERLINK("https://klasma.github.io/Logging_0834/klagomål/A 50351-2021 FSC-klagomål.docx", "A 50351-2021")</f>
        <v/>
      </c>
      <c r="W327">
        <f>HYPERLINK("https://klasma.github.io/Logging_0834/klagomålsmail/A 50351-2021 FSC-klagomål mail.docx", "A 50351-2021")</f>
        <v/>
      </c>
      <c r="X327">
        <f>HYPERLINK("https://klasma.github.io/Logging_0834/tillsyn/A 50351-2021 tillsynsbegäran.docx", "A 50351-2021")</f>
        <v/>
      </c>
      <c r="Y327">
        <f>HYPERLINK("https://klasma.github.io/Logging_0834/tillsynsmail/A 50351-2021 tillsynsbegäran mail.docx", "A 50351-2021")</f>
        <v/>
      </c>
    </row>
    <row r="328" ht="15" customHeight="1">
      <c r="A328" t="inlineStr">
        <is>
          <t>A 52906-2021</t>
        </is>
      </c>
      <c r="B328" s="1" t="n">
        <v>44467</v>
      </c>
      <c r="C328" s="1" t="n">
        <v>45715</v>
      </c>
      <c r="D328" t="inlineStr">
        <is>
          <t>KALMAR LÄN</t>
        </is>
      </c>
      <c r="E328" t="inlineStr">
        <is>
          <t>MÖRBYLÅNGA</t>
        </is>
      </c>
      <c r="G328" t="n">
        <v>2.1</v>
      </c>
      <c r="H328" t="n">
        <v>2</v>
      </c>
      <c r="I328" t="n">
        <v>1</v>
      </c>
      <c r="J328" t="n">
        <v>2</v>
      </c>
      <c r="K328" t="n">
        <v>0</v>
      </c>
      <c r="L328" t="n">
        <v>0</v>
      </c>
      <c r="M328" t="n">
        <v>0</v>
      </c>
      <c r="N328" t="n">
        <v>0</v>
      </c>
      <c r="O328" t="n">
        <v>2</v>
      </c>
      <c r="P328" t="n">
        <v>0</v>
      </c>
      <c r="Q328" t="n">
        <v>3</v>
      </c>
      <c r="R328" s="2" t="inlineStr">
        <is>
          <t>Gulsparv
Rödvingetrast
Lindspindling</t>
        </is>
      </c>
      <c r="S328">
        <f>HYPERLINK("https://klasma.github.io/Logging_0840/artfynd/A 52906-2021 artfynd.xlsx", "A 52906-2021")</f>
        <v/>
      </c>
      <c r="T328">
        <f>HYPERLINK("https://klasma.github.io/Logging_0840/kartor/A 52906-2021 karta.png", "A 52906-2021")</f>
        <v/>
      </c>
      <c r="V328">
        <f>HYPERLINK("https://klasma.github.io/Logging_0840/klagomål/A 52906-2021 FSC-klagomål.docx", "A 52906-2021")</f>
        <v/>
      </c>
      <c r="W328">
        <f>HYPERLINK("https://klasma.github.io/Logging_0840/klagomålsmail/A 52906-2021 FSC-klagomål mail.docx", "A 52906-2021")</f>
        <v/>
      </c>
      <c r="X328">
        <f>HYPERLINK("https://klasma.github.io/Logging_0840/tillsyn/A 52906-2021 tillsynsbegäran.docx", "A 52906-2021")</f>
        <v/>
      </c>
      <c r="Y328">
        <f>HYPERLINK("https://klasma.github.io/Logging_0840/tillsynsmail/A 52906-2021 tillsynsbegäran mail.docx", "A 52906-2021")</f>
        <v/>
      </c>
      <c r="Z328">
        <f>HYPERLINK("https://klasma.github.io/Logging_0840/fåglar/A 52906-2021 prioriterade fågelarter.docx", "A 52906-2021")</f>
        <v/>
      </c>
    </row>
    <row r="329" ht="15" customHeight="1">
      <c r="A329" t="inlineStr">
        <is>
          <t>A 58919-2021</t>
        </is>
      </c>
      <c r="B329" s="1" t="n">
        <v>44489</v>
      </c>
      <c r="C329" s="1" t="n">
        <v>45715</v>
      </c>
      <c r="D329" t="inlineStr">
        <is>
          <t>KALMAR LÄN</t>
        </is>
      </c>
      <c r="E329" t="inlineStr">
        <is>
          <t>KALMAR</t>
        </is>
      </c>
      <c r="G329" t="n">
        <v>7</v>
      </c>
      <c r="H329" t="n">
        <v>1</v>
      </c>
      <c r="I329" t="n">
        <v>1</v>
      </c>
      <c r="J329" t="n">
        <v>0</v>
      </c>
      <c r="K329" t="n">
        <v>1</v>
      </c>
      <c r="L329" t="n">
        <v>1</v>
      </c>
      <c r="M329" t="n">
        <v>0</v>
      </c>
      <c r="N329" t="n">
        <v>0</v>
      </c>
      <c r="O329" t="n">
        <v>2</v>
      </c>
      <c r="P329" t="n">
        <v>2</v>
      </c>
      <c r="Q329" t="n">
        <v>3</v>
      </c>
      <c r="R329" s="2" t="inlineStr">
        <is>
          <t>Tallharticka
Knärot
Blomkålssvamp</t>
        </is>
      </c>
      <c r="S329">
        <f>HYPERLINK("https://klasma.github.io/Logging_0880/artfynd/A 58919-2021 artfynd.xlsx", "A 58919-2021")</f>
        <v/>
      </c>
      <c r="T329">
        <f>HYPERLINK("https://klasma.github.io/Logging_0880/kartor/A 58919-2021 karta.png", "A 58919-2021")</f>
        <v/>
      </c>
      <c r="U329">
        <f>HYPERLINK("https://klasma.github.io/Logging_0880/knärot/A 58919-2021 karta knärot.png", "A 58919-2021")</f>
        <v/>
      </c>
      <c r="V329">
        <f>HYPERLINK("https://klasma.github.io/Logging_0880/klagomål/A 58919-2021 FSC-klagomål.docx", "A 58919-2021")</f>
        <v/>
      </c>
      <c r="W329">
        <f>HYPERLINK("https://klasma.github.io/Logging_0880/klagomålsmail/A 58919-2021 FSC-klagomål mail.docx", "A 58919-2021")</f>
        <v/>
      </c>
      <c r="X329">
        <f>HYPERLINK("https://klasma.github.io/Logging_0880/tillsyn/A 58919-2021 tillsynsbegäran.docx", "A 58919-2021")</f>
        <v/>
      </c>
      <c r="Y329">
        <f>HYPERLINK("https://klasma.github.io/Logging_0880/tillsynsmail/A 58919-2021 tillsynsbegäran mail.docx", "A 58919-2021")</f>
        <v/>
      </c>
    </row>
    <row r="330" ht="15" customHeight="1">
      <c r="A330" t="inlineStr">
        <is>
          <t>A 59111-2021</t>
        </is>
      </c>
      <c r="B330" s="1" t="n">
        <v>44490</v>
      </c>
      <c r="C330" s="1" t="n">
        <v>45715</v>
      </c>
      <c r="D330" t="inlineStr">
        <is>
          <t>KALMAR LÄN</t>
        </is>
      </c>
      <c r="E330" t="inlineStr">
        <is>
          <t>NYBRO</t>
        </is>
      </c>
      <c r="F330" t="inlineStr">
        <is>
          <t>Kommuner</t>
        </is>
      </c>
      <c r="G330" t="n">
        <v>3.2</v>
      </c>
      <c r="H330" t="n">
        <v>0</v>
      </c>
      <c r="I330" t="n">
        <v>3</v>
      </c>
      <c r="J330" t="n">
        <v>0</v>
      </c>
      <c r="K330" t="n">
        <v>0</v>
      </c>
      <c r="L330" t="n">
        <v>0</v>
      </c>
      <c r="M330" t="n">
        <v>0</v>
      </c>
      <c r="N330" t="n">
        <v>0</v>
      </c>
      <c r="O330" t="n">
        <v>0</v>
      </c>
      <c r="P330" t="n">
        <v>0</v>
      </c>
      <c r="Q330" t="n">
        <v>3</v>
      </c>
      <c r="R330" s="2" t="inlineStr">
        <is>
          <t>Brandticka
Grovticka
Tjockfotad fingersvamp</t>
        </is>
      </c>
      <c r="S330">
        <f>HYPERLINK("https://klasma.github.io/Logging_0881/artfynd/A 59111-2021 artfynd.xlsx", "A 59111-2021")</f>
        <v/>
      </c>
      <c r="T330">
        <f>HYPERLINK("https://klasma.github.io/Logging_0881/kartor/A 59111-2021 karta.png", "A 59111-2021")</f>
        <v/>
      </c>
      <c r="V330">
        <f>HYPERLINK("https://klasma.github.io/Logging_0881/klagomål/A 59111-2021 FSC-klagomål.docx", "A 59111-2021")</f>
        <v/>
      </c>
      <c r="W330">
        <f>HYPERLINK("https://klasma.github.io/Logging_0881/klagomålsmail/A 59111-2021 FSC-klagomål mail.docx", "A 59111-2021")</f>
        <v/>
      </c>
      <c r="X330">
        <f>HYPERLINK("https://klasma.github.io/Logging_0881/tillsyn/A 59111-2021 tillsynsbegäran.docx", "A 59111-2021")</f>
        <v/>
      </c>
      <c r="Y330">
        <f>HYPERLINK("https://klasma.github.io/Logging_0881/tillsynsmail/A 59111-2021 tillsynsbegäran mail.docx", "A 59111-2021")</f>
        <v/>
      </c>
    </row>
    <row r="331" ht="15" customHeight="1">
      <c r="A331" t="inlineStr">
        <is>
          <t>A 63813-2021</t>
        </is>
      </c>
      <c r="B331" s="1" t="n">
        <v>44505</v>
      </c>
      <c r="C331" s="1" t="n">
        <v>45715</v>
      </c>
      <c r="D331" t="inlineStr">
        <is>
          <t>KALMAR LÄN</t>
        </is>
      </c>
      <c r="E331" t="inlineStr">
        <is>
          <t>VÄSTERVIK</t>
        </is>
      </c>
      <c r="G331" t="n">
        <v>4.4</v>
      </c>
      <c r="H331" t="n">
        <v>1</v>
      </c>
      <c r="I331" t="n">
        <v>1</v>
      </c>
      <c r="J331" t="n">
        <v>2</v>
      </c>
      <c r="K331" t="n">
        <v>0</v>
      </c>
      <c r="L331" t="n">
        <v>0</v>
      </c>
      <c r="M331" t="n">
        <v>0</v>
      </c>
      <c r="N331" t="n">
        <v>0</v>
      </c>
      <c r="O331" t="n">
        <v>2</v>
      </c>
      <c r="P331" t="n">
        <v>0</v>
      </c>
      <c r="Q331" t="n">
        <v>3</v>
      </c>
      <c r="R331" s="2" t="inlineStr">
        <is>
          <t>Tallticka
Talltita
Grovticka</t>
        </is>
      </c>
      <c r="S331">
        <f>HYPERLINK("https://klasma.github.io/Logging_0883/artfynd/A 63813-2021 artfynd.xlsx", "A 63813-2021")</f>
        <v/>
      </c>
      <c r="T331">
        <f>HYPERLINK("https://klasma.github.io/Logging_0883/kartor/A 63813-2021 karta.png", "A 63813-2021")</f>
        <v/>
      </c>
      <c r="U331">
        <f>HYPERLINK("https://klasma.github.io/Logging_0883/knärot/A 63813-2021 karta knärot.png", "A 63813-2021")</f>
        <v/>
      </c>
      <c r="V331">
        <f>HYPERLINK("https://klasma.github.io/Logging_0883/klagomål/A 63813-2021 FSC-klagomål.docx", "A 63813-2021")</f>
        <v/>
      </c>
      <c r="W331">
        <f>HYPERLINK("https://klasma.github.io/Logging_0883/klagomålsmail/A 63813-2021 FSC-klagomål mail.docx", "A 63813-2021")</f>
        <v/>
      </c>
      <c r="X331">
        <f>HYPERLINK("https://klasma.github.io/Logging_0883/tillsyn/A 63813-2021 tillsynsbegäran.docx", "A 63813-2021")</f>
        <v/>
      </c>
      <c r="Y331">
        <f>HYPERLINK("https://klasma.github.io/Logging_0883/tillsynsmail/A 63813-2021 tillsynsbegäran mail.docx", "A 63813-2021")</f>
        <v/>
      </c>
      <c r="Z331">
        <f>HYPERLINK("https://klasma.github.io/Logging_0883/fåglar/A 63813-2021 prioriterade fågelarter.docx", "A 63813-2021")</f>
        <v/>
      </c>
    </row>
    <row r="332" ht="15" customHeight="1">
      <c r="A332" t="inlineStr">
        <is>
          <t>A 68416-2021</t>
        </is>
      </c>
      <c r="B332" s="1" t="n">
        <v>44529</v>
      </c>
      <c r="C332" s="1" t="n">
        <v>45715</v>
      </c>
      <c r="D332" t="inlineStr">
        <is>
          <t>KALMAR LÄN</t>
        </is>
      </c>
      <c r="E332" t="inlineStr">
        <is>
          <t>VÄSTERVIK</t>
        </is>
      </c>
      <c r="F332" t="inlineStr">
        <is>
          <t>Kyrkan</t>
        </is>
      </c>
      <c r="G332" t="n">
        <v>10.5</v>
      </c>
      <c r="H332" t="n">
        <v>2</v>
      </c>
      <c r="I332" t="n">
        <v>0</v>
      </c>
      <c r="J332" t="n">
        <v>2</v>
      </c>
      <c r="K332" t="n">
        <v>1</v>
      </c>
      <c r="L332" t="n">
        <v>0</v>
      </c>
      <c r="M332" t="n">
        <v>0</v>
      </c>
      <c r="N332" t="n">
        <v>0</v>
      </c>
      <c r="O332" t="n">
        <v>3</v>
      </c>
      <c r="P332" t="n">
        <v>1</v>
      </c>
      <c r="Q332" t="n">
        <v>3</v>
      </c>
      <c r="R332" s="2" t="inlineStr">
        <is>
          <t>Knärot
Tallticka
Talltita</t>
        </is>
      </c>
      <c r="S332">
        <f>HYPERLINK("https://klasma.github.io/Logging_0883/artfynd/A 68416-2021 artfynd.xlsx", "A 68416-2021")</f>
        <v/>
      </c>
      <c r="T332">
        <f>HYPERLINK("https://klasma.github.io/Logging_0883/kartor/A 68416-2021 karta.png", "A 68416-2021")</f>
        <v/>
      </c>
      <c r="U332">
        <f>HYPERLINK("https://klasma.github.io/Logging_0883/knärot/A 68416-2021 karta knärot.png", "A 68416-2021")</f>
        <v/>
      </c>
      <c r="V332">
        <f>HYPERLINK("https://klasma.github.io/Logging_0883/klagomål/A 68416-2021 FSC-klagomål.docx", "A 68416-2021")</f>
        <v/>
      </c>
      <c r="W332">
        <f>HYPERLINK("https://klasma.github.io/Logging_0883/klagomålsmail/A 68416-2021 FSC-klagomål mail.docx", "A 68416-2021")</f>
        <v/>
      </c>
      <c r="X332">
        <f>HYPERLINK("https://klasma.github.io/Logging_0883/tillsyn/A 68416-2021 tillsynsbegäran.docx", "A 68416-2021")</f>
        <v/>
      </c>
      <c r="Y332">
        <f>HYPERLINK("https://klasma.github.io/Logging_0883/tillsynsmail/A 68416-2021 tillsynsbegäran mail.docx", "A 68416-2021")</f>
        <v/>
      </c>
      <c r="Z332">
        <f>HYPERLINK("https://klasma.github.io/Logging_0883/fåglar/A 68416-2021 prioriterade fågelarter.docx", "A 68416-2021")</f>
        <v/>
      </c>
    </row>
    <row r="333" ht="15" customHeight="1">
      <c r="A333" t="inlineStr">
        <is>
          <t>A 73602-2021</t>
        </is>
      </c>
      <c r="B333" s="1" t="n">
        <v>44552</v>
      </c>
      <c r="C333" s="1" t="n">
        <v>45715</v>
      </c>
      <c r="D333" t="inlineStr">
        <is>
          <t>KALMAR LÄN</t>
        </is>
      </c>
      <c r="E333" t="inlineStr">
        <is>
          <t>OSKARSHAMN</t>
        </is>
      </c>
      <c r="G333" t="n">
        <v>4.5</v>
      </c>
      <c r="H333" t="n">
        <v>1</v>
      </c>
      <c r="I333" t="n">
        <v>0</v>
      </c>
      <c r="J333" t="n">
        <v>2</v>
      </c>
      <c r="K333" t="n">
        <v>0</v>
      </c>
      <c r="L333" t="n">
        <v>0</v>
      </c>
      <c r="M333" t="n">
        <v>0</v>
      </c>
      <c r="N333" t="n">
        <v>0</v>
      </c>
      <c r="O333" t="n">
        <v>2</v>
      </c>
      <c r="P333" t="n">
        <v>0</v>
      </c>
      <c r="Q333" t="n">
        <v>3</v>
      </c>
      <c r="R333" s="2" t="inlineStr">
        <is>
          <t>Skogssvingel
Svedjenäva
Blåsippa</t>
        </is>
      </c>
      <c r="S333">
        <f>HYPERLINK("https://klasma.github.io/Logging_0882/artfynd/A 73602-2021 artfynd.xlsx", "A 73602-2021")</f>
        <v/>
      </c>
      <c r="T333">
        <f>HYPERLINK("https://klasma.github.io/Logging_0882/kartor/A 73602-2021 karta.png", "A 73602-2021")</f>
        <v/>
      </c>
      <c r="V333">
        <f>HYPERLINK("https://klasma.github.io/Logging_0882/klagomål/A 73602-2021 FSC-klagomål.docx", "A 73602-2021")</f>
        <v/>
      </c>
      <c r="W333">
        <f>HYPERLINK("https://klasma.github.io/Logging_0882/klagomålsmail/A 73602-2021 FSC-klagomål mail.docx", "A 73602-2021")</f>
        <v/>
      </c>
      <c r="X333">
        <f>HYPERLINK("https://klasma.github.io/Logging_0882/tillsyn/A 73602-2021 tillsynsbegäran.docx", "A 73602-2021")</f>
        <v/>
      </c>
      <c r="Y333">
        <f>HYPERLINK("https://klasma.github.io/Logging_0882/tillsynsmail/A 73602-2021 tillsynsbegäran mail.docx", "A 73602-2021")</f>
        <v/>
      </c>
    </row>
    <row r="334" ht="15" customHeight="1">
      <c r="A334" t="inlineStr">
        <is>
          <t>A 1933-2022</t>
        </is>
      </c>
      <c r="B334" s="1" t="n">
        <v>44575</v>
      </c>
      <c r="C334" s="1" t="n">
        <v>45715</v>
      </c>
      <c r="D334" t="inlineStr">
        <is>
          <t>KALMAR LÄN</t>
        </is>
      </c>
      <c r="E334" t="inlineStr">
        <is>
          <t>KALMAR</t>
        </is>
      </c>
      <c r="G334" t="n">
        <v>3.3</v>
      </c>
      <c r="H334" t="n">
        <v>1</v>
      </c>
      <c r="I334" t="n">
        <v>2</v>
      </c>
      <c r="J334" t="n">
        <v>0</v>
      </c>
      <c r="K334" t="n">
        <v>1</v>
      </c>
      <c r="L334" t="n">
        <v>0</v>
      </c>
      <c r="M334" t="n">
        <v>0</v>
      </c>
      <c r="N334" t="n">
        <v>0</v>
      </c>
      <c r="O334" t="n">
        <v>1</v>
      </c>
      <c r="P334" t="n">
        <v>1</v>
      </c>
      <c r="Q334" t="n">
        <v>3</v>
      </c>
      <c r="R334" s="2" t="inlineStr">
        <is>
          <t>Knärot
Brandticka
Grovticka</t>
        </is>
      </c>
      <c r="S334">
        <f>HYPERLINK("https://klasma.github.io/Logging_0880/artfynd/A 1933-2022 artfynd.xlsx", "A 1933-2022")</f>
        <v/>
      </c>
      <c r="T334">
        <f>HYPERLINK("https://klasma.github.io/Logging_0880/kartor/A 1933-2022 karta.png", "A 1933-2022")</f>
        <v/>
      </c>
      <c r="U334">
        <f>HYPERLINK("https://klasma.github.io/Logging_0880/knärot/A 1933-2022 karta knärot.png", "A 1933-2022")</f>
        <v/>
      </c>
      <c r="V334">
        <f>HYPERLINK("https://klasma.github.io/Logging_0880/klagomål/A 1933-2022 FSC-klagomål.docx", "A 1933-2022")</f>
        <v/>
      </c>
      <c r="W334">
        <f>HYPERLINK("https://klasma.github.io/Logging_0880/klagomålsmail/A 1933-2022 FSC-klagomål mail.docx", "A 1933-2022")</f>
        <v/>
      </c>
      <c r="X334">
        <f>HYPERLINK("https://klasma.github.io/Logging_0880/tillsyn/A 1933-2022 tillsynsbegäran.docx", "A 1933-2022")</f>
        <v/>
      </c>
      <c r="Y334">
        <f>HYPERLINK("https://klasma.github.io/Logging_0880/tillsynsmail/A 1933-2022 tillsynsbegäran mail.docx", "A 1933-2022")</f>
        <v/>
      </c>
    </row>
    <row r="335" ht="15" customHeight="1">
      <c r="A335" t="inlineStr">
        <is>
          <t>A 12711-2022</t>
        </is>
      </c>
      <c r="B335" s="1" t="n">
        <v>44641</v>
      </c>
      <c r="C335" s="1" t="n">
        <v>45715</v>
      </c>
      <c r="D335" t="inlineStr">
        <is>
          <t>KALMAR LÄN</t>
        </is>
      </c>
      <c r="E335" t="inlineStr">
        <is>
          <t>HULTSFRED</t>
        </is>
      </c>
      <c r="F335" t="inlineStr">
        <is>
          <t>Kommuner</t>
        </is>
      </c>
      <c r="G335" t="n">
        <v>0.4</v>
      </c>
      <c r="H335" t="n">
        <v>2</v>
      </c>
      <c r="I335" t="n">
        <v>1</v>
      </c>
      <c r="J335" t="n">
        <v>0</v>
      </c>
      <c r="K335" t="n">
        <v>1</v>
      </c>
      <c r="L335" t="n">
        <v>0</v>
      </c>
      <c r="M335" t="n">
        <v>0</v>
      </c>
      <c r="N335" t="n">
        <v>0</v>
      </c>
      <c r="O335" t="n">
        <v>1</v>
      </c>
      <c r="P335" t="n">
        <v>1</v>
      </c>
      <c r="Q335" t="n">
        <v>3</v>
      </c>
      <c r="R335" s="2" t="inlineStr">
        <is>
          <t>Kungsfiskare
Tibast
Gullviva</t>
        </is>
      </c>
      <c r="S335">
        <f>HYPERLINK("https://klasma.github.io/Logging_0860/artfynd/A 12711-2022 artfynd.xlsx", "A 12711-2022")</f>
        <v/>
      </c>
      <c r="T335">
        <f>HYPERLINK("https://klasma.github.io/Logging_0860/kartor/A 12711-2022 karta.png", "A 12711-2022")</f>
        <v/>
      </c>
      <c r="V335">
        <f>HYPERLINK("https://klasma.github.io/Logging_0860/klagomål/A 12711-2022 FSC-klagomål.docx", "A 12711-2022")</f>
        <v/>
      </c>
      <c r="W335">
        <f>HYPERLINK("https://klasma.github.io/Logging_0860/klagomålsmail/A 12711-2022 FSC-klagomål mail.docx", "A 12711-2022")</f>
        <v/>
      </c>
      <c r="X335">
        <f>HYPERLINK("https://klasma.github.io/Logging_0860/tillsyn/A 12711-2022 tillsynsbegäran.docx", "A 12711-2022")</f>
        <v/>
      </c>
      <c r="Y335">
        <f>HYPERLINK("https://klasma.github.io/Logging_0860/tillsynsmail/A 12711-2022 tillsynsbegäran mail.docx", "A 12711-2022")</f>
        <v/>
      </c>
    </row>
    <row r="336" ht="15" customHeight="1">
      <c r="A336" t="inlineStr">
        <is>
          <t>A 32640-2022</t>
        </is>
      </c>
      <c r="B336" s="1" t="n">
        <v>44783</v>
      </c>
      <c r="C336" s="1" t="n">
        <v>45715</v>
      </c>
      <c r="D336" t="inlineStr">
        <is>
          <t>KALMAR LÄN</t>
        </is>
      </c>
      <c r="E336" t="inlineStr">
        <is>
          <t>BORGHOLM</t>
        </is>
      </c>
      <c r="F336" t="inlineStr">
        <is>
          <t>Sveaskog</t>
        </is>
      </c>
      <c r="G336" t="n">
        <v>1.2</v>
      </c>
      <c r="H336" t="n">
        <v>0</v>
      </c>
      <c r="I336" t="n">
        <v>3</v>
      </c>
      <c r="J336" t="n">
        <v>0</v>
      </c>
      <c r="K336" t="n">
        <v>0</v>
      </c>
      <c r="L336" t="n">
        <v>0</v>
      </c>
      <c r="M336" t="n">
        <v>0</v>
      </c>
      <c r="N336" t="n">
        <v>0</v>
      </c>
      <c r="O336" t="n">
        <v>0</v>
      </c>
      <c r="P336" t="n">
        <v>0</v>
      </c>
      <c r="Q336" t="n">
        <v>3</v>
      </c>
      <c r="R336" s="2" t="inlineStr">
        <is>
          <t>Kornknutmossa
Murgröna
Svart trolldruva</t>
        </is>
      </c>
      <c r="S336">
        <f>HYPERLINK("https://klasma.github.io/Logging_0885/artfynd/A 32640-2022 artfynd.xlsx", "A 32640-2022")</f>
        <v/>
      </c>
      <c r="T336">
        <f>HYPERLINK("https://klasma.github.io/Logging_0885/kartor/A 32640-2022 karta.png", "A 32640-2022")</f>
        <v/>
      </c>
      <c r="V336">
        <f>HYPERLINK("https://klasma.github.io/Logging_0885/klagomål/A 32640-2022 FSC-klagomål.docx", "A 32640-2022")</f>
        <v/>
      </c>
      <c r="W336">
        <f>HYPERLINK("https://klasma.github.io/Logging_0885/klagomålsmail/A 32640-2022 FSC-klagomål mail.docx", "A 32640-2022")</f>
        <v/>
      </c>
      <c r="X336">
        <f>HYPERLINK("https://klasma.github.io/Logging_0885/tillsyn/A 32640-2022 tillsynsbegäran.docx", "A 32640-2022")</f>
        <v/>
      </c>
      <c r="Y336">
        <f>HYPERLINK("https://klasma.github.io/Logging_0885/tillsynsmail/A 32640-2022 tillsynsbegäran mail.docx", "A 32640-2022")</f>
        <v/>
      </c>
    </row>
    <row r="337" ht="15" customHeight="1">
      <c r="A337" t="inlineStr">
        <is>
          <t>A 33057-2022</t>
        </is>
      </c>
      <c r="B337" s="1" t="n">
        <v>44785</v>
      </c>
      <c r="C337" s="1" t="n">
        <v>45715</v>
      </c>
      <c r="D337" t="inlineStr">
        <is>
          <t>KALMAR LÄN</t>
        </is>
      </c>
      <c r="E337" t="inlineStr">
        <is>
          <t>KALMAR</t>
        </is>
      </c>
      <c r="F337" t="inlineStr">
        <is>
          <t>Kyrkan</t>
        </is>
      </c>
      <c r="G337" t="n">
        <v>3.7</v>
      </c>
      <c r="H337" t="n">
        <v>0</v>
      </c>
      <c r="I337" t="n">
        <v>3</v>
      </c>
      <c r="J337" t="n">
        <v>0</v>
      </c>
      <c r="K337" t="n">
        <v>0</v>
      </c>
      <c r="L337" t="n">
        <v>0</v>
      </c>
      <c r="M337" t="n">
        <v>0</v>
      </c>
      <c r="N337" t="n">
        <v>0</v>
      </c>
      <c r="O337" t="n">
        <v>0</v>
      </c>
      <c r="P337" t="n">
        <v>0</v>
      </c>
      <c r="Q337" t="n">
        <v>3</v>
      </c>
      <c r="R337" s="2" t="inlineStr">
        <is>
          <t>Blåmossa
Grovticka
Grönpyrola</t>
        </is>
      </c>
      <c r="S337">
        <f>HYPERLINK("https://klasma.github.io/Logging_0880/artfynd/A 33057-2022 artfynd.xlsx", "A 33057-2022")</f>
        <v/>
      </c>
      <c r="T337">
        <f>HYPERLINK("https://klasma.github.io/Logging_0880/kartor/A 33057-2022 karta.png", "A 33057-2022")</f>
        <v/>
      </c>
      <c r="V337">
        <f>HYPERLINK("https://klasma.github.io/Logging_0880/klagomål/A 33057-2022 FSC-klagomål.docx", "A 33057-2022")</f>
        <v/>
      </c>
      <c r="W337">
        <f>HYPERLINK("https://klasma.github.io/Logging_0880/klagomålsmail/A 33057-2022 FSC-klagomål mail.docx", "A 33057-2022")</f>
        <v/>
      </c>
      <c r="X337">
        <f>HYPERLINK("https://klasma.github.io/Logging_0880/tillsyn/A 33057-2022 tillsynsbegäran.docx", "A 33057-2022")</f>
        <v/>
      </c>
      <c r="Y337">
        <f>HYPERLINK("https://klasma.github.io/Logging_0880/tillsynsmail/A 33057-2022 tillsynsbegäran mail.docx", "A 33057-2022")</f>
        <v/>
      </c>
    </row>
    <row r="338" ht="15" customHeight="1">
      <c r="A338" t="inlineStr">
        <is>
          <t>A 37603-2022</t>
        </is>
      </c>
      <c r="B338" s="1" t="n">
        <v>44809</v>
      </c>
      <c r="C338" s="1" t="n">
        <v>45715</v>
      </c>
      <c r="D338" t="inlineStr">
        <is>
          <t>KALMAR LÄN</t>
        </is>
      </c>
      <c r="E338" t="inlineStr">
        <is>
          <t>HULTSFRED</t>
        </is>
      </c>
      <c r="G338" t="n">
        <v>3</v>
      </c>
      <c r="H338" t="n">
        <v>2</v>
      </c>
      <c r="I338" t="n">
        <v>1</v>
      </c>
      <c r="J338" t="n">
        <v>0</v>
      </c>
      <c r="K338" t="n">
        <v>0</v>
      </c>
      <c r="L338" t="n">
        <v>0</v>
      </c>
      <c r="M338" t="n">
        <v>0</v>
      </c>
      <c r="N338" t="n">
        <v>0</v>
      </c>
      <c r="O338" t="n">
        <v>0</v>
      </c>
      <c r="P338" t="n">
        <v>0</v>
      </c>
      <c r="Q338" t="n">
        <v>3</v>
      </c>
      <c r="R338" s="2" t="inlineStr">
        <is>
          <t>Västlig hakmossa
Blåsippa
Revlummer</t>
        </is>
      </c>
      <c r="S338">
        <f>HYPERLINK("https://klasma.github.io/Logging_0860/artfynd/A 37603-2022 artfynd.xlsx", "A 37603-2022")</f>
        <v/>
      </c>
      <c r="T338">
        <f>HYPERLINK("https://klasma.github.io/Logging_0860/kartor/A 37603-2022 karta.png", "A 37603-2022")</f>
        <v/>
      </c>
      <c r="V338">
        <f>HYPERLINK("https://klasma.github.io/Logging_0860/klagomål/A 37603-2022 FSC-klagomål.docx", "A 37603-2022")</f>
        <v/>
      </c>
      <c r="W338">
        <f>HYPERLINK("https://klasma.github.io/Logging_0860/klagomålsmail/A 37603-2022 FSC-klagomål mail.docx", "A 37603-2022")</f>
        <v/>
      </c>
      <c r="X338">
        <f>HYPERLINK("https://klasma.github.io/Logging_0860/tillsyn/A 37603-2022 tillsynsbegäran.docx", "A 37603-2022")</f>
        <v/>
      </c>
      <c r="Y338">
        <f>HYPERLINK("https://klasma.github.io/Logging_0860/tillsynsmail/A 37603-2022 tillsynsbegäran mail.docx", "A 37603-2022")</f>
        <v/>
      </c>
    </row>
    <row r="339" ht="15" customHeight="1">
      <c r="A339" t="inlineStr">
        <is>
          <t>A 37901-2022</t>
        </is>
      </c>
      <c r="B339" s="1" t="n">
        <v>44811</v>
      </c>
      <c r="C339" s="1" t="n">
        <v>45715</v>
      </c>
      <c r="D339" t="inlineStr">
        <is>
          <t>KALMAR LÄN</t>
        </is>
      </c>
      <c r="E339" t="inlineStr">
        <is>
          <t>VIMMERBY</t>
        </is>
      </c>
      <c r="G339" t="n">
        <v>3.9</v>
      </c>
      <c r="H339" t="n">
        <v>1</v>
      </c>
      <c r="I339" t="n">
        <v>1</v>
      </c>
      <c r="J339" t="n">
        <v>1</v>
      </c>
      <c r="K339" t="n">
        <v>0</v>
      </c>
      <c r="L339" t="n">
        <v>0</v>
      </c>
      <c r="M339" t="n">
        <v>0</v>
      </c>
      <c r="N339" t="n">
        <v>0</v>
      </c>
      <c r="O339" t="n">
        <v>1</v>
      </c>
      <c r="P339" t="n">
        <v>0</v>
      </c>
      <c r="Q339" t="n">
        <v>3</v>
      </c>
      <c r="R339" s="2" t="inlineStr">
        <is>
          <t>Tallticka
Kornig nållav
Revlummer</t>
        </is>
      </c>
      <c r="S339">
        <f>HYPERLINK("https://klasma.github.io/Logging_0884/artfynd/A 37901-2022 artfynd.xlsx", "A 37901-2022")</f>
        <v/>
      </c>
      <c r="T339">
        <f>HYPERLINK("https://klasma.github.io/Logging_0884/kartor/A 37901-2022 karta.png", "A 37901-2022")</f>
        <v/>
      </c>
      <c r="V339">
        <f>HYPERLINK("https://klasma.github.io/Logging_0884/klagomål/A 37901-2022 FSC-klagomål.docx", "A 37901-2022")</f>
        <v/>
      </c>
      <c r="W339">
        <f>HYPERLINK("https://klasma.github.io/Logging_0884/klagomålsmail/A 37901-2022 FSC-klagomål mail.docx", "A 37901-2022")</f>
        <v/>
      </c>
      <c r="X339">
        <f>HYPERLINK("https://klasma.github.io/Logging_0884/tillsyn/A 37901-2022 tillsynsbegäran.docx", "A 37901-2022")</f>
        <v/>
      </c>
      <c r="Y339">
        <f>HYPERLINK("https://klasma.github.io/Logging_0884/tillsynsmail/A 37901-2022 tillsynsbegäran mail.docx", "A 37901-2022")</f>
        <v/>
      </c>
    </row>
    <row r="340" ht="15" customHeight="1">
      <c r="A340" t="inlineStr">
        <is>
          <t>A 40302-2022</t>
        </is>
      </c>
      <c r="B340" s="1" t="n">
        <v>44822</v>
      </c>
      <c r="C340" s="1" t="n">
        <v>45715</v>
      </c>
      <c r="D340" t="inlineStr">
        <is>
          <t>KALMAR LÄN</t>
        </is>
      </c>
      <c r="E340" t="inlineStr">
        <is>
          <t>HULTSFRED</t>
        </is>
      </c>
      <c r="G340" t="n">
        <v>2.3</v>
      </c>
      <c r="H340" t="n">
        <v>3</v>
      </c>
      <c r="I340" t="n">
        <v>0</v>
      </c>
      <c r="J340" t="n">
        <v>2</v>
      </c>
      <c r="K340" t="n">
        <v>0</v>
      </c>
      <c r="L340" t="n">
        <v>0</v>
      </c>
      <c r="M340" t="n">
        <v>0</v>
      </c>
      <c r="N340" t="n">
        <v>0</v>
      </c>
      <c r="O340" t="n">
        <v>2</v>
      </c>
      <c r="P340" t="n">
        <v>0</v>
      </c>
      <c r="Q340" t="n">
        <v>3</v>
      </c>
      <c r="R340" s="2" t="inlineStr">
        <is>
          <t>Brunlångöra
Nordfladdermus
Dvärgpipistrell</t>
        </is>
      </c>
      <c r="S340">
        <f>HYPERLINK("https://klasma.github.io/Logging_0860/artfynd/A 40302-2022 artfynd.xlsx", "A 40302-2022")</f>
        <v/>
      </c>
      <c r="T340">
        <f>HYPERLINK("https://klasma.github.io/Logging_0860/kartor/A 40302-2022 karta.png", "A 40302-2022")</f>
        <v/>
      </c>
      <c r="V340">
        <f>HYPERLINK("https://klasma.github.io/Logging_0860/klagomål/A 40302-2022 FSC-klagomål.docx", "A 40302-2022")</f>
        <v/>
      </c>
      <c r="W340">
        <f>HYPERLINK("https://klasma.github.io/Logging_0860/klagomålsmail/A 40302-2022 FSC-klagomål mail.docx", "A 40302-2022")</f>
        <v/>
      </c>
      <c r="X340">
        <f>HYPERLINK("https://klasma.github.io/Logging_0860/tillsyn/A 40302-2022 tillsynsbegäran.docx", "A 40302-2022")</f>
        <v/>
      </c>
      <c r="Y340">
        <f>HYPERLINK("https://klasma.github.io/Logging_0860/tillsynsmail/A 40302-2022 tillsynsbegäran mail.docx", "A 40302-2022")</f>
        <v/>
      </c>
    </row>
    <row r="341" ht="15" customHeight="1">
      <c r="A341" t="inlineStr">
        <is>
          <t>A 41542-2022</t>
        </is>
      </c>
      <c r="B341" s="1" t="n">
        <v>44827</v>
      </c>
      <c r="C341" s="1" t="n">
        <v>45715</v>
      </c>
      <c r="D341" t="inlineStr">
        <is>
          <t>KALMAR LÄN</t>
        </is>
      </c>
      <c r="E341" t="inlineStr">
        <is>
          <t>KALMAR</t>
        </is>
      </c>
      <c r="G341" t="n">
        <v>29</v>
      </c>
      <c r="H341" t="n">
        <v>3</v>
      </c>
      <c r="I341" t="n">
        <v>0</v>
      </c>
      <c r="J341" t="n">
        <v>0</v>
      </c>
      <c r="K341" t="n">
        <v>1</v>
      </c>
      <c r="L341" t="n">
        <v>0</v>
      </c>
      <c r="M341" t="n">
        <v>0</v>
      </c>
      <c r="N341" t="n">
        <v>0</v>
      </c>
      <c r="O341" t="n">
        <v>1</v>
      </c>
      <c r="P341" t="n">
        <v>1</v>
      </c>
      <c r="Q341" t="n">
        <v>3</v>
      </c>
      <c r="R341" s="2" t="inlineStr">
        <is>
          <t>Knärot
Kopparödla
Vanlig snok</t>
        </is>
      </c>
      <c r="S341">
        <f>HYPERLINK("https://klasma.github.io/Logging_0880/artfynd/A 41542-2022 artfynd.xlsx", "A 41542-2022")</f>
        <v/>
      </c>
      <c r="T341">
        <f>HYPERLINK("https://klasma.github.io/Logging_0880/kartor/A 41542-2022 karta.png", "A 41542-2022")</f>
        <v/>
      </c>
      <c r="U341">
        <f>HYPERLINK("https://klasma.github.io/Logging_0880/knärot/A 41542-2022 karta knärot.png", "A 41542-2022")</f>
        <v/>
      </c>
      <c r="V341">
        <f>HYPERLINK("https://klasma.github.io/Logging_0880/klagomål/A 41542-2022 FSC-klagomål.docx", "A 41542-2022")</f>
        <v/>
      </c>
      <c r="W341">
        <f>HYPERLINK("https://klasma.github.io/Logging_0880/klagomålsmail/A 41542-2022 FSC-klagomål mail.docx", "A 41542-2022")</f>
        <v/>
      </c>
      <c r="X341">
        <f>HYPERLINK("https://klasma.github.io/Logging_0880/tillsyn/A 41542-2022 tillsynsbegäran.docx", "A 41542-2022")</f>
        <v/>
      </c>
      <c r="Y341">
        <f>HYPERLINK("https://klasma.github.io/Logging_0880/tillsynsmail/A 41542-2022 tillsynsbegäran mail.docx", "A 41542-2022")</f>
        <v/>
      </c>
    </row>
    <row r="342" ht="15" customHeight="1">
      <c r="A342" t="inlineStr">
        <is>
          <t>A 41772-2022</t>
        </is>
      </c>
      <c r="B342" s="1" t="n">
        <v>44827</v>
      </c>
      <c r="C342" s="1" t="n">
        <v>45715</v>
      </c>
      <c r="D342" t="inlineStr">
        <is>
          <t>KALMAR LÄN</t>
        </is>
      </c>
      <c r="E342" t="inlineStr">
        <is>
          <t>NYBRO</t>
        </is>
      </c>
      <c r="G342" t="n">
        <v>5.7</v>
      </c>
      <c r="H342" t="n">
        <v>0</v>
      </c>
      <c r="I342" t="n">
        <v>1</v>
      </c>
      <c r="J342" t="n">
        <v>2</v>
      </c>
      <c r="K342" t="n">
        <v>0</v>
      </c>
      <c r="L342" t="n">
        <v>0</v>
      </c>
      <c r="M342" t="n">
        <v>0</v>
      </c>
      <c r="N342" t="n">
        <v>0</v>
      </c>
      <c r="O342" t="n">
        <v>2</v>
      </c>
      <c r="P342" t="n">
        <v>0</v>
      </c>
      <c r="Q342" t="n">
        <v>3</v>
      </c>
      <c r="R342" s="2" t="inlineStr">
        <is>
          <t>Motaggsvamp
Orange taggsvamp
Blåmossa</t>
        </is>
      </c>
      <c r="S342">
        <f>HYPERLINK("https://klasma.github.io/Logging_0881/artfynd/A 41772-2022 artfynd.xlsx", "A 41772-2022")</f>
        <v/>
      </c>
      <c r="T342">
        <f>HYPERLINK("https://klasma.github.io/Logging_0881/kartor/A 41772-2022 karta.png", "A 41772-2022")</f>
        <v/>
      </c>
      <c r="V342">
        <f>HYPERLINK("https://klasma.github.io/Logging_0881/klagomål/A 41772-2022 FSC-klagomål.docx", "A 41772-2022")</f>
        <v/>
      </c>
      <c r="W342">
        <f>HYPERLINK("https://klasma.github.io/Logging_0881/klagomålsmail/A 41772-2022 FSC-klagomål mail.docx", "A 41772-2022")</f>
        <v/>
      </c>
      <c r="X342">
        <f>HYPERLINK("https://klasma.github.io/Logging_0881/tillsyn/A 41772-2022 tillsynsbegäran.docx", "A 41772-2022")</f>
        <v/>
      </c>
      <c r="Y342">
        <f>HYPERLINK("https://klasma.github.io/Logging_0881/tillsynsmail/A 41772-2022 tillsynsbegäran mail.docx", "A 41772-2022")</f>
        <v/>
      </c>
    </row>
    <row r="343" ht="15" customHeight="1">
      <c r="A343" t="inlineStr">
        <is>
          <t>A 47451-2022</t>
        </is>
      </c>
      <c r="B343" s="1" t="n">
        <v>44853</v>
      </c>
      <c r="C343" s="1" t="n">
        <v>45715</v>
      </c>
      <c r="D343" t="inlineStr">
        <is>
          <t>KALMAR LÄN</t>
        </is>
      </c>
      <c r="E343" t="inlineStr">
        <is>
          <t>KALMAR</t>
        </is>
      </c>
      <c r="G343" t="n">
        <v>3.8</v>
      </c>
      <c r="H343" t="n">
        <v>1</v>
      </c>
      <c r="I343" t="n">
        <v>2</v>
      </c>
      <c r="J343" t="n">
        <v>0</v>
      </c>
      <c r="K343" t="n">
        <v>1</v>
      </c>
      <c r="L343" t="n">
        <v>0</v>
      </c>
      <c r="M343" t="n">
        <v>0</v>
      </c>
      <c r="N343" t="n">
        <v>0</v>
      </c>
      <c r="O343" t="n">
        <v>1</v>
      </c>
      <c r="P343" t="n">
        <v>1</v>
      </c>
      <c r="Q343" t="n">
        <v>3</v>
      </c>
      <c r="R343" s="2" t="inlineStr">
        <is>
          <t>Knärot
Grönpyrola
Murgröna</t>
        </is>
      </c>
      <c r="S343">
        <f>HYPERLINK("https://klasma.github.io/Logging_0880/artfynd/A 47451-2022 artfynd.xlsx", "A 47451-2022")</f>
        <v/>
      </c>
      <c r="T343">
        <f>HYPERLINK("https://klasma.github.io/Logging_0880/kartor/A 47451-2022 karta.png", "A 47451-2022")</f>
        <v/>
      </c>
      <c r="U343">
        <f>HYPERLINK("https://klasma.github.io/Logging_0880/knärot/A 47451-2022 karta knärot.png", "A 47451-2022")</f>
        <v/>
      </c>
      <c r="V343">
        <f>HYPERLINK("https://klasma.github.io/Logging_0880/klagomål/A 47451-2022 FSC-klagomål.docx", "A 47451-2022")</f>
        <v/>
      </c>
      <c r="W343">
        <f>HYPERLINK("https://klasma.github.io/Logging_0880/klagomålsmail/A 47451-2022 FSC-klagomål mail.docx", "A 47451-2022")</f>
        <v/>
      </c>
      <c r="X343">
        <f>HYPERLINK("https://klasma.github.io/Logging_0880/tillsyn/A 47451-2022 tillsynsbegäran.docx", "A 47451-2022")</f>
        <v/>
      </c>
      <c r="Y343">
        <f>HYPERLINK("https://klasma.github.io/Logging_0880/tillsynsmail/A 47451-2022 tillsynsbegäran mail.docx", "A 47451-2022")</f>
        <v/>
      </c>
    </row>
    <row r="344" ht="15" customHeight="1">
      <c r="A344" t="inlineStr">
        <is>
          <t>A 50759-2022</t>
        </is>
      </c>
      <c r="B344" s="1" t="n">
        <v>44867</v>
      </c>
      <c r="C344" s="1" t="n">
        <v>45715</v>
      </c>
      <c r="D344" t="inlineStr">
        <is>
          <t>KALMAR LÄN</t>
        </is>
      </c>
      <c r="E344" t="inlineStr">
        <is>
          <t>NYBRO</t>
        </is>
      </c>
      <c r="G344" t="n">
        <v>5.1</v>
      </c>
      <c r="H344" t="n">
        <v>0</v>
      </c>
      <c r="I344" t="n">
        <v>3</v>
      </c>
      <c r="J344" t="n">
        <v>0</v>
      </c>
      <c r="K344" t="n">
        <v>0</v>
      </c>
      <c r="L344" t="n">
        <v>0</v>
      </c>
      <c r="M344" t="n">
        <v>0</v>
      </c>
      <c r="N344" t="n">
        <v>0</v>
      </c>
      <c r="O344" t="n">
        <v>0</v>
      </c>
      <c r="P344" t="n">
        <v>0</v>
      </c>
      <c r="Q344" t="n">
        <v>3</v>
      </c>
      <c r="R344" s="2" t="inlineStr">
        <is>
          <t>Blåmossa
Ljus vedstrit
Mindre märgborre</t>
        </is>
      </c>
      <c r="S344">
        <f>HYPERLINK("https://klasma.github.io/Logging_0881/artfynd/A 50759-2022 artfynd.xlsx", "A 50759-2022")</f>
        <v/>
      </c>
      <c r="T344">
        <f>HYPERLINK("https://klasma.github.io/Logging_0881/kartor/A 50759-2022 karta.png", "A 50759-2022")</f>
        <v/>
      </c>
      <c r="V344">
        <f>HYPERLINK("https://klasma.github.io/Logging_0881/klagomål/A 50759-2022 FSC-klagomål.docx", "A 50759-2022")</f>
        <v/>
      </c>
      <c r="W344">
        <f>HYPERLINK("https://klasma.github.io/Logging_0881/klagomålsmail/A 50759-2022 FSC-klagomål mail.docx", "A 50759-2022")</f>
        <v/>
      </c>
      <c r="X344">
        <f>HYPERLINK("https://klasma.github.io/Logging_0881/tillsyn/A 50759-2022 tillsynsbegäran.docx", "A 50759-2022")</f>
        <v/>
      </c>
      <c r="Y344">
        <f>HYPERLINK("https://klasma.github.io/Logging_0881/tillsynsmail/A 50759-2022 tillsynsbegäran mail.docx", "A 50759-2022")</f>
        <v/>
      </c>
    </row>
    <row r="345" ht="15" customHeight="1">
      <c r="A345" t="inlineStr">
        <is>
          <t>A 55506-2022</t>
        </is>
      </c>
      <c r="B345" s="1" t="n">
        <v>44887</v>
      </c>
      <c r="C345" s="1" t="n">
        <v>45715</v>
      </c>
      <c r="D345" t="inlineStr">
        <is>
          <t>KALMAR LÄN</t>
        </is>
      </c>
      <c r="E345" t="inlineStr">
        <is>
          <t>VÄSTERVIK</t>
        </is>
      </c>
      <c r="G345" t="n">
        <v>3.4</v>
      </c>
      <c r="H345" t="n">
        <v>0</v>
      </c>
      <c r="I345" t="n">
        <v>1</v>
      </c>
      <c r="J345" t="n">
        <v>2</v>
      </c>
      <c r="K345" t="n">
        <v>0</v>
      </c>
      <c r="L345" t="n">
        <v>0</v>
      </c>
      <c r="M345" t="n">
        <v>0</v>
      </c>
      <c r="N345" t="n">
        <v>0</v>
      </c>
      <c r="O345" t="n">
        <v>2</v>
      </c>
      <c r="P345" t="n">
        <v>0</v>
      </c>
      <c r="Q345" t="n">
        <v>3</v>
      </c>
      <c r="R345" s="2" t="inlineStr">
        <is>
          <t>Tallticka
Ullticka
Trädporella</t>
        </is>
      </c>
      <c r="S345">
        <f>HYPERLINK("https://klasma.github.io/Logging_0883/artfynd/A 55506-2022 artfynd.xlsx", "A 55506-2022")</f>
        <v/>
      </c>
      <c r="T345">
        <f>HYPERLINK("https://klasma.github.io/Logging_0883/kartor/A 55506-2022 karta.png", "A 55506-2022")</f>
        <v/>
      </c>
      <c r="V345">
        <f>HYPERLINK("https://klasma.github.io/Logging_0883/klagomål/A 55506-2022 FSC-klagomål.docx", "A 55506-2022")</f>
        <v/>
      </c>
      <c r="W345">
        <f>HYPERLINK("https://klasma.github.io/Logging_0883/klagomålsmail/A 55506-2022 FSC-klagomål mail.docx", "A 55506-2022")</f>
        <v/>
      </c>
      <c r="X345">
        <f>HYPERLINK("https://klasma.github.io/Logging_0883/tillsyn/A 55506-2022 tillsynsbegäran.docx", "A 55506-2022")</f>
        <v/>
      </c>
      <c r="Y345">
        <f>HYPERLINK("https://klasma.github.io/Logging_0883/tillsynsmail/A 55506-2022 tillsynsbegäran mail.docx", "A 55506-2022")</f>
        <v/>
      </c>
    </row>
    <row r="346" ht="15" customHeight="1">
      <c r="A346" t="inlineStr">
        <is>
          <t>A 60252-2022</t>
        </is>
      </c>
      <c r="B346" s="1" t="n">
        <v>44910</v>
      </c>
      <c r="C346" s="1" t="n">
        <v>45715</v>
      </c>
      <c r="D346" t="inlineStr">
        <is>
          <t>KALMAR LÄN</t>
        </is>
      </c>
      <c r="E346" t="inlineStr">
        <is>
          <t>HÖGSBY</t>
        </is>
      </c>
      <c r="G346" t="n">
        <v>2.6</v>
      </c>
      <c r="H346" t="n">
        <v>2</v>
      </c>
      <c r="I346" t="n">
        <v>1</v>
      </c>
      <c r="J346" t="n">
        <v>1</v>
      </c>
      <c r="K346" t="n">
        <v>0</v>
      </c>
      <c r="L346" t="n">
        <v>0</v>
      </c>
      <c r="M346" t="n">
        <v>0</v>
      </c>
      <c r="N346" t="n">
        <v>0</v>
      </c>
      <c r="O346" t="n">
        <v>1</v>
      </c>
      <c r="P346" t="n">
        <v>0</v>
      </c>
      <c r="Q346" t="n">
        <v>3</v>
      </c>
      <c r="R346" s="2" t="inlineStr">
        <is>
          <t>Spillkråka
Fällmossa
Blåsippa</t>
        </is>
      </c>
      <c r="S346">
        <f>HYPERLINK("https://klasma.github.io/Logging_0821/artfynd/A 60252-2022 artfynd.xlsx", "A 60252-2022")</f>
        <v/>
      </c>
      <c r="T346">
        <f>HYPERLINK("https://klasma.github.io/Logging_0821/kartor/A 60252-2022 karta.png", "A 60252-2022")</f>
        <v/>
      </c>
      <c r="V346">
        <f>HYPERLINK("https://klasma.github.io/Logging_0821/klagomål/A 60252-2022 FSC-klagomål.docx", "A 60252-2022")</f>
        <v/>
      </c>
      <c r="W346">
        <f>HYPERLINK("https://klasma.github.io/Logging_0821/klagomålsmail/A 60252-2022 FSC-klagomål mail.docx", "A 60252-2022")</f>
        <v/>
      </c>
      <c r="X346">
        <f>HYPERLINK("https://klasma.github.io/Logging_0821/tillsyn/A 60252-2022 tillsynsbegäran.docx", "A 60252-2022")</f>
        <v/>
      </c>
      <c r="Y346">
        <f>HYPERLINK("https://klasma.github.io/Logging_0821/tillsynsmail/A 60252-2022 tillsynsbegäran mail.docx", "A 60252-2022")</f>
        <v/>
      </c>
      <c r="Z346">
        <f>HYPERLINK("https://klasma.github.io/Logging_0821/fåglar/A 60252-2022 prioriterade fågelarter.docx", "A 60252-2022")</f>
        <v/>
      </c>
    </row>
    <row r="347" ht="15" customHeight="1">
      <c r="A347" t="inlineStr">
        <is>
          <t>A 8214-2023</t>
        </is>
      </c>
      <c r="B347" s="1" t="n">
        <v>44974</v>
      </c>
      <c r="C347" s="1" t="n">
        <v>45715</v>
      </c>
      <c r="D347" t="inlineStr">
        <is>
          <t>KALMAR LÄN</t>
        </is>
      </c>
      <c r="E347" t="inlineStr">
        <is>
          <t>VIMMERBY</t>
        </is>
      </c>
      <c r="G347" t="n">
        <v>4.7</v>
      </c>
      <c r="H347" t="n">
        <v>1</v>
      </c>
      <c r="I347" t="n">
        <v>1</v>
      </c>
      <c r="J347" t="n">
        <v>1</v>
      </c>
      <c r="K347" t="n">
        <v>1</v>
      </c>
      <c r="L347" t="n">
        <v>0</v>
      </c>
      <c r="M347" t="n">
        <v>0</v>
      </c>
      <c r="N347" t="n">
        <v>0</v>
      </c>
      <c r="O347" t="n">
        <v>2</v>
      </c>
      <c r="P347" t="n">
        <v>1</v>
      </c>
      <c r="Q347" t="n">
        <v>3</v>
      </c>
      <c r="R347" s="2" t="inlineStr">
        <is>
          <t>Knärot
Åkerkål
Grönpyrola</t>
        </is>
      </c>
      <c r="S347">
        <f>HYPERLINK("https://klasma.github.io/Logging_0884/artfynd/A 8214-2023 artfynd.xlsx", "A 8214-2023")</f>
        <v/>
      </c>
      <c r="T347">
        <f>HYPERLINK("https://klasma.github.io/Logging_0884/kartor/A 8214-2023 karta.png", "A 8214-2023")</f>
        <v/>
      </c>
      <c r="U347">
        <f>HYPERLINK("https://klasma.github.io/Logging_0884/knärot/A 8214-2023 karta knärot.png", "A 8214-2023")</f>
        <v/>
      </c>
      <c r="V347">
        <f>HYPERLINK("https://klasma.github.io/Logging_0884/klagomål/A 8214-2023 FSC-klagomål.docx", "A 8214-2023")</f>
        <v/>
      </c>
      <c r="W347">
        <f>HYPERLINK("https://klasma.github.io/Logging_0884/klagomålsmail/A 8214-2023 FSC-klagomål mail.docx", "A 8214-2023")</f>
        <v/>
      </c>
      <c r="X347">
        <f>HYPERLINK("https://klasma.github.io/Logging_0884/tillsyn/A 8214-2023 tillsynsbegäran.docx", "A 8214-2023")</f>
        <v/>
      </c>
      <c r="Y347">
        <f>HYPERLINK("https://klasma.github.io/Logging_0884/tillsynsmail/A 8214-2023 tillsynsbegäran mail.docx", "A 8214-2023")</f>
        <v/>
      </c>
    </row>
    <row r="348" ht="15" customHeight="1">
      <c r="A348" t="inlineStr">
        <is>
          <t>A 9561-2023</t>
        </is>
      </c>
      <c r="B348" s="1" t="n">
        <v>44982</v>
      </c>
      <c r="C348" s="1" t="n">
        <v>45715</v>
      </c>
      <c r="D348" t="inlineStr">
        <is>
          <t>KALMAR LÄN</t>
        </is>
      </c>
      <c r="E348" t="inlineStr">
        <is>
          <t>NYBRO</t>
        </is>
      </c>
      <c r="F348" t="inlineStr">
        <is>
          <t>Sveaskog</t>
        </is>
      </c>
      <c r="G348" t="n">
        <v>0.7</v>
      </c>
      <c r="H348" t="n">
        <v>3</v>
      </c>
      <c r="I348" t="n">
        <v>0</v>
      </c>
      <c r="J348" t="n">
        <v>1</v>
      </c>
      <c r="K348" t="n">
        <v>0</v>
      </c>
      <c r="L348" t="n">
        <v>0</v>
      </c>
      <c r="M348" t="n">
        <v>0</v>
      </c>
      <c r="N348" t="n">
        <v>0</v>
      </c>
      <c r="O348" t="n">
        <v>1</v>
      </c>
      <c r="P348" t="n">
        <v>0</v>
      </c>
      <c r="Q348" t="n">
        <v>3</v>
      </c>
      <c r="R348" s="2" t="inlineStr">
        <is>
          <t>Nordfladdermus
Dvärgpipistrell
Sångsvan</t>
        </is>
      </c>
      <c r="S348">
        <f>HYPERLINK("https://klasma.github.io/Logging_0881/artfynd/A 9561-2023 artfynd.xlsx", "A 9561-2023")</f>
        <v/>
      </c>
      <c r="T348">
        <f>HYPERLINK("https://klasma.github.io/Logging_0881/kartor/A 9561-2023 karta.png", "A 9561-2023")</f>
        <v/>
      </c>
      <c r="V348">
        <f>HYPERLINK("https://klasma.github.io/Logging_0881/klagomål/A 9561-2023 FSC-klagomål.docx", "A 9561-2023")</f>
        <v/>
      </c>
      <c r="W348">
        <f>HYPERLINK("https://klasma.github.io/Logging_0881/klagomålsmail/A 9561-2023 FSC-klagomål mail.docx", "A 9561-2023")</f>
        <v/>
      </c>
      <c r="X348">
        <f>HYPERLINK("https://klasma.github.io/Logging_0881/tillsyn/A 9561-2023 tillsynsbegäran.docx", "A 9561-2023")</f>
        <v/>
      </c>
      <c r="Y348">
        <f>HYPERLINK("https://klasma.github.io/Logging_0881/tillsynsmail/A 9561-2023 tillsynsbegäran mail.docx", "A 9561-2023")</f>
        <v/>
      </c>
      <c r="Z348">
        <f>HYPERLINK("https://klasma.github.io/Logging_0881/fåglar/A 9561-2023 prioriterade fågelarter.docx", "A 9561-2023")</f>
        <v/>
      </c>
    </row>
    <row r="349" ht="15" customHeight="1">
      <c r="A349" t="inlineStr">
        <is>
          <t>A 12708-2023</t>
        </is>
      </c>
      <c r="B349" s="1" t="n">
        <v>45000</v>
      </c>
      <c r="C349" s="1" t="n">
        <v>45715</v>
      </c>
      <c r="D349" t="inlineStr">
        <is>
          <t>KALMAR LÄN</t>
        </is>
      </c>
      <c r="E349" t="inlineStr">
        <is>
          <t>VÄSTERVIK</t>
        </is>
      </c>
      <c r="G349" t="n">
        <v>8.6</v>
      </c>
      <c r="H349" t="n">
        <v>2</v>
      </c>
      <c r="I349" t="n">
        <v>0</v>
      </c>
      <c r="J349" t="n">
        <v>2</v>
      </c>
      <c r="K349" t="n">
        <v>1</v>
      </c>
      <c r="L349" t="n">
        <v>0</v>
      </c>
      <c r="M349" t="n">
        <v>0</v>
      </c>
      <c r="N349" t="n">
        <v>0</v>
      </c>
      <c r="O349" t="n">
        <v>3</v>
      </c>
      <c r="P349" t="n">
        <v>1</v>
      </c>
      <c r="Q349" t="n">
        <v>3</v>
      </c>
      <c r="R349" s="2" t="inlineStr">
        <is>
          <t>Knärot
Tallticka
Talltita</t>
        </is>
      </c>
      <c r="S349">
        <f>HYPERLINK("https://klasma.github.io/Logging_0883/artfynd/A 12708-2023 artfynd.xlsx", "A 12708-2023")</f>
        <v/>
      </c>
      <c r="T349">
        <f>HYPERLINK("https://klasma.github.io/Logging_0883/kartor/A 12708-2023 karta.png", "A 12708-2023")</f>
        <v/>
      </c>
      <c r="U349">
        <f>HYPERLINK("https://klasma.github.io/Logging_0883/knärot/A 12708-2023 karta knärot.png", "A 12708-2023")</f>
        <v/>
      </c>
      <c r="V349">
        <f>HYPERLINK("https://klasma.github.io/Logging_0883/klagomål/A 12708-2023 FSC-klagomål.docx", "A 12708-2023")</f>
        <v/>
      </c>
      <c r="W349">
        <f>HYPERLINK("https://klasma.github.io/Logging_0883/klagomålsmail/A 12708-2023 FSC-klagomål mail.docx", "A 12708-2023")</f>
        <v/>
      </c>
      <c r="X349">
        <f>HYPERLINK("https://klasma.github.io/Logging_0883/tillsyn/A 12708-2023 tillsynsbegäran.docx", "A 12708-2023")</f>
        <v/>
      </c>
      <c r="Y349">
        <f>HYPERLINK("https://klasma.github.io/Logging_0883/tillsynsmail/A 12708-2023 tillsynsbegäran mail.docx", "A 12708-2023")</f>
        <v/>
      </c>
      <c r="Z349">
        <f>HYPERLINK("https://klasma.github.io/Logging_0883/fåglar/A 12708-2023 prioriterade fågelarter.docx", "A 12708-2023")</f>
        <v/>
      </c>
    </row>
    <row r="350" ht="15" customHeight="1">
      <c r="A350" t="inlineStr">
        <is>
          <t>A 14463-2023</t>
        </is>
      </c>
      <c r="B350" s="1" t="n">
        <v>45012</v>
      </c>
      <c r="C350" s="1" t="n">
        <v>45715</v>
      </c>
      <c r="D350" t="inlineStr">
        <is>
          <t>KALMAR LÄN</t>
        </is>
      </c>
      <c r="E350" t="inlineStr">
        <is>
          <t>OSKARSHAMN</t>
        </is>
      </c>
      <c r="G350" t="n">
        <v>8.199999999999999</v>
      </c>
      <c r="H350" t="n">
        <v>1</v>
      </c>
      <c r="I350" t="n">
        <v>1</v>
      </c>
      <c r="J350" t="n">
        <v>1</v>
      </c>
      <c r="K350" t="n">
        <v>0</v>
      </c>
      <c r="L350" t="n">
        <v>0</v>
      </c>
      <c r="M350" t="n">
        <v>0</v>
      </c>
      <c r="N350" t="n">
        <v>0</v>
      </c>
      <c r="O350" t="n">
        <v>1</v>
      </c>
      <c r="P350" t="n">
        <v>0</v>
      </c>
      <c r="Q350" t="n">
        <v>3</v>
      </c>
      <c r="R350" s="2" t="inlineStr">
        <is>
          <t>Klubbsprötad bastardsvärmare
Sotlav
Blåsippa</t>
        </is>
      </c>
      <c r="S350">
        <f>HYPERLINK("https://klasma.github.io/Logging_0882/artfynd/A 14463-2023 artfynd.xlsx", "A 14463-2023")</f>
        <v/>
      </c>
      <c r="T350">
        <f>HYPERLINK("https://klasma.github.io/Logging_0882/kartor/A 14463-2023 karta.png", "A 14463-2023")</f>
        <v/>
      </c>
      <c r="V350">
        <f>HYPERLINK("https://klasma.github.io/Logging_0882/klagomål/A 14463-2023 FSC-klagomål.docx", "A 14463-2023")</f>
        <v/>
      </c>
      <c r="W350">
        <f>HYPERLINK("https://klasma.github.io/Logging_0882/klagomålsmail/A 14463-2023 FSC-klagomål mail.docx", "A 14463-2023")</f>
        <v/>
      </c>
      <c r="X350">
        <f>HYPERLINK("https://klasma.github.io/Logging_0882/tillsyn/A 14463-2023 tillsynsbegäran.docx", "A 14463-2023")</f>
        <v/>
      </c>
      <c r="Y350">
        <f>HYPERLINK("https://klasma.github.io/Logging_0882/tillsynsmail/A 14463-2023 tillsynsbegäran mail.docx", "A 14463-2023")</f>
        <v/>
      </c>
    </row>
    <row r="351" ht="15" customHeight="1">
      <c r="A351" t="inlineStr">
        <is>
          <t>A 15275-2023</t>
        </is>
      </c>
      <c r="B351" s="1" t="n">
        <v>45019</v>
      </c>
      <c r="C351" s="1" t="n">
        <v>45715</v>
      </c>
      <c r="D351" t="inlineStr">
        <is>
          <t>KALMAR LÄN</t>
        </is>
      </c>
      <c r="E351" t="inlineStr">
        <is>
          <t>NYBRO</t>
        </is>
      </c>
      <c r="G351" t="n">
        <v>3.2</v>
      </c>
      <c r="H351" t="n">
        <v>3</v>
      </c>
      <c r="I351" t="n">
        <v>0</v>
      </c>
      <c r="J351" t="n">
        <v>1</v>
      </c>
      <c r="K351" t="n">
        <v>0</v>
      </c>
      <c r="L351" t="n">
        <v>0</v>
      </c>
      <c r="M351" t="n">
        <v>0</v>
      </c>
      <c r="N351" t="n">
        <v>0</v>
      </c>
      <c r="O351" t="n">
        <v>1</v>
      </c>
      <c r="P351" t="n">
        <v>0</v>
      </c>
      <c r="Q351" t="n">
        <v>3</v>
      </c>
      <c r="R351" s="2" t="inlineStr">
        <is>
          <t>Spillkråka
Grönsiska
Kungsfågel</t>
        </is>
      </c>
      <c r="S351">
        <f>HYPERLINK("https://klasma.github.io/Logging_0881/artfynd/A 15275-2023 artfynd.xlsx", "A 15275-2023")</f>
        <v/>
      </c>
      <c r="T351">
        <f>HYPERLINK("https://klasma.github.io/Logging_0881/kartor/A 15275-2023 karta.png", "A 15275-2023")</f>
        <v/>
      </c>
      <c r="V351">
        <f>HYPERLINK("https://klasma.github.io/Logging_0881/klagomål/A 15275-2023 FSC-klagomål.docx", "A 15275-2023")</f>
        <v/>
      </c>
      <c r="W351">
        <f>HYPERLINK("https://klasma.github.io/Logging_0881/klagomålsmail/A 15275-2023 FSC-klagomål mail.docx", "A 15275-2023")</f>
        <v/>
      </c>
      <c r="X351">
        <f>HYPERLINK("https://klasma.github.io/Logging_0881/tillsyn/A 15275-2023 tillsynsbegäran.docx", "A 15275-2023")</f>
        <v/>
      </c>
      <c r="Y351">
        <f>HYPERLINK("https://klasma.github.io/Logging_0881/tillsynsmail/A 15275-2023 tillsynsbegäran mail.docx", "A 15275-2023")</f>
        <v/>
      </c>
      <c r="Z351">
        <f>HYPERLINK("https://klasma.github.io/Logging_0881/fåglar/A 15275-2023 prioriterade fågelarter.docx", "A 15275-2023")</f>
        <v/>
      </c>
    </row>
    <row r="352" ht="15" customHeight="1">
      <c r="A352" t="inlineStr">
        <is>
          <t>A 15427-2023</t>
        </is>
      </c>
      <c r="B352" s="1" t="n">
        <v>45020</v>
      </c>
      <c r="C352" s="1" t="n">
        <v>45715</v>
      </c>
      <c r="D352" t="inlineStr">
        <is>
          <t>KALMAR LÄN</t>
        </is>
      </c>
      <c r="E352" t="inlineStr">
        <is>
          <t>VIMMERBY</t>
        </is>
      </c>
      <c r="G352" t="n">
        <v>4.1</v>
      </c>
      <c r="H352" t="n">
        <v>0</v>
      </c>
      <c r="I352" t="n">
        <v>1</v>
      </c>
      <c r="J352" t="n">
        <v>2</v>
      </c>
      <c r="K352" t="n">
        <v>0</v>
      </c>
      <c r="L352" t="n">
        <v>0</v>
      </c>
      <c r="M352" t="n">
        <v>0</v>
      </c>
      <c r="N352" t="n">
        <v>0</v>
      </c>
      <c r="O352" t="n">
        <v>2</v>
      </c>
      <c r="P352" t="n">
        <v>0</v>
      </c>
      <c r="Q352" t="n">
        <v>3</v>
      </c>
      <c r="R352" s="2" t="inlineStr">
        <is>
          <t>Slåtterfibbla
Solvända
Strävlosta</t>
        </is>
      </c>
      <c r="S352">
        <f>HYPERLINK("https://klasma.github.io/Logging_0884/artfynd/A 15427-2023 artfynd.xlsx", "A 15427-2023")</f>
        <v/>
      </c>
      <c r="T352">
        <f>HYPERLINK("https://klasma.github.io/Logging_0884/kartor/A 15427-2023 karta.png", "A 15427-2023")</f>
        <v/>
      </c>
      <c r="V352">
        <f>HYPERLINK("https://klasma.github.io/Logging_0884/klagomål/A 15427-2023 FSC-klagomål.docx", "A 15427-2023")</f>
        <v/>
      </c>
      <c r="W352">
        <f>HYPERLINK("https://klasma.github.io/Logging_0884/klagomålsmail/A 15427-2023 FSC-klagomål mail.docx", "A 15427-2023")</f>
        <v/>
      </c>
      <c r="X352">
        <f>HYPERLINK("https://klasma.github.io/Logging_0884/tillsyn/A 15427-2023 tillsynsbegäran.docx", "A 15427-2023")</f>
        <v/>
      </c>
      <c r="Y352">
        <f>HYPERLINK("https://klasma.github.io/Logging_0884/tillsynsmail/A 15427-2023 tillsynsbegäran mail.docx", "A 15427-2023")</f>
        <v/>
      </c>
    </row>
    <row r="353" ht="15" customHeight="1">
      <c r="A353" t="inlineStr">
        <is>
          <t>A 16469-2023</t>
        </is>
      </c>
      <c r="B353" s="1" t="n">
        <v>45026</v>
      </c>
      <c r="C353" s="1" t="n">
        <v>45715</v>
      </c>
      <c r="D353" t="inlineStr">
        <is>
          <t>KALMAR LÄN</t>
        </is>
      </c>
      <c r="E353" t="inlineStr">
        <is>
          <t>HULTSFRED</t>
        </is>
      </c>
      <c r="G353" t="n">
        <v>18.5</v>
      </c>
      <c r="H353" t="n">
        <v>0</v>
      </c>
      <c r="I353" t="n">
        <v>0</v>
      </c>
      <c r="J353" t="n">
        <v>3</v>
      </c>
      <c r="K353" t="n">
        <v>0</v>
      </c>
      <c r="L353" t="n">
        <v>0</v>
      </c>
      <c r="M353" t="n">
        <v>0</v>
      </c>
      <c r="N353" t="n">
        <v>0</v>
      </c>
      <c r="O353" t="n">
        <v>3</v>
      </c>
      <c r="P353" t="n">
        <v>0</v>
      </c>
      <c r="Q353" t="n">
        <v>3</v>
      </c>
      <c r="R353" s="2" t="inlineStr">
        <is>
          <t>Gullklöver
Smalsprötad bastardsvärmare
Svartvit taggsvamp</t>
        </is>
      </c>
      <c r="S353">
        <f>HYPERLINK("https://klasma.github.io/Logging_0860/artfynd/A 16469-2023 artfynd.xlsx", "A 16469-2023")</f>
        <v/>
      </c>
      <c r="T353">
        <f>HYPERLINK("https://klasma.github.io/Logging_0860/kartor/A 16469-2023 karta.png", "A 16469-2023")</f>
        <v/>
      </c>
      <c r="V353">
        <f>HYPERLINK("https://klasma.github.io/Logging_0860/klagomål/A 16469-2023 FSC-klagomål.docx", "A 16469-2023")</f>
        <v/>
      </c>
      <c r="W353">
        <f>HYPERLINK("https://klasma.github.io/Logging_0860/klagomålsmail/A 16469-2023 FSC-klagomål mail.docx", "A 16469-2023")</f>
        <v/>
      </c>
      <c r="X353">
        <f>HYPERLINK("https://klasma.github.io/Logging_0860/tillsyn/A 16469-2023 tillsynsbegäran.docx", "A 16469-2023")</f>
        <v/>
      </c>
      <c r="Y353">
        <f>HYPERLINK("https://klasma.github.io/Logging_0860/tillsynsmail/A 16469-2023 tillsynsbegäran mail.docx", "A 16469-2023")</f>
        <v/>
      </c>
    </row>
    <row r="354" ht="15" customHeight="1">
      <c r="A354" t="inlineStr">
        <is>
          <t>A 16171-2023</t>
        </is>
      </c>
      <c r="B354" s="1" t="n">
        <v>45027</v>
      </c>
      <c r="C354" s="1" t="n">
        <v>45715</v>
      </c>
      <c r="D354" t="inlineStr">
        <is>
          <t>KALMAR LÄN</t>
        </is>
      </c>
      <c r="E354" t="inlineStr">
        <is>
          <t>BORGHOLM</t>
        </is>
      </c>
      <c r="G354" t="n">
        <v>12.2</v>
      </c>
      <c r="H354" t="n">
        <v>1</v>
      </c>
      <c r="I354" t="n">
        <v>2</v>
      </c>
      <c r="J354" t="n">
        <v>0</v>
      </c>
      <c r="K354" t="n">
        <v>0</v>
      </c>
      <c r="L354" t="n">
        <v>0</v>
      </c>
      <c r="M354" t="n">
        <v>0</v>
      </c>
      <c r="N354" t="n">
        <v>0</v>
      </c>
      <c r="O354" t="n">
        <v>0</v>
      </c>
      <c r="P354" t="n">
        <v>0</v>
      </c>
      <c r="Q354" t="n">
        <v>3</v>
      </c>
      <c r="R354" s="2" t="inlineStr">
        <is>
          <t>Murgröna
Sårläka
Blåsippa</t>
        </is>
      </c>
      <c r="S354">
        <f>HYPERLINK("https://klasma.github.io/Logging_0885/artfynd/A 16171-2023 artfynd.xlsx", "A 16171-2023")</f>
        <v/>
      </c>
      <c r="T354">
        <f>HYPERLINK("https://klasma.github.io/Logging_0885/kartor/A 16171-2023 karta.png", "A 16171-2023")</f>
        <v/>
      </c>
      <c r="V354">
        <f>HYPERLINK("https://klasma.github.io/Logging_0885/klagomål/A 16171-2023 FSC-klagomål.docx", "A 16171-2023")</f>
        <v/>
      </c>
      <c r="W354">
        <f>HYPERLINK("https://klasma.github.io/Logging_0885/klagomålsmail/A 16171-2023 FSC-klagomål mail.docx", "A 16171-2023")</f>
        <v/>
      </c>
      <c r="X354">
        <f>HYPERLINK("https://klasma.github.io/Logging_0885/tillsyn/A 16171-2023 tillsynsbegäran.docx", "A 16171-2023")</f>
        <v/>
      </c>
      <c r="Y354">
        <f>HYPERLINK("https://klasma.github.io/Logging_0885/tillsynsmail/A 16171-2023 tillsynsbegäran mail.docx", "A 16171-2023")</f>
        <v/>
      </c>
    </row>
    <row r="355" ht="15" customHeight="1">
      <c r="A355" t="inlineStr">
        <is>
          <t>A 30194-2023</t>
        </is>
      </c>
      <c r="B355" s="1" t="n">
        <v>45110</v>
      </c>
      <c r="C355" s="1" t="n">
        <v>45715</v>
      </c>
      <c r="D355" t="inlineStr">
        <is>
          <t>KALMAR LÄN</t>
        </is>
      </c>
      <c r="E355" t="inlineStr">
        <is>
          <t>VÄSTERVIK</t>
        </is>
      </c>
      <c r="F355" t="inlineStr">
        <is>
          <t>Kyrkan</t>
        </is>
      </c>
      <c r="G355" t="n">
        <v>5.8</v>
      </c>
      <c r="H355" t="n">
        <v>1</v>
      </c>
      <c r="I355" t="n">
        <v>2</v>
      </c>
      <c r="J355" t="n">
        <v>0</v>
      </c>
      <c r="K355" t="n">
        <v>1</v>
      </c>
      <c r="L355" t="n">
        <v>0</v>
      </c>
      <c r="M355" t="n">
        <v>0</v>
      </c>
      <c r="N355" t="n">
        <v>0</v>
      </c>
      <c r="O355" t="n">
        <v>1</v>
      </c>
      <c r="P355" t="n">
        <v>1</v>
      </c>
      <c r="Q355" t="n">
        <v>3</v>
      </c>
      <c r="R355" s="2" t="inlineStr">
        <is>
          <t>Knärot
Grovticka
Grönpyrola</t>
        </is>
      </c>
      <c r="S355">
        <f>HYPERLINK("https://klasma.github.io/Logging_0883/artfynd/A 30194-2023 artfynd.xlsx", "A 30194-2023")</f>
        <v/>
      </c>
      <c r="T355">
        <f>HYPERLINK("https://klasma.github.io/Logging_0883/kartor/A 30194-2023 karta.png", "A 30194-2023")</f>
        <v/>
      </c>
      <c r="U355">
        <f>HYPERLINK("https://klasma.github.io/Logging_0883/knärot/A 30194-2023 karta knärot.png", "A 30194-2023")</f>
        <v/>
      </c>
      <c r="V355">
        <f>HYPERLINK("https://klasma.github.io/Logging_0883/klagomål/A 30194-2023 FSC-klagomål.docx", "A 30194-2023")</f>
        <v/>
      </c>
      <c r="W355">
        <f>HYPERLINK("https://klasma.github.io/Logging_0883/klagomålsmail/A 30194-2023 FSC-klagomål mail.docx", "A 30194-2023")</f>
        <v/>
      </c>
      <c r="X355">
        <f>HYPERLINK("https://klasma.github.io/Logging_0883/tillsyn/A 30194-2023 tillsynsbegäran.docx", "A 30194-2023")</f>
        <v/>
      </c>
      <c r="Y355">
        <f>HYPERLINK("https://klasma.github.io/Logging_0883/tillsynsmail/A 30194-2023 tillsynsbegäran mail.docx", "A 30194-2023")</f>
        <v/>
      </c>
    </row>
    <row r="356" ht="15" customHeight="1">
      <c r="A356" t="inlineStr">
        <is>
          <t>A 31781-2023</t>
        </is>
      </c>
      <c r="B356" s="1" t="n">
        <v>45118</v>
      </c>
      <c r="C356" s="1" t="n">
        <v>45715</v>
      </c>
      <c r="D356" t="inlineStr">
        <is>
          <t>KALMAR LÄN</t>
        </is>
      </c>
      <c r="E356" t="inlineStr">
        <is>
          <t>KALMAR</t>
        </is>
      </c>
      <c r="G356" t="n">
        <v>7.5</v>
      </c>
      <c r="H356" t="n">
        <v>1</v>
      </c>
      <c r="I356" t="n">
        <v>1</v>
      </c>
      <c r="J356" t="n">
        <v>1</v>
      </c>
      <c r="K356" t="n">
        <v>1</v>
      </c>
      <c r="L356" t="n">
        <v>0</v>
      </c>
      <c r="M356" t="n">
        <v>0</v>
      </c>
      <c r="N356" t="n">
        <v>0</v>
      </c>
      <c r="O356" t="n">
        <v>2</v>
      </c>
      <c r="P356" t="n">
        <v>1</v>
      </c>
      <c r="Q356" t="n">
        <v>3</v>
      </c>
      <c r="R356" s="2" t="inlineStr">
        <is>
          <t>Läderbagge
Gammelekslav
Grå skärelav</t>
        </is>
      </c>
      <c r="S356">
        <f>HYPERLINK("https://klasma.github.io/Logging_0880/artfynd/A 31781-2023 artfynd.xlsx", "A 31781-2023")</f>
        <v/>
      </c>
      <c r="T356">
        <f>HYPERLINK("https://klasma.github.io/Logging_0880/kartor/A 31781-2023 karta.png", "A 31781-2023")</f>
        <v/>
      </c>
      <c r="V356">
        <f>HYPERLINK("https://klasma.github.io/Logging_0880/klagomål/A 31781-2023 FSC-klagomål.docx", "A 31781-2023")</f>
        <v/>
      </c>
      <c r="W356">
        <f>HYPERLINK("https://klasma.github.io/Logging_0880/klagomålsmail/A 31781-2023 FSC-klagomål mail.docx", "A 31781-2023")</f>
        <v/>
      </c>
      <c r="X356">
        <f>HYPERLINK("https://klasma.github.io/Logging_0880/tillsyn/A 31781-2023 tillsynsbegäran.docx", "A 31781-2023")</f>
        <v/>
      </c>
      <c r="Y356">
        <f>HYPERLINK("https://klasma.github.io/Logging_0880/tillsynsmail/A 31781-2023 tillsynsbegäran mail.docx", "A 31781-2023")</f>
        <v/>
      </c>
    </row>
    <row r="357" ht="15" customHeight="1">
      <c r="A357" t="inlineStr">
        <is>
          <t>A 32298-2023</t>
        </is>
      </c>
      <c r="B357" s="1" t="n">
        <v>45120</v>
      </c>
      <c r="C357" s="1" t="n">
        <v>45715</v>
      </c>
      <c r="D357" t="inlineStr">
        <is>
          <t>KALMAR LÄN</t>
        </is>
      </c>
      <c r="E357" t="inlineStr">
        <is>
          <t>MÖNSTERÅS</t>
        </is>
      </c>
      <c r="G357" t="n">
        <v>5</v>
      </c>
      <c r="H357" t="n">
        <v>2</v>
      </c>
      <c r="I357" t="n">
        <v>1</v>
      </c>
      <c r="J357" t="n">
        <v>1</v>
      </c>
      <c r="K357" t="n">
        <v>1</v>
      </c>
      <c r="L357" t="n">
        <v>0</v>
      </c>
      <c r="M357" t="n">
        <v>0</v>
      </c>
      <c r="N357" t="n">
        <v>0</v>
      </c>
      <c r="O357" t="n">
        <v>2</v>
      </c>
      <c r="P357" t="n">
        <v>1</v>
      </c>
      <c r="Q357" t="n">
        <v>3</v>
      </c>
      <c r="R357" s="2" t="inlineStr">
        <is>
          <t>Knärot
Spillkråka
Grönpyrola</t>
        </is>
      </c>
      <c r="S357">
        <f>HYPERLINK("https://klasma.github.io/Logging_0861/artfynd/A 32298-2023 artfynd.xlsx", "A 32298-2023")</f>
        <v/>
      </c>
      <c r="T357">
        <f>HYPERLINK("https://klasma.github.io/Logging_0861/kartor/A 32298-2023 karta.png", "A 32298-2023")</f>
        <v/>
      </c>
      <c r="U357">
        <f>HYPERLINK("https://klasma.github.io/Logging_0861/knärot/A 32298-2023 karta knärot.png", "A 32298-2023")</f>
        <v/>
      </c>
      <c r="V357">
        <f>HYPERLINK("https://klasma.github.io/Logging_0861/klagomål/A 32298-2023 FSC-klagomål.docx", "A 32298-2023")</f>
        <v/>
      </c>
      <c r="W357">
        <f>HYPERLINK("https://klasma.github.io/Logging_0861/klagomålsmail/A 32298-2023 FSC-klagomål mail.docx", "A 32298-2023")</f>
        <v/>
      </c>
      <c r="X357">
        <f>HYPERLINK("https://klasma.github.io/Logging_0861/tillsyn/A 32298-2023 tillsynsbegäran.docx", "A 32298-2023")</f>
        <v/>
      </c>
      <c r="Y357">
        <f>HYPERLINK("https://klasma.github.io/Logging_0861/tillsynsmail/A 32298-2023 tillsynsbegäran mail.docx", "A 32298-2023")</f>
        <v/>
      </c>
      <c r="Z357">
        <f>HYPERLINK("https://klasma.github.io/Logging_0861/fåglar/A 32298-2023 prioriterade fågelarter.docx", "A 32298-2023")</f>
        <v/>
      </c>
    </row>
    <row r="358" ht="15" customHeight="1">
      <c r="A358" t="inlineStr">
        <is>
          <t>A 35480-2023</t>
        </is>
      </c>
      <c r="B358" s="1" t="n">
        <v>45146</v>
      </c>
      <c r="C358" s="1" t="n">
        <v>45715</v>
      </c>
      <c r="D358" t="inlineStr">
        <is>
          <t>KALMAR LÄN</t>
        </is>
      </c>
      <c r="E358" t="inlineStr">
        <is>
          <t>VÄSTERVIK</t>
        </is>
      </c>
      <c r="G358" t="n">
        <v>5.5</v>
      </c>
      <c r="H358" t="n">
        <v>1</v>
      </c>
      <c r="I358" t="n">
        <v>2</v>
      </c>
      <c r="J358" t="n">
        <v>1</v>
      </c>
      <c r="K358" t="n">
        <v>0</v>
      </c>
      <c r="L358" t="n">
        <v>0</v>
      </c>
      <c r="M358" t="n">
        <v>0</v>
      </c>
      <c r="N358" t="n">
        <v>0</v>
      </c>
      <c r="O358" t="n">
        <v>1</v>
      </c>
      <c r="P358" t="n">
        <v>0</v>
      </c>
      <c r="Q358" t="n">
        <v>3</v>
      </c>
      <c r="R358" s="2" t="inlineStr">
        <is>
          <t>Spillkråka
Blåmossa
Tjockfotad fingersvamp</t>
        </is>
      </c>
      <c r="S358">
        <f>HYPERLINK("https://klasma.github.io/Logging_0883/artfynd/A 35480-2023 artfynd.xlsx", "A 35480-2023")</f>
        <v/>
      </c>
      <c r="T358">
        <f>HYPERLINK("https://klasma.github.io/Logging_0883/kartor/A 35480-2023 karta.png", "A 35480-2023")</f>
        <v/>
      </c>
      <c r="V358">
        <f>HYPERLINK("https://klasma.github.io/Logging_0883/klagomål/A 35480-2023 FSC-klagomål.docx", "A 35480-2023")</f>
        <v/>
      </c>
      <c r="W358">
        <f>HYPERLINK("https://klasma.github.io/Logging_0883/klagomålsmail/A 35480-2023 FSC-klagomål mail.docx", "A 35480-2023")</f>
        <v/>
      </c>
      <c r="X358">
        <f>HYPERLINK("https://klasma.github.io/Logging_0883/tillsyn/A 35480-2023 tillsynsbegäran.docx", "A 35480-2023")</f>
        <v/>
      </c>
      <c r="Y358">
        <f>HYPERLINK("https://klasma.github.io/Logging_0883/tillsynsmail/A 35480-2023 tillsynsbegäran mail.docx", "A 35480-2023")</f>
        <v/>
      </c>
      <c r="Z358">
        <f>HYPERLINK("https://klasma.github.io/Logging_0883/fåglar/A 35480-2023 prioriterade fågelarter.docx", "A 35480-2023")</f>
        <v/>
      </c>
    </row>
    <row r="359" ht="15" customHeight="1">
      <c r="A359" t="inlineStr">
        <is>
          <t>A 38992-2023</t>
        </is>
      </c>
      <c r="B359" s="1" t="n">
        <v>45163</v>
      </c>
      <c r="C359" s="1" t="n">
        <v>45715</v>
      </c>
      <c r="D359" t="inlineStr">
        <is>
          <t>KALMAR LÄN</t>
        </is>
      </c>
      <c r="E359" t="inlineStr">
        <is>
          <t>VIMMERBY</t>
        </is>
      </c>
      <c r="F359" t="inlineStr">
        <is>
          <t>Sveaskog</t>
        </is>
      </c>
      <c r="G359" t="n">
        <v>5.6</v>
      </c>
      <c r="H359" t="n">
        <v>2</v>
      </c>
      <c r="I359" t="n">
        <v>0</v>
      </c>
      <c r="J359" t="n">
        <v>2</v>
      </c>
      <c r="K359" t="n">
        <v>0</v>
      </c>
      <c r="L359" t="n">
        <v>0</v>
      </c>
      <c r="M359" t="n">
        <v>0</v>
      </c>
      <c r="N359" t="n">
        <v>0</v>
      </c>
      <c r="O359" t="n">
        <v>2</v>
      </c>
      <c r="P359" t="n">
        <v>0</v>
      </c>
      <c r="Q359" t="n">
        <v>3</v>
      </c>
      <c r="R359" s="2" t="inlineStr">
        <is>
          <t>Spillkråka
Tallticka
Tjäder</t>
        </is>
      </c>
      <c r="S359">
        <f>HYPERLINK("https://klasma.github.io/Logging_0884/artfynd/A 38992-2023 artfynd.xlsx", "A 38992-2023")</f>
        <v/>
      </c>
      <c r="T359">
        <f>HYPERLINK("https://klasma.github.io/Logging_0884/kartor/A 38992-2023 karta.png", "A 38992-2023")</f>
        <v/>
      </c>
      <c r="V359">
        <f>HYPERLINK("https://klasma.github.io/Logging_0884/klagomål/A 38992-2023 FSC-klagomål.docx", "A 38992-2023")</f>
        <v/>
      </c>
      <c r="W359">
        <f>HYPERLINK("https://klasma.github.io/Logging_0884/klagomålsmail/A 38992-2023 FSC-klagomål mail.docx", "A 38992-2023")</f>
        <v/>
      </c>
      <c r="X359">
        <f>HYPERLINK("https://klasma.github.io/Logging_0884/tillsyn/A 38992-2023 tillsynsbegäran.docx", "A 38992-2023")</f>
        <v/>
      </c>
      <c r="Y359">
        <f>HYPERLINK("https://klasma.github.io/Logging_0884/tillsynsmail/A 38992-2023 tillsynsbegäran mail.docx", "A 38992-2023")</f>
        <v/>
      </c>
      <c r="Z359">
        <f>HYPERLINK("https://klasma.github.io/Logging_0884/fåglar/A 38992-2023 prioriterade fågelarter.docx", "A 38992-2023")</f>
        <v/>
      </c>
    </row>
    <row r="360" ht="15" customHeight="1">
      <c r="A360" t="inlineStr">
        <is>
          <t>A 39904-2023</t>
        </is>
      </c>
      <c r="B360" s="1" t="n">
        <v>45168</v>
      </c>
      <c r="C360" s="1" t="n">
        <v>45715</v>
      </c>
      <c r="D360" t="inlineStr">
        <is>
          <t>KALMAR LÄN</t>
        </is>
      </c>
      <c r="E360" t="inlineStr">
        <is>
          <t>VÄSTERVIK</t>
        </is>
      </c>
      <c r="G360" t="n">
        <v>7.3</v>
      </c>
      <c r="H360" t="n">
        <v>1</v>
      </c>
      <c r="I360" t="n">
        <v>1</v>
      </c>
      <c r="J360" t="n">
        <v>1</v>
      </c>
      <c r="K360" t="n">
        <v>0</v>
      </c>
      <c r="L360" t="n">
        <v>0</v>
      </c>
      <c r="M360" t="n">
        <v>0</v>
      </c>
      <c r="N360" t="n">
        <v>0</v>
      </c>
      <c r="O360" t="n">
        <v>1</v>
      </c>
      <c r="P360" t="n">
        <v>0</v>
      </c>
      <c r="Q360" t="n">
        <v>3</v>
      </c>
      <c r="R360" s="2" t="inlineStr">
        <is>
          <t>Gropticka
Grönpyrola
Revlummer</t>
        </is>
      </c>
      <c r="S360">
        <f>HYPERLINK("https://klasma.github.io/Logging_0883/artfynd/A 39904-2023 artfynd.xlsx", "A 39904-2023")</f>
        <v/>
      </c>
      <c r="T360">
        <f>HYPERLINK("https://klasma.github.io/Logging_0883/kartor/A 39904-2023 karta.png", "A 39904-2023")</f>
        <v/>
      </c>
      <c r="V360">
        <f>HYPERLINK("https://klasma.github.io/Logging_0883/klagomål/A 39904-2023 FSC-klagomål.docx", "A 39904-2023")</f>
        <v/>
      </c>
      <c r="W360">
        <f>HYPERLINK("https://klasma.github.io/Logging_0883/klagomålsmail/A 39904-2023 FSC-klagomål mail.docx", "A 39904-2023")</f>
        <v/>
      </c>
      <c r="X360">
        <f>HYPERLINK("https://klasma.github.io/Logging_0883/tillsyn/A 39904-2023 tillsynsbegäran.docx", "A 39904-2023")</f>
        <v/>
      </c>
      <c r="Y360">
        <f>HYPERLINK("https://klasma.github.io/Logging_0883/tillsynsmail/A 39904-2023 tillsynsbegäran mail.docx", "A 39904-2023")</f>
        <v/>
      </c>
    </row>
    <row r="361" ht="15" customHeight="1">
      <c r="A361" t="inlineStr">
        <is>
          <t>A 39906-2023</t>
        </is>
      </c>
      <c r="B361" s="1" t="n">
        <v>45168</v>
      </c>
      <c r="C361" s="1" t="n">
        <v>45715</v>
      </c>
      <c r="D361" t="inlineStr">
        <is>
          <t>KALMAR LÄN</t>
        </is>
      </c>
      <c r="E361" t="inlineStr">
        <is>
          <t>VÄSTERVIK</t>
        </is>
      </c>
      <c r="G361" t="n">
        <v>5</v>
      </c>
      <c r="H361" t="n">
        <v>2</v>
      </c>
      <c r="I361" t="n">
        <v>1</v>
      </c>
      <c r="J361" t="n">
        <v>0</v>
      </c>
      <c r="K361" t="n">
        <v>1</v>
      </c>
      <c r="L361" t="n">
        <v>0</v>
      </c>
      <c r="M361" t="n">
        <v>0</v>
      </c>
      <c r="N361" t="n">
        <v>0</v>
      </c>
      <c r="O361" t="n">
        <v>1</v>
      </c>
      <c r="P361" t="n">
        <v>1</v>
      </c>
      <c r="Q361" t="n">
        <v>3</v>
      </c>
      <c r="R361" s="2" t="inlineStr">
        <is>
          <t>Knärot
Blåmossa
Revlummer</t>
        </is>
      </c>
      <c r="S361">
        <f>HYPERLINK("https://klasma.github.io/Logging_0883/artfynd/A 39906-2023 artfynd.xlsx", "A 39906-2023")</f>
        <v/>
      </c>
      <c r="T361">
        <f>HYPERLINK("https://klasma.github.io/Logging_0883/kartor/A 39906-2023 karta.png", "A 39906-2023")</f>
        <v/>
      </c>
      <c r="U361">
        <f>HYPERLINK("https://klasma.github.io/Logging_0883/knärot/A 39906-2023 karta knärot.png", "A 39906-2023")</f>
        <v/>
      </c>
      <c r="V361">
        <f>HYPERLINK("https://klasma.github.io/Logging_0883/klagomål/A 39906-2023 FSC-klagomål.docx", "A 39906-2023")</f>
        <v/>
      </c>
      <c r="W361">
        <f>HYPERLINK("https://klasma.github.io/Logging_0883/klagomålsmail/A 39906-2023 FSC-klagomål mail.docx", "A 39906-2023")</f>
        <v/>
      </c>
      <c r="X361">
        <f>HYPERLINK("https://klasma.github.io/Logging_0883/tillsyn/A 39906-2023 tillsynsbegäran.docx", "A 39906-2023")</f>
        <v/>
      </c>
      <c r="Y361">
        <f>HYPERLINK("https://klasma.github.io/Logging_0883/tillsynsmail/A 39906-2023 tillsynsbegäran mail.docx", "A 39906-2023")</f>
        <v/>
      </c>
    </row>
    <row r="362" ht="15" customHeight="1">
      <c r="A362" t="inlineStr">
        <is>
          <t>A 41034-2023</t>
        </is>
      </c>
      <c r="B362" s="1" t="n">
        <v>45173</v>
      </c>
      <c r="C362" s="1" t="n">
        <v>45715</v>
      </c>
      <c r="D362" t="inlineStr">
        <is>
          <t>KALMAR LÄN</t>
        </is>
      </c>
      <c r="E362" t="inlineStr">
        <is>
          <t>VIMMERBY</t>
        </is>
      </c>
      <c r="G362" t="n">
        <v>3.8</v>
      </c>
      <c r="H362" t="n">
        <v>0</v>
      </c>
      <c r="I362" t="n">
        <v>2</v>
      </c>
      <c r="J362" t="n">
        <v>1</v>
      </c>
      <c r="K362" t="n">
        <v>0</v>
      </c>
      <c r="L362" t="n">
        <v>0</v>
      </c>
      <c r="M362" t="n">
        <v>0</v>
      </c>
      <c r="N362" t="n">
        <v>0</v>
      </c>
      <c r="O362" t="n">
        <v>1</v>
      </c>
      <c r="P362" t="n">
        <v>0</v>
      </c>
      <c r="Q362" t="n">
        <v>3</v>
      </c>
      <c r="R362" s="2" t="inlineStr">
        <is>
          <t>Dofttaggsvamp
Blåmossa
Grönpyrola</t>
        </is>
      </c>
      <c r="S362">
        <f>HYPERLINK("https://klasma.github.io/Logging_0884/artfynd/A 41034-2023 artfynd.xlsx", "A 41034-2023")</f>
        <v/>
      </c>
      <c r="T362">
        <f>HYPERLINK("https://klasma.github.io/Logging_0884/kartor/A 41034-2023 karta.png", "A 41034-2023")</f>
        <v/>
      </c>
      <c r="U362">
        <f>HYPERLINK("https://klasma.github.io/Logging_0884/knärot/A 41034-2023 karta knärot.png", "A 41034-2023")</f>
        <v/>
      </c>
      <c r="V362">
        <f>HYPERLINK("https://klasma.github.io/Logging_0884/klagomål/A 41034-2023 FSC-klagomål.docx", "A 41034-2023")</f>
        <v/>
      </c>
      <c r="W362">
        <f>HYPERLINK("https://klasma.github.io/Logging_0884/klagomålsmail/A 41034-2023 FSC-klagomål mail.docx", "A 41034-2023")</f>
        <v/>
      </c>
      <c r="X362">
        <f>HYPERLINK("https://klasma.github.io/Logging_0884/tillsyn/A 41034-2023 tillsynsbegäran.docx", "A 41034-2023")</f>
        <v/>
      </c>
      <c r="Y362">
        <f>HYPERLINK("https://klasma.github.io/Logging_0884/tillsynsmail/A 41034-2023 tillsynsbegäran mail.docx", "A 41034-2023")</f>
        <v/>
      </c>
    </row>
    <row r="363" ht="15" customHeight="1">
      <c r="A363" t="inlineStr">
        <is>
          <t>A 42353-2023</t>
        </is>
      </c>
      <c r="B363" s="1" t="n">
        <v>45180</v>
      </c>
      <c r="C363" s="1" t="n">
        <v>45715</v>
      </c>
      <c r="D363" t="inlineStr">
        <is>
          <t>KALMAR LÄN</t>
        </is>
      </c>
      <c r="E363" t="inlineStr">
        <is>
          <t>VÄSTERVIK</t>
        </is>
      </c>
      <c r="G363" t="n">
        <v>11.3</v>
      </c>
      <c r="H363" t="n">
        <v>1</v>
      </c>
      <c r="I363" t="n">
        <v>1</v>
      </c>
      <c r="J363" t="n">
        <v>1</v>
      </c>
      <c r="K363" t="n">
        <v>1</v>
      </c>
      <c r="L363" t="n">
        <v>0</v>
      </c>
      <c r="M363" t="n">
        <v>0</v>
      </c>
      <c r="N363" t="n">
        <v>0</v>
      </c>
      <c r="O363" t="n">
        <v>2</v>
      </c>
      <c r="P363" t="n">
        <v>1</v>
      </c>
      <c r="Q363" t="n">
        <v>3</v>
      </c>
      <c r="R363" s="2" t="inlineStr">
        <is>
          <t>Knärot
Tallticka
Blomkålssvamp</t>
        </is>
      </c>
      <c r="S363">
        <f>HYPERLINK("https://klasma.github.io/Logging_0883/artfynd/A 42353-2023 artfynd.xlsx", "A 42353-2023")</f>
        <v/>
      </c>
      <c r="T363">
        <f>HYPERLINK("https://klasma.github.io/Logging_0883/kartor/A 42353-2023 karta.png", "A 42353-2023")</f>
        <v/>
      </c>
      <c r="U363">
        <f>HYPERLINK("https://klasma.github.io/Logging_0883/knärot/A 42353-2023 karta knärot.png", "A 42353-2023")</f>
        <v/>
      </c>
      <c r="V363">
        <f>HYPERLINK("https://klasma.github.io/Logging_0883/klagomål/A 42353-2023 FSC-klagomål.docx", "A 42353-2023")</f>
        <v/>
      </c>
      <c r="W363">
        <f>HYPERLINK("https://klasma.github.io/Logging_0883/klagomålsmail/A 42353-2023 FSC-klagomål mail.docx", "A 42353-2023")</f>
        <v/>
      </c>
      <c r="X363">
        <f>HYPERLINK("https://klasma.github.io/Logging_0883/tillsyn/A 42353-2023 tillsynsbegäran.docx", "A 42353-2023")</f>
        <v/>
      </c>
      <c r="Y363">
        <f>HYPERLINK("https://klasma.github.io/Logging_0883/tillsynsmail/A 42353-2023 tillsynsbegäran mail.docx", "A 42353-2023")</f>
        <v/>
      </c>
    </row>
    <row r="364" ht="15" customHeight="1">
      <c r="A364" t="inlineStr">
        <is>
          <t>A 45702-2023</t>
        </is>
      </c>
      <c r="B364" s="1" t="n">
        <v>45195</v>
      </c>
      <c r="C364" s="1" t="n">
        <v>45715</v>
      </c>
      <c r="D364" t="inlineStr">
        <is>
          <t>KALMAR LÄN</t>
        </is>
      </c>
      <c r="E364" t="inlineStr">
        <is>
          <t>VÄSTERVIK</t>
        </is>
      </c>
      <c r="G364" t="n">
        <v>7.3</v>
      </c>
      <c r="H364" t="n">
        <v>0</v>
      </c>
      <c r="I364" t="n">
        <v>1</v>
      </c>
      <c r="J364" t="n">
        <v>2</v>
      </c>
      <c r="K364" t="n">
        <v>0</v>
      </c>
      <c r="L364" t="n">
        <v>0</v>
      </c>
      <c r="M364" t="n">
        <v>0</v>
      </c>
      <c r="N364" t="n">
        <v>0</v>
      </c>
      <c r="O364" t="n">
        <v>2</v>
      </c>
      <c r="P364" t="n">
        <v>0</v>
      </c>
      <c r="Q364" t="n">
        <v>3</v>
      </c>
      <c r="R364" s="2" t="inlineStr">
        <is>
          <t>Reliktbock
Tallticka
Blåmossa</t>
        </is>
      </c>
      <c r="S364">
        <f>HYPERLINK("https://klasma.github.io/Logging_0883/artfynd/A 45702-2023 artfynd.xlsx", "A 45702-2023")</f>
        <v/>
      </c>
      <c r="T364">
        <f>HYPERLINK("https://klasma.github.io/Logging_0883/kartor/A 45702-2023 karta.png", "A 45702-2023")</f>
        <v/>
      </c>
      <c r="V364">
        <f>HYPERLINK("https://klasma.github.io/Logging_0883/klagomål/A 45702-2023 FSC-klagomål.docx", "A 45702-2023")</f>
        <v/>
      </c>
      <c r="W364">
        <f>HYPERLINK("https://klasma.github.io/Logging_0883/klagomålsmail/A 45702-2023 FSC-klagomål mail.docx", "A 45702-2023")</f>
        <v/>
      </c>
      <c r="X364">
        <f>HYPERLINK("https://klasma.github.io/Logging_0883/tillsyn/A 45702-2023 tillsynsbegäran.docx", "A 45702-2023")</f>
        <v/>
      </c>
      <c r="Y364">
        <f>HYPERLINK("https://klasma.github.io/Logging_0883/tillsynsmail/A 45702-2023 tillsynsbegäran mail.docx", "A 45702-2023")</f>
        <v/>
      </c>
    </row>
    <row r="365" ht="15" customHeight="1">
      <c r="A365" t="inlineStr">
        <is>
          <t>A 46181-2023</t>
        </is>
      </c>
      <c r="B365" s="1" t="n">
        <v>45196</v>
      </c>
      <c r="C365" s="1" t="n">
        <v>45715</v>
      </c>
      <c r="D365" t="inlineStr">
        <is>
          <t>KALMAR LÄN</t>
        </is>
      </c>
      <c r="E365" t="inlineStr">
        <is>
          <t>MÖNSTERÅS</t>
        </is>
      </c>
      <c r="G365" t="n">
        <v>2.5</v>
      </c>
      <c r="H365" t="n">
        <v>1</v>
      </c>
      <c r="I365" t="n">
        <v>2</v>
      </c>
      <c r="J365" t="n">
        <v>0</v>
      </c>
      <c r="K365" t="n">
        <v>1</v>
      </c>
      <c r="L365" t="n">
        <v>0</v>
      </c>
      <c r="M365" t="n">
        <v>0</v>
      </c>
      <c r="N365" t="n">
        <v>0</v>
      </c>
      <c r="O365" t="n">
        <v>1</v>
      </c>
      <c r="P365" t="n">
        <v>1</v>
      </c>
      <c r="Q365" t="n">
        <v>3</v>
      </c>
      <c r="R365" s="2" t="inlineStr">
        <is>
          <t>Knärot
Blåmossa
Grönpyrola</t>
        </is>
      </c>
      <c r="S365">
        <f>HYPERLINK("https://klasma.github.io/Logging_0861/artfynd/A 46181-2023 artfynd.xlsx", "A 46181-2023")</f>
        <v/>
      </c>
      <c r="T365">
        <f>HYPERLINK("https://klasma.github.io/Logging_0861/kartor/A 46181-2023 karta.png", "A 46181-2023")</f>
        <v/>
      </c>
      <c r="U365">
        <f>HYPERLINK("https://klasma.github.io/Logging_0861/knärot/A 46181-2023 karta knärot.png", "A 46181-2023")</f>
        <v/>
      </c>
      <c r="V365">
        <f>HYPERLINK("https://klasma.github.io/Logging_0861/klagomål/A 46181-2023 FSC-klagomål.docx", "A 46181-2023")</f>
        <v/>
      </c>
      <c r="W365">
        <f>HYPERLINK("https://klasma.github.io/Logging_0861/klagomålsmail/A 46181-2023 FSC-klagomål mail.docx", "A 46181-2023")</f>
        <v/>
      </c>
      <c r="X365">
        <f>HYPERLINK("https://klasma.github.io/Logging_0861/tillsyn/A 46181-2023 tillsynsbegäran.docx", "A 46181-2023")</f>
        <v/>
      </c>
      <c r="Y365">
        <f>HYPERLINK("https://klasma.github.io/Logging_0861/tillsynsmail/A 46181-2023 tillsynsbegäran mail.docx", "A 46181-2023")</f>
        <v/>
      </c>
    </row>
    <row r="366" ht="15" customHeight="1">
      <c r="A366" t="inlineStr">
        <is>
          <t>A 46090-2023</t>
        </is>
      </c>
      <c r="B366" s="1" t="n">
        <v>45196</v>
      </c>
      <c r="C366" s="1" t="n">
        <v>45715</v>
      </c>
      <c r="D366" t="inlineStr">
        <is>
          <t>KALMAR LÄN</t>
        </is>
      </c>
      <c r="E366" t="inlineStr">
        <is>
          <t>VÄSTERVIK</t>
        </is>
      </c>
      <c r="F366" t="inlineStr">
        <is>
          <t>Sveaskog</t>
        </is>
      </c>
      <c r="G366" t="n">
        <v>3.5</v>
      </c>
      <c r="H366" t="n">
        <v>1</v>
      </c>
      <c r="I366" t="n">
        <v>2</v>
      </c>
      <c r="J366" t="n">
        <v>0</v>
      </c>
      <c r="K366" t="n">
        <v>0</v>
      </c>
      <c r="L366" t="n">
        <v>0</v>
      </c>
      <c r="M366" t="n">
        <v>0</v>
      </c>
      <c r="N366" t="n">
        <v>0</v>
      </c>
      <c r="O366" t="n">
        <v>0</v>
      </c>
      <c r="P366" t="n">
        <v>0</v>
      </c>
      <c r="Q366" t="n">
        <v>3</v>
      </c>
      <c r="R366" s="2" t="inlineStr">
        <is>
          <t>Fällmossa
Platt fjädermossa
Blåsippa</t>
        </is>
      </c>
      <c r="S366">
        <f>HYPERLINK("https://klasma.github.io/Logging_0883/artfynd/A 46090-2023 artfynd.xlsx", "A 46090-2023")</f>
        <v/>
      </c>
      <c r="T366">
        <f>HYPERLINK("https://klasma.github.io/Logging_0883/kartor/A 46090-2023 karta.png", "A 46090-2023")</f>
        <v/>
      </c>
      <c r="V366">
        <f>HYPERLINK("https://klasma.github.io/Logging_0883/klagomål/A 46090-2023 FSC-klagomål.docx", "A 46090-2023")</f>
        <v/>
      </c>
      <c r="W366">
        <f>HYPERLINK("https://klasma.github.io/Logging_0883/klagomålsmail/A 46090-2023 FSC-klagomål mail.docx", "A 46090-2023")</f>
        <v/>
      </c>
      <c r="X366">
        <f>HYPERLINK("https://klasma.github.io/Logging_0883/tillsyn/A 46090-2023 tillsynsbegäran.docx", "A 46090-2023")</f>
        <v/>
      </c>
      <c r="Y366">
        <f>HYPERLINK("https://klasma.github.io/Logging_0883/tillsynsmail/A 46090-2023 tillsynsbegäran mail.docx", "A 46090-2023")</f>
        <v/>
      </c>
    </row>
    <row r="367" ht="15" customHeight="1">
      <c r="A367" t="inlineStr">
        <is>
          <t>A 47385-2023</t>
        </is>
      </c>
      <c r="B367" s="1" t="n">
        <v>45202</v>
      </c>
      <c r="C367" s="1" t="n">
        <v>45715</v>
      </c>
      <c r="D367" t="inlineStr">
        <is>
          <t>KALMAR LÄN</t>
        </is>
      </c>
      <c r="E367" t="inlineStr">
        <is>
          <t>TORSÅS</t>
        </is>
      </c>
      <c r="G367" t="n">
        <v>1.2</v>
      </c>
      <c r="H367" t="n">
        <v>3</v>
      </c>
      <c r="I367" t="n">
        <v>0</v>
      </c>
      <c r="J367" t="n">
        <v>1</v>
      </c>
      <c r="K367" t="n">
        <v>0</v>
      </c>
      <c r="L367" t="n">
        <v>0</v>
      </c>
      <c r="M367" t="n">
        <v>0</v>
      </c>
      <c r="N367" t="n">
        <v>0</v>
      </c>
      <c r="O367" t="n">
        <v>1</v>
      </c>
      <c r="P367" t="n">
        <v>0</v>
      </c>
      <c r="Q367" t="n">
        <v>3</v>
      </c>
      <c r="R367" s="2" t="inlineStr">
        <is>
          <t>Nordfladdermus
Större brunfladdermus
Trollpipistrell</t>
        </is>
      </c>
      <c r="S367">
        <f>HYPERLINK("https://klasma.github.io/Logging_0834/artfynd/A 47385-2023 artfynd.xlsx", "A 47385-2023")</f>
        <v/>
      </c>
      <c r="T367">
        <f>HYPERLINK("https://klasma.github.io/Logging_0834/kartor/A 47385-2023 karta.png", "A 47385-2023")</f>
        <v/>
      </c>
      <c r="V367">
        <f>HYPERLINK("https://klasma.github.io/Logging_0834/klagomål/A 47385-2023 FSC-klagomål.docx", "A 47385-2023")</f>
        <v/>
      </c>
      <c r="W367">
        <f>HYPERLINK("https://klasma.github.io/Logging_0834/klagomålsmail/A 47385-2023 FSC-klagomål mail.docx", "A 47385-2023")</f>
        <v/>
      </c>
      <c r="X367">
        <f>HYPERLINK("https://klasma.github.io/Logging_0834/tillsyn/A 47385-2023 tillsynsbegäran.docx", "A 47385-2023")</f>
        <v/>
      </c>
      <c r="Y367">
        <f>HYPERLINK("https://klasma.github.io/Logging_0834/tillsynsmail/A 47385-2023 tillsynsbegäran mail.docx", "A 47385-2023")</f>
        <v/>
      </c>
    </row>
    <row r="368" ht="15" customHeight="1">
      <c r="A368" t="inlineStr">
        <is>
          <t>A 53597-2023</t>
        </is>
      </c>
      <c r="B368" s="1" t="n">
        <v>45230</v>
      </c>
      <c r="C368" s="1" t="n">
        <v>45715</v>
      </c>
      <c r="D368" t="inlineStr">
        <is>
          <t>KALMAR LÄN</t>
        </is>
      </c>
      <c r="E368" t="inlineStr">
        <is>
          <t>OSKARSHAMN</t>
        </is>
      </c>
      <c r="G368" t="n">
        <v>22.7</v>
      </c>
      <c r="H368" t="n">
        <v>1</v>
      </c>
      <c r="I368" t="n">
        <v>2</v>
      </c>
      <c r="J368" t="n">
        <v>1</v>
      </c>
      <c r="K368" t="n">
        <v>0</v>
      </c>
      <c r="L368" t="n">
        <v>0</v>
      </c>
      <c r="M368" t="n">
        <v>0</v>
      </c>
      <c r="N368" t="n">
        <v>0</v>
      </c>
      <c r="O368" t="n">
        <v>1</v>
      </c>
      <c r="P368" t="n">
        <v>0</v>
      </c>
      <c r="Q368" t="n">
        <v>3</v>
      </c>
      <c r="R368" s="2" t="inlineStr">
        <is>
          <t>Talltita
Blåmossa
Grönpyrola</t>
        </is>
      </c>
      <c r="S368">
        <f>HYPERLINK("https://klasma.github.io/Logging_0882/artfynd/A 53597-2023 artfynd.xlsx", "A 53597-2023")</f>
        <v/>
      </c>
      <c r="T368">
        <f>HYPERLINK("https://klasma.github.io/Logging_0882/kartor/A 53597-2023 karta.png", "A 53597-2023")</f>
        <v/>
      </c>
      <c r="V368">
        <f>HYPERLINK("https://klasma.github.io/Logging_0882/klagomål/A 53597-2023 FSC-klagomål.docx", "A 53597-2023")</f>
        <v/>
      </c>
      <c r="W368">
        <f>HYPERLINK("https://klasma.github.io/Logging_0882/klagomålsmail/A 53597-2023 FSC-klagomål mail.docx", "A 53597-2023")</f>
        <v/>
      </c>
      <c r="X368">
        <f>HYPERLINK("https://klasma.github.io/Logging_0882/tillsyn/A 53597-2023 tillsynsbegäran.docx", "A 53597-2023")</f>
        <v/>
      </c>
      <c r="Y368">
        <f>HYPERLINK("https://klasma.github.io/Logging_0882/tillsynsmail/A 53597-2023 tillsynsbegäran mail.docx", "A 53597-2023")</f>
        <v/>
      </c>
      <c r="Z368">
        <f>HYPERLINK("https://klasma.github.io/Logging_0882/fåglar/A 53597-2023 prioriterade fågelarter.docx", "A 53597-2023")</f>
        <v/>
      </c>
    </row>
    <row r="369" ht="15" customHeight="1">
      <c r="A369" t="inlineStr">
        <is>
          <t>A 53579-2023</t>
        </is>
      </c>
      <c r="B369" s="1" t="n">
        <v>45230</v>
      </c>
      <c r="C369" s="1" t="n">
        <v>45715</v>
      </c>
      <c r="D369" t="inlineStr">
        <is>
          <t>KALMAR LÄN</t>
        </is>
      </c>
      <c r="E369" t="inlineStr">
        <is>
          <t>NYBRO</t>
        </is>
      </c>
      <c r="G369" t="n">
        <v>1.3</v>
      </c>
      <c r="H369" t="n">
        <v>1</v>
      </c>
      <c r="I369" t="n">
        <v>1</v>
      </c>
      <c r="J369" t="n">
        <v>1</v>
      </c>
      <c r="K369" t="n">
        <v>0</v>
      </c>
      <c r="L369" t="n">
        <v>1</v>
      </c>
      <c r="M369" t="n">
        <v>0</v>
      </c>
      <c r="N369" t="n">
        <v>0</v>
      </c>
      <c r="O369" t="n">
        <v>2</v>
      </c>
      <c r="P369" t="n">
        <v>1</v>
      </c>
      <c r="Q369" t="n">
        <v>3</v>
      </c>
      <c r="R369" s="2" t="inlineStr">
        <is>
          <t>Ryl
Talltita
Grönpyrola</t>
        </is>
      </c>
      <c r="S369">
        <f>HYPERLINK("https://klasma.github.io/Logging_0881/artfynd/A 53579-2023 artfynd.xlsx", "A 53579-2023")</f>
        <v/>
      </c>
      <c r="T369">
        <f>HYPERLINK("https://klasma.github.io/Logging_0881/kartor/A 53579-2023 karta.png", "A 53579-2023")</f>
        <v/>
      </c>
      <c r="V369">
        <f>HYPERLINK("https://klasma.github.io/Logging_0881/klagomål/A 53579-2023 FSC-klagomål.docx", "A 53579-2023")</f>
        <v/>
      </c>
      <c r="W369">
        <f>HYPERLINK("https://klasma.github.io/Logging_0881/klagomålsmail/A 53579-2023 FSC-klagomål mail.docx", "A 53579-2023")</f>
        <v/>
      </c>
      <c r="X369">
        <f>HYPERLINK("https://klasma.github.io/Logging_0881/tillsyn/A 53579-2023 tillsynsbegäran.docx", "A 53579-2023")</f>
        <v/>
      </c>
      <c r="Y369">
        <f>HYPERLINK("https://klasma.github.io/Logging_0881/tillsynsmail/A 53579-2023 tillsynsbegäran mail.docx", "A 53579-2023")</f>
        <v/>
      </c>
      <c r="Z369">
        <f>HYPERLINK("https://klasma.github.io/Logging_0881/fåglar/A 53579-2023 prioriterade fågelarter.docx", "A 53579-2023")</f>
        <v/>
      </c>
    </row>
    <row r="370" ht="15" customHeight="1">
      <c r="A370" t="inlineStr">
        <is>
          <t>A 55060-2023</t>
        </is>
      </c>
      <c r="B370" s="1" t="n">
        <v>45230</v>
      </c>
      <c r="C370" s="1" t="n">
        <v>45715</v>
      </c>
      <c r="D370" t="inlineStr">
        <is>
          <t>KALMAR LÄN</t>
        </is>
      </c>
      <c r="E370" t="inlineStr">
        <is>
          <t>HÖGSBY</t>
        </is>
      </c>
      <c r="G370" t="n">
        <v>3.6</v>
      </c>
      <c r="H370" t="n">
        <v>1</v>
      </c>
      <c r="I370" t="n">
        <v>1</v>
      </c>
      <c r="J370" t="n">
        <v>2</v>
      </c>
      <c r="K370" t="n">
        <v>0</v>
      </c>
      <c r="L370" t="n">
        <v>0</v>
      </c>
      <c r="M370" t="n">
        <v>0</v>
      </c>
      <c r="N370" t="n">
        <v>0</v>
      </c>
      <c r="O370" t="n">
        <v>2</v>
      </c>
      <c r="P370" t="n">
        <v>0</v>
      </c>
      <c r="Q370" t="n">
        <v>3</v>
      </c>
      <c r="R370" s="2" t="inlineStr">
        <is>
          <t>Spillkråka
Tallticka
Blodticka</t>
        </is>
      </c>
      <c r="S370">
        <f>HYPERLINK("https://klasma.github.io/Logging_0821/artfynd/A 55060-2023 artfynd.xlsx", "A 55060-2023")</f>
        <v/>
      </c>
      <c r="T370">
        <f>HYPERLINK("https://klasma.github.io/Logging_0821/kartor/A 55060-2023 karta.png", "A 55060-2023")</f>
        <v/>
      </c>
      <c r="V370">
        <f>HYPERLINK("https://klasma.github.io/Logging_0821/klagomål/A 55060-2023 FSC-klagomål.docx", "A 55060-2023")</f>
        <v/>
      </c>
      <c r="W370">
        <f>HYPERLINK("https://klasma.github.io/Logging_0821/klagomålsmail/A 55060-2023 FSC-klagomål mail.docx", "A 55060-2023")</f>
        <v/>
      </c>
      <c r="X370">
        <f>HYPERLINK("https://klasma.github.io/Logging_0821/tillsyn/A 55060-2023 tillsynsbegäran.docx", "A 55060-2023")</f>
        <v/>
      </c>
      <c r="Y370">
        <f>HYPERLINK("https://klasma.github.io/Logging_0821/tillsynsmail/A 55060-2023 tillsynsbegäran mail.docx", "A 55060-2023")</f>
        <v/>
      </c>
      <c r="Z370">
        <f>HYPERLINK("https://klasma.github.io/Logging_0821/fåglar/A 55060-2023 prioriterade fågelarter.docx", "A 55060-2023")</f>
        <v/>
      </c>
    </row>
    <row r="371" ht="15" customHeight="1">
      <c r="A371" t="inlineStr">
        <is>
          <t>A 54265-2023</t>
        </is>
      </c>
      <c r="B371" s="1" t="n">
        <v>45232</v>
      </c>
      <c r="C371" s="1" t="n">
        <v>45715</v>
      </c>
      <c r="D371" t="inlineStr">
        <is>
          <t>KALMAR LÄN</t>
        </is>
      </c>
      <c r="E371" t="inlineStr">
        <is>
          <t>VÄSTERVIK</t>
        </is>
      </c>
      <c r="G371" t="n">
        <v>3.3</v>
      </c>
      <c r="H371" t="n">
        <v>1</v>
      </c>
      <c r="I371" t="n">
        <v>1</v>
      </c>
      <c r="J371" t="n">
        <v>1</v>
      </c>
      <c r="K371" t="n">
        <v>1</v>
      </c>
      <c r="L371" t="n">
        <v>0</v>
      </c>
      <c r="M371" t="n">
        <v>0</v>
      </c>
      <c r="N371" t="n">
        <v>0</v>
      </c>
      <c r="O371" t="n">
        <v>2</v>
      </c>
      <c r="P371" t="n">
        <v>1</v>
      </c>
      <c r="Q371" t="n">
        <v>3</v>
      </c>
      <c r="R371" s="2" t="inlineStr">
        <is>
          <t>Knärot
Tallticka
Blåmossa</t>
        </is>
      </c>
      <c r="S371">
        <f>HYPERLINK("https://klasma.github.io/Logging_0883/artfynd/A 54265-2023 artfynd.xlsx", "A 54265-2023")</f>
        <v/>
      </c>
      <c r="T371">
        <f>HYPERLINK("https://klasma.github.io/Logging_0883/kartor/A 54265-2023 karta.png", "A 54265-2023")</f>
        <v/>
      </c>
      <c r="U371">
        <f>HYPERLINK("https://klasma.github.io/Logging_0883/knärot/A 54265-2023 karta knärot.png", "A 54265-2023")</f>
        <v/>
      </c>
      <c r="V371">
        <f>HYPERLINK("https://klasma.github.io/Logging_0883/klagomål/A 54265-2023 FSC-klagomål.docx", "A 54265-2023")</f>
        <v/>
      </c>
      <c r="W371">
        <f>HYPERLINK("https://klasma.github.io/Logging_0883/klagomålsmail/A 54265-2023 FSC-klagomål mail.docx", "A 54265-2023")</f>
        <v/>
      </c>
      <c r="X371">
        <f>HYPERLINK("https://klasma.github.io/Logging_0883/tillsyn/A 54265-2023 tillsynsbegäran.docx", "A 54265-2023")</f>
        <v/>
      </c>
      <c r="Y371">
        <f>HYPERLINK("https://klasma.github.io/Logging_0883/tillsynsmail/A 54265-2023 tillsynsbegäran mail.docx", "A 54265-2023")</f>
        <v/>
      </c>
    </row>
    <row r="372" ht="15" customHeight="1">
      <c r="A372" t="inlineStr">
        <is>
          <t>A 59457-2023</t>
        </is>
      </c>
      <c r="B372" s="1" t="n">
        <v>45254</v>
      </c>
      <c r="C372" s="1" t="n">
        <v>45715</v>
      </c>
      <c r="D372" t="inlineStr">
        <is>
          <t>KALMAR LÄN</t>
        </is>
      </c>
      <c r="E372" t="inlineStr">
        <is>
          <t>KALMAR</t>
        </is>
      </c>
      <c r="G372" t="n">
        <v>3.3</v>
      </c>
      <c r="H372" t="n">
        <v>1</v>
      </c>
      <c r="I372" t="n">
        <v>0</v>
      </c>
      <c r="J372" t="n">
        <v>2</v>
      </c>
      <c r="K372" t="n">
        <v>0</v>
      </c>
      <c r="L372" t="n">
        <v>0</v>
      </c>
      <c r="M372" t="n">
        <v>0</v>
      </c>
      <c r="N372" t="n">
        <v>0</v>
      </c>
      <c r="O372" t="n">
        <v>2</v>
      </c>
      <c r="P372" t="n">
        <v>0</v>
      </c>
      <c r="Q372" t="n">
        <v>3</v>
      </c>
      <c r="R372" s="2" t="inlineStr">
        <is>
          <t>Solvända
Vårstarr
Nattviol</t>
        </is>
      </c>
      <c r="S372">
        <f>HYPERLINK("https://klasma.github.io/Logging_0880/artfynd/A 59457-2023 artfynd.xlsx", "A 59457-2023")</f>
        <v/>
      </c>
      <c r="T372">
        <f>HYPERLINK("https://klasma.github.io/Logging_0880/kartor/A 59457-2023 karta.png", "A 59457-2023")</f>
        <v/>
      </c>
      <c r="V372">
        <f>HYPERLINK("https://klasma.github.io/Logging_0880/klagomål/A 59457-2023 FSC-klagomål.docx", "A 59457-2023")</f>
        <v/>
      </c>
      <c r="W372">
        <f>HYPERLINK("https://klasma.github.io/Logging_0880/klagomålsmail/A 59457-2023 FSC-klagomål mail.docx", "A 59457-2023")</f>
        <v/>
      </c>
      <c r="X372">
        <f>HYPERLINK("https://klasma.github.io/Logging_0880/tillsyn/A 59457-2023 tillsynsbegäran.docx", "A 59457-2023")</f>
        <v/>
      </c>
      <c r="Y372">
        <f>HYPERLINK("https://klasma.github.io/Logging_0880/tillsynsmail/A 59457-2023 tillsynsbegäran mail.docx", "A 59457-2023")</f>
        <v/>
      </c>
    </row>
    <row r="373" ht="15" customHeight="1">
      <c r="A373" t="inlineStr">
        <is>
          <t>A 2210-2024</t>
        </is>
      </c>
      <c r="B373" s="1" t="n">
        <v>45309</v>
      </c>
      <c r="C373" s="1" t="n">
        <v>45715</v>
      </c>
      <c r="D373" t="inlineStr">
        <is>
          <t>KALMAR LÄN</t>
        </is>
      </c>
      <c r="E373" t="inlineStr">
        <is>
          <t>VIMMERBY</t>
        </is>
      </c>
      <c r="G373" t="n">
        <v>4.6</v>
      </c>
      <c r="H373" t="n">
        <v>2</v>
      </c>
      <c r="I373" t="n">
        <v>1</v>
      </c>
      <c r="J373" t="n">
        <v>1</v>
      </c>
      <c r="K373" t="n">
        <v>0</v>
      </c>
      <c r="L373" t="n">
        <v>0</v>
      </c>
      <c r="M373" t="n">
        <v>0</v>
      </c>
      <c r="N373" t="n">
        <v>0</v>
      </c>
      <c r="O373" t="n">
        <v>1</v>
      </c>
      <c r="P373" t="n">
        <v>0</v>
      </c>
      <c r="Q373" t="n">
        <v>3</v>
      </c>
      <c r="R373" s="2" t="inlineStr">
        <is>
          <t>Spillkråka
Barkticka
Blåsippa</t>
        </is>
      </c>
      <c r="S373">
        <f>HYPERLINK("https://klasma.github.io/Logging_0884/artfynd/A 2210-2024 artfynd.xlsx", "A 2210-2024")</f>
        <v/>
      </c>
      <c r="T373">
        <f>HYPERLINK("https://klasma.github.io/Logging_0884/kartor/A 2210-2024 karta.png", "A 2210-2024")</f>
        <v/>
      </c>
      <c r="V373">
        <f>HYPERLINK("https://klasma.github.io/Logging_0884/klagomål/A 2210-2024 FSC-klagomål.docx", "A 2210-2024")</f>
        <v/>
      </c>
      <c r="W373">
        <f>HYPERLINK("https://klasma.github.io/Logging_0884/klagomålsmail/A 2210-2024 FSC-klagomål mail.docx", "A 2210-2024")</f>
        <v/>
      </c>
      <c r="X373">
        <f>HYPERLINK("https://klasma.github.io/Logging_0884/tillsyn/A 2210-2024 tillsynsbegäran.docx", "A 2210-2024")</f>
        <v/>
      </c>
      <c r="Y373">
        <f>HYPERLINK("https://klasma.github.io/Logging_0884/tillsynsmail/A 2210-2024 tillsynsbegäran mail.docx", "A 2210-2024")</f>
        <v/>
      </c>
      <c r="Z373">
        <f>HYPERLINK("https://klasma.github.io/Logging_0884/fåglar/A 2210-2024 prioriterade fågelarter.docx", "A 2210-2024")</f>
        <v/>
      </c>
    </row>
    <row r="374" ht="15" customHeight="1">
      <c r="A374" t="inlineStr">
        <is>
          <t>A 2211-2024</t>
        </is>
      </c>
      <c r="B374" s="1" t="n">
        <v>45309</v>
      </c>
      <c r="C374" s="1" t="n">
        <v>45715</v>
      </c>
      <c r="D374" t="inlineStr">
        <is>
          <t>KALMAR LÄN</t>
        </is>
      </c>
      <c r="E374" t="inlineStr">
        <is>
          <t>VIMMERBY</t>
        </is>
      </c>
      <c r="G374" t="n">
        <v>1.7</v>
      </c>
      <c r="H374" t="n">
        <v>1</v>
      </c>
      <c r="I374" t="n">
        <v>1</v>
      </c>
      <c r="J374" t="n">
        <v>2</v>
      </c>
      <c r="K374" t="n">
        <v>0</v>
      </c>
      <c r="L374" t="n">
        <v>0</v>
      </c>
      <c r="M374" t="n">
        <v>0</v>
      </c>
      <c r="N374" t="n">
        <v>0</v>
      </c>
      <c r="O374" t="n">
        <v>2</v>
      </c>
      <c r="P374" t="n">
        <v>0</v>
      </c>
      <c r="Q374" t="n">
        <v>3</v>
      </c>
      <c r="R374" s="2" t="inlineStr">
        <is>
          <t>Leptoporus mollis
Spillkråka
Fällmossa</t>
        </is>
      </c>
      <c r="S374">
        <f>HYPERLINK("https://klasma.github.io/Logging_0884/artfynd/A 2211-2024 artfynd.xlsx", "A 2211-2024")</f>
        <v/>
      </c>
      <c r="T374">
        <f>HYPERLINK("https://klasma.github.io/Logging_0884/kartor/A 2211-2024 karta.png", "A 2211-2024")</f>
        <v/>
      </c>
      <c r="V374">
        <f>HYPERLINK("https://klasma.github.io/Logging_0884/klagomål/A 2211-2024 FSC-klagomål.docx", "A 2211-2024")</f>
        <v/>
      </c>
      <c r="W374">
        <f>HYPERLINK("https://klasma.github.io/Logging_0884/klagomålsmail/A 2211-2024 FSC-klagomål mail.docx", "A 2211-2024")</f>
        <v/>
      </c>
      <c r="X374">
        <f>HYPERLINK("https://klasma.github.io/Logging_0884/tillsyn/A 2211-2024 tillsynsbegäran.docx", "A 2211-2024")</f>
        <v/>
      </c>
      <c r="Y374">
        <f>HYPERLINK("https://klasma.github.io/Logging_0884/tillsynsmail/A 2211-2024 tillsynsbegäran mail.docx", "A 2211-2024")</f>
        <v/>
      </c>
      <c r="Z374">
        <f>HYPERLINK("https://klasma.github.io/Logging_0884/fåglar/A 2211-2024 prioriterade fågelarter.docx", "A 2211-2024")</f>
        <v/>
      </c>
    </row>
    <row r="375" ht="15" customHeight="1">
      <c r="A375" t="inlineStr">
        <is>
          <t>A 2719-2024</t>
        </is>
      </c>
      <c r="B375" s="1" t="n">
        <v>45314</v>
      </c>
      <c r="C375" s="1" t="n">
        <v>45715</v>
      </c>
      <c r="D375" t="inlineStr">
        <is>
          <t>KALMAR LÄN</t>
        </is>
      </c>
      <c r="E375" t="inlineStr">
        <is>
          <t>MÖNSTERÅS</t>
        </is>
      </c>
      <c r="G375" t="n">
        <v>3.4</v>
      </c>
      <c r="H375" t="n">
        <v>3</v>
      </c>
      <c r="I375" t="n">
        <v>0</v>
      </c>
      <c r="J375" t="n">
        <v>1</v>
      </c>
      <c r="K375" t="n">
        <v>0</v>
      </c>
      <c r="L375" t="n">
        <v>0</v>
      </c>
      <c r="M375" t="n">
        <v>0</v>
      </c>
      <c r="N375" t="n">
        <v>0</v>
      </c>
      <c r="O375" t="n">
        <v>1</v>
      </c>
      <c r="P375" t="n">
        <v>0</v>
      </c>
      <c r="Q375" t="n">
        <v>3</v>
      </c>
      <c r="R375" s="2" t="inlineStr">
        <is>
          <t>Nordfladdermus
Dvärgpipistrell
Större brunfladdermus</t>
        </is>
      </c>
      <c r="S375">
        <f>HYPERLINK("https://klasma.github.io/Logging_0861/artfynd/A 2719-2024 artfynd.xlsx", "A 2719-2024")</f>
        <v/>
      </c>
      <c r="T375">
        <f>HYPERLINK("https://klasma.github.io/Logging_0861/kartor/A 2719-2024 karta.png", "A 2719-2024")</f>
        <v/>
      </c>
      <c r="V375">
        <f>HYPERLINK("https://klasma.github.io/Logging_0861/klagomål/A 2719-2024 FSC-klagomål.docx", "A 2719-2024")</f>
        <v/>
      </c>
      <c r="W375">
        <f>HYPERLINK("https://klasma.github.io/Logging_0861/klagomålsmail/A 2719-2024 FSC-klagomål mail.docx", "A 2719-2024")</f>
        <v/>
      </c>
      <c r="X375">
        <f>HYPERLINK("https://klasma.github.io/Logging_0861/tillsyn/A 2719-2024 tillsynsbegäran.docx", "A 2719-2024")</f>
        <v/>
      </c>
      <c r="Y375">
        <f>HYPERLINK("https://klasma.github.io/Logging_0861/tillsynsmail/A 2719-2024 tillsynsbegäran mail.docx", "A 2719-2024")</f>
        <v/>
      </c>
    </row>
    <row r="376" ht="15" customHeight="1">
      <c r="A376" t="inlineStr">
        <is>
          <t>A 2657-2024</t>
        </is>
      </c>
      <c r="B376" s="1" t="n">
        <v>45314</v>
      </c>
      <c r="C376" s="1" t="n">
        <v>45715</v>
      </c>
      <c r="D376" t="inlineStr">
        <is>
          <t>KALMAR LÄN</t>
        </is>
      </c>
      <c r="E376" t="inlineStr">
        <is>
          <t>VÄSTERVIK</t>
        </is>
      </c>
      <c r="G376" t="n">
        <v>5.9</v>
      </c>
      <c r="H376" t="n">
        <v>2</v>
      </c>
      <c r="I376" t="n">
        <v>1</v>
      </c>
      <c r="J376" t="n">
        <v>1</v>
      </c>
      <c r="K376" t="n">
        <v>1</v>
      </c>
      <c r="L376" t="n">
        <v>0</v>
      </c>
      <c r="M376" t="n">
        <v>0</v>
      </c>
      <c r="N376" t="n">
        <v>0</v>
      </c>
      <c r="O376" t="n">
        <v>2</v>
      </c>
      <c r="P376" t="n">
        <v>1</v>
      </c>
      <c r="Q376" t="n">
        <v>3</v>
      </c>
      <c r="R376" s="2" t="inlineStr">
        <is>
          <t>Knärot
Spillkråka
Grönpyrola</t>
        </is>
      </c>
      <c r="S376">
        <f>HYPERLINK("https://klasma.github.io/Logging_0883/artfynd/A 2657-2024 artfynd.xlsx", "A 2657-2024")</f>
        <v/>
      </c>
      <c r="T376">
        <f>HYPERLINK("https://klasma.github.io/Logging_0883/kartor/A 2657-2024 karta.png", "A 2657-2024")</f>
        <v/>
      </c>
      <c r="U376">
        <f>HYPERLINK("https://klasma.github.io/Logging_0883/knärot/A 2657-2024 karta knärot.png", "A 2657-2024")</f>
        <v/>
      </c>
      <c r="V376">
        <f>HYPERLINK("https://klasma.github.io/Logging_0883/klagomål/A 2657-2024 FSC-klagomål.docx", "A 2657-2024")</f>
        <v/>
      </c>
      <c r="W376">
        <f>HYPERLINK("https://klasma.github.io/Logging_0883/klagomålsmail/A 2657-2024 FSC-klagomål mail.docx", "A 2657-2024")</f>
        <v/>
      </c>
      <c r="X376">
        <f>HYPERLINK("https://klasma.github.io/Logging_0883/tillsyn/A 2657-2024 tillsynsbegäran.docx", "A 2657-2024")</f>
        <v/>
      </c>
      <c r="Y376">
        <f>HYPERLINK("https://klasma.github.io/Logging_0883/tillsynsmail/A 2657-2024 tillsynsbegäran mail.docx", "A 2657-2024")</f>
        <v/>
      </c>
      <c r="Z376">
        <f>HYPERLINK("https://klasma.github.io/Logging_0883/fåglar/A 2657-2024 prioriterade fågelarter.docx", "A 2657-2024")</f>
        <v/>
      </c>
    </row>
    <row r="377" ht="15" customHeight="1">
      <c r="A377" t="inlineStr">
        <is>
          <t>A 2916-2024</t>
        </is>
      </c>
      <c r="B377" s="1" t="n">
        <v>45315</v>
      </c>
      <c r="C377" s="1" t="n">
        <v>45715</v>
      </c>
      <c r="D377" t="inlineStr">
        <is>
          <t>KALMAR LÄN</t>
        </is>
      </c>
      <c r="E377" t="inlineStr">
        <is>
          <t>VÄSTERVIK</t>
        </is>
      </c>
      <c r="G377" t="n">
        <v>6.3</v>
      </c>
      <c r="H377" t="n">
        <v>2</v>
      </c>
      <c r="I377" t="n">
        <v>0</v>
      </c>
      <c r="J377" t="n">
        <v>2</v>
      </c>
      <c r="K377" t="n">
        <v>1</v>
      </c>
      <c r="L377" t="n">
        <v>0</v>
      </c>
      <c r="M377" t="n">
        <v>0</v>
      </c>
      <c r="N377" t="n">
        <v>0</v>
      </c>
      <c r="O377" t="n">
        <v>3</v>
      </c>
      <c r="P377" t="n">
        <v>1</v>
      </c>
      <c r="Q377" t="n">
        <v>3</v>
      </c>
      <c r="R377" s="2" t="inlineStr">
        <is>
          <t>Knärot
Spillkråka
Tallticka</t>
        </is>
      </c>
      <c r="S377">
        <f>HYPERLINK("https://klasma.github.io/Logging_0883/artfynd/A 2916-2024 artfynd.xlsx", "A 2916-2024")</f>
        <v/>
      </c>
      <c r="T377">
        <f>HYPERLINK("https://klasma.github.io/Logging_0883/kartor/A 2916-2024 karta.png", "A 2916-2024")</f>
        <v/>
      </c>
      <c r="U377">
        <f>HYPERLINK("https://klasma.github.io/Logging_0883/knärot/A 2916-2024 karta knärot.png", "A 2916-2024")</f>
        <v/>
      </c>
      <c r="V377">
        <f>HYPERLINK("https://klasma.github.io/Logging_0883/klagomål/A 2916-2024 FSC-klagomål.docx", "A 2916-2024")</f>
        <v/>
      </c>
      <c r="W377">
        <f>HYPERLINK("https://klasma.github.io/Logging_0883/klagomålsmail/A 2916-2024 FSC-klagomål mail.docx", "A 2916-2024")</f>
        <v/>
      </c>
      <c r="X377">
        <f>HYPERLINK("https://klasma.github.io/Logging_0883/tillsyn/A 2916-2024 tillsynsbegäran.docx", "A 2916-2024")</f>
        <v/>
      </c>
      <c r="Y377">
        <f>HYPERLINK("https://klasma.github.io/Logging_0883/tillsynsmail/A 2916-2024 tillsynsbegäran mail.docx", "A 2916-2024")</f>
        <v/>
      </c>
      <c r="Z377">
        <f>HYPERLINK("https://klasma.github.io/Logging_0883/fåglar/A 2916-2024 prioriterade fågelarter.docx", "A 2916-2024")</f>
        <v/>
      </c>
    </row>
    <row r="378" ht="15" customHeight="1">
      <c r="A378" t="inlineStr">
        <is>
          <t>A 3676-2024</t>
        </is>
      </c>
      <c r="B378" s="1" t="n">
        <v>45321</v>
      </c>
      <c r="C378" s="1" t="n">
        <v>45715</v>
      </c>
      <c r="D378" t="inlineStr">
        <is>
          <t>KALMAR LÄN</t>
        </is>
      </c>
      <c r="E378" t="inlineStr">
        <is>
          <t>MÖNSTERÅS</t>
        </is>
      </c>
      <c r="G378" t="n">
        <v>6.8</v>
      </c>
      <c r="H378" t="n">
        <v>3</v>
      </c>
      <c r="I378" t="n">
        <v>0</v>
      </c>
      <c r="J378" t="n">
        <v>0</v>
      </c>
      <c r="K378" t="n">
        <v>1</v>
      </c>
      <c r="L378" t="n">
        <v>0</v>
      </c>
      <c r="M378" t="n">
        <v>0</v>
      </c>
      <c r="N378" t="n">
        <v>0</v>
      </c>
      <c r="O378" t="n">
        <v>1</v>
      </c>
      <c r="P378" t="n">
        <v>1</v>
      </c>
      <c r="Q378" t="n">
        <v>3</v>
      </c>
      <c r="R378" s="2" t="inlineStr">
        <is>
          <t>Knärot
Grönsiska
Kungsfågel</t>
        </is>
      </c>
      <c r="S378">
        <f>HYPERLINK("https://klasma.github.io/Logging_0861/artfynd/A 3676-2024 artfynd.xlsx", "A 3676-2024")</f>
        <v/>
      </c>
      <c r="T378">
        <f>HYPERLINK("https://klasma.github.io/Logging_0861/kartor/A 3676-2024 karta.png", "A 3676-2024")</f>
        <v/>
      </c>
      <c r="U378">
        <f>HYPERLINK("https://klasma.github.io/Logging_0861/knärot/A 3676-2024 karta knärot.png", "A 3676-2024")</f>
        <v/>
      </c>
      <c r="V378">
        <f>HYPERLINK("https://klasma.github.io/Logging_0861/klagomål/A 3676-2024 FSC-klagomål.docx", "A 3676-2024")</f>
        <v/>
      </c>
      <c r="W378">
        <f>HYPERLINK("https://klasma.github.io/Logging_0861/klagomålsmail/A 3676-2024 FSC-klagomål mail.docx", "A 3676-2024")</f>
        <v/>
      </c>
      <c r="X378">
        <f>HYPERLINK("https://klasma.github.io/Logging_0861/tillsyn/A 3676-2024 tillsynsbegäran.docx", "A 3676-2024")</f>
        <v/>
      </c>
      <c r="Y378">
        <f>HYPERLINK("https://klasma.github.io/Logging_0861/tillsynsmail/A 3676-2024 tillsynsbegäran mail.docx", "A 3676-2024")</f>
        <v/>
      </c>
      <c r="Z378">
        <f>HYPERLINK("https://klasma.github.io/Logging_0861/fåglar/A 3676-2024 prioriterade fågelarter.docx", "A 3676-2024")</f>
        <v/>
      </c>
    </row>
    <row r="379" ht="15" customHeight="1">
      <c r="A379" t="inlineStr">
        <is>
          <t>A 6372-2024</t>
        </is>
      </c>
      <c r="B379" s="1" t="n">
        <v>45338</v>
      </c>
      <c r="C379" s="1" t="n">
        <v>45715</v>
      </c>
      <c r="D379" t="inlineStr">
        <is>
          <t>KALMAR LÄN</t>
        </is>
      </c>
      <c r="E379" t="inlineStr">
        <is>
          <t>VIMMERBY</t>
        </is>
      </c>
      <c r="G379" t="n">
        <v>1.3</v>
      </c>
      <c r="H379" t="n">
        <v>2</v>
      </c>
      <c r="I379" t="n">
        <v>1</v>
      </c>
      <c r="J379" t="n">
        <v>1</v>
      </c>
      <c r="K379" t="n">
        <v>0</v>
      </c>
      <c r="L379" t="n">
        <v>0</v>
      </c>
      <c r="M379" t="n">
        <v>0</v>
      </c>
      <c r="N379" t="n">
        <v>0</v>
      </c>
      <c r="O379" t="n">
        <v>1</v>
      </c>
      <c r="P379" t="n">
        <v>0</v>
      </c>
      <c r="Q379" t="n">
        <v>3</v>
      </c>
      <c r="R379" s="2" t="inlineStr">
        <is>
          <t>Talltita
Blåmossa
Revlummer</t>
        </is>
      </c>
      <c r="S379">
        <f>HYPERLINK("https://klasma.github.io/Logging_0884/artfynd/A 6372-2024 artfynd.xlsx", "A 6372-2024")</f>
        <v/>
      </c>
      <c r="T379">
        <f>HYPERLINK("https://klasma.github.io/Logging_0884/kartor/A 6372-2024 karta.png", "A 6372-2024")</f>
        <v/>
      </c>
      <c r="V379">
        <f>HYPERLINK("https://klasma.github.io/Logging_0884/klagomål/A 6372-2024 FSC-klagomål.docx", "A 6372-2024")</f>
        <v/>
      </c>
      <c r="W379">
        <f>HYPERLINK("https://klasma.github.io/Logging_0884/klagomålsmail/A 6372-2024 FSC-klagomål mail.docx", "A 6372-2024")</f>
        <v/>
      </c>
      <c r="X379">
        <f>HYPERLINK("https://klasma.github.io/Logging_0884/tillsyn/A 6372-2024 tillsynsbegäran.docx", "A 6372-2024")</f>
        <v/>
      </c>
      <c r="Y379">
        <f>HYPERLINK("https://klasma.github.io/Logging_0884/tillsynsmail/A 6372-2024 tillsynsbegäran mail.docx", "A 6372-2024")</f>
        <v/>
      </c>
      <c r="Z379">
        <f>HYPERLINK("https://klasma.github.io/Logging_0884/fåglar/A 6372-2024 prioriterade fågelarter.docx", "A 6372-2024")</f>
        <v/>
      </c>
    </row>
    <row r="380" ht="15" customHeight="1">
      <c r="A380" t="inlineStr">
        <is>
          <t>A 8303-2024</t>
        </is>
      </c>
      <c r="B380" s="1" t="n">
        <v>45352</v>
      </c>
      <c r="C380" s="1" t="n">
        <v>45715</v>
      </c>
      <c r="D380" t="inlineStr">
        <is>
          <t>KALMAR LÄN</t>
        </is>
      </c>
      <c r="E380" t="inlineStr">
        <is>
          <t>NYBRO</t>
        </is>
      </c>
      <c r="G380" t="n">
        <v>1.9</v>
      </c>
      <c r="H380" t="n">
        <v>0</v>
      </c>
      <c r="I380" t="n">
        <v>0</v>
      </c>
      <c r="J380" t="n">
        <v>1</v>
      </c>
      <c r="K380" t="n">
        <v>2</v>
      </c>
      <c r="L380" t="n">
        <v>0</v>
      </c>
      <c r="M380" t="n">
        <v>0</v>
      </c>
      <c r="N380" t="n">
        <v>0</v>
      </c>
      <c r="O380" t="n">
        <v>3</v>
      </c>
      <c r="P380" t="n">
        <v>2</v>
      </c>
      <c r="Q380" t="n">
        <v>3</v>
      </c>
      <c r="R380" s="2" t="inlineStr">
        <is>
          <t>Slåttergubbe
Slåttergubbemal
Spindelört</t>
        </is>
      </c>
      <c r="S380">
        <f>HYPERLINK("https://klasma.github.io/Logging_0881/artfynd/A 8303-2024 artfynd.xlsx", "A 8303-2024")</f>
        <v/>
      </c>
      <c r="T380">
        <f>HYPERLINK("https://klasma.github.io/Logging_0881/kartor/A 8303-2024 karta.png", "A 8303-2024")</f>
        <v/>
      </c>
      <c r="V380">
        <f>HYPERLINK("https://klasma.github.io/Logging_0881/klagomål/A 8303-2024 FSC-klagomål.docx", "A 8303-2024")</f>
        <v/>
      </c>
      <c r="W380">
        <f>HYPERLINK("https://klasma.github.io/Logging_0881/klagomålsmail/A 8303-2024 FSC-klagomål mail.docx", "A 8303-2024")</f>
        <v/>
      </c>
      <c r="X380">
        <f>HYPERLINK("https://klasma.github.io/Logging_0881/tillsyn/A 8303-2024 tillsynsbegäran.docx", "A 8303-2024")</f>
        <v/>
      </c>
      <c r="Y380">
        <f>HYPERLINK("https://klasma.github.io/Logging_0881/tillsynsmail/A 8303-2024 tillsynsbegäran mail.docx", "A 8303-2024")</f>
        <v/>
      </c>
    </row>
    <row r="381" ht="15" customHeight="1">
      <c r="A381" t="inlineStr">
        <is>
          <t>A 8620-2024</t>
        </is>
      </c>
      <c r="B381" s="1" t="n">
        <v>45355</v>
      </c>
      <c r="C381" s="1" t="n">
        <v>45715</v>
      </c>
      <c r="D381" t="inlineStr">
        <is>
          <t>KALMAR LÄN</t>
        </is>
      </c>
      <c r="E381" t="inlineStr">
        <is>
          <t>VÄSTERVIK</t>
        </is>
      </c>
      <c r="G381" t="n">
        <v>0.9</v>
      </c>
      <c r="H381" t="n">
        <v>2</v>
      </c>
      <c r="I381" t="n">
        <v>1</v>
      </c>
      <c r="J381" t="n">
        <v>1</v>
      </c>
      <c r="K381" t="n">
        <v>1</v>
      </c>
      <c r="L381" t="n">
        <v>0</v>
      </c>
      <c r="M381" t="n">
        <v>0</v>
      </c>
      <c r="N381" t="n">
        <v>0</v>
      </c>
      <c r="O381" t="n">
        <v>2</v>
      </c>
      <c r="P381" t="n">
        <v>1</v>
      </c>
      <c r="Q381" t="n">
        <v>3</v>
      </c>
      <c r="R381" s="2" t="inlineStr">
        <is>
          <t>Knärot
Talltita
Blodticka</t>
        </is>
      </c>
      <c r="S381">
        <f>HYPERLINK("https://klasma.github.io/Logging_0883/artfynd/A 8620-2024 artfynd.xlsx", "A 8620-2024")</f>
        <v/>
      </c>
      <c r="T381">
        <f>HYPERLINK("https://klasma.github.io/Logging_0883/kartor/A 8620-2024 karta.png", "A 8620-2024")</f>
        <v/>
      </c>
      <c r="U381">
        <f>HYPERLINK("https://klasma.github.io/Logging_0883/knärot/A 8620-2024 karta knärot.png", "A 8620-2024")</f>
        <v/>
      </c>
      <c r="V381">
        <f>HYPERLINK("https://klasma.github.io/Logging_0883/klagomål/A 8620-2024 FSC-klagomål.docx", "A 8620-2024")</f>
        <v/>
      </c>
      <c r="W381">
        <f>HYPERLINK("https://klasma.github.io/Logging_0883/klagomålsmail/A 8620-2024 FSC-klagomål mail.docx", "A 8620-2024")</f>
        <v/>
      </c>
      <c r="X381">
        <f>HYPERLINK("https://klasma.github.io/Logging_0883/tillsyn/A 8620-2024 tillsynsbegäran.docx", "A 8620-2024")</f>
        <v/>
      </c>
      <c r="Y381">
        <f>HYPERLINK("https://klasma.github.io/Logging_0883/tillsynsmail/A 8620-2024 tillsynsbegäran mail.docx", "A 8620-2024")</f>
        <v/>
      </c>
      <c r="Z381">
        <f>HYPERLINK("https://klasma.github.io/Logging_0883/fåglar/A 8620-2024 prioriterade fågelarter.docx", "A 8620-2024")</f>
        <v/>
      </c>
    </row>
    <row r="382" ht="15" customHeight="1">
      <c r="A382" t="inlineStr">
        <is>
          <t>A 10673-2024</t>
        </is>
      </c>
      <c r="B382" s="1" t="n">
        <v>45369</v>
      </c>
      <c r="C382" s="1" t="n">
        <v>45715</v>
      </c>
      <c r="D382" t="inlineStr">
        <is>
          <t>KALMAR LÄN</t>
        </is>
      </c>
      <c r="E382" t="inlineStr">
        <is>
          <t>HULTSFRED</t>
        </is>
      </c>
      <c r="G382" t="n">
        <v>2</v>
      </c>
      <c r="H382" t="n">
        <v>3</v>
      </c>
      <c r="I382" t="n">
        <v>0</v>
      </c>
      <c r="J382" t="n">
        <v>1</v>
      </c>
      <c r="K382" t="n">
        <v>1</v>
      </c>
      <c r="L382" t="n">
        <v>0</v>
      </c>
      <c r="M382" t="n">
        <v>0</v>
      </c>
      <c r="N382" t="n">
        <v>0</v>
      </c>
      <c r="O382" t="n">
        <v>2</v>
      </c>
      <c r="P382" t="n">
        <v>1</v>
      </c>
      <c r="Q382" t="n">
        <v>3</v>
      </c>
      <c r="R382" s="2" t="inlineStr">
        <is>
          <t>Knärot
Spillkråka
Blåsippa</t>
        </is>
      </c>
      <c r="S382">
        <f>HYPERLINK("https://klasma.github.io/Logging_0860/artfynd/A 10673-2024 artfynd.xlsx", "A 10673-2024")</f>
        <v/>
      </c>
      <c r="T382">
        <f>HYPERLINK("https://klasma.github.io/Logging_0860/kartor/A 10673-2024 karta.png", "A 10673-2024")</f>
        <v/>
      </c>
      <c r="U382">
        <f>HYPERLINK("https://klasma.github.io/Logging_0860/knärot/A 10673-2024 karta knärot.png", "A 10673-2024")</f>
        <v/>
      </c>
      <c r="V382">
        <f>HYPERLINK("https://klasma.github.io/Logging_0860/klagomål/A 10673-2024 FSC-klagomål.docx", "A 10673-2024")</f>
        <v/>
      </c>
      <c r="W382">
        <f>HYPERLINK("https://klasma.github.io/Logging_0860/klagomålsmail/A 10673-2024 FSC-klagomål mail.docx", "A 10673-2024")</f>
        <v/>
      </c>
      <c r="X382">
        <f>HYPERLINK("https://klasma.github.io/Logging_0860/tillsyn/A 10673-2024 tillsynsbegäran.docx", "A 10673-2024")</f>
        <v/>
      </c>
      <c r="Y382">
        <f>HYPERLINK("https://klasma.github.io/Logging_0860/tillsynsmail/A 10673-2024 tillsynsbegäran mail.docx", "A 10673-2024")</f>
        <v/>
      </c>
      <c r="Z382">
        <f>HYPERLINK("https://klasma.github.io/Logging_0860/fåglar/A 10673-2024 prioriterade fågelarter.docx", "A 10673-2024")</f>
        <v/>
      </c>
    </row>
    <row r="383" ht="15" customHeight="1">
      <c r="A383" t="inlineStr">
        <is>
          <t>A 13744-2024</t>
        </is>
      </c>
      <c r="B383" s="1" t="n">
        <v>45390</v>
      </c>
      <c r="C383" s="1" t="n">
        <v>45715</v>
      </c>
      <c r="D383" t="inlineStr">
        <is>
          <t>KALMAR LÄN</t>
        </is>
      </c>
      <c r="E383" t="inlineStr">
        <is>
          <t>VÄSTERVIK</t>
        </is>
      </c>
      <c r="F383" t="inlineStr">
        <is>
          <t>Sveaskog</t>
        </is>
      </c>
      <c r="G383" t="n">
        <v>6.3</v>
      </c>
      <c r="H383" t="n">
        <v>3</v>
      </c>
      <c r="I383" t="n">
        <v>0</v>
      </c>
      <c r="J383" t="n">
        <v>1</v>
      </c>
      <c r="K383" t="n">
        <v>1</v>
      </c>
      <c r="L383" t="n">
        <v>0</v>
      </c>
      <c r="M383" t="n">
        <v>0</v>
      </c>
      <c r="N383" t="n">
        <v>0</v>
      </c>
      <c r="O383" t="n">
        <v>2</v>
      </c>
      <c r="P383" t="n">
        <v>1</v>
      </c>
      <c r="Q383" t="n">
        <v>3</v>
      </c>
      <c r="R383" s="2" t="inlineStr">
        <is>
          <t>Knärot
Talltita
Tjäder</t>
        </is>
      </c>
      <c r="S383">
        <f>HYPERLINK("https://klasma.github.io/Logging_0883/artfynd/A 13744-2024 artfynd.xlsx", "A 13744-2024")</f>
        <v/>
      </c>
      <c r="T383">
        <f>HYPERLINK("https://klasma.github.io/Logging_0883/kartor/A 13744-2024 karta.png", "A 13744-2024")</f>
        <v/>
      </c>
      <c r="U383">
        <f>HYPERLINK("https://klasma.github.io/Logging_0883/knärot/A 13744-2024 karta knärot.png", "A 13744-2024")</f>
        <v/>
      </c>
      <c r="V383">
        <f>HYPERLINK("https://klasma.github.io/Logging_0883/klagomål/A 13744-2024 FSC-klagomål.docx", "A 13744-2024")</f>
        <v/>
      </c>
      <c r="W383">
        <f>HYPERLINK("https://klasma.github.io/Logging_0883/klagomålsmail/A 13744-2024 FSC-klagomål mail.docx", "A 13744-2024")</f>
        <v/>
      </c>
      <c r="X383">
        <f>HYPERLINK("https://klasma.github.io/Logging_0883/tillsyn/A 13744-2024 tillsynsbegäran.docx", "A 13744-2024")</f>
        <v/>
      </c>
      <c r="Y383">
        <f>HYPERLINK("https://klasma.github.io/Logging_0883/tillsynsmail/A 13744-2024 tillsynsbegäran mail.docx", "A 13744-2024")</f>
        <v/>
      </c>
      <c r="Z383">
        <f>HYPERLINK("https://klasma.github.io/Logging_0883/fåglar/A 13744-2024 prioriterade fågelarter.docx", "A 13744-2024")</f>
        <v/>
      </c>
    </row>
    <row r="384" ht="15" customHeight="1">
      <c r="A384" t="inlineStr">
        <is>
          <t>A 15170-2024</t>
        </is>
      </c>
      <c r="B384" s="1" t="n">
        <v>45400</v>
      </c>
      <c r="C384" s="1" t="n">
        <v>45715</v>
      </c>
      <c r="D384" t="inlineStr">
        <is>
          <t>KALMAR LÄN</t>
        </is>
      </c>
      <c r="E384" t="inlineStr">
        <is>
          <t>HULTSFRED</t>
        </is>
      </c>
      <c r="G384" t="n">
        <v>1.5</v>
      </c>
      <c r="H384" t="n">
        <v>1</v>
      </c>
      <c r="I384" t="n">
        <v>2</v>
      </c>
      <c r="J384" t="n">
        <v>0</v>
      </c>
      <c r="K384" t="n">
        <v>0</v>
      </c>
      <c r="L384" t="n">
        <v>0</v>
      </c>
      <c r="M384" t="n">
        <v>0</v>
      </c>
      <c r="N384" t="n">
        <v>0</v>
      </c>
      <c r="O384" t="n">
        <v>0</v>
      </c>
      <c r="P384" t="n">
        <v>0</v>
      </c>
      <c r="Q384" t="n">
        <v>3</v>
      </c>
      <c r="R384" s="2" t="inlineStr">
        <is>
          <t>Rostfläck
Vårärt
Blåsippa</t>
        </is>
      </c>
      <c r="S384">
        <f>HYPERLINK("https://klasma.github.io/Logging_0860/artfynd/A 15170-2024 artfynd.xlsx", "A 15170-2024")</f>
        <v/>
      </c>
      <c r="T384">
        <f>HYPERLINK("https://klasma.github.io/Logging_0860/kartor/A 15170-2024 karta.png", "A 15170-2024")</f>
        <v/>
      </c>
      <c r="U384">
        <f>HYPERLINK("https://klasma.github.io/Logging_0860/knärot/A 15170-2024 karta knärot.png", "A 15170-2024")</f>
        <v/>
      </c>
      <c r="V384">
        <f>HYPERLINK("https://klasma.github.io/Logging_0860/klagomål/A 15170-2024 FSC-klagomål.docx", "A 15170-2024")</f>
        <v/>
      </c>
      <c r="W384">
        <f>HYPERLINK("https://klasma.github.io/Logging_0860/klagomålsmail/A 15170-2024 FSC-klagomål mail.docx", "A 15170-2024")</f>
        <v/>
      </c>
      <c r="X384">
        <f>HYPERLINK("https://klasma.github.io/Logging_0860/tillsyn/A 15170-2024 tillsynsbegäran.docx", "A 15170-2024")</f>
        <v/>
      </c>
      <c r="Y384">
        <f>HYPERLINK("https://klasma.github.io/Logging_0860/tillsynsmail/A 15170-2024 tillsynsbegäran mail.docx", "A 15170-2024")</f>
        <v/>
      </c>
    </row>
    <row r="385" ht="15" customHeight="1">
      <c r="A385" t="inlineStr">
        <is>
          <t>A 16948-2024</t>
        </is>
      </c>
      <c r="B385" s="1" t="n">
        <v>45411</v>
      </c>
      <c r="C385" s="1" t="n">
        <v>45715</v>
      </c>
      <c r="D385" t="inlineStr">
        <is>
          <t>KALMAR LÄN</t>
        </is>
      </c>
      <c r="E385" t="inlineStr">
        <is>
          <t>VÄSTERVIK</t>
        </is>
      </c>
      <c r="G385" t="n">
        <v>13.3</v>
      </c>
      <c r="H385" t="n">
        <v>2</v>
      </c>
      <c r="I385" t="n">
        <v>0</v>
      </c>
      <c r="J385" t="n">
        <v>2</v>
      </c>
      <c r="K385" t="n">
        <v>1</v>
      </c>
      <c r="L385" t="n">
        <v>0</v>
      </c>
      <c r="M385" t="n">
        <v>0</v>
      </c>
      <c r="N385" t="n">
        <v>0</v>
      </c>
      <c r="O385" t="n">
        <v>3</v>
      </c>
      <c r="P385" t="n">
        <v>1</v>
      </c>
      <c r="Q385" t="n">
        <v>3</v>
      </c>
      <c r="R385" s="2" t="inlineStr">
        <is>
          <t>Knärot
Spillkråka
Tallticka</t>
        </is>
      </c>
      <c r="S385">
        <f>HYPERLINK("https://klasma.github.io/Logging_0883/artfynd/A 16948-2024 artfynd.xlsx", "A 16948-2024")</f>
        <v/>
      </c>
      <c r="T385">
        <f>HYPERLINK("https://klasma.github.io/Logging_0883/kartor/A 16948-2024 karta.png", "A 16948-2024")</f>
        <v/>
      </c>
      <c r="U385">
        <f>HYPERLINK("https://klasma.github.io/Logging_0883/knärot/A 16948-2024 karta knärot.png", "A 16948-2024")</f>
        <v/>
      </c>
      <c r="V385">
        <f>HYPERLINK("https://klasma.github.io/Logging_0883/klagomål/A 16948-2024 FSC-klagomål.docx", "A 16948-2024")</f>
        <v/>
      </c>
      <c r="W385">
        <f>HYPERLINK("https://klasma.github.io/Logging_0883/klagomålsmail/A 16948-2024 FSC-klagomål mail.docx", "A 16948-2024")</f>
        <v/>
      </c>
      <c r="X385">
        <f>HYPERLINK("https://klasma.github.io/Logging_0883/tillsyn/A 16948-2024 tillsynsbegäran.docx", "A 16948-2024")</f>
        <v/>
      </c>
      <c r="Y385">
        <f>HYPERLINK("https://klasma.github.io/Logging_0883/tillsynsmail/A 16948-2024 tillsynsbegäran mail.docx", "A 16948-2024")</f>
        <v/>
      </c>
      <c r="Z385">
        <f>HYPERLINK("https://klasma.github.io/Logging_0883/fåglar/A 16948-2024 prioriterade fågelarter.docx", "A 16948-2024")</f>
        <v/>
      </c>
    </row>
    <row r="386" ht="15" customHeight="1">
      <c r="A386" t="inlineStr">
        <is>
          <t>A 21797-2024</t>
        </is>
      </c>
      <c r="B386" s="1" t="n">
        <v>45442</v>
      </c>
      <c r="C386" s="1" t="n">
        <v>45715</v>
      </c>
      <c r="D386" t="inlineStr">
        <is>
          <t>KALMAR LÄN</t>
        </is>
      </c>
      <c r="E386" t="inlineStr">
        <is>
          <t>BORGHOLM</t>
        </is>
      </c>
      <c r="G386" t="n">
        <v>1.4</v>
      </c>
      <c r="H386" t="n">
        <v>2</v>
      </c>
      <c r="I386" t="n">
        <v>2</v>
      </c>
      <c r="J386" t="n">
        <v>0</v>
      </c>
      <c r="K386" t="n">
        <v>0</v>
      </c>
      <c r="L386" t="n">
        <v>0</v>
      </c>
      <c r="M386" t="n">
        <v>0</v>
      </c>
      <c r="N386" t="n">
        <v>0</v>
      </c>
      <c r="O386" t="n">
        <v>0</v>
      </c>
      <c r="P386" t="n">
        <v>0</v>
      </c>
      <c r="Q386" t="n">
        <v>3</v>
      </c>
      <c r="R386" s="2" t="inlineStr">
        <is>
          <t>Murgröna
Skogsknipprot
Revlummer</t>
        </is>
      </c>
      <c r="S386">
        <f>HYPERLINK("https://klasma.github.io/Logging_0885/artfynd/A 21797-2024 artfynd.xlsx", "A 21797-2024")</f>
        <v/>
      </c>
      <c r="T386">
        <f>HYPERLINK("https://klasma.github.io/Logging_0885/kartor/A 21797-2024 karta.png", "A 21797-2024")</f>
        <v/>
      </c>
      <c r="V386">
        <f>HYPERLINK("https://klasma.github.io/Logging_0885/klagomål/A 21797-2024 FSC-klagomål.docx", "A 21797-2024")</f>
        <v/>
      </c>
      <c r="W386">
        <f>HYPERLINK("https://klasma.github.io/Logging_0885/klagomålsmail/A 21797-2024 FSC-klagomål mail.docx", "A 21797-2024")</f>
        <v/>
      </c>
      <c r="X386">
        <f>HYPERLINK("https://klasma.github.io/Logging_0885/tillsyn/A 21797-2024 tillsynsbegäran.docx", "A 21797-2024")</f>
        <v/>
      </c>
      <c r="Y386">
        <f>HYPERLINK("https://klasma.github.io/Logging_0885/tillsynsmail/A 21797-2024 tillsynsbegäran mail.docx", "A 21797-2024")</f>
        <v/>
      </c>
    </row>
    <row r="387" ht="15" customHeight="1">
      <c r="A387" t="inlineStr">
        <is>
          <t>A 21691-2024</t>
        </is>
      </c>
      <c r="B387" s="1" t="n">
        <v>45442</v>
      </c>
      <c r="C387" s="1" t="n">
        <v>45715</v>
      </c>
      <c r="D387" t="inlineStr">
        <is>
          <t>KALMAR LÄN</t>
        </is>
      </c>
      <c r="E387" t="inlineStr">
        <is>
          <t>NYBRO</t>
        </is>
      </c>
      <c r="G387" t="n">
        <v>4.4</v>
      </c>
      <c r="H387" t="n">
        <v>1</v>
      </c>
      <c r="I387" t="n">
        <v>2</v>
      </c>
      <c r="J387" t="n">
        <v>1</v>
      </c>
      <c r="K387" t="n">
        <v>0</v>
      </c>
      <c r="L387" t="n">
        <v>0</v>
      </c>
      <c r="M387" t="n">
        <v>0</v>
      </c>
      <c r="N387" t="n">
        <v>0</v>
      </c>
      <c r="O387" t="n">
        <v>1</v>
      </c>
      <c r="P387" t="n">
        <v>0</v>
      </c>
      <c r="Q387" t="n">
        <v>3</v>
      </c>
      <c r="R387" s="2" t="inlineStr">
        <is>
          <t>Spillkråka
Västlig hakmossa
Vågbandad barkbock</t>
        </is>
      </c>
      <c r="S387">
        <f>HYPERLINK("https://klasma.github.io/Logging_0881/artfynd/A 21691-2024 artfynd.xlsx", "A 21691-2024")</f>
        <v/>
      </c>
      <c r="T387">
        <f>HYPERLINK("https://klasma.github.io/Logging_0881/kartor/A 21691-2024 karta.png", "A 21691-2024")</f>
        <v/>
      </c>
      <c r="V387">
        <f>HYPERLINK("https://klasma.github.io/Logging_0881/klagomål/A 21691-2024 FSC-klagomål.docx", "A 21691-2024")</f>
        <v/>
      </c>
      <c r="W387">
        <f>HYPERLINK("https://klasma.github.io/Logging_0881/klagomålsmail/A 21691-2024 FSC-klagomål mail.docx", "A 21691-2024")</f>
        <v/>
      </c>
      <c r="X387">
        <f>HYPERLINK("https://klasma.github.io/Logging_0881/tillsyn/A 21691-2024 tillsynsbegäran.docx", "A 21691-2024")</f>
        <v/>
      </c>
      <c r="Y387">
        <f>HYPERLINK("https://klasma.github.io/Logging_0881/tillsynsmail/A 21691-2024 tillsynsbegäran mail.docx", "A 21691-2024")</f>
        <v/>
      </c>
      <c r="Z387">
        <f>HYPERLINK("https://klasma.github.io/Logging_0881/fåglar/A 21691-2024 prioriterade fågelarter.docx", "A 21691-2024")</f>
        <v/>
      </c>
    </row>
    <row r="388" ht="15" customHeight="1">
      <c r="A388" t="inlineStr">
        <is>
          <t>A 22280-2024</t>
        </is>
      </c>
      <c r="B388" s="1" t="n">
        <v>45446</v>
      </c>
      <c r="C388" s="1" t="n">
        <v>45715</v>
      </c>
      <c r="D388" t="inlineStr">
        <is>
          <t>KALMAR LÄN</t>
        </is>
      </c>
      <c r="E388" t="inlineStr">
        <is>
          <t>NYBRO</t>
        </is>
      </c>
      <c r="F388" t="inlineStr">
        <is>
          <t>Sveaskog</t>
        </is>
      </c>
      <c r="G388" t="n">
        <v>2.2</v>
      </c>
      <c r="H388" t="n">
        <v>3</v>
      </c>
      <c r="I388" t="n">
        <v>0</v>
      </c>
      <c r="J388" t="n">
        <v>3</v>
      </c>
      <c r="K388" t="n">
        <v>0</v>
      </c>
      <c r="L388" t="n">
        <v>0</v>
      </c>
      <c r="M388" t="n">
        <v>0</v>
      </c>
      <c r="N388" t="n">
        <v>0</v>
      </c>
      <c r="O388" t="n">
        <v>3</v>
      </c>
      <c r="P388" t="n">
        <v>0</v>
      </c>
      <c r="Q388" t="n">
        <v>3</v>
      </c>
      <c r="R388" s="2" t="inlineStr">
        <is>
          <t>Barbastell
Nordfladdermus
Sydfladdermus</t>
        </is>
      </c>
      <c r="S388">
        <f>HYPERLINK("https://klasma.github.io/Logging_0881/artfynd/A 22280-2024 artfynd.xlsx", "A 22280-2024")</f>
        <v/>
      </c>
      <c r="T388">
        <f>HYPERLINK("https://klasma.github.io/Logging_0881/kartor/A 22280-2024 karta.png", "A 22280-2024")</f>
        <v/>
      </c>
      <c r="V388">
        <f>HYPERLINK("https://klasma.github.io/Logging_0881/klagomål/A 22280-2024 FSC-klagomål.docx", "A 22280-2024")</f>
        <v/>
      </c>
      <c r="W388">
        <f>HYPERLINK("https://klasma.github.io/Logging_0881/klagomålsmail/A 22280-2024 FSC-klagomål mail.docx", "A 22280-2024")</f>
        <v/>
      </c>
      <c r="X388">
        <f>HYPERLINK("https://klasma.github.io/Logging_0881/tillsyn/A 22280-2024 tillsynsbegäran.docx", "A 22280-2024")</f>
        <v/>
      </c>
      <c r="Y388">
        <f>HYPERLINK("https://klasma.github.io/Logging_0881/tillsynsmail/A 22280-2024 tillsynsbegäran mail.docx", "A 22280-2024")</f>
        <v/>
      </c>
    </row>
    <row r="389" ht="15" customHeight="1">
      <c r="A389" t="inlineStr">
        <is>
          <t>A 23219-2024</t>
        </is>
      </c>
      <c r="B389" s="1" t="n">
        <v>45452</v>
      </c>
      <c r="C389" s="1" t="n">
        <v>45715</v>
      </c>
      <c r="D389" t="inlineStr">
        <is>
          <t>KALMAR LÄN</t>
        </is>
      </c>
      <c r="E389" t="inlineStr">
        <is>
          <t>VÄSTERVIK</t>
        </is>
      </c>
      <c r="G389" t="n">
        <v>0.9</v>
      </c>
      <c r="H389" t="n">
        <v>1</v>
      </c>
      <c r="I389" t="n">
        <v>1</v>
      </c>
      <c r="J389" t="n">
        <v>2</v>
      </c>
      <c r="K389" t="n">
        <v>0</v>
      </c>
      <c r="L389" t="n">
        <v>0</v>
      </c>
      <c r="M389" t="n">
        <v>0</v>
      </c>
      <c r="N389" t="n">
        <v>0</v>
      </c>
      <c r="O389" t="n">
        <v>2</v>
      </c>
      <c r="P389" t="n">
        <v>0</v>
      </c>
      <c r="Q389" t="n">
        <v>3</v>
      </c>
      <c r="R389" s="2" t="inlineStr">
        <is>
          <t>Ekticka
Spillkråka
Grönpyrola</t>
        </is>
      </c>
      <c r="S389">
        <f>HYPERLINK("https://klasma.github.io/Logging_0883/artfynd/A 23219-2024 artfynd.xlsx", "A 23219-2024")</f>
        <v/>
      </c>
      <c r="T389">
        <f>HYPERLINK("https://klasma.github.io/Logging_0883/kartor/A 23219-2024 karta.png", "A 23219-2024")</f>
        <v/>
      </c>
      <c r="V389">
        <f>HYPERLINK("https://klasma.github.io/Logging_0883/klagomål/A 23219-2024 FSC-klagomål.docx", "A 23219-2024")</f>
        <v/>
      </c>
      <c r="W389">
        <f>HYPERLINK("https://klasma.github.io/Logging_0883/klagomålsmail/A 23219-2024 FSC-klagomål mail.docx", "A 23219-2024")</f>
        <v/>
      </c>
      <c r="X389">
        <f>HYPERLINK("https://klasma.github.io/Logging_0883/tillsyn/A 23219-2024 tillsynsbegäran.docx", "A 23219-2024")</f>
        <v/>
      </c>
      <c r="Y389">
        <f>HYPERLINK("https://klasma.github.io/Logging_0883/tillsynsmail/A 23219-2024 tillsynsbegäran mail.docx", "A 23219-2024")</f>
        <v/>
      </c>
      <c r="Z389">
        <f>HYPERLINK("https://klasma.github.io/Logging_0883/fåglar/A 23219-2024 prioriterade fågelarter.docx", "A 23219-2024")</f>
        <v/>
      </c>
    </row>
    <row r="390" ht="15" customHeight="1">
      <c r="A390" t="inlineStr">
        <is>
          <t>A 24108-2024</t>
        </is>
      </c>
      <c r="B390" s="1" t="n">
        <v>45456</v>
      </c>
      <c r="C390" s="1" t="n">
        <v>45715</v>
      </c>
      <c r="D390" t="inlineStr">
        <is>
          <t>KALMAR LÄN</t>
        </is>
      </c>
      <c r="E390" t="inlineStr">
        <is>
          <t>MÖNSTERÅS</t>
        </is>
      </c>
      <c r="G390" t="n">
        <v>3.5</v>
      </c>
      <c r="H390" t="n">
        <v>1</v>
      </c>
      <c r="I390" t="n">
        <v>1</v>
      </c>
      <c r="J390" t="n">
        <v>1</v>
      </c>
      <c r="K390" t="n">
        <v>1</v>
      </c>
      <c r="L390" t="n">
        <v>0</v>
      </c>
      <c r="M390" t="n">
        <v>0</v>
      </c>
      <c r="N390" t="n">
        <v>0</v>
      </c>
      <c r="O390" t="n">
        <v>2</v>
      </c>
      <c r="P390" t="n">
        <v>1</v>
      </c>
      <c r="Q390" t="n">
        <v>3</v>
      </c>
      <c r="R390" s="2" t="inlineStr">
        <is>
          <t>Läderbagge
Ekticka
Gulnål</t>
        </is>
      </c>
      <c r="S390">
        <f>HYPERLINK("https://klasma.github.io/Logging_0861/artfynd/A 24108-2024 artfynd.xlsx", "A 24108-2024")</f>
        <v/>
      </c>
      <c r="T390">
        <f>HYPERLINK("https://klasma.github.io/Logging_0861/kartor/A 24108-2024 karta.png", "A 24108-2024")</f>
        <v/>
      </c>
      <c r="V390">
        <f>HYPERLINK("https://klasma.github.io/Logging_0861/klagomål/A 24108-2024 FSC-klagomål.docx", "A 24108-2024")</f>
        <v/>
      </c>
      <c r="W390">
        <f>HYPERLINK("https://klasma.github.io/Logging_0861/klagomålsmail/A 24108-2024 FSC-klagomål mail.docx", "A 24108-2024")</f>
        <v/>
      </c>
      <c r="X390">
        <f>HYPERLINK("https://klasma.github.io/Logging_0861/tillsyn/A 24108-2024 tillsynsbegäran.docx", "A 24108-2024")</f>
        <v/>
      </c>
      <c r="Y390">
        <f>HYPERLINK("https://klasma.github.io/Logging_0861/tillsynsmail/A 24108-2024 tillsynsbegäran mail.docx", "A 24108-2024")</f>
        <v/>
      </c>
    </row>
    <row r="391" ht="15" customHeight="1">
      <c r="A391" t="inlineStr">
        <is>
          <t>A 27067-2024</t>
        </is>
      </c>
      <c r="B391" s="1" t="n">
        <v>45471</v>
      </c>
      <c r="C391" s="1" t="n">
        <v>45715</v>
      </c>
      <c r="D391" t="inlineStr">
        <is>
          <t>KALMAR LÄN</t>
        </is>
      </c>
      <c r="E391" t="inlineStr">
        <is>
          <t>VÄSTERVIK</t>
        </is>
      </c>
      <c r="F391" t="inlineStr">
        <is>
          <t>Holmen skog AB</t>
        </is>
      </c>
      <c r="G391" t="n">
        <v>8.4</v>
      </c>
      <c r="H391" t="n">
        <v>2</v>
      </c>
      <c r="I391" t="n">
        <v>0</v>
      </c>
      <c r="J391" t="n">
        <v>3</v>
      </c>
      <c r="K391" t="n">
        <v>0</v>
      </c>
      <c r="L391" t="n">
        <v>0</v>
      </c>
      <c r="M391" t="n">
        <v>0</v>
      </c>
      <c r="N391" t="n">
        <v>0</v>
      </c>
      <c r="O391" t="n">
        <v>3</v>
      </c>
      <c r="P391" t="n">
        <v>0</v>
      </c>
      <c r="Q391" t="n">
        <v>3</v>
      </c>
      <c r="R391" s="2" t="inlineStr">
        <is>
          <t>Ekticka
Spillkråka
Talltita</t>
        </is>
      </c>
      <c r="S391">
        <f>HYPERLINK("https://klasma.github.io/Logging_0883/artfynd/A 27067-2024 artfynd.xlsx", "A 27067-2024")</f>
        <v/>
      </c>
      <c r="T391">
        <f>HYPERLINK("https://klasma.github.io/Logging_0883/kartor/A 27067-2024 karta.png", "A 27067-2024")</f>
        <v/>
      </c>
      <c r="V391">
        <f>HYPERLINK("https://klasma.github.io/Logging_0883/klagomål/A 27067-2024 FSC-klagomål.docx", "A 27067-2024")</f>
        <v/>
      </c>
      <c r="W391">
        <f>HYPERLINK("https://klasma.github.io/Logging_0883/klagomålsmail/A 27067-2024 FSC-klagomål mail.docx", "A 27067-2024")</f>
        <v/>
      </c>
      <c r="X391">
        <f>HYPERLINK("https://klasma.github.io/Logging_0883/tillsyn/A 27067-2024 tillsynsbegäran.docx", "A 27067-2024")</f>
        <v/>
      </c>
      <c r="Y391">
        <f>HYPERLINK("https://klasma.github.io/Logging_0883/tillsynsmail/A 27067-2024 tillsynsbegäran mail.docx", "A 27067-2024")</f>
        <v/>
      </c>
      <c r="Z391">
        <f>HYPERLINK("https://klasma.github.io/Logging_0883/fåglar/A 27067-2024 prioriterade fågelarter.docx", "A 27067-2024")</f>
        <v/>
      </c>
    </row>
    <row r="392" ht="15" customHeight="1">
      <c r="A392" t="inlineStr">
        <is>
          <t>A 27700-2024</t>
        </is>
      </c>
      <c r="B392" s="1" t="n">
        <v>45475</v>
      </c>
      <c r="C392" s="1" t="n">
        <v>45715</v>
      </c>
      <c r="D392" t="inlineStr">
        <is>
          <t>KALMAR LÄN</t>
        </is>
      </c>
      <c r="E392" t="inlineStr">
        <is>
          <t>VÄSTERVIK</t>
        </is>
      </c>
      <c r="F392" t="inlineStr">
        <is>
          <t>Holmen skog AB</t>
        </is>
      </c>
      <c r="G392" t="n">
        <v>1.1</v>
      </c>
      <c r="H392" t="n">
        <v>1</v>
      </c>
      <c r="I392" t="n">
        <v>2</v>
      </c>
      <c r="J392" t="n">
        <v>1</v>
      </c>
      <c r="K392" t="n">
        <v>0</v>
      </c>
      <c r="L392" t="n">
        <v>0</v>
      </c>
      <c r="M392" t="n">
        <v>0</v>
      </c>
      <c r="N392" t="n">
        <v>0</v>
      </c>
      <c r="O392" t="n">
        <v>1</v>
      </c>
      <c r="P392" t="n">
        <v>0</v>
      </c>
      <c r="Q392" t="n">
        <v>3</v>
      </c>
      <c r="R392" s="2" t="inlineStr">
        <is>
          <t>Spillkråka
Blåmossa
Zontaggsvamp</t>
        </is>
      </c>
      <c r="S392">
        <f>HYPERLINK("https://klasma.github.io/Logging_0883/artfynd/A 27700-2024 artfynd.xlsx", "A 27700-2024")</f>
        <v/>
      </c>
      <c r="T392">
        <f>HYPERLINK("https://klasma.github.io/Logging_0883/kartor/A 27700-2024 karta.png", "A 27700-2024")</f>
        <v/>
      </c>
      <c r="V392">
        <f>HYPERLINK("https://klasma.github.io/Logging_0883/klagomål/A 27700-2024 FSC-klagomål.docx", "A 27700-2024")</f>
        <v/>
      </c>
      <c r="W392">
        <f>HYPERLINK("https://klasma.github.io/Logging_0883/klagomålsmail/A 27700-2024 FSC-klagomål mail.docx", "A 27700-2024")</f>
        <v/>
      </c>
      <c r="X392">
        <f>HYPERLINK("https://klasma.github.io/Logging_0883/tillsyn/A 27700-2024 tillsynsbegäran.docx", "A 27700-2024")</f>
        <v/>
      </c>
      <c r="Y392">
        <f>HYPERLINK("https://klasma.github.io/Logging_0883/tillsynsmail/A 27700-2024 tillsynsbegäran mail.docx", "A 27700-2024")</f>
        <v/>
      </c>
      <c r="Z392">
        <f>HYPERLINK("https://klasma.github.io/Logging_0883/fåglar/A 27700-2024 prioriterade fågelarter.docx", "A 27700-2024")</f>
        <v/>
      </c>
    </row>
    <row r="393" ht="15" customHeight="1">
      <c r="A393" t="inlineStr">
        <is>
          <t>A 28368-2024</t>
        </is>
      </c>
      <c r="B393" s="1" t="n">
        <v>45477</v>
      </c>
      <c r="C393" s="1" t="n">
        <v>45715</v>
      </c>
      <c r="D393" t="inlineStr">
        <is>
          <t>KALMAR LÄN</t>
        </is>
      </c>
      <c r="E393" t="inlineStr">
        <is>
          <t>VÄSTERVIK</t>
        </is>
      </c>
      <c r="G393" t="n">
        <v>0.8</v>
      </c>
      <c r="H393" t="n">
        <v>1</v>
      </c>
      <c r="I393" t="n">
        <v>1</v>
      </c>
      <c r="J393" t="n">
        <v>1</v>
      </c>
      <c r="K393" t="n">
        <v>1</v>
      </c>
      <c r="L393" t="n">
        <v>0</v>
      </c>
      <c r="M393" t="n">
        <v>0</v>
      </c>
      <c r="N393" t="n">
        <v>0</v>
      </c>
      <c r="O393" t="n">
        <v>2</v>
      </c>
      <c r="P393" t="n">
        <v>1</v>
      </c>
      <c r="Q393" t="n">
        <v>3</v>
      </c>
      <c r="R393" s="2" t="inlineStr">
        <is>
          <t>Knärot
Orange taggsvamp
Grönpyrola</t>
        </is>
      </c>
      <c r="S393">
        <f>HYPERLINK("https://klasma.github.io/Logging_0883/artfynd/A 28368-2024 artfynd.xlsx", "A 28368-2024")</f>
        <v/>
      </c>
      <c r="T393">
        <f>HYPERLINK("https://klasma.github.io/Logging_0883/kartor/A 28368-2024 karta.png", "A 28368-2024")</f>
        <v/>
      </c>
      <c r="U393">
        <f>HYPERLINK("https://klasma.github.io/Logging_0883/knärot/A 28368-2024 karta knärot.png", "A 28368-2024")</f>
        <v/>
      </c>
      <c r="V393">
        <f>HYPERLINK("https://klasma.github.io/Logging_0883/klagomål/A 28368-2024 FSC-klagomål.docx", "A 28368-2024")</f>
        <v/>
      </c>
      <c r="W393">
        <f>HYPERLINK("https://klasma.github.io/Logging_0883/klagomålsmail/A 28368-2024 FSC-klagomål mail.docx", "A 28368-2024")</f>
        <v/>
      </c>
      <c r="X393">
        <f>HYPERLINK("https://klasma.github.io/Logging_0883/tillsyn/A 28368-2024 tillsynsbegäran.docx", "A 28368-2024")</f>
        <v/>
      </c>
      <c r="Y393">
        <f>HYPERLINK("https://klasma.github.io/Logging_0883/tillsynsmail/A 28368-2024 tillsynsbegäran mail.docx", "A 28368-2024")</f>
        <v/>
      </c>
    </row>
    <row r="394" ht="15" customHeight="1">
      <c r="A394" t="inlineStr">
        <is>
          <t>A 32521-2024</t>
        </is>
      </c>
      <c r="B394" s="1" t="n">
        <v>45513</v>
      </c>
      <c r="C394" s="1" t="n">
        <v>45715</v>
      </c>
      <c r="D394" t="inlineStr">
        <is>
          <t>KALMAR LÄN</t>
        </is>
      </c>
      <c r="E394" t="inlineStr">
        <is>
          <t>TORSÅS</t>
        </is>
      </c>
      <c r="G394" t="n">
        <v>3.1</v>
      </c>
      <c r="H394" t="n">
        <v>0</v>
      </c>
      <c r="I394" t="n">
        <v>1</v>
      </c>
      <c r="J394" t="n">
        <v>0</v>
      </c>
      <c r="K394" t="n">
        <v>1</v>
      </c>
      <c r="L394" t="n">
        <v>1</v>
      </c>
      <c r="M394" t="n">
        <v>0</v>
      </c>
      <c r="N394" t="n">
        <v>0</v>
      </c>
      <c r="O394" t="n">
        <v>2</v>
      </c>
      <c r="P394" t="n">
        <v>2</v>
      </c>
      <c r="Q394" t="n">
        <v>3</v>
      </c>
      <c r="R394" s="2" t="inlineStr">
        <is>
          <t>Korndådra
Gulvit blekspik
Guldlockmossa</t>
        </is>
      </c>
      <c r="S394">
        <f>HYPERLINK("https://klasma.github.io/Logging_0834/artfynd/A 32521-2024 artfynd.xlsx", "A 32521-2024")</f>
        <v/>
      </c>
      <c r="T394">
        <f>HYPERLINK("https://klasma.github.io/Logging_0834/kartor/A 32521-2024 karta.png", "A 32521-2024")</f>
        <v/>
      </c>
      <c r="V394">
        <f>HYPERLINK("https://klasma.github.io/Logging_0834/klagomål/A 32521-2024 FSC-klagomål.docx", "A 32521-2024")</f>
        <v/>
      </c>
      <c r="W394">
        <f>HYPERLINK("https://klasma.github.io/Logging_0834/klagomålsmail/A 32521-2024 FSC-klagomål mail.docx", "A 32521-2024")</f>
        <v/>
      </c>
      <c r="X394">
        <f>HYPERLINK("https://klasma.github.io/Logging_0834/tillsyn/A 32521-2024 tillsynsbegäran.docx", "A 32521-2024")</f>
        <v/>
      </c>
      <c r="Y394">
        <f>HYPERLINK("https://klasma.github.io/Logging_0834/tillsynsmail/A 32521-2024 tillsynsbegäran mail.docx", "A 32521-2024")</f>
        <v/>
      </c>
    </row>
    <row r="395" ht="15" customHeight="1">
      <c r="A395" t="inlineStr">
        <is>
          <t>A 35242-2024</t>
        </is>
      </c>
      <c r="B395" s="1" t="n">
        <v>45530</v>
      </c>
      <c r="C395" s="1" t="n">
        <v>45715</v>
      </c>
      <c r="D395" t="inlineStr">
        <is>
          <t>KALMAR LÄN</t>
        </is>
      </c>
      <c r="E395" t="inlineStr">
        <is>
          <t>MÖRBYLÅNGA</t>
        </is>
      </c>
      <c r="G395" t="n">
        <v>0.9</v>
      </c>
      <c r="H395" t="n">
        <v>1</v>
      </c>
      <c r="I395" t="n">
        <v>2</v>
      </c>
      <c r="J395" t="n">
        <v>0</v>
      </c>
      <c r="K395" t="n">
        <v>0</v>
      </c>
      <c r="L395" t="n">
        <v>1</v>
      </c>
      <c r="M395" t="n">
        <v>0</v>
      </c>
      <c r="N395" t="n">
        <v>0</v>
      </c>
      <c r="O395" t="n">
        <v>1</v>
      </c>
      <c r="P395" t="n">
        <v>1</v>
      </c>
      <c r="Q395" t="n">
        <v>3</v>
      </c>
      <c r="R395" s="2" t="inlineStr">
        <is>
          <t>Ryl
Grönpyrola
Skogsknipprot</t>
        </is>
      </c>
      <c r="S395">
        <f>HYPERLINK("https://klasma.github.io/Logging_0840/artfynd/A 35242-2024 artfynd.xlsx", "A 35242-2024")</f>
        <v/>
      </c>
      <c r="T395">
        <f>HYPERLINK("https://klasma.github.io/Logging_0840/kartor/A 35242-2024 karta.png", "A 35242-2024")</f>
        <v/>
      </c>
      <c r="V395">
        <f>HYPERLINK("https://klasma.github.io/Logging_0840/klagomål/A 35242-2024 FSC-klagomål.docx", "A 35242-2024")</f>
        <v/>
      </c>
      <c r="W395">
        <f>HYPERLINK("https://klasma.github.io/Logging_0840/klagomålsmail/A 35242-2024 FSC-klagomål mail.docx", "A 35242-2024")</f>
        <v/>
      </c>
      <c r="X395">
        <f>HYPERLINK("https://klasma.github.io/Logging_0840/tillsyn/A 35242-2024 tillsynsbegäran.docx", "A 35242-2024")</f>
        <v/>
      </c>
      <c r="Y395">
        <f>HYPERLINK("https://klasma.github.io/Logging_0840/tillsynsmail/A 35242-2024 tillsynsbegäran mail.docx", "A 35242-2024")</f>
        <v/>
      </c>
    </row>
    <row r="396" ht="15" customHeight="1">
      <c r="A396" t="inlineStr">
        <is>
          <t>A 36129-2024</t>
        </is>
      </c>
      <c r="B396" s="1" t="n">
        <v>45534</v>
      </c>
      <c r="C396" s="1" t="n">
        <v>45715</v>
      </c>
      <c r="D396" t="inlineStr">
        <is>
          <t>KALMAR LÄN</t>
        </is>
      </c>
      <c r="E396" t="inlineStr">
        <is>
          <t>MÖNSTERÅS</t>
        </is>
      </c>
      <c r="G396" t="n">
        <v>15.2</v>
      </c>
      <c r="H396" t="n">
        <v>2</v>
      </c>
      <c r="I396" t="n">
        <v>1</v>
      </c>
      <c r="J396" t="n">
        <v>1</v>
      </c>
      <c r="K396" t="n">
        <v>0</v>
      </c>
      <c r="L396" t="n">
        <v>0</v>
      </c>
      <c r="M396" t="n">
        <v>0</v>
      </c>
      <c r="N396" t="n">
        <v>0</v>
      </c>
      <c r="O396" t="n">
        <v>1</v>
      </c>
      <c r="P396" t="n">
        <v>0</v>
      </c>
      <c r="Q396" t="n">
        <v>3</v>
      </c>
      <c r="R396" s="2" t="inlineStr">
        <is>
          <t>Spillkråka
Blåmossa
Kungsfågel</t>
        </is>
      </c>
      <c r="S396">
        <f>HYPERLINK("https://klasma.github.io/Logging_0861/artfynd/A 36129-2024 artfynd.xlsx", "A 36129-2024")</f>
        <v/>
      </c>
      <c r="T396">
        <f>HYPERLINK("https://klasma.github.io/Logging_0861/kartor/A 36129-2024 karta.png", "A 36129-2024")</f>
        <v/>
      </c>
      <c r="V396">
        <f>HYPERLINK("https://klasma.github.io/Logging_0861/klagomål/A 36129-2024 FSC-klagomål.docx", "A 36129-2024")</f>
        <v/>
      </c>
      <c r="W396">
        <f>HYPERLINK("https://klasma.github.io/Logging_0861/klagomålsmail/A 36129-2024 FSC-klagomål mail.docx", "A 36129-2024")</f>
        <v/>
      </c>
      <c r="X396">
        <f>HYPERLINK("https://klasma.github.io/Logging_0861/tillsyn/A 36129-2024 tillsynsbegäran.docx", "A 36129-2024")</f>
        <v/>
      </c>
      <c r="Y396">
        <f>HYPERLINK("https://klasma.github.io/Logging_0861/tillsynsmail/A 36129-2024 tillsynsbegäran mail.docx", "A 36129-2024")</f>
        <v/>
      </c>
      <c r="Z396">
        <f>HYPERLINK("https://klasma.github.io/Logging_0861/fåglar/A 36129-2024 prioriterade fågelarter.docx", "A 36129-2024")</f>
        <v/>
      </c>
    </row>
    <row r="397" ht="15" customHeight="1">
      <c r="A397" t="inlineStr">
        <is>
          <t>A 39190-2024</t>
        </is>
      </c>
      <c r="B397" s="1" t="n">
        <v>45548</v>
      </c>
      <c r="C397" s="1" t="n">
        <v>45715</v>
      </c>
      <c r="D397" t="inlineStr">
        <is>
          <t>KALMAR LÄN</t>
        </is>
      </c>
      <c r="E397" t="inlineStr">
        <is>
          <t>VÄSTERVIK</t>
        </is>
      </c>
      <c r="G397" t="n">
        <v>1.7</v>
      </c>
      <c r="H397" t="n">
        <v>2</v>
      </c>
      <c r="I397" t="n">
        <v>0</v>
      </c>
      <c r="J397" t="n">
        <v>2</v>
      </c>
      <c r="K397" t="n">
        <v>1</v>
      </c>
      <c r="L397" t="n">
        <v>0</v>
      </c>
      <c r="M397" t="n">
        <v>0</v>
      </c>
      <c r="N397" t="n">
        <v>0</v>
      </c>
      <c r="O397" t="n">
        <v>3</v>
      </c>
      <c r="P397" t="n">
        <v>1</v>
      </c>
      <c r="Q397" t="n">
        <v>3</v>
      </c>
      <c r="R397" s="2" t="inlineStr">
        <is>
          <t>Knärot
Svart taggsvamp
Talltita</t>
        </is>
      </c>
      <c r="S397">
        <f>HYPERLINK("https://klasma.github.io/Logging_0883/artfynd/A 39190-2024 artfynd.xlsx", "A 39190-2024")</f>
        <v/>
      </c>
      <c r="T397">
        <f>HYPERLINK("https://klasma.github.io/Logging_0883/kartor/A 39190-2024 karta.png", "A 39190-2024")</f>
        <v/>
      </c>
      <c r="U397">
        <f>HYPERLINK("https://klasma.github.io/Logging_0883/knärot/A 39190-2024 karta knärot.png", "A 39190-2024")</f>
        <v/>
      </c>
      <c r="V397">
        <f>HYPERLINK("https://klasma.github.io/Logging_0883/klagomål/A 39190-2024 FSC-klagomål.docx", "A 39190-2024")</f>
        <v/>
      </c>
      <c r="W397">
        <f>HYPERLINK("https://klasma.github.io/Logging_0883/klagomålsmail/A 39190-2024 FSC-klagomål mail.docx", "A 39190-2024")</f>
        <v/>
      </c>
      <c r="X397">
        <f>HYPERLINK("https://klasma.github.io/Logging_0883/tillsyn/A 39190-2024 tillsynsbegäran.docx", "A 39190-2024")</f>
        <v/>
      </c>
      <c r="Y397">
        <f>HYPERLINK("https://klasma.github.io/Logging_0883/tillsynsmail/A 39190-2024 tillsynsbegäran mail.docx", "A 39190-2024")</f>
        <v/>
      </c>
      <c r="Z397">
        <f>HYPERLINK("https://klasma.github.io/Logging_0883/fåglar/A 39190-2024 prioriterade fågelarter.docx", "A 39190-2024")</f>
        <v/>
      </c>
    </row>
    <row r="398" ht="15" customHeight="1">
      <c r="A398" t="inlineStr">
        <is>
          <t>A 39284-2024</t>
        </is>
      </c>
      <c r="B398" s="1" t="n">
        <v>45551</v>
      </c>
      <c r="C398" s="1" t="n">
        <v>45715</v>
      </c>
      <c r="D398" t="inlineStr">
        <is>
          <t>KALMAR LÄN</t>
        </is>
      </c>
      <c r="E398" t="inlineStr">
        <is>
          <t>VÄSTERVIK</t>
        </is>
      </c>
      <c r="G398" t="n">
        <v>4.1</v>
      </c>
      <c r="H398" t="n">
        <v>2</v>
      </c>
      <c r="I398" t="n">
        <v>1</v>
      </c>
      <c r="J398" t="n">
        <v>1</v>
      </c>
      <c r="K398" t="n">
        <v>0</v>
      </c>
      <c r="L398" t="n">
        <v>0</v>
      </c>
      <c r="M398" t="n">
        <v>0</v>
      </c>
      <c r="N398" t="n">
        <v>0</v>
      </c>
      <c r="O398" t="n">
        <v>1</v>
      </c>
      <c r="P398" t="n">
        <v>0</v>
      </c>
      <c r="Q398" t="n">
        <v>3</v>
      </c>
      <c r="R398" s="2" t="inlineStr">
        <is>
          <t>Talltita
Blåmossa
Mattlummer</t>
        </is>
      </c>
      <c r="S398">
        <f>HYPERLINK("https://klasma.github.io/Logging_0883/artfynd/A 39284-2024 artfynd.xlsx", "A 39284-2024")</f>
        <v/>
      </c>
      <c r="T398">
        <f>HYPERLINK("https://klasma.github.io/Logging_0883/kartor/A 39284-2024 karta.png", "A 39284-2024")</f>
        <v/>
      </c>
      <c r="V398">
        <f>HYPERLINK("https://klasma.github.io/Logging_0883/klagomål/A 39284-2024 FSC-klagomål.docx", "A 39284-2024")</f>
        <v/>
      </c>
      <c r="W398">
        <f>HYPERLINK("https://klasma.github.io/Logging_0883/klagomålsmail/A 39284-2024 FSC-klagomål mail.docx", "A 39284-2024")</f>
        <v/>
      </c>
      <c r="X398">
        <f>HYPERLINK("https://klasma.github.io/Logging_0883/tillsyn/A 39284-2024 tillsynsbegäran.docx", "A 39284-2024")</f>
        <v/>
      </c>
      <c r="Y398">
        <f>HYPERLINK("https://klasma.github.io/Logging_0883/tillsynsmail/A 39284-2024 tillsynsbegäran mail.docx", "A 39284-2024")</f>
        <v/>
      </c>
      <c r="Z398">
        <f>HYPERLINK("https://klasma.github.io/Logging_0883/fåglar/A 39284-2024 prioriterade fågelarter.docx", "A 39284-2024")</f>
        <v/>
      </c>
    </row>
    <row r="399" ht="15" customHeight="1">
      <c r="A399" t="inlineStr">
        <is>
          <t>A 39296-2024</t>
        </is>
      </c>
      <c r="B399" s="1" t="n">
        <v>45551</v>
      </c>
      <c r="C399" s="1" t="n">
        <v>45715</v>
      </c>
      <c r="D399" t="inlineStr">
        <is>
          <t>KALMAR LÄN</t>
        </is>
      </c>
      <c r="E399" t="inlineStr">
        <is>
          <t>VÄSTERVIK</t>
        </is>
      </c>
      <c r="G399" t="n">
        <v>0.8</v>
      </c>
      <c r="H399" t="n">
        <v>2</v>
      </c>
      <c r="I399" t="n">
        <v>1</v>
      </c>
      <c r="J399" t="n">
        <v>2</v>
      </c>
      <c r="K399" t="n">
        <v>0</v>
      </c>
      <c r="L399" t="n">
        <v>0</v>
      </c>
      <c r="M399" t="n">
        <v>0</v>
      </c>
      <c r="N399" t="n">
        <v>0</v>
      </c>
      <c r="O399" t="n">
        <v>2</v>
      </c>
      <c r="P399" t="n">
        <v>0</v>
      </c>
      <c r="Q399" t="n">
        <v>3</v>
      </c>
      <c r="R399" s="2" t="inlineStr">
        <is>
          <t>Järpe
Spillkråka
Grönpyrola</t>
        </is>
      </c>
      <c r="S399">
        <f>HYPERLINK("https://klasma.github.io/Logging_0883/artfynd/A 39296-2024 artfynd.xlsx", "A 39296-2024")</f>
        <v/>
      </c>
      <c r="T399">
        <f>HYPERLINK("https://klasma.github.io/Logging_0883/kartor/A 39296-2024 karta.png", "A 39296-2024")</f>
        <v/>
      </c>
      <c r="U399">
        <f>HYPERLINK("https://klasma.github.io/Logging_0883/knärot/A 39296-2024 karta knärot.png", "A 39296-2024")</f>
        <v/>
      </c>
      <c r="V399">
        <f>HYPERLINK("https://klasma.github.io/Logging_0883/klagomål/A 39296-2024 FSC-klagomål.docx", "A 39296-2024")</f>
        <v/>
      </c>
      <c r="W399">
        <f>HYPERLINK("https://klasma.github.io/Logging_0883/klagomålsmail/A 39296-2024 FSC-klagomål mail.docx", "A 39296-2024")</f>
        <v/>
      </c>
      <c r="X399">
        <f>HYPERLINK("https://klasma.github.io/Logging_0883/tillsyn/A 39296-2024 tillsynsbegäran.docx", "A 39296-2024")</f>
        <v/>
      </c>
      <c r="Y399">
        <f>HYPERLINK("https://klasma.github.io/Logging_0883/tillsynsmail/A 39296-2024 tillsynsbegäran mail.docx", "A 39296-2024")</f>
        <v/>
      </c>
      <c r="Z399">
        <f>HYPERLINK("https://klasma.github.io/Logging_0883/fåglar/A 39296-2024 prioriterade fågelarter.docx", "A 39296-2024")</f>
        <v/>
      </c>
    </row>
    <row r="400" ht="15" customHeight="1">
      <c r="A400" t="inlineStr">
        <is>
          <t>A 45639-2024</t>
        </is>
      </c>
      <c r="B400" s="1" t="n">
        <v>45579</v>
      </c>
      <c r="C400" s="1" t="n">
        <v>45715</v>
      </c>
      <c r="D400" t="inlineStr">
        <is>
          <t>KALMAR LÄN</t>
        </is>
      </c>
      <c r="E400" t="inlineStr">
        <is>
          <t>VÄSTERVIK</t>
        </is>
      </c>
      <c r="F400" t="inlineStr">
        <is>
          <t>Kyrkan</t>
        </is>
      </c>
      <c r="G400" t="n">
        <v>6.4</v>
      </c>
      <c r="H400" t="n">
        <v>2</v>
      </c>
      <c r="I400" t="n">
        <v>1</v>
      </c>
      <c r="J400" t="n">
        <v>2</v>
      </c>
      <c r="K400" t="n">
        <v>0</v>
      </c>
      <c r="L400" t="n">
        <v>0</v>
      </c>
      <c r="M400" t="n">
        <v>0</v>
      </c>
      <c r="N400" t="n">
        <v>0</v>
      </c>
      <c r="O400" t="n">
        <v>2</v>
      </c>
      <c r="P400" t="n">
        <v>0</v>
      </c>
      <c r="Q400" t="n">
        <v>3</v>
      </c>
      <c r="R400" s="2" t="inlineStr">
        <is>
          <t>Spillkråka
Talltita
Grovticka</t>
        </is>
      </c>
      <c r="S400">
        <f>HYPERLINK("https://klasma.github.io/Logging_0883/artfynd/A 45639-2024 artfynd.xlsx", "A 45639-2024")</f>
        <v/>
      </c>
      <c r="T400">
        <f>HYPERLINK("https://klasma.github.io/Logging_0883/kartor/A 45639-2024 karta.png", "A 45639-2024")</f>
        <v/>
      </c>
      <c r="V400">
        <f>HYPERLINK("https://klasma.github.io/Logging_0883/klagomål/A 45639-2024 FSC-klagomål.docx", "A 45639-2024")</f>
        <v/>
      </c>
      <c r="W400">
        <f>HYPERLINK("https://klasma.github.io/Logging_0883/klagomålsmail/A 45639-2024 FSC-klagomål mail.docx", "A 45639-2024")</f>
        <v/>
      </c>
      <c r="X400">
        <f>HYPERLINK("https://klasma.github.io/Logging_0883/tillsyn/A 45639-2024 tillsynsbegäran.docx", "A 45639-2024")</f>
        <v/>
      </c>
      <c r="Y400">
        <f>HYPERLINK("https://klasma.github.io/Logging_0883/tillsynsmail/A 45639-2024 tillsynsbegäran mail.docx", "A 45639-2024")</f>
        <v/>
      </c>
      <c r="Z400">
        <f>HYPERLINK("https://klasma.github.io/Logging_0883/fåglar/A 45639-2024 prioriterade fågelarter.docx", "A 45639-2024")</f>
        <v/>
      </c>
    </row>
    <row r="401" ht="15" customHeight="1">
      <c r="A401" t="inlineStr">
        <is>
          <t>A 48227-2024</t>
        </is>
      </c>
      <c r="B401" s="1" t="n">
        <v>45590</v>
      </c>
      <c r="C401" s="1" t="n">
        <v>45715</v>
      </c>
      <c r="D401" t="inlineStr">
        <is>
          <t>KALMAR LÄN</t>
        </is>
      </c>
      <c r="E401" t="inlineStr">
        <is>
          <t>NYBRO</t>
        </is>
      </c>
      <c r="F401" t="inlineStr">
        <is>
          <t>Sveaskog</t>
        </is>
      </c>
      <c r="G401" t="n">
        <v>3.2</v>
      </c>
      <c r="H401" t="n">
        <v>3</v>
      </c>
      <c r="I401" t="n">
        <v>0</v>
      </c>
      <c r="J401" t="n">
        <v>1</v>
      </c>
      <c r="K401" t="n">
        <v>0</v>
      </c>
      <c r="L401" t="n">
        <v>0</v>
      </c>
      <c r="M401" t="n">
        <v>0</v>
      </c>
      <c r="N401" t="n">
        <v>0</v>
      </c>
      <c r="O401" t="n">
        <v>1</v>
      </c>
      <c r="P401" t="n">
        <v>0</v>
      </c>
      <c r="Q401" t="n">
        <v>3</v>
      </c>
      <c r="R401" s="2" t="inlineStr">
        <is>
          <t>Nordfladdermus
Dvärgpipistrell
Revlummer</t>
        </is>
      </c>
      <c r="S401">
        <f>HYPERLINK("https://klasma.github.io/Logging_0881/artfynd/A 48227-2024 artfynd.xlsx", "A 48227-2024")</f>
        <v/>
      </c>
      <c r="T401">
        <f>HYPERLINK("https://klasma.github.io/Logging_0881/kartor/A 48227-2024 karta.png", "A 48227-2024")</f>
        <v/>
      </c>
      <c r="V401">
        <f>HYPERLINK("https://klasma.github.io/Logging_0881/klagomål/A 48227-2024 FSC-klagomål.docx", "A 48227-2024")</f>
        <v/>
      </c>
      <c r="W401">
        <f>HYPERLINK("https://klasma.github.io/Logging_0881/klagomålsmail/A 48227-2024 FSC-klagomål mail.docx", "A 48227-2024")</f>
        <v/>
      </c>
      <c r="X401">
        <f>HYPERLINK("https://klasma.github.io/Logging_0881/tillsyn/A 48227-2024 tillsynsbegäran.docx", "A 48227-2024")</f>
        <v/>
      </c>
      <c r="Y401">
        <f>HYPERLINK("https://klasma.github.io/Logging_0881/tillsynsmail/A 48227-2024 tillsynsbegäran mail.docx", "A 48227-2024")</f>
        <v/>
      </c>
    </row>
    <row r="402" ht="15" customHeight="1">
      <c r="A402" t="inlineStr">
        <is>
          <t>A 48318-2024</t>
        </is>
      </c>
      <c r="B402" s="1" t="n">
        <v>45590</v>
      </c>
      <c r="C402" s="1" t="n">
        <v>45715</v>
      </c>
      <c r="D402" t="inlineStr">
        <is>
          <t>KALMAR LÄN</t>
        </is>
      </c>
      <c r="E402" t="inlineStr">
        <is>
          <t>VÄSTERVIK</t>
        </is>
      </c>
      <c r="F402" t="inlineStr">
        <is>
          <t>Holmen skog AB</t>
        </is>
      </c>
      <c r="G402" t="n">
        <v>4</v>
      </c>
      <c r="H402" t="n">
        <v>3</v>
      </c>
      <c r="I402" t="n">
        <v>0</v>
      </c>
      <c r="J402" t="n">
        <v>3</v>
      </c>
      <c r="K402" t="n">
        <v>0</v>
      </c>
      <c r="L402" t="n">
        <v>0</v>
      </c>
      <c r="M402" t="n">
        <v>0</v>
      </c>
      <c r="N402" t="n">
        <v>0</v>
      </c>
      <c r="O402" t="n">
        <v>3</v>
      </c>
      <c r="P402" t="n">
        <v>0</v>
      </c>
      <c r="Q402" t="n">
        <v>3</v>
      </c>
      <c r="R402" s="2" t="inlineStr">
        <is>
          <t>Entita
Spillkråka
Talltita</t>
        </is>
      </c>
      <c r="S402">
        <f>HYPERLINK("https://klasma.github.io/Logging_0883/artfynd/A 48318-2024 artfynd.xlsx", "A 48318-2024")</f>
        <v/>
      </c>
      <c r="T402">
        <f>HYPERLINK("https://klasma.github.io/Logging_0883/kartor/A 48318-2024 karta.png", "A 48318-2024")</f>
        <v/>
      </c>
      <c r="U402">
        <f>HYPERLINK("https://klasma.github.io/Logging_0883/knärot/A 48318-2024 karta knärot.png", "A 48318-2024")</f>
        <v/>
      </c>
      <c r="V402">
        <f>HYPERLINK("https://klasma.github.io/Logging_0883/klagomål/A 48318-2024 FSC-klagomål.docx", "A 48318-2024")</f>
        <v/>
      </c>
      <c r="W402">
        <f>HYPERLINK("https://klasma.github.io/Logging_0883/klagomålsmail/A 48318-2024 FSC-klagomål mail.docx", "A 48318-2024")</f>
        <v/>
      </c>
      <c r="X402">
        <f>HYPERLINK("https://klasma.github.io/Logging_0883/tillsyn/A 48318-2024 tillsynsbegäran.docx", "A 48318-2024")</f>
        <v/>
      </c>
      <c r="Y402">
        <f>HYPERLINK("https://klasma.github.io/Logging_0883/tillsynsmail/A 48318-2024 tillsynsbegäran mail.docx", "A 48318-2024")</f>
        <v/>
      </c>
      <c r="Z402">
        <f>HYPERLINK("https://klasma.github.io/Logging_0883/fåglar/A 48318-2024 prioriterade fågelarter.docx", "A 48318-2024")</f>
        <v/>
      </c>
    </row>
    <row r="403" ht="15" customHeight="1">
      <c r="A403" t="inlineStr">
        <is>
          <t>A 51590-2024</t>
        </is>
      </c>
      <c r="B403" s="1" t="n">
        <v>45604</v>
      </c>
      <c r="C403" s="1" t="n">
        <v>45715</v>
      </c>
      <c r="D403" t="inlineStr">
        <is>
          <t>KALMAR LÄN</t>
        </is>
      </c>
      <c r="E403" t="inlineStr">
        <is>
          <t>VÄSTERVIK</t>
        </is>
      </c>
      <c r="F403" t="inlineStr">
        <is>
          <t>Övriga Aktiebolag</t>
        </is>
      </c>
      <c r="G403" t="n">
        <v>2.3</v>
      </c>
      <c r="H403" t="n">
        <v>3</v>
      </c>
      <c r="I403" t="n">
        <v>0</v>
      </c>
      <c r="J403" t="n">
        <v>2</v>
      </c>
      <c r="K403" t="n">
        <v>1</v>
      </c>
      <c r="L403" t="n">
        <v>0</v>
      </c>
      <c r="M403" t="n">
        <v>0</v>
      </c>
      <c r="N403" t="n">
        <v>0</v>
      </c>
      <c r="O403" t="n">
        <v>3</v>
      </c>
      <c r="P403" t="n">
        <v>1</v>
      </c>
      <c r="Q403" t="n">
        <v>3</v>
      </c>
      <c r="R403" s="2" t="inlineStr">
        <is>
          <t>Knärot
Spillkråka
Talltita</t>
        </is>
      </c>
      <c r="S403">
        <f>HYPERLINK("https://klasma.github.io/Logging_0883/artfynd/A 51590-2024 artfynd.xlsx", "A 51590-2024")</f>
        <v/>
      </c>
      <c r="T403">
        <f>HYPERLINK("https://klasma.github.io/Logging_0883/kartor/A 51590-2024 karta.png", "A 51590-2024")</f>
        <v/>
      </c>
      <c r="U403">
        <f>HYPERLINK("https://klasma.github.io/Logging_0883/knärot/A 51590-2024 karta knärot.png", "A 51590-2024")</f>
        <v/>
      </c>
      <c r="V403">
        <f>HYPERLINK("https://klasma.github.io/Logging_0883/klagomål/A 51590-2024 FSC-klagomål.docx", "A 51590-2024")</f>
        <v/>
      </c>
      <c r="W403">
        <f>HYPERLINK("https://klasma.github.io/Logging_0883/klagomålsmail/A 51590-2024 FSC-klagomål mail.docx", "A 51590-2024")</f>
        <v/>
      </c>
      <c r="X403">
        <f>HYPERLINK("https://klasma.github.io/Logging_0883/tillsyn/A 51590-2024 tillsynsbegäran.docx", "A 51590-2024")</f>
        <v/>
      </c>
      <c r="Y403">
        <f>HYPERLINK("https://klasma.github.io/Logging_0883/tillsynsmail/A 51590-2024 tillsynsbegäran mail.docx", "A 51590-2024")</f>
        <v/>
      </c>
      <c r="Z403">
        <f>HYPERLINK("https://klasma.github.io/Logging_0883/fåglar/A 51590-2024 prioriterade fågelarter.docx", "A 51590-2024")</f>
        <v/>
      </c>
    </row>
    <row r="404" ht="15" customHeight="1">
      <c r="A404" t="inlineStr">
        <is>
          <t>A 52992-2024</t>
        </is>
      </c>
      <c r="B404" s="1" t="n">
        <v>45611</v>
      </c>
      <c r="C404" s="1" t="n">
        <v>45715</v>
      </c>
      <c r="D404" t="inlineStr">
        <is>
          <t>KALMAR LÄN</t>
        </is>
      </c>
      <c r="E404" t="inlineStr">
        <is>
          <t>VÄSTERVIK</t>
        </is>
      </c>
      <c r="F404" t="inlineStr">
        <is>
          <t>Holmen skog AB</t>
        </is>
      </c>
      <c r="G404" t="n">
        <v>5.5</v>
      </c>
      <c r="H404" t="n">
        <v>2</v>
      </c>
      <c r="I404" t="n">
        <v>1</v>
      </c>
      <c r="J404" t="n">
        <v>2</v>
      </c>
      <c r="K404" t="n">
        <v>0</v>
      </c>
      <c r="L404" t="n">
        <v>0</v>
      </c>
      <c r="M404" t="n">
        <v>0</v>
      </c>
      <c r="N404" t="n">
        <v>0</v>
      </c>
      <c r="O404" t="n">
        <v>2</v>
      </c>
      <c r="P404" t="n">
        <v>0</v>
      </c>
      <c r="Q404" t="n">
        <v>3</v>
      </c>
      <c r="R404" s="2" t="inlineStr">
        <is>
          <t>Spillkråka
Talltita
Brandticka</t>
        </is>
      </c>
      <c r="S404">
        <f>HYPERLINK("https://klasma.github.io/Logging_0883/artfynd/A 52992-2024 artfynd.xlsx", "A 52992-2024")</f>
        <v/>
      </c>
      <c r="T404">
        <f>HYPERLINK("https://klasma.github.io/Logging_0883/kartor/A 52992-2024 karta.png", "A 52992-2024")</f>
        <v/>
      </c>
      <c r="V404">
        <f>HYPERLINK("https://klasma.github.io/Logging_0883/klagomål/A 52992-2024 FSC-klagomål.docx", "A 52992-2024")</f>
        <v/>
      </c>
      <c r="W404">
        <f>HYPERLINK("https://klasma.github.io/Logging_0883/klagomålsmail/A 52992-2024 FSC-klagomål mail.docx", "A 52992-2024")</f>
        <v/>
      </c>
      <c r="X404">
        <f>HYPERLINK("https://klasma.github.io/Logging_0883/tillsyn/A 52992-2024 tillsynsbegäran.docx", "A 52992-2024")</f>
        <v/>
      </c>
      <c r="Y404">
        <f>HYPERLINK("https://klasma.github.io/Logging_0883/tillsynsmail/A 52992-2024 tillsynsbegäran mail.docx", "A 52992-2024")</f>
        <v/>
      </c>
      <c r="Z404">
        <f>HYPERLINK("https://klasma.github.io/Logging_0883/fåglar/A 52992-2024 prioriterade fågelarter.docx", "A 52992-2024")</f>
        <v/>
      </c>
    </row>
    <row r="405" ht="15" customHeight="1">
      <c r="A405" t="inlineStr">
        <is>
          <t>A 56032-2024</t>
        </is>
      </c>
      <c r="B405" s="1" t="n">
        <v>45624</v>
      </c>
      <c r="C405" s="1" t="n">
        <v>45715</v>
      </c>
      <c r="D405" t="inlineStr">
        <is>
          <t>KALMAR LÄN</t>
        </is>
      </c>
      <c r="E405" t="inlineStr">
        <is>
          <t>VÄSTERVIK</t>
        </is>
      </c>
      <c r="F405" t="inlineStr">
        <is>
          <t>Kyrkan</t>
        </is>
      </c>
      <c r="G405" t="n">
        <v>5.4</v>
      </c>
      <c r="H405" t="n">
        <v>1</v>
      </c>
      <c r="I405" t="n">
        <v>2</v>
      </c>
      <c r="J405" t="n">
        <v>0</v>
      </c>
      <c r="K405" t="n">
        <v>1</v>
      </c>
      <c r="L405" t="n">
        <v>0</v>
      </c>
      <c r="M405" t="n">
        <v>0</v>
      </c>
      <c r="N405" t="n">
        <v>0</v>
      </c>
      <c r="O405" t="n">
        <v>1</v>
      </c>
      <c r="P405" t="n">
        <v>1</v>
      </c>
      <c r="Q405" t="n">
        <v>3</v>
      </c>
      <c r="R405" s="2" t="inlineStr">
        <is>
          <t>Knärot
Grovticka
Grönpyrola</t>
        </is>
      </c>
      <c r="S405">
        <f>HYPERLINK("https://klasma.github.io/Logging_0883/artfynd/A 56032-2024 artfynd.xlsx", "A 56032-2024")</f>
        <v/>
      </c>
      <c r="T405">
        <f>HYPERLINK("https://klasma.github.io/Logging_0883/kartor/A 56032-2024 karta.png", "A 56032-2024")</f>
        <v/>
      </c>
      <c r="U405">
        <f>HYPERLINK("https://klasma.github.io/Logging_0883/knärot/A 56032-2024 karta knärot.png", "A 56032-2024")</f>
        <v/>
      </c>
      <c r="V405">
        <f>HYPERLINK("https://klasma.github.io/Logging_0883/klagomål/A 56032-2024 FSC-klagomål.docx", "A 56032-2024")</f>
        <v/>
      </c>
      <c r="W405">
        <f>HYPERLINK("https://klasma.github.io/Logging_0883/klagomålsmail/A 56032-2024 FSC-klagomål mail.docx", "A 56032-2024")</f>
        <v/>
      </c>
      <c r="X405">
        <f>HYPERLINK("https://klasma.github.io/Logging_0883/tillsyn/A 56032-2024 tillsynsbegäran.docx", "A 56032-2024")</f>
        <v/>
      </c>
      <c r="Y405">
        <f>HYPERLINK("https://klasma.github.io/Logging_0883/tillsynsmail/A 56032-2024 tillsynsbegäran mail.docx", "A 56032-2024")</f>
        <v/>
      </c>
    </row>
    <row r="406" ht="15" customHeight="1">
      <c r="A406" t="inlineStr">
        <is>
          <t>A 56985-2024</t>
        </is>
      </c>
      <c r="B406" s="1" t="n">
        <v>45628</v>
      </c>
      <c r="C406" s="1" t="n">
        <v>45715</v>
      </c>
      <c r="D406" t="inlineStr">
        <is>
          <t>KALMAR LÄN</t>
        </is>
      </c>
      <c r="E406" t="inlineStr">
        <is>
          <t>VIMMERBY</t>
        </is>
      </c>
      <c r="G406" t="n">
        <v>3.1</v>
      </c>
      <c r="H406" t="n">
        <v>2</v>
      </c>
      <c r="I406" t="n">
        <v>1</v>
      </c>
      <c r="J406" t="n">
        <v>1</v>
      </c>
      <c r="K406" t="n">
        <v>1</v>
      </c>
      <c r="L406" t="n">
        <v>0</v>
      </c>
      <c r="M406" t="n">
        <v>0</v>
      </c>
      <c r="N406" t="n">
        <v>0</v>
      </c>
      <c r="O406" t="n">
        <v>2</v>
      </c>
      <c r="P406" t="n">
        <v>1</v>
      </c>
      <c r="Q406" t="n">
        <v>3</v>
      </c>
      <c r="R406" s="2" t="inlineStr">
        <is>
          <t>Knärot
Spillkråka
Grönpyrola</t>
        </is>
      </c>
      <c r="S406">
        <f>HYPERLINK("https://klasma.github.io/Logging_0884/artfynd/A 56985-2024 artfynd.xlsx", "A 56985-2024")</f>
        <v/>
      </c>
      <c r="T406">
        <f>HYPERLINK("https://klasma.github.io/Logging_0884/kartor/A 56985-2024 karta.png", "A 56985-2024")</f>
        <v/>
      </c>
      <c r="U406">
        <f>HYPERLINK("https://klasma.github.io/Logging_0884/knärot/A 56985-2024 karta knärot.png", "A 56985-2024")</f>
        <v/>
      </c>
      <c r="V406">
        <f>HYPERLINK("https://klasma.github.io/Logging_0884/klagomål/A 56985-2024 FSC-klagomål.docx", "A 56985-2024")</f>
        <v/>
      </c>
      <c r="W406">
        <f>HYPERLINK("https://klasma.github.io/Logging_0884/klagomålsmail/A 56985-2024 FSC-klagomål mail.docx", "A 56985-2024")</f>
        <v/>
      </c>
      <c r="X406">
        <f>HYPERLINK("https://klasma.github.io/Logging_0884/tillsyn/A 56985-2024 tillsynsbegäran.docx", "A 56985-2024")</f>
        <v/>
      </c>
      <c r="Y406">
        <f>HYPERLINK("https://klasma.github.io/Logging_0884/tillsynsmail/A 56985-2024 tillsynsbegäran mail.docx", "A 56985-2024")</f>
        <v/>
      </c>
      <c r="Z406">
        <f>HYPERLINK("https://klasma.github.io/Logging_0884/fåglar/A 56985-2024 prioriterade fågelarter.docx", "A 56985-2024")</f>
        <v/>
      </c>
    </row>
    <row r="407" ht="15" customHeight="1">
      <c r="A407" t="inlineStr">
        <is>
          <t>A 58750-2024</t>
        </is>
      </c>
      <c r="B407" s="1" t="n">
        <v>45635</v>
      </c>
      <c r="C407" s="1" t="n">
        <v>45715</v>
      </c>
      <c r="D407" t="inlineStr">
        <is>
          <t>KALMAR LÄN</t>
        </is>
      </c>
      <c r="E407" t="inlineStr">
        <is>
          <t>VÄSTERVIK</t>
        </is>
      </c>
      <c r="G407" t="n">
        <v>6.7</v>
      </c>
      <c r="H407" t="n">
        <v>1</v>
      </c>
      <c r="I407" t="n">
        <v>1</v>
      </c>
      <c r="J407" t="n">
        <v>1</v>
      </c>
      <c r="K407" t="n">
        <v>1</v>
      </c>
      <c r="L407" t="n">
        <v>0</v>
      </c>
      <c r="M407" t="n">
        <v>0</v>
      </c>
      <c r="N407" t="n">
        <v>0</v>
      </c>
      <c r="O407" t="n">
        <v>2</v>
      </c>
      <c r="P407" t="n">
        <v>1</v>
      </c>
      <c r="Q407" t="n">
        <v>3</v>
      </c>
      <c r="R407" s="2" t="inlineStr">
        <is>
          <t>Knärot
Tallticka
Blåmossa</t>
        </is>
      </c>
      <c r="S407">
        <f>HYPERLINK("https://klasma.github.io/Logging_0883/artfynd/A 58750-2024 artfynd.xlsx", "A 58750-2024")</f>
        <v/>
      </c>
      <c r="T407">
        <f>HYPERLINK("https://klasma.github.io/Logging_0883/kartor/A 58750-2024 karta.png", "A 58750-2024")</f>
        <v/>
      </c>
      <c r="U407">
        <f>HYPERLINK("https://klasma.github.io/Logging_0883/knärot/A 58750-2024 karta knärot.png", "A 58750-2024")</f>
        <v/>
      </c>
      <c r="V407">
        <f>HYPERLINK("https://klasma.github.io/Logging_0883/klagomål/A 58750-2024 FSC-klagomål.docx", "A 58750-2024")</f>
        <v/>
      </c>
      <c r="W407">
        <f>HYPERLINK("https://klasma.github.io/Logging_0883/klagomålsmail/A 58750-2024 FSC-klagomål mail.docx", "A 58750-2024")</f>
        <v/>
      </c>
      <c r="X407">
        <f>HYPERLINK("https://klasma.github.io/Logging_0883/tillsyn/A 58750-2024 tillsynsbegäran.docx", "A 58750-2024")</f>
        <v/>
      </c>
      <c r="Y407">
        <f>HYPERLINK("https://klasma.github.io/Logging_0883/tillsynsmail/A 58750-2024 tillsynsbegäran mail.docx", "A 58750-2024")</f>
        <v/>
      </c>
    </row>
    <row r="408" ht="15" customHeight="1">
      <c r="A408" t="inlineStr">
        <is>
          <t>A 42-2025</t>
        </is>
      </c>
      <c r="B408" s="1" t="n">
        <v>45659</v>
      </c>
      <c r="C408" s="1" t="n">
        <v>45715</v>
      </c>
      <c r="D408" t="inlineStr">
        <is>
          <t>KALMAR LÄN</t>
        </is>
      </c>
      <c r="E408" t="inlineStr">
        <is>
          <t>VÄSTERVIK</t>
        </is>
      </c>
      <c r="G408" t="n">
        <v>5.5</v>
      </c>
      <c r="H408" t="n">
        <v>3</v>
      </c>
      <c r="I408" t="n">
        <v>0</v>
      </c>
      <c r="J408" t="n">
        <v>1</v>
      </c>
      <c r="K408" t="n">
        <v>1</v>
      </c>
      <c r="L408" t="n">
        <v>0</v>
      </c>
      <c r="M408" t="n">
        <v>0</v>
      </c>
      <c r="N408" t="n">
        <v>0</v>
      </c>
      <c r="O408" t="n">
        <v>2</v>
      </c>
      <c r="P408" t="n">
        <v>1</v>
      </c>
      <c r="Q408" t="n">
        <v>3</v>
      </c>
      <c r="R408" s="2" t="inlineStr">
        <is>
          <t>Knärot
Talltita
Kungsfågel</t>
        </is>
      </c>
      <c r="S408">
        <f>HYPERLINK("https://klasma.github.io/Logging_0883/artfynd/A 42-2025 artfynd.xlsx", "A 42-2025")</f>
        <v/>
      </c>
      <c r="T408">
        <f>HYPERLINK("https://klasma.github.io/Logging_0883/kartor/A 42-2025 karta.png", "A 42-2025")</f>
        <v/>
      </c>
      <c r="U408">
        <f>HYPERLINK("https://klasma.github.io/Logging_0883/knärot/A 42-2025 karta knärot.png", "A 42-2025")</f>
        <v/>
      </c>
      <c r="V408">
        <f>HYPERLINK("https://klasma.github.io/Logging_0883/klagomål/A 42-2025 FSC-klagomål.docx", "A 42-2025")</f>
        <v/>
      </c>
      <c r="W408">
        <f>HYPERLINK("https://klasma.github.io/Logging_0883/klagomålsmail/A 42-2025 FSC-klagomål mail.docx", "A 42-2025")</f>
        <v/>
      </c>
      <c r="X408">
        <f>HYPERLINK("https://klasma.github.io/Logging_0883/tillsyn/A 42-2025 tillsynsbegäran.docx", "A 42-2025")</f>
        <v/>
      </c>
      <c r="Y408">
        <f>HYPERLINK("https://klasma.github.io/Logging_0883/tillsynsmail/A 42-2025 tillsynsbegäran mail.docx", "A 42-2025")</f>
        <v/>
      </c>
      <c r="Z408">
        <f>HYPERLINK("https://klasma.github.io/Logging_0883/fåglar/A 42-2025 prioriterade fågelarter.docx", "A 42-2025")</f>
        <v/>
      </c>
    </row>
    <row r="409" ht="15" customHeight="1">
      <c r="A409" t="inlineStr">
        <is>
          <t>A 953-2025</t>
        </is>
      </c>
      <c r="B409" s="1" t="n">
        <v>45666</v>
      </c>
      <c r="C409" s="1" t="n">
        <v>45715</v>
      </c>
      <c r="D409" t="inlineStr">
        <is>
          <t>KALMAR LÄN</t>
        </is>
      </c>
      <c r="E409" t="inlineStr">
        <is>
          <t>VÄSTERVIK</t>
        </is>
      </c>
      <c r="G409" t="n">
        <v>2.3</v>
      </c>
      <c r="H409" t="n">
        <v>1</v>
      </c>
      <c r="I409" t="n">
        <v>2</v>
      </c>
      <c r="J409" t="n">
        <v>0</v>
      </c>
      <c r="K409" t="n">
        <v>1</v>
      </c>
      <c r="L409" t="n">
        <v>0</v>
      </c>
      <c r="M409" t="n">
        <v>0</v>
      </c>
      <c r="N409" t="n">
        <v>0</v>
      </c>
      <c r="O409" t="n">
        <v>1</v>
      </c>
      <c r="P409" t="n">
        <v>1</v>
      </c>
      <c r="Q409" t="n">
        <v>3</v>
      </c>
      <c r="R409" s="2" t="inlineStr">
        <is>
          <t>Knärot
Barkticka
Dropptaggsvamp</t>
        </is>
      </c>
      <c r="S409">
        <f>HYPERLINK("https://klasma.github.io/Logging_0883/artfynd/A 953-2025 artfynd.xlsx", "A 953-2025")</f>
        <v/>
      </c>
      <c r="T409">
        <f>HYPERLINK("https://klasma.github.io/Logging_0883/kartor/A 953-2025 karta.png", "A 953-2025")</f>
        <v/>
      </c>
      <c r="U409">
        <f>HYPERLINK("https://klasma.github.io/Logging_0883/knärot/A 953-2025 karta knärot.png", "A 953-2025")</f>
        <v/>
      </c>
      <c r="V409">
        <f>HYPERLINK("https://klasma.github.io/Logging_0883/klagomål/A 953-2025 FSC-klagomål.docx", "A 953-2025")</f>
        <v/>
      </c>
      <c r="W409">
        <f>HYPERLINK("https://klasma.github.io/Logging_0883/klagomålsmail/A 953-2025 FSC-klagomål mail.docx", "A 953-2025")</f>
        <v/>
      </c>
      <c r="X409">
        <f>HYPERLINK("https://klasma.github.io/Logging_0883/tillsyn/A 953-2025 tillsynsbegäran.docx", "A 953-2025")</f>
        <v/>
      </c>
      <c r="Y409">
        <f>HYPERLINK("https://klasma.github.io/Logging_0883/tillsynsmail/A 953-2025 tillsynsbegäran mail.docx", "A 953-2025")</f>
        <v/>
      </c>
    </row>
    <row r="410" ht="15" customHeight="1">
      <c r="A410" t="inlineStr">
        <is>
          <t>A 1763-2025</t>
        </is>
      </c>
      <c r="B410" s="1" t="n">
        <v>45671</v>
      </c>
      <c r="C410" s="1" t="n">
        <v>45715</v>
      </c>
      <c r="D410" t="inlineStr">
        <is>
          <t>KALMAR LÄN</t>
        </is>
      </c>
      <c r="E410" t="inlineStr">
        <is>
          <t>VÄSTERVIK</t>
        </is>
      </c>
      <c r="G410" t="n">
        <v>1.1</v>
      </c>
      <c r="H410" t="n">
        <v>2</v>
      </c>
      <c r="I410" t="n">
        <v>1</v>
      </c>
      <c r="J410" t="n">
        <v>2</v>
      </c>
      <c r="K410" t="n">
        <v>0</v>
      </c>
      <c r="L410" t="n">
        <v>0</v>
      </c>
      <c r="M410" t="n">
        <v>0</v>
      </c>
      <c r="N410" t="n">
        <v>0</v>
      </c>
      <c r="O410" t="n">
        <v>2</v>
      </c>
      <c r="P410" t="n">
        <v>0</v>
      </c>
      <c r="Q410" t="n">
        <v>3</v>
      </c>
      <c r="R410" s="2" t="inlineStr">
        <is>
          <t>Spillkråka
Talltita
Blåmossa</t>
        </is>
      </c>
      <c r="S410">
        <f>HYPERLINK("https://klasma.github.io/Logging_0883/artfynd/A 1763-2025 artfynd.xlsx", "A 1763-2025")</f>
        <v/>
      </c>
      <c r="T410">
        <f>HYPERLINK("https://klasma.github.io/Logging_0883/kartor/A 1763-2025 karta.png", "A 1763-2025")</f>
        <v/>
      </c>
      <c r="V410">
        <f>HYPERLINK("https://klasma.github.io/Logging_0883/klagomål/A 1763-2025 FSC-klagomål.docx", "A 1763-2025")</f>
        <v/>
      </c>
      <c r="W410">
        <f>HYPERLINK("https://klasma.github.io/Logging_0883/klagomålsmail/A 1763-2025 FSC-klagomål mail.docx", "A 1763-2025")</f>
        <v/>
      </c>
      <c r="X410">
        <f>HYPERLINK("https://klasma.github.io/Logging_0883/tillsyn/A 1763-2025 tillsynsbegäran.docx", "A 1763-2025")</f>
        <v/>
      </c>
      <c r="Y410">
        <f>HYPERLINK("https://klasma.github.io/Logging_0883/tillsynsmail/A 1763-2025 tillsynsbegäran mail.docx", "A 1763-2025")</f>
        <v/>
      </c>
      <c r="Z410">
        <f>HYPERLINK("https://klasma.github.io/Logging_0883/fåglar/A 1763-2025 prioriterade fågelarter.docx", "A 1763-2025")</f>
        <v/>
      </c>
    </row>
    <row r="411" ht="15" customHeight="1">
      <c r="A411" t="inlineStr">
        <is>
          <t>A 1764-2025</t>
        </is>
      </c>
      <c r="B411" s="1" t="n">
        <v>45671</v>
      </c>
      <c r="C411" s="1" t="n">
        <v>45715</v>
      </c>
      <c r="D411" t="inlineStr">
        <is>
          <t>KALMAR LÄN</t>
        </is>
      </c>
      <c r="E411" t="inlineStr">
        <is>
          <t>VÄSTERVIK</t>
        </is>
      </c>
      <c r="G411" t="n">
        <v>1.8</v>
      </c>
      <c r="H411" t="n">
        <v>1</v>
      </c>
      <c r="I411" t="n">
        <v>1</v>
      </c>
      <c r="J411" t="n">
        <v>1</v>
      </c>
      <c r="K411" t="n">
        <v>1</v>
      </c>
      <c r="L411" t="n">
        <v>0</v>
      </c>
      <c r="M411" t="n">
        <v>0</v>
      </c>
      <c r="N411" t="n">
        <v>0</v>
      </c>
      <c r="O411" t="n">
        <v>2</v>
      </c>
      <c r="P411" t="n">
        <v>1</v>
      </c>
      <c r="Q411" t="n">
        <v>3</v>
      </c>
      <c r="R411" s="2" t="inlineStr">
        <is>
          <t>Knärot
Ullticka
Grovticka</t>
        </is>
      </c>
      <c r="S411">
        <f>HYPERLINK("https://klasma.github.io/Logging_0883/artfynd/A 1764-2025 artfynd.xlsx", "A 1764-2025")</f>
        <v/>
      </c>
      <c r="T411">
        <f>HYPERLINK("https://klasma.github.io/Logging_0883/kartor/A 1764-2025 karta.png", "A 1764-2025")</f>
        <v/>
      </c>
      <c r="U411">
        <f>HYPERLINK("https://klasma.github.io/Logging_0883/knärot/A 1764-2025 karta knärot.png", "A 1764-2025")</f>
        <v/>
      </c>
      <c r="V411">
        <f>HYPERLINK("https://klasma.github.io/Logging_0883/klagomål/A 1764-2025 FSC-klagomål.docx", "A 1764-2025")</f>
        <v/>
      </c>
      <c r="W411">
        <f>HYPERLINK("https://klasma.github.io/Logging_0883/klagomålsmail/A 1764-2025 FSC-klagomål mail.docx", "A 1764-2025")</f>
        <v/>
      </c>
      <c r="X411">
        <f>HYPERLINK("https://klasma.github.io/Logging_0883/tillsyn/A 1764-2025 tillsynsbegäran.docx", "A 1764-2025")</f>
        <v/>
      </c>
      <c r="Y411">
        <f>HYPERLINK("https://klasma.github.io/Logging_0883/tillsynsmail/A 1764-2025 tillsynsbegäran mail.docx", "A 1764-2025")</f>
        <v/>
      </c>
    </row>
    <row r="412" ht="15" customHeight="1">
      <c r="A412" t="inlineStr">
        <is>
          <t>A 2340-2025</t>
        </is>
      </c>
      <c r="B412" s="1" t="n">
        <v>45673</v>
      </c>
      <c r="C412" s="1" t="n">
        <v>45715</v>
      </c>
      <c r="D412" t="inlineStr">
        <is>
          <t>KALMAR LÄN</t>
        </is>
      </c>
      <c r="E412" t="inlineStr">
        <is>
          <t>VÄSTERVIK</t>
        </is>
      </c>
      <c r="G412" t="n">
        <v>3.5</v>
      </c>
      <c r="H412" t="n">
        <v>3</v>
      </c>
      <c r="I412" t="n">
        <v>0</v>
      </c>
      <c r="J412" t="n">
        <v>2</v>
      </c>
      <c r="K412" t="n">
        <v>0</v>
      </c>
      <c r="L412" t="n">
        <v>0</v>
      </c>
      <c r="M412" t="n">
        <v>0</v>
      </c>
      <c r="N412" t="n">
        <v>0</v>
      </c>
      <c r="O412" t="n">
        <v>2</v>
      </c>
      <c r="P412" t="n">
        <v>0</v>
      </c>
      <c r="Q412" t="n">
        <v>3</v>
      </c>
      <c r="R412" s="2" t="inlineStr">
        <is>
          <t>Spillkråka
Talltita
Kungsfågel</t>
        </is>
      </c>
      <c r="S412">
        <f>HYPERLINK("https://klasma.github.io/Logging_0883/artfynd/A 2340-2025 artfynd.xlsx", "A 2340-2025")</f>
        <v/>
      </c>
      <c r="T412">
        <f>HYPERLINK("https://klasma.github.io/Logging_0883/kartor/A 2340-2025 karta.png", "A 2340-2025")</f>
        <v/>
      </c>
      <c r="U412">
        <f>HYPERLINK("https://klasma.github.io/Logging_0883/knärot/A 2340-2025 karta knärot.png", "A 2340-2025")</f>
        <v/>
      </c>
      <c r="V412">
        <f>HYPERLINK("https://klasma.github.io/Logging_0883/klagomål/A 2340-2025 FSC-klagomål.docx", "A 2340-2025")</f>
        <v/>
      </c>
      <c r="W412">
        <f>HYPERLINK("https://klasma.github.io/Logging_0883/klagomålsmail/A 2340-2025 FSC-klagomål mail.docx", "A 2340-2025")</f>
        <v/>
      </c>
      <c r="X412">
        <f>HYPERLINK("https://klasma.github.io/Logging_0883/tillsyn/A 2340-2025 tillsynsbegäran.docx", "A 2340-2025")</f>
        <v/>
      </c>
      <c r="Y412">
        <f>HYPERLINK("https://klasma.github.io/Logging_0883/tillsynsmail/A 2340-2025 tillsynsbegäran mail.docx", "A 2340-2025")</f>
        <v/>
      </c>
      <c r="Z412">
        <f>HYPERLINK("https://klasma.github.io/Logging_0883/fåglar/A 2340-2025 prioriterade fågelarter.docx", "A 2340-2025")</f>
        <v/>
      </c>
    </row>
    <row r="413" ht="15" customHeight="1">
      <c r="A413" t="inlineStr">
        <is>
          <t>A 4454-2025</t>
        </is>
      </c>
      <c r="B413" s="1" t="n">
        <v>45686</v>
      </c>
      <c r="C413" s="1" t="n">
        <v>45715</v>
      </c>
      <c r="D413" t="inlineStr">
        <is>
          <t>KALMAR LÄN</t>
        </is>
      </c>
      <c r="E413" t="inlineStr">
        <is>
          <t>VÄSTERVIK</t>
        </is>
      </c>
      <c r="G413" t="n">
        <v>1</v>
      </c>
      <c r="H413" t="n">
        <v>2</v>
      </c>
      <c r="I413" t="n">
        <v>1</v>
      </c>
      <c r="J413" t="n">
        <v>0</v>
      </c>
      <c r="K413" t="n">
        <v>1</v>
      </c>
      <c r="L413" t="n">
        <v>0</v>
      </c>
      <c r="M413" t="n">
        <v>0</v>
      </c>
      <c r="N413" t="n">
        <v>0</v>
      </c>
      <c r="O413" t="n">
        <v>1</v>
      </c>
      <c r="P413" t="n">
        <v>1</v>
      </c>
      <c r="Q413" t="n">
        <v>3</v>
      </c>
      <c r="R413" s="2" t="inlineStr">
        <is>
          <t>Knärot
Grönpyrola
Kungsfågel</t>
        </is>
      </c>
      <c r="S413">
        <f>HYPERLINK("https://klasma.github.io/Logging_0883/artfynd/A 4454-2025 artfynd.xlsx", "A 4454-2025")</f>
        <v/>
      </c>
      <c r="T413">
        <f>HYPERLINK("https://klasma.github.io/Logging_0883/kartor/A 4454-2025 karta.png", "A 4454-2025")</f>
        <v/>
      </c>
      <c r="U413">
        <f>HYPERLINK("https://klasma.github.io/Logging_0883/knärot/A 4454-2025 karta knärot.png", "A 4454-2025")</f>
        <v/>
      </c>
      <c r="V413">
        <f>HYPERLINK("https://klasma.github.io/Logging_0883/klagomål/A 4454-2025 FSC-klagomål.docx", "A 4454-2025")</f>
        <v/>
      </c>
      <c r="W413">
        <f>HYPERLINK("https://klasma.github.io/Logging_0883/klagomålsmail/A 4454-2025 FSC-klagomål mail.docx", "A 4454-2025")</f>
        <v/>
      </c>
      <c r="X413">
        <f>HYPERLINK("https://klasma.github.io/Logging_0883/tillsyn/A 4454-2025 tillsynsbegäran.docx", "A 4454-2025")</f>
        <v/>
      </c>
      <c r="Y413">
        <f>HYPERLINK("https://klasma.github.io/Logging_0883/tillsynsmail/A 4454-2025 tillsynsbegäran mail.docx", "A 4454-2025")</f>
        <v/>
      </c>
      <c r="Z413">
        <f>HYPERLINK("https://klasma.github.io/Logging_0883/fåglar/A 4454-2025 prioriterade fågelarter.docx", "A 4454-2025")</f>
        <v/>
      </c>
    </row>
    <row r="414" ht="15" customHeight="1">
      <c r="A414" t="inlineStr">
        <is>
          <t>A 5153-2025</t>
        </is>
      </c>
      <c r="B414" s="1" t="n">
        <v>45691</v>
      </c>
      <c r="C414" s="1" t="n">
        <v>45715</v>
      </c>
      <c r="D414" t="inlineStr">
        <is>
          <t>KALMAR LÄN</t>
        </is>
      </c>
      <c r="E414" t="inlineStr">
        <is>
          <t>OSKARSHAMN</t>
        </is>
      </c>
      <c r="G414" t="n">
        <v>4.7</v>
      </c>
      <c r="H414" t="n">
        <v>1</v>
      </c>
      <c r="I414" t="n">
        <v>1</v>
      </c>
      <c r="J414" t="n">
        <v>1</v>
      </c>
      <c r="K414" t="n">
        <v>0</v>
      </c>
      <c r="L414" t="n">
        <v>0</v>
      </c>
      <c r="M414" t="n">
        <v>0</v>
      </c>
      <c r="N414" t="n">
        <v>0</v>
      </c>
      <c r="O414" t="n">
        <v>1</v>
      </c>
      <c r="P414" t="n">
        <v>0</v>
      </c>
      <c r="Q414" t="n">
        <v>3</v>
      </c>
      <c r="R414" s="2" t="inlineStr">
        <is>
          <t>Tallticka
Fällmossa
Gröngöling</t>
        </is>
      </c>
      <c r="S414">
        <f>HYPERLINK("https://klasma.github.io/Logging_0882/artfynd/A 5153-2025 artfynd.xlsx", "A 5153-2025")</f>
        <v/>
      </c>
      <c r="T414">
        <f>HYPERLINK("https://klasma.github.io/Logging_0882/kartor/A 5153-2025 karta.png", "A 5153-2025")</f>
        <v/>
      </c>
      <c r="V414">
        <f>HYPERLINK("https://klasma.github.io/Logging_0882/klagomål/A 5153-2025 FSC-klagomål.docx", "A 5153-2025")</f>
        <v/>
      </c>
      <c r="W414">
        <f>HYPERLINK("https://klasma.github.io/Logging_0882/klagomålsmail/A 5153-2025 FSC-klagomål mail.docx", "A 5153-2025")</f>
        <v/>
      </c>
      <c r="X414">
        <f>HYPERLINK("https://klasma.github.io/Logging_0882/tillsyn/A 5153-2025 tillsynsbegäran.docx", "A 5153-2025")</f>
        <v/>
      </c>
      <c r="Y414">
        <f>HYPERLINK("https://klasma.github.io/Logging_0882/tillsynsmail/A 5153-2025 tillsynsbegäran mail.docx", "A 5153-2025")</f>
        <v/>
      </c>
      <c r="Z414">
        <f>HYPERLINK("https://klasma.github.io/Logging_0882/fåglar/A 5153-2025 prioriterade fågelarter.docx", "A 5153-2025")</f>
        <v/>
      </c>
    </row>
    <row r="415" ht="15" customHeight="1">
      <c r="A415" t="inlineStr">
        <is>
          <t>A 7029-2025</t>
        </is>
      </c>
      <c r="B415" s="1" t="n">
        <v>45701</v>
      </c>
      <c r="C415" s="1" t="n">
        <v>45715</v>
      </c>
      <c r="D415" t="inlineStr">
        <is>
          <t>KALMAR LÄN</t>
        </is>
      </c>
      <c r="E415" t="inlineStr">
        <is>
          <t>OSKARSHAMN</t>
        </is>
      </c>
      <c r="G415" t="n">
        <v>4.8</v>
      </c>
      <c r="H415" t="n">
        <v>2</v>
      </c>
      <c r="I415" t="n">
        <v>1</v>
      </c>
      <c r="J415" t="n">
        <v>1</v>
      </c>
      <c r="K415" t="n">
        <v>0</v>
      </c>
      <c r="L415" t="n">
        <v>0</v>
      </c>
      <c r="M415" t="n">
        <v>0</v>
      </c>
      <c r="N415" t="n">
        <v>0</v>
      </c>
      <c r="O415" t="n">
        <v>1</v>
      </c>
      <c r="P415" t="n">
        <v>0</v>
      </c>
      <c r="Q415" t="n">
        <v>3</v>
      </c>
      <c r="R415" s="2" t="inlineStr">
        <is>
          <t>Spillkråka
Blåmossa
Blåsippa</t>
        </is>
      </c>
      <c r="S415">
        <f>HYPERLINK("https://klasma.github.io/Logging_0882/artfynd/A 7029-2025 artfynd.xlsx", "A 7029-2025")</f>
        <v/>
      </c>
      <c r="T415">
        <f>HYPERLINK("https://klasma.github.io/Logging_0882/kartor/A 7029-2025 karta.png", "A 7029-2025")</f>
        <v/>
      </c>
      <c r="V415">
        <f>HYPERLINK("https://klasma.github.io/Logging_0882/klagomål/A 7029-2025 FSC-klagomål.docx", "A 7029-2025")</f>
        <v/>
      </c>
      <c r="W415">
        <f>HYPERLINK("https://klasma.github.io/Logging_0882/klagomålsmail/A 7029-2025 FSC-klagomål mail.docx", "A 7029-2025")</f>
        <v/>
      </c>
      <c r="X415">
        <f>HYPERLINK("https://klasma.github.io/Logging_0882/tillsyn/A 7029-2025 tillsynsbegäran.docx", "A 7029-2025")</f>
        <v/>
      </c>
      <c r="Y415">
        <f>HYPERLINK("https://klasma.github.io/Logging_0882/tillsynsmail/A 7029-2025 tillsynsbegäran mail.docx", "A 7029-2025")</f>
        <v/>
      </c>
      <c r="Z415">
        <f>HYPERLINK("https://klasma.github.io/Logging_0882/fåglar/A 7029-2025 prioriterade fågelarter.docx", "A 7029-2025")</f>
        <v/>
      </c>
    </row>
    <row r="416" ht="15" customHeight="1">
      <c r="A416" t="inlineStr">
        <is>
          <t>A 7832-2025</t>
        </is>
      </c>
      <c r="B416" s="1" t="n">
        <v>45706</v>
      </c>
      <c r="C416" s="1" t="n">
        <v>45715</v>
      </c>
      <c r="D416" t="inlineStr">
        <is>
          <t>KALMAR LÄN</t>
        </is>
      </c>
      <c r="E416" t="inlineStr">
        <is>
          <t>VÄSTERVIK</t>
        </is>
      </c>
      <c r="G416" t="n">
        <v>5.5</v>
      </c>
      <c r="H416" t="n">
        <v>3</v>
      </c>
      <c r="I416" t="n">
        <v>0</v>
      </c>
      <c r="J416" t="n">
        <v>1</v>
      </c>
      <c r="K416" t="n">
        <v>1</v>
      </c>
      <c r="L416" t="n">
        <v>0</v>
      </c>
      <c r="M416" t="n">
        <v>0</v>
      </c>
      <c r="N416" t="n">
        <v>0</v>
      </c>
      <c r="O416" t="n">
        <v>2</v>
      </c>
      <c r="P416" t="n">
        <v>1</v>
      </c>
      <c r="Q416" t="n">
        <v>3</v>
      </c>
      <c r="R416" s="2" t="inlineStr">
        <is>
          <t>Knärot
Talltita
Kungsfågel</t>
        </is>
      </c>
      <c r="S416">
        <f>HYPERLINK("https://klasma.github.io/Logging_0883/artfynd/A 7832-2025 artfynd.xlsx", "A 7832-2025")</f>
        <v/>
      </c>
      <c r="T416">
        <f>HYPERLINK("https://klasma.github.io/Logging_0883/kartor/A 7832-2025 karta.png", "A 7832-2025")</f>
        <v/>
      </c>
      <c r="U416">
        <f>HYPERLINK("https://klasma.github.io/Logging_0883/knärot/A 7832-2025 karta knärot.png", "A 7832-2025")</f>
        <v/>
      </c>
      <c r="V416">
        <f>HYPERLINK("https://klasma.github.io/Logging_0883/klagomål/A 7832-2025 FSC-klagomål.docx", "A 7832-2025")</f>
        <v/>
      </c>
      <c r="W416">
        <f>HYPERLINK("https://klasma.github.io/Logging_0883/klagomålsmail/A 7832-2025 FSC-klagomål mail.docx", "A 7832-2025")</f>
        <v/>
      </c>
      <c r="X416">
        <f>HYPERLINK("https://klasma.github.io/Logging_0883/tillsyn/A 7832-2025 tillsynsbegäran.docx", "A 7832-2025")</f>
        <v/>
      </c>
      <c r="Y416">
        <f>HYPERLINK("https://klasma.github.io/Logging_0883/tillsynsmail/A 7832-2025 tillsynsbegäran mail.docx", "A 7832-2025")</f>
        <v/>
      </c>
      <c r="Z416">
        <f>HYPERLINK("https://klasma.github.io/Logging_0883/fåglar/A 7832-2025 prioriterade fågelarter.docx", "A 7832-2025")</f>
        <v/>
      </c>
    </row>
    <row r="417" ht="15" customHeight="1">
      <c r="A417" t="inlineStr">
        <is>
          <t>A 8635-2025</t>
        </is>
      </c>
      <c r="B417" s="1" t="n">
        <v>45711</v>
      </c>
      <c r="C417" s="1" t="n">
        <v>45715</v>
      </c>
      <c r="D417" t="inlineStr">
        <is>
          <t>KALMAR LÄN</t>
        </is>
      </c>
      <c r="E417" t="inlineStr">
        <is>
          <t>HÖGSBY</t>
        </is>
      </c>
      <c r="G417" t="n">
        <v>4.4</v>
      </c>
      <c r="H417" t="n">
        <v>2</v>
      </c>
      <c r="I417" t="n">
        <v>1</v>
      </c>
      <c r="J417" t="n">
        <v>1</v>
      </c>
      <c r="K417" t="n">
        <v>0</v>
      </c>
      <c r="L417" t="n">
        <v>0</v>
      </c>
      <c r="M417" t="n">
        <v>0</v>
      </c>
      <c r="N417" t="n">
        <v>0</v>
      </c>
      <c r="O417" t="n">
        <v>1</v>
      </c>
      <c r="P417" t="n">
        <v>0</v>
      </c>
      <c r="Q417" t="n">
        <v>3</v>
      </c>
      <c r="R417" s="2" t="inlineStr">
        <is>
          <t>Spillkråka
Vårärt
Blåsippa</t>
        </is>
      </c>
      <c r="S417">
        <f>HYPERLINK("https://klasma.github.io/Logging_0821/artfynd/A 8635-2025 artfynd.xlsx", "A 8635-2025")</f>
        <v/>
      </c>
      <c r="T417">
        <f>HYPERLINK("https://klasma.github.io/Logging_0821/kartor/A 8635-2025 karta.png", "A 8635-2025")</f>
        <v/>
      </c>
      <c r="V417">
        <f>HYPERLINK("https://klasma.github.io/Logging_0821/klagomål/A 8635-2025 FSC-klagomål.docx", "A 8635-2025")</f>
        <v/>
      </c>
      <c r="W417">
        <f>HYPERLINK("https://klasma.github.io/Logging_0821/klagomålsmail/A 8635-2025 FSC-klagomål mail.docx", "A 8635-2025")</f>
        <v/>
      </c>
      <c r="X417">
        <f>HYPERLINK("https://klasma.github.io/Logging_0821/tillsyn/A 8635-2025 tillsynsbegäran.docx", "A 8635-2025")</f>
        <v/>
      </c>
      <c r="Y417">
        <f>HYPERLINK("https://klasma.github.io/Logging_0821/tillsynsmail/A 8635-2025 tillsynsbegäran mail.docx", "A 8635-2025")</f>
        <v/>
      </c>
      <c r="Z417">
        <f>HYPERLINK("https://klasma.github.io/Logging_0821/fåglar/A 8635-2025 prioriterade fågelarter.docx", "A 8635-2025")</f>
        <v/>
      </c>
    </row>
    <row r="418" ht="15" customHeight="1">
      <c r="A418" t="inlineStr">
        <is>
          <t>A 20824-2019</t>
        </is>
      </c>
      <c r="B418" s="1" t="n">
        <v>43573</v>
      </c>
      <c r="C418" s="1" t="n">
        <v>45715</v>
      </c>
      <c r="D418" t="inlineStr">
        <is>
          <t>KALMAR LÄN</t>
        </is>
      </c>
      <c r="E418" t="inlineStr">
        <is>
          <t>HÖGSBY</t>
        </is>
      </c>
      <c r="G418" t="n">
        <v>0.9</v>
      </c>
      <c r="H418" t="n">
        <v>0</v>
      </c>
      <c r="I418" t="n">
        <v>1</v>
      </c>
      <c r="J418" t="n">
        <v>0</v>
      </c>
      <c r="K418" t="n">
        <v>1</v>
      </c>
      <c r="L418" t="n">
        <v>0</v>
      </c>
      <c r="M418" t="n">
        <v>0</v>
      </c>
      <c r="N418" t="n">
        <v>0</v>
      </c>
      <c r="O418" t="n">
        <v>1</v>
      </c>
      <c r="P418" t="n">
        <v>1</v>
      </c>
      <c r="Q418" t="n">
        <v>2</v>
      </c>
      <c r="R418" s="2" t="inlineStr">
        <is>
          <t>Brandtaggsvamp
Skarp dropptaggsvamp</t>
        </is>
      </c>
      <c r="S418">
        <f>HYPERLINK("https://klasma.github.io/Logging_0821/artfynd/A 20824-2019 artfynd.xlsx", "A 20824-2019")</f>
        <v/>
      </c>
      <c r="T418">
        <f>HYPERLINK("https://klasma.github.io/Logging_0821/kartor/A 20824-2019 karta.png", "A 20824-2019")</f>
        <v/>
      </c>
      <c r="V418">
        <f>HYPERLINK("https://klasma.github.io/Logging_0821/klagomål/A 20824-2019 FSC-klagomål.docx", "A 20824-2019")</f>
        <v/>
      </c>
      <c r="W418">
        <f>HYPERLINK("https://klasma.github.io/Logging_0821/klagomålsmail/A 20824-2019 FSC-klagomål mail.docx", "A 20824-2019")</f>
        <v/>
      </c>
      <c r="X418">
        <f>HYPERLINK("https://klasma.github.io/Logging_0821/tillsyn/A 20824-2019 tillsynsbegäran.docx", "A 20824-2019")</f>
        <v/>
      </c>
      <c r="Y418">
        <f>HYPERLINK("https://klasma.github.io/Logging_0821/tillsynsmail/A 20824-2019 tillsynsbegäran mail.docx", "A 20824-2019")</f>
        <v/>
      </c>
    </row>
    <row r="419" ht="15" customHeight="1">
      <c r="A419" t="inlineStr">
        <is>
          <t>A 23584-2019</t>
        </is>
      </c>
      <c r="B419" s="1" t="n">
        <v>43594</v>
      </c>
      <c r="C419" s="1" t="n">
        <v>45715</v>
      </c>
      <c r="D419" t="inlineStr">
        <is>
          <t>KALMAR LÄN</t>
        </is>
      </c>
      <c r="E419" t="inlineStr">
        <is>
          <t>EMMABODA</t>
        </is>
      </c>
      <c r="G419" t="n">
        <v>3.5</v>
      </c>
      <c r="H419" t="n">
        <v>2</v>
      </c>
      <c r="I419" t="n">
        <v>0</v>
      </c>
      <c r="J419" t="n">
        <v>1</v>
      </c>
      <c r="K419" t="n">
        <v>0</v>
      </c>
      <c r="L419" t="n">
        <v>0</v>
      </c>
      <c r="M419" t="n">
        <v>0</v>
      </c>
      <c r="N419" t="n">
        <v>0</v>
      </c>
      <c r="O419" t="n">
        <v>1</v>
      </c>
      <c r="P419" t="n">
        <v>0</v>
      </c>
      <c r="Q419" t="n">
        <v>2</v>
      </c>
      <c r="R419" s="2" t="inlineStr">
        <is>
          <t>Talltita
Kungsfågel</t>
        </is>
      </c>
      <c r="S419">
        <f>HYPERLINK("https://klasma.github.io/Logging_0862/artfynd/A 23584-2019 artfynd.xlsx", "A 23584-2019")</f>
        <v/>
      </c>
      <c r="T419">
        <f>HYPERLINK("https://klasma.github.io/Logging_0862/kartor/A 23584-2019 karta.png", "A 23584-2019")</f>
        <v/>
      </c>
      <c r="V419">
        <f>HYPERLINK("https://klasma.github.io/Logging_0862/klagomål/A 23584-2019 FSC-klagomål.docx", "A 23584-2019")</f>
        <v/>
      </c>
      <c r="W419">
        <f>HYPERLINK("https://klasma.github.io/Logging_0862/klagomålsmail/A 23584-2019 FSC-klagomål mail.docx", "A 23584-2019")</f>
        <v/>
      </c>
      <c r="X419">
        <f>HYPERLINK("https://klasma.github.io/Logging_0862/tillsyn/A 23584-2019 tillsynsbegäran.docx", "A 23584-2019")</f>
        <v/>
      </c>
      <c r="Y419">
        <f>HYPERLINK("https://klasma.github.io/Logging_0862/tillsynsmail/A 23584-2019 tillsynsbegäran mail.docx", "A 23584-2019")</f>
        <v/>
      </c>
      <c r="Z419">
        <f>HYPERLINK("https://klasma.github.io/Logging_0862/fåglar/A 23584-2019 prioriterade fågelarter.docx", "A 23584-2019")</f>
        <v/>
      </c>
    </row>
    <row r="420" ht="15" customHeight="1">
      <c r="A420" t="inlineStr">
        <is>
          <t>A 25729-2019</t>
        </is>
      </c>
      <c r="B420" s="1" t="n">
        <v>43608</v>
      </c>
      <c r="C420" s="1" t="n">
        <v>45715</v>
      </c>
      <c r="D420" t="inlineStr">
        <is>
          <t>KALMAR LÄN</t>
        </is>
      </c>
      <c r="E420" t="inlineStr">
        <is>
          <t>TORSÅS</t>
        </is>
      </c>
      <c r="G420" t="n">
        <v>1.1</v>
      </c>
      <c r="H420" t="n">
        <v>0</v>
      </c>
      <c r="I420" t="n">
        <v>2</v>
      </c>
      <c r="J420" t="n">
        <v>0</v>
      </c>
      <c r="K420" t="n">
        <v>0</v>
      </c>
      <c r="L420" t="n">
        <v>0</v>
      </c>
      <c r="M420" t="n">
        <v>0</v>
      </c>
      <c r="N420" t="n">
        <v>0</v>
      </c>
      <c r="O420" t="n">
        <v>0</v>
      </c>
      <c r="P420" t="n">
        <v>0</v>
      </c>
      <c r="Q420" t="n">
        <v>2</v>
      </c>
      <c r="R420" s="2" t="inlineStr">
        <is>
          <t>Sårläka
Ögonpyrola</t>
        </is>
      </c>
      <c r="S420">
        <f>HYPERLINK("https://klasma.github.io/Logging_0834/artfynd/A 25729-2019 artfynd.xlsx", "A 25729-2019")</f>
        <v/>
      </c>
      <c r="T420">
        <f>HYPERLINK("https://klasma.github.io/Logging_0834/kartor/A 25729-2019 karta.png", "A 25729-2019")</f>
        <v/>
      </c>
      <c r="V420">
        <f>HYPERLINK("https://klasma.github.io/Logging_0834/klagomål/A 25729-2019 FSC-klagomål.docx", "A 25729-2019")</f>
        <v/>
      </c>
      <c r="W420">
        <f>HYPERLINK("https://klasma.github.io/Logging_0834/klagomålsmail/A 25729-2019 FSC-klagomål mail.docx", "A 25729-2019")</f>
        <v/>
      </c>
      <c r="X420">
        <f>HYPERLINK("https://klasma.github.io/Logging_0834/tillsyn/A 25729-2019 tillsynsbegäran.docx", "A 25729-2019")</f>
        <v/>
      </c>
      <c r="Y420">
        <f>HYPERLINK("https://klasma.github.io/Logging_0834/tillsynsmail/A 25729-2019 tillsynsbegäran mail.docx", "A 25729-2019")</f>
        <v/>
      </c>
    </row>
    <row r="421" ht="15" customHeight="1">
      <c r="A421" t="inlineStr">
        <is>
          <t>A 32602-2019</t>
        </is>
      </c>
      <c r="B421" s="1" t="n">
        <v>43647</v>
      </c>
      <c r="C421" s="1" t="n">
        <v>45715</v>
      </c>
      <c r="D421" t="inlineStr">
        <is>
          <t>KALMAR LÄN</t>
        </is>
      </c>
      <c r="E421" t="inlineStr">
        <is>
          <t>VIMMERBY</t>
        </is>
      </c>
      <c r="G421" t="n">
        <v>3.4</v>
      </c>
      <c r="H421" t="n">
        <v>0</v>
      </c>
      <c r="I421" t="n">
        <v>0</v>
      </c>
      <c r="J421" t="n">
        <v>2</v>
      </c>
      <c r="K421" t="n">
        <v>0</v>
      </c>
      <c r="L421" t="n">
        <v>0</v>
      </c>
      <c r="M421" t="n">
        <v>0</v>
      </c>
      <c r="N421" t="n">
        <v>0</v>
      </c>
      <c r="O421" t="n">
        <v>2</v>
      </c>
      <c r="P421" t="n">
        <v>0</v>
      </c>
      <c r="Q421" t="n">
        <v>2</v>
      </c>
      <c r="R421" s="2" t="inlineStr">
        <is>
          <t>Asppraktbagge
Vedskivlav</t>
        </is>
      </c>
      <c r="S421">
        <f>HYPERLINK("https://klasma.github.io/Logging_0884/artfynd/A 32602-2019 artfynd.xlsx", "A 32602-2019")</f>
        <v/>
      </c>
      <c r="T421">
        <f>HYPERLINK("https://klasma.github.io/Logging_0884/kartor/A 32602-2019 karta.png", "A 32602-2019")</f>
        <v/>
      </c>
      <c r="V421">
        <f>HYPERLINK("https://klasma.github.io/Logging_0884/klagomål/A 32602-2019 FSC-klagomål.docx", "A 32602-2019")</f>
        <v/>
      </c>
      <c r="W421">
        <f>HYPERLINK("https://klasma.github.io/Logging_0884/klagomålsmail/A 32602-2019 FSC-klagomål mail.docx", "A 32602-2019")</f>
        <v/>
      </c>
      <c r="X421">
        <f>HYPERLINK("https://klasma.github.io/Logging_0884/tillsyn/A 32602-2019 tillsynsbegäran.docx", "A 32602-2019")</f>
        <v/>
      </c>
      <c r="Y421">
        <f>HYPERLINK("https://klasma.github.io/Logging_0884/tillsynsmail/A 32602-2019 tillsynsbegäran mail.docx", "A 32602-2019")</f>
        <v/>
      </c>
    </row>
    <row r="422" ht="15" customHeight="1">
      <c r="A422" t="inlineStr">
        <is>
          <t>A 36531-2019</t>
        </is>
      </c>
      <c r="B422" s="1" t="n">
        <v>43663</v>
      </c>
      <c r="C422" s="1" t="n">
        <v>45715</v>
      </c>
      <c r="D422" t="inlineStr">
        <is>
          <t>KALMAR LÄN</t>
        </is>
      </c>
      <c r="E422" t="inlineStr">
        <is>
          <t>HÖGSBY</t>
        </is>
      </c>
      <c r="G422" t="n">
        <v>11.5</v>
      </c>
      <c r="H422" t="n">
        <v>1</v>
      </c>
      <c r="I422" t="n">
        <v>1</v>
      </c>
      <c r="J422" t="n">
        <v>0</v>
      </c>
      <c r="K422" t="n">
        <v>0</v>
      </c>
      <c r="L422" t="n">
        <v>0</v>
      </c>
      <c r="M422" t="n">
        <v>0</v>
      </c>
      <c r="N422" t="n">
        <v>0</v>
      </c>
      <c r="O422" t="n">
        <v>0</v>
      </c>
      <c r="P422" t="n">
        <v>0</v>
      </c>
      <c r="Q422" t="n">
        <v>2</v>
      </c>
      <c r="R422" s="2" t="inlineStr">
        <is>
          <t>Fällmossa
Blåsippa</t>
        </is>
      </c>
      <c r="S422">
        <f>HYPERLINK("https://klasma.github.io/Logging_0821/artfynd/A 36531-2019 artfynd.xlsx", "A 36531-2019")</f>
        <v/>
      </c>
      <c r="T422">
        <f>HYPERLINK("https://klasma.github.io/Logging_0821/kartor/A 36531-2019 karta.png", "A 36531-2019")</f>
        <v/>
      </c>
      <c r="V422">
        <f>HYPERLINK("https://klasma.github.io/Logging_0821/klagomål/A 36531-2019 FSC-klagomål.docx", "A 36531-2019")</f>
        <v/>
      </c>
      <c r="W422">
        <f>HYPERLINK("https://klasma.github.io/Logging_0821/klagomålsmail/A 36531-2019 FSC-klagomål mail.docx", "A 36531-2019")</f>
        <v/>
      </c>
      <c r="X422">
        <f>HYPERLINK("https://klasma.github.io/Logging_0821/tillsyn/A 36531-2019 tillsynsbegäran.docx", "A 36531-2019")</f>
        <v/>
      </c>
      <c r="Y422">
        <f>HYPERLINK("https://klasma.github.io/Logging_0821/tillsynsmail/A 36531-2019 tillsynsbegäran mail.docx", "A 36531-2019")</f>
        <v/>
      </c>
    </row>
    <row r="423" ht="15" customHeight="1">
      <c r="A423" t="inlineStr">
        <is>
          <t>A 36803-2019</t>
        </is>
      </c>
      <c r="B423" s="1" t="n">
        <v>43672</v>
      </c>
      <c r="C423" s="1" t="n">
        <v>45715</v>
      </c>
      <c r="D423" t="inlineStr">
        <is>
          <t>KALMAR LÄN</t>
        </is>
      </c>
      <c r="E423" t="inlineStr">
        <is>
          <t>VIMMERBY</t>
        </is>
      </c>
      <c r="G423" t="n">
        <v>3.8</v>
      </c>
      <c r="H423" t="n">
        <v>0</v>
      </c>
      <c r="I423" t="n">
        <v>1</v>
      </c>
      <c r="J423" t="n">
        <v>1</v>
      </c>
      <c r="K423" t="n">
        <v>0</v>
      </c>
      <c r="L423" t="n">
        <v>0</v>
      </c>
      <c r="M423" t="n">
        <v>0</v>
      </c>
      <c r="N423" t="n">
        <v>0</v>
      </c>
      <c r="O423" t="n">
        <v>1</v>
      </c>
      <c r="P423" t="n">
        <v>0</v>
      </c>
      <c r="Q423" t="n">
        <v>2</v>
      </c>
      <c r="R423" s="2" t="inlineStr">
        <is>
          <t>Tallticka
Dropptaggsvamp</t>
        </is>
      </c>
      <c r="S423">
        <f>HYPERLINK("https://klasma.github.io/Logging_0884/artfynd/A 36803-2019 artfynd.xlsx", "A 36803-2019")</f>
        <v/>
      </c>
      <c r="T423">
        <f>HYPERLINK("https://klasma.github.io/Logging_0884/kartor/A 36803-2019 karta.png", "A 36803-2019")</f>
        <v/>
      </c>
      <c r="U423">
        <f>HYPERLINK("https://klasma.github.io/Logging_0884/knärot/A 36803-2019 karta knärot.png", "A 36803-2019")</f>
        <v/>
      </c>
      <c r="V423">
        <f>HYPERLINK("https://klasma.github.io/Logging_0884/klagomål/A 36803-2019 FSC-klagomål.docx", "A 36803-2019")</f>
        <v/>
      </c>
      <c r="W423">
        <f>HYPERLINK("https://klasma.github.io/Logging_0884/klagomålsmail/A 36803-2019 FSC-klagomål mail.docx", "A 36803-2019")</f>
        <v/>
      </c>
      <c r="X423">
        <f>HYPERLINK("https://klasma.github.io/Logging_0884/tillsyn/A 36803-2019 tillsynsbegäran.docx", "A 36803-2019")</f>
        <v/>
      </c>
      <c r="Y423">
        <f>HYPERLINK("https://klasma.github.io/Logging_0884/tillsynsmail/A 36803-2019 tillsynsbegäran mail.docx", "A 36803-2019")</f>
        <v/>
      </c>
    </row>
    <row r="424" ht="15" customHeight="1">
      <c r="A424" t="inlineStr">
        <is>
          <t>A 36829-2019</t>
        </is>
      </c>
      <c r="B424" s="1" t="n">
        <v>43674</v>
      </c>
      <c r="C424" s="1" t="n">
        <v>45715</v>
      </c>
      <c r="D424" t="inlineStr">
        <is>
          <t>KALMAR LÄN</t>
        </is>
      </c>
      <c r="E424" t="inlineStr">
        <is>
          <t>KALMAR</t>
        </is>
      </c>
      <c r="G424" t="n">
        <v>18.7</v>
      </c>
      <c r="H424" t="n">
        <v>0</v>
      </c>
      <c r="I424" t="n">
        <v>2</v>
      </c>
      <c r="J424" t="n">
        <v>0</v>
      </c>
      <c r="K424" t="n">
        <v>0</v>
      </c>
      <c r="L424" t="n">
        <v>0</v>
      </c>
      <c r="M424" t="n">
        <v>0</v>
      </c>
      <c r="N424" t="n">
        <v>0</v>
      </c>
      <c r="O424" t="n">
        <v>0</v>
      </c>
      <c r="P424" t="n">
        <v>0</v>
      </c>
      <c r="Q424" t="n">
        <v>2</v>
      </c>
      <c r="R424" s="2" t="inlineStr">
        <is>
          <t>Ekskinn
Fällmossa</t>
        </is>
      </c>
      <c r="S424">
        <f>HYPERLINK("https://klasma.github.io/Logging_0880/artfynd/A 36829-2019 artfynd.xlsx", "A 36829-2019")</f>
        <v/>
      </c>
      <c r="T424">
        <f>HYPERLINK("https://klasma.github.io/Logging_0880/kartor/A 36829-2019 karta.png", "A 36829-2019")</f>
        <v/>
      </c>
      <c r="V424">
        <f>HYPERLINK("https://klasma.github.io/Logging_0880/klagomål/A 36829-2019 FSC-klagomål.docx", "A 36829-2019")</f>
        <v/>
      </c>
      <c r="W424">
        <f>HYPERLINK("https://klasma.github.io/Logging_0880/klagomålsmail/A 36829-2019 FSC-klagomål mail.docx", "A 36829-2019")</f>
        <v/>
      </c>
      <c r="X424">
        <f>HYPERLINK("https://klasma.github.io/Logging_0880/tillsyn/A 36829-2019 tillsynsbegäran.docx", "A 36829-2019")</f>
        <v/>
      </c>
      <c r="Y424">
        <f>HYPERLINK("https://klasma.github.io/Logging_0880/tillsynsmail/A 36829-2019 tillsynsbegäran mail.docx", "A 36829-2019")</f>
        <v/>
      </c>
    </row>
    <row r="425" ht="15" customHeight="1">
      <c r="A425" t="inlineStr">
        <is>
          <t>A 37778-2019</t>
        </is>
      </c>
      <c r="B425" s="1" t="n">
        <v>43682</v>
      </c>
      <c r="C425" s="1" t="n">
        <v>45715</v>
      </c>
      <c r="D425" t="inlineStr">
        <is>
          <t>KALMAR LÄN</t>
        </is>
      </c>
      <c r="E425" t="inlineStr">
        <is>
          <t>HULTSFRED</t>
        </is>
      </c>
      <c r="G425" t="n">
        <v>1.1</v>
      </c>
      <c r="H425" t="n">
        <v>1</v>
      </c>
      <c r="I425" t="n">
        <v>0</v>
      </c>
      <c r="J425" t="n">
        <v>1</v>
      </c>
      <c r="K425" t="n">
        <v>0</v>
      </c>
      <c r="L425" t="n">
        <v>0</v>
      </c>
      <c r="M425" t="n">
        <v>0</v>
      </c>
      <c r="N425" t="n">
        <v>0</v>
      </c>
      <c r="O425" t="n">
        <v>1</v>
      </c>
      <c r="P425" t="n">
        <v>0</v>
      </c>
      <c r="Q425" t="n">
        <v>2</v>
      </c>
      <c r="R425" s="2" t="inlineStr">
        <is>
          <t>Solvända
Nattviol</t>
        </is>
      </c>
      <c r="S425">
        <f>HYPERLINK("https://klasma.github.io/Logging_0860/artfynd/A 37778-2019 artfynd.xlsx", "A 37778-2019")</f>
        <v/>
      </c>
      <c r="T425">
        <f>HYPERLINK("https://klasma.github.io/Logging_0860/kartor/A 37778-2019 karta.png", "A 37778-2019")</f>
        <v/>
      </c>
      <c r="V425">
        <f>HYPERLINK("https://klasma.github.io/Logging_0860/klagomål/A 37778-2019 FSC-klagomål.docx", "A 37778-2019")</f>
        <v/>
      </c>
      <c r="W425">
        <f>HYPERLINK("https://klasma.github.io/Logging_0860/klagomålsmail/A 37778-2019 FSC-klagomål mail.docx", "A 37778-2019")</f>
        <v/>
      </c>
      <c r="X425">
        <f>HYPERLINK("https://klasma.github.io/Logging_0860/tillsyn/A 37778-2019 tillsynsbegäran.docx", "A 37778-2019")</f>
        <v/>
      </c>
      <c r="Y425">
        <f>HYPERLINK("https://klasma.github.io/Logging_0860/tillsynsmail/A 37778-2019 tillsynsbegäran mail.docx", "A 37778-2019")</f>
        <v/>
      </c>
    </row>
    <row r="426" ht="15" customHeight="1">
      <c r="A426" t="inlineStr">
        <is>
          <t>A 38441-2019</t>
        </is>
      </c>
      <c r="B426" s="1" t="n">
        <v>43685</v>
      </c>
      <c r="C426" s="1" t="n">
        <v>45715</v>
      </c>
      <c r="D426" t="inlineStr">
        <is>
          <t>KALMAR LÄN</t>
        </is>
      </c>
      <c r="E426" t="inlineStr">
        <is>
          <t>MÖNSTERÅS</t>
        </is>
      </c>
      <c r="G426" t="n">
        <v>9.5</v>
      </c>
      <c r="H426" t="n">
        <v>2</v>
      </c>
      <c r="I426" t="n">
        <v>0</v>
      </c>
      <c r="J426" t="n">
        <v>2</v>
      </c>
      <c r="K426" t="n">
        <v>0</v>
      </c>
      <c r="L426" t="n">
        <v>0</v>
      </c>
      <c r="M426" t="n">
        <v>0</v>
      </c>
      <c r="N426" t="n">
        <v>0</v>
      </c>
      <c r="O426" t="n">
        <v>2</v>
      </c>
      <c r="P426" t="n">
        <v>0</v>
      </c>
      <c r="Q426" t="n">
        <v>2</v>
      </c>
      <c r="R426" s="2" t="inlineStr">
        <is>
          <t>Skrattmås
Spillkråka</t>
        </is>
      </c>
      <c r="S426">
        <f>HYPERLINK("https://klasma.github.io/Logging_0861/artfynd/A 38441-2019 artfynd.xlsx", "A 38441-2019")</f>
        <v/>
      </c>
      <c r="T426">
        <f>HYPERLINK("https://klasma.github.io/Logging_0861/kartor/A 38441-2019 karta.png", "A 38441-2019")</f>
        <v/>
      </c>
      <c r="V426">
        <f>HYPERLINK("https://klasma.github.io/Logging_0861/klagomål/A 38441-2019 FSC-klagomål.docx", "A 38441-2019")</f>
        <v/>
      </c>
      <c r="W426">
        <f>HYPERLINK("https://klasma.github.io/Logging_0861/klagomålsmail/A 38441-2019 FSC-klagomål mail.docx", "A 38441-2019")</f>
        <v/>
      </c>
      <c r="X426">
        <f>HYPERLINK("https://klasma.github.io/Logging_0861/tillsyn/A 38441-2019 tillsynsbegäran.docx", "A 38441-2019")</f>
        <v/>
      </c>
      <c r="Y426">
        <f>HYPERLINK("https://klasma.github.io/Logging_0861/tillsynsmail/A 38441-2019 tillsynsbegäran mail.docx", "A 38441-2019")</f>
        <v/>
      </c>
      <c r="Z426">
        <f>HYPERLINK("https://klasma.github.io/Logging_0861/fåglar/A 38441-2019 prioriterade fågelarter.docx", "A 38441-2019")</f>
        <v/>
      </c>
    </row>
    <row r="427" ht="15" customHeight="1">
      <c r="A427" t="inlineStr">
        <is>
          <t>A 38921-2019</t>
        </is>
      </c>
      <c r="B427" s="1" t="n">
        <v>43689</v>
      </c>
      <c r="C427" s="1" t="n">
        <v>45715</v>
      </c>
      <c r="D427" t="inlineStr">
        <is>
          <t>KALMAR LÄN</t>
        </is>
      </c>
      <c r="E427" t="inlineStr">
        <is>
          <t>VIMMERBY</t>
        </is>
      </c>
      <c r="G427" t="n">
        <v>1.4</v>
      </c>
      <c r="H427" t="n">
        <v>2</v>
      </c>
      <c r="I427" t="n">
        <v>0</v>
      </c>
      <c r="J427" t="n">
        <v>2</v>
      </c>
      <c r="K427" t="n">
        <v>0</v>
      </c>
      <c r="L427" t="n">
        <v>0</v>
      </c>
      <c r="M427" t="n">
        <v>0</v>
      </c>
      <c r="N427" t="n">
        <v>0</v>
      </c>
      <c r="O427" t="n">
        <v>2</v>
      </c>
      <c r="P427" t="n">
        <v>0</v>
      </c>
      <c r="Q427" t="n">
        <v>2</v>
      </c>
      <c r="R427" s="2" t="inlineStr">
        <is>
          <t>Barbastell
Nordfladdermus</t>
        </is>
      </c>
      <c r="S427">
        <f>HYPERLINK("https://klasma.github.io/Logging_0884/artfynd/A 38921-2019 artfynd.xlsx", "A 38921-2019")</f>
        <v/>
      </c>
      <c r="T427">
        <f>HYPERLINK("https://klasma.github.io/Logging_0884/kartor/A 38921-2019 karta.png", "A 38921-2019")</f>
        <v/>
      </c>
      <c r="V427">
        <f>HYPERLINK("https://klasma.github.io/Logging_0884/klagomål/A 38921-2019 FSC-klagomål.docx", "A 38921-2019")</f>
        <v/>
      </c>
      <c r="W427">
        <f>HYPERLINK("https://klasma.github.io/Logging_0884/klagomålsmail/A 38921-2019 FSC-klagomål mail.docx", "A 38921-2019")</f>
        <v/>
      </c>
      <c r="X427">
        <f>HYPERLINK("https://klasma.github.io/Logging_0884/tillsyn/A 38921-2019 tillsynsbegäran.docx", "A 38921-2019")</f>
        <v/>
      </c>
      <c r="Y427">
        <f>HYPERLINK("https://klasma.github.io/Logging_0884/tillsynsmail/A 38921-2019 tillsynsbegäran mail.docx", "A 38921-2019")</f>
        <v/>
      </c>
    </row>
    <row r="428" ht="15" customHeight="1">
      <c r="A428" t="inlineStr">
        <is>
          <t>A 39871-2019</t>
        </is>
      </c>
      <c r="B428" s="1" t="n">
        <v>43692</v>
      </c>
      <c r="C428" s="1" t="n">
        <v>45715</v>
      </c>
      <c r="D428" t="inlineStr">
        <is>
          <t>KALMAR LÄN</t>
        </is>
      </c>
      <c r="E428" t="inlineStr">
        <is>
          <t>EMMABODA</t>
        </is>
      </c>
      <c r="G428" t="n">
        <v>2.6</v>
      </c>
      <c r="H428" t="n">
        <v>0</v>
      </c>
      <c r="I428" t="n">
        <v>1</v>
      </c>
      <c r="J428" t="n">
        <v>0</v>
      </c>
      <c r="K428" t="n">
        <v>1</v>
      </c>
      <c r="L428" t="n">
        <v>0</v>
      </c>
      <c r="M428" t="n">
        <v>0</v>
      </c>
      <c r="N428" t="n">
        <v>0</v>
      </c>
      <c r="O428" t="n">
        <v>1</v>
      </c>
      <c r="P428" t="n">
        <v>1</v>
      </c>
      <c r="Q428" t="n">
        <v>2</v>
      </c>
      <c r="R428" s="2" t="inlineStr">
        <is>
          <t>Stortimjan
Grönpyrola</t>
        </is>
      </c>
      <c r="S428">
        <f>HYPERLINK("https://klasma.github.io/Logging_0862/artfynd/A 39871-2019 artfynd.xlsx", "A 39871-2019")</f>
        <v/>
      </c>
      <c r="T428">
        <f>HYPERLINK("https://klasma.github.io/Logging_0862/kartor/A 39871-2019 karta.png", "A 39871-2019")</f>
        <v/>
      </c>
      <c r="V428">
        <f>HYPERLINK("https://klasma.github.io/Logging_0862/klagomål/A 39871-2019 FSC-klagomål.docx", "A 39871-2019")</f>
        <v/>
      </c>
      <c r="W428">
        <f>HYPERLINK("https://klasma.github.io/Logging_0862/klagomålsmail/A 39871-2019 FSC-klagomål mail.docx", "A 39871-2019")</f>
        <v/>
      </c>
      <c r="X428">
        <f>HYPERLINK("https://klasma.github.io/Logging_0862/tillsyn/A 39871-2019 tillsynsbegäran.docx", "A 39871-2019")</f>
        <v/>
      </c>
      <c r="Y428">
        <f>HYPERLINK("https://klasma.github.io/Logging_0862/tillsynsmail/A 39871-2019 tillsynsbegäran mail.docx", "A 39871-2019")</f>
        <v/>
      </c>
    </row>
    <row r="429" ht="15" customHeight="1">
      <c r="A429" t="inlineStr">
        <is>
          <t>A 43150-2019</t>
        </is>
      </c>
      <c r="B429" s="1" t="n">
        <v>43705</v>
      </c>
      <c r="C429" s="1" t="n">
        <v>45715</v>
      </c>
      <c r="D429" t="inlineStr">
        <is>
          <t>KALMAR LÄN</t>
        </is>
      </c>
      <c r="E429" t="inlineStr">
        <is>
          <t>TORSÅS</t>
        </is>
      </c>
      <c r="F429" t="inlineStr">
        <is>
          <t>Övriga Aktiebolag</t>
        </is>
      </c>
      <c r="G429" t="n">
        <v>41.2</v>
      </c>
      <c r="H429" t="n">
        <v>2</v>
      </c>
      <c r="I429" t="n">
        <v>0</v>
      </c>
      <c r="J429" t="n">
        <v>1</v>
      </c>
      <c r="K429" t="n">
        <v>0</v>
      </c>
      <c r="L429" t="n">
        <v>0</v>
      </c>
      <c r="M429" t="n">
        <v>0</v>
      </c>
      <c r="N429" t="n">
        <v>0</v>
      </c>
      <c r="O429" t="n">
        <v>1</v>
      </c>
      <c r="P429" t="n">
        <v>0</v>
      </c>
      <c r="Q429" t="n">
        <v>2</v>
      </c>
      <c r="R429" s="2" t="inlineStr">
        <is>
          <t>Nordfladdermus
Dvärgpipistrell</t>
        </is>
      </c>
      <c r="S429">
        <f>HYPERLINK("https://klasma.github.io/Logging_0834/artfynd/A 43150-2019 artfynd.xlsx", "A 43150-2019")</f>
        <v/>
      </c>
      <c r="T429">
        <f>HYPERLINK("https://klasma.github.io/Logging_0834/kartor/A 43150-2019 karta.png", "A 43150-2019")</f>
        <v/>
      </c>
      <c r="V429">
        <f>HYPERLINK("https://klasma.github.io/Logging_0834/klagomål/A 43150-2019 FSC-klagomål.docx", "A 43150-2019")</f>
        <v/>
      </c>
      <c r="W429">
        <f>HYPERLINK("https://klasma.github.io/Logging_0834/klagomålsmail/A 43150-2019 FSC-klagomål mail.docx", "A 43150-2019")</f>
        <v/>
      </c>
      <c r="X429">
        <f>HYPERLINK("https://klasma.github.io/Logging_0834/tillsyn/A 43150-2019 tillsynsbegäran.docx", "A 43150-2019")</f>
        <v/>
      </c>
      <c r="Y429">
        <f>HYPERLINK("https://klasma.github.io/Logging_0834/tillsynsmail/A 43150-2019 tillsynsbegäran mail.docx", "A 43150-2019")</f>
        <v/>
      </c>
    </row>
    <row r="430" ht="15" customHeight="1">
      <c r="A430" t="inlineStr">
        <is>
          <t>A 43490-2019</t>
        </is>
      </c>
      <c r="B430" s="1" t="n">
        <v>43706</v>
      </c>
      <c r="C430" s="1" t="n">
        <v>45715</v>
      </c>
      <c r="D430" t="inlineStr">
        <is>
          <t>KALMAR LÄN</t>
        </is>
      </c>
      <c r="E430" t="inlineStr">
        <is>
          <t>MÖNSTERÅS</t>
        </is>
      </c>
      <c r="G430" t="n">
        <v>5.5</v>
      </c>
      <c r="H430" t="n">
        <v>0</v>
      </c>
      <c r="I430" t="n">
        <v>0</v>
      </c>
      <c r="J430" t="n">
        <v>2</v>
      </c>
      <c r="K430" t="n">
        <v>0</v>
      </c>
      <c r="L430" t="n">
        <v>0</v>
      </c>
      <c r="M430" t="n">
        <v>0</v>
      </c>
      <c r="N430" t="n">
        <v>0</v>
      </c>
      <c r="O430" t="n">
        <v>2</v>
      </c>
      <c r="P430" t="n">
        <v>0</v>
      </c>
      <c r="Q430" t="n">
        <v>2</v>
      </c>
      <c r="R430" s="2" t="inlineStr">
        <is>
          <t>Monkevivel
Timmertickgnagare</t>
        </is>
      </c>
      <c r="S430">
        <f>HYPERLINK("https://klasma.github.io/Logging_0861/artfynd/A 43490-2019 artfynd.xlsx", "A 43490-2019")</f>
        <v/>
      </c>
      <c r="T430">
        <f>HYPERLINK("https://klasma.github.io/Logging_0861/kartor/A 43490-2019 karta.png", "A 43490-2019")</f>
        <v/>
      </c>
      <c r="V430">
        <f>HYPERLINK("https://klasma.github.io/Logging_0861/klagomål/A 43490-2019 FSC-klagomål.docx", "A 43490-2019")</f>
        <v/>
      </c>
      <c r="W430">
        <f>HYPERLINK("https://klasma.github.io/Logging_0861/klagomålsmail/A 43490-2019 FSC-klagomål mail.docx", "A 43490-2019")</f>
        <v/>
      </c>
      <c r="X430">
        <f>HYPERLINK("https://klasma.github.io/Logging_0861/tillsyn/A 43490-2019 tillsynsbegäran.docx", "A 43490-2019")</f>
        <v/>
      </c>
      <c r="Y430">
        <f>HYPERLINK("https://klasma.github.io/Logging_0861/tillsynsmail/A 43490-2019 tillsynsbegäran mail.docx", "A 43490-2019")</f>
        <v/>
      </c>
    </row>
    <row r="431" ht="15" customHeight="1">
      <c r="A431" t="inlineStr">
        <is>
          <t>A 44711-2019</t>
        </is>
      </c>
      <c r="B431" s="1" t="n">
        <v>43712</v>
      </c>
      <c r="C431" s="1" t="n">
        <v>45715</v>
      </c>
      <c r="D431" t="inlineStr">
        <is>
          <t>KALMAR LÄN</t>
        </is>
      </c>
      <c r="E431" t="inlineStr">
        <is>
          <t>TORSÅS</t>
        </is>
      </c>
      <c r="G431" t="n">
        <v>2.3</v>
      </c>
      <c r="H431" t="n">
        <v>1</v>
      </c>
      <c r="I431" t="n">
        <v>1</v>
      </c>
      <c r="J431" t="n">
        <v>0</v>
      </c>
      <c r="K431" t="n">
        <v>0</v>
      </c>
      <c r="L431" t="n">
        <v>0</v>
      </c>
      <c r="M431" t="n">
        <v>0</v>
      </c>
      <c r="N431" t="n">
        <v>0</v>
      </c>
      <c r="O431" t="n">
        <v>0</v>
      </c>
      <c r="P431" t="n">
        <v>0</v>
      </c>
      <c r="Q431" t="n">
        <v>2</v>
      </c>
      <c r="R431" s="2" t="inlineStr">
        <is>
          <t>Murgröna
Blåsippa</t>
        </is>
      </c>
      <c r="S431">
        <f>HYPERLINK("https://klasma.github.io/Logging_0834/artfynd/A 44711-2019 artfynd.xlsx", "A 44711-2019")</f>
        <v/>
      </c>
      <c r="T431">
        <f>HYPERLINK("https://klasma.github.io/Logging_0834/kartor/A 44711-2019 karta.png", "A 44711-2019")</f>
        <v/>
      </c>
      <c r="V431">
        <f>HYPERLINK("https://klasma.github.io/Logging_0834/klagomål/A 44711-2019 FSC-klagomål.docx", "A 44711-2019")</f>
        <v/>
      </c>
      <c r="W431">
        <f>HYPERLINK("https://klasma.github.io/Logging_0834/klagomålsmail/A 44711-2019 FSC-klagomål mail.docx", "A 44711-2019")</f>
        <v/>
      </c>
      <c r="X431">
        <f>HYPERLINK("https://klasma.github.io/Logging_0834/tillsyn/A 44711-2019 tillsynsbegäran.docx", "A 44711-2019")</f>
        <v/>
      </c>
      <c r="Y431">
        <f>HYPERLINK("https://klasma.github.io/Logging_0834/tillsynsmail/A 44711-2019 tillsynsbegäran mail.docx", "A 44711-2019")</f>
        <v/>
      </c>
    </row>
    <row r="432" ht="15" customHeight="1">
      <c r="A432" t="inlineStr">
        <is>
          <t>A 46727-2019</t>
        </is>
      </c>
      <c r="B432" s="1" t="n">
        <v>43719</v>
      </c>
      <c r="C432" s="1" t="n">
        <v>45715</v>
      </c>
      <c r="D432" t="inlineStr">
        <is>
          <t>KALMAR LÄN</t>
        </is>
      </c>
      <c r="E432" t="inlineStr">
        <is>
          <t>KALMAR</t>
        </is>
      </c>
      <c r="G432" t="n">
        <v>14.7</v>
      </c>
      <c r="H432" t="n">
        <v>1</v>
      </c>
      <c r="I432" t="n">
        <v>1</v>
      </c>
      <c r="J432" t="n">
        <v>0</v>
      </c>
      <c r="K432" t="n">
        <v>0</v>
      </c>
      <c r="L432" t="n">
        <v>0</v>
      </c>
      <c r="M432" t="n">
        <v>0</v>
      </c>
      <c r="N432" t="n">
        <v>0</v>
      </c>
      <c r="O432" t="n">
        <v>0</v>
      </c>
      <c r="P432" t="n">
        <v>0</v>
      </c>
      <c r="Q432" t="n">
        <v>2</v>
      </c>
      <c r="R432" s="2" t="inlineStr">
        <is>
          <t>Murgröna
Blåsippa</t>
        </is>
      </c>
      <c r="S432">
        <f>HYPERLINK("https://klasma.github.io/Logging_0880/artfynd/A 46727-2019 artfynd.xlsx", "A 46727-2019")</f>
        <v/>
      </c>
      <c r="T432">
        <f>HYPERLINK("https://klasma.github.io/Logging_0880/kartor/A 46727-2019 karta.png", "A 46727-2019")</f>
        <v/>
      </c>
      <c r="V432">
        <f>HYPERLINK("https://klasma.github.io/Logging_0880/klagomål/A 46727-2019 FSC-klagomål.docx", "A 46727-2019")</f>
        <v/>
      </c>
      <c r="W432">
        <f>HYPERLINK("https://klasma.github.io/Logging_0880/klagomålsmail/A 46727-2019 FSC-klagomål mail.docx", "A 46727-2019")</f>
        <v/>
      </c>
      <c r="X432">
        <f>HYPERLINK("https://klasma.github.io/Logging_0880/tillsyn/A 46727-2019 tillsynsbegäran.docx", "A 46727-2019")</f>
        <v/>
      </c>
      <c r="Y432">
        <f>HYPERLINK("https://klasma.github.io/Logging_0880/tillsynsmail/A 46727-2019 tillsynsbegäran mail.docx", "A 46727-2019")</f>
        <v/>
      </c>
    </row>
    <row r="433" ht="15" customHeight="1">
      <c r="A433" t="inlineStr">
        <is>
          <t>A 47715-2019</t>
        </is>
      </c>
      <c r="B433" s="1" t="n">
        <v>43724</v>
      </c>
      <c r="C433" s="1" t="n">
        <v>45715</v>
      </c>
      <c r="D433" t="inlineStr">
        <is>
          <t>KALMAR LÄN</t>
        </is>
      </c>
      <c r="E433" t="inlineStr">
        <is>
          <t>TORSÅS</t>
        </is>
      </c>
      <c r="G433" t="n">
        <v>1.7</v>
      </c>
      <c r="H433" t="n">
        <v>1</v>
      </c>
      <c r="I433" t="n">
        <v>1</v>
      </c>
      <c r="J433" t="n">
        <v>0</v>
      </c>
      <c r="K433" t="n">
        <v>0</v>
      </c>
      <c r="L433" t="n">
        <v>0</v>
      </c>
      <c r="M433" t="n">
        <v>0</v>
      </c>
      <c r="N433" t="n">
        <v>0</v>
      </c>
      <c r="O433" t="n">
        <v>0</v>
      </c>
      <c r="P433" t="n">
        <v>0</v>
      </c>
      <c r="Q433" t="n">
        <v>2</v>
      </c>
      <c r="R433" s="2" t="inlineStr">
        <is>
          <t>Tibast
Gullviva</t>
        </is>
      </c>
      <c r="S433">
        <f>HYPERLINK("https://klasma.github.io/Logging_0834/artfynd/A 47715-2019 artfynd.xlsx", "A 47715-2019")</f>
        <v/>
      </c>
      <c r="T433">
        <f>HYPERLINK("https://klasma.github.io/Logging_0834/kartor/A 47715-2019 karta.png", "A 47715-2019")</f>
        <v/>
      </c>
      <c r="V433">
        <f>HYPERLINK("https://klasma.github.io/Logging_0834/klagomål/A 47715-2019 FSC-klagomål.docx", "A 47715-2019")</f>
        <v/>
      </c>
      <c r="W433">
        <f>HYPERLINK("https://klasma.github.io/Logging_0834/klagomålsmail/A 47715-2019 FSC-klagomål mail.docx", "A 47715-2019")</f>
        <v/>
      </c>
      <c r="X433">
        <f>HYPERLINK("https://klasma.github.io/Logging_0834/tillsyn/A 47715-2019 tillsynsbegäran.docx", "A 47715-2019")</f>
        <v/>
      </c>
      <c r="Y433">
        <f>HYPERLINK("https://klasma.github.io/Logging_0834/tillsynsmail/A 47715-2019 tillsynsbegäran mail.docx", "A 47715-2019")</f>
        <v/>
      </c>
    </row>
    <row r="434" ht="15" customHeight="1">
      <c r="A434" t="inlineStr">
        <is>
          <t>A 53578-2019</t>
        </is>
      </c>
      <c r="B434" s="1" t="n">
        <v>43748</v>
      </c>
      <c r="C434" s="1" t="n">
        <v>45715</v>
      </c>
      <c r="D434" t="inlineStr">
        <is>
          <t>KALMAR LÄN</t>
        </is>
      </c>
      <c r="E434" t="inlineStr">
        <is>
          <t>HÖGSBY</t>
        </is>
      </c>
      <c r="G434" t="n">
        <v>12</v>
      </c>
      <c r="H434" t="n">
        <v>1</v>
      </c>
      <c r="I434" t="n">
        <v>1</v>
      </c>
      <c r="J434" t="n">
        <v>1</v>
      </c>
      <c r="K434" t="n">
        <v>0</v>
      </c>
      <c r="L434" t="n">
        <v>0</v>
      </c>
      <c r="M434" t="n">
        <v>0</v>
      </c>
      <c r="N434" t="n">
        <v>0</v>
      </c>
      <c r="O434" t="n">
        <v>1</v>
      </c>
      <c r="P434" t="n">
        <v>0</v>
      </c>
      <c r="Q434" t="n">
        <v>2</v>
      </c>
      <c r="R434" s="2" t="inlineStr">
        <is>
          <t>Talltita
Rävticka</t>
        </is>
      </c>
      <c r="S434">
        <f>HYPERLINK("https://klasma.github.io/Logging_0821/artfynd/A 53578-2019 artfynd.xlsx", "A 53578-2019")</f>
        <v/>
      </c>
      <c r="T434">
        <f>HYPERLINK("https://klasma.github.io/Logging_0821/kartor/A 53578-2019 karta.png", "A 53578-2019")</f>
        <v/>
      </c>
      <c r="V434">
        <f>HYPERLINK("https://klasma.github.io/Logging_0821/klagomål/A 53578-2019 FSC-klagomål.docx", "A 53578-2019")</f>
        <v/>
      </c>
      <c r="W434">
        <f>HYPERLINK("https://klasma.github.io/Logging_0821/klagomålsmail/A 53578-2019 FSC-klagomål mail.docx", "A 53578-2019")</f>
        <v/>
      </c>
      <c r="X434">
        <f>HYPERLINK("https://klasma.github.io/Logging_0821/tillsyn/A 53578-2019 tillsynsbegäran.docx", "A 53578-2019")</f>
        <v/>
      </c>
      <c r="Y434">
        <f>HYPERLINK("https://klasma.github.io/Logging_0821/tillsynsmail/A 53578-2019 tillsynsbegäran mail.docx", "A 53578-2019")</f>
        <v/>
      </c>
      <c r="Z434">
        <f>HYPERLINK("https://klasma.github.io/Logging_0821/fåglar/A 53578-2019 prioriterade fågelarter.docx", "A 53578-2019")</f>
        <v/>
      </c>
    </row>
    <row r="435" ht="15" customHeight="1">
      <c r="A435" t="inlineStr">
        <is>
          <t>A 58914-2019</t>
        </is>
      </c>
      <c r="B435" s="1" t="n">
        <v>43774</v>
      </c>
      <c r="C435" s="1" t="n">
        <v>45715</v>
      </c>
      <c r="D435" t="inlineStr">
        <is>
          <t>KALMAR LÄN</t>
        </is>
      </c>
      <c r="E435" t="inlineStr">
        <is>
          <t>NYBRO</t>
        </is>
      </c>
      <c r="F435" t="inlineStr">
        <is>
          <t>Kommuner</t>
        </is>
      </c>
      <c r="G435" t="n">
        <v>2.4</v>
      </c>
      <c r="H435" t="n">
        <v>0</v>
      </c>
      <c r="I435" t="n">
        <v>0</v>
      </c>
      <c r="J435" t="n">
        <v>1</v>
      </c>
      <c r="K435" t="n">
        <v>1</v>
      </c>
      <c r="L435" t="n">
        <v>0</v>
      </c>
      <c r="M435" t="n">
        <v>0</v>
      </c>
      <c r="N435" t="n">
        <v>0</v>
      </c>
      <c r="O435" t="n">
        <v>2</v>
      </c>
      <c r="P435" t="n">
        <v>1</v>
      </c>
      <c r="Q435" t="n">
        <v>2</v>
      </c>
      <c r="R435" s="2" t="inlineStr">
        <is>
          <t>Åkerrättika
Veckticka</t>
        </is>
      </c>
      <c r="S435">
        <f>HYPERLINK("https://klasma.github.io/Logging_0881/artfynd/A 58914-2019 artfynd.xlsx", "A 58914-2019")</f>
        <v/>
      </c>
      <c r="T435">
        <f>HYPERLINK("https://klasma.github.io/Logging_0881/kartor/A 58914-2019 karta.png", "A 58914-2019")</f>
        <v/>
      </c>
      <c r="V435">
        <f>HYPERLINK("https://klasma.github.io/Logging_0881/klagomål/A 58914-2019 FSC-klagomål.docx", "A 58914-2019")</f>
        <v/>
      </c>
      <c r="W435">
        <f>HYPERLINK("https://klasma.github.io/Logging_0881/klagomålsmail/A 58914-2019 FSC-klagomål mail.docx", "A 58914-2019")</f>
        <v/>
      </c>
      <c r="X435">
        <f>HYPERLINK("https://klasma.github.io/Logging_0881/tillsyn/A 58914-2019 tillsynsbegäran.docx", "A 58914-2019")</f>
        <v/>
      </c>
      <c r="Y435">
        <f>HYPERLINK("https://klasma.github.io/Logging_0881/tillsynsmail/A 58914-2019 tillsynsbegäran mail.docx", "A 58914-2019")</f>
        <v/>
      </c>
    </row>
    <row r="436" ht="15" customHeight="1">
      <c r="A436" t="inlineStr">
        <is>
          <t>A 62128-2019</t>
        </is>
      </c>
      <c r="B436" s="1" t="n">
        <v>43782</v>
      </c>
      <c r="C436" s="1" t="n">
        <v>45715</v>
      </c>
      <c r="D436" t="inlineStr">
        <is>
          <t>KALMAR LÄN</t>
        </is>
      </c>
      <c r="E436" t="inlineStr">
        <is>
          <t>VÄSTERVIK</t>
        </is>
      </c>
      <c r="G436" t="n">
        <v>7.5</v>
      </c>
      <c r="H436" t="n">
        <v>0</v>
      </c>
      <c r="I436" t="n">
        <v>1</v>
      </c>
      <c r="J436" t="n">
        <v>1</v>
      </c>
      <c r="K436" t="n">
        <v>0</v>
      </c>
      <c r="L436" t="n">
        <v>0</v>
      </c>
      <c r="M436" t="n">
        <v>0</v>
      </c>
      <c r="N436" t="n">
        <v>0</v>
      </c>
      <c r="O436" t="n">
        <v>1</v>
      </c>
      <c r="P436" t="n">
        <v>0</v>
      </c>
      <c r="Q436" t="n">
        <v>2</v>
      </c>
      <c r="R436" s="2" t="inlineStr">
        <is>
          <t>Ullticka
Kattfotslav</t>
        </is>
      </c>
      <c r="S436">
        <f>HYPERLINK("https://klasma.github.io/Logging_0883/artfynd/A 62128-2019 artfynd.xlsx", "A 62128-2019")</f>
        <v/>
      </c>
      <c r="T436">
        <f>HYPERLINK("https://klasma.github.io/Logging_0883/kartor/A 62128-2019 karta.png", "A 62128-2019")</f>
        <v/>
      </c>
      <c r="V436">
        <f>HYPERLINK("https://klasma.github.io/Logging_0883/klagomål/A 62128-2019 FSC-klagomål.docx", "A 62128-2019")</f>
        <v/>
      </c>
      <c r="W436">
        <f>HYPERLINK("https://klasma.github.io/Logging_0883/klagomålsmail/A 62128-2019 FSC-klagomål mail.docx", "A 62128-2019")</f>
        <v/>
      </c>
      <c r="X436">
        <f>HYPERLINK("https://klasma.github.io/Logging_0883/tillsyn/A 62128-2019 tillsynsbegäran.docx", "A 62128-2019")</f>
        <v/>
      </c>
      <c r="Y436">
        <f>HYPERLINK("https://klasma.github.io/Logging_0883/tillsynsmail/A 62128-2019 tillsynsbegäran mail.docx", "A 62128-2019")</f>
        <v/>
      </c>
    </row>
    <row r="437" ht="15" customHeight="1">
      <c r="A437" t="inlineStr">
        <is>
          <t>A 63949-2019</t>
        </is>
      </c>
      <c r="B437" s="1" t="n">
        <v>43796</v>
      </c>
      <c r="C437" s="1" t="n">
        <v>45715</v>
      </c>
      <c r="D437" t="inlineStr">
        <is>
          <t>KALMAR LÄN</t>
        </is>
      </c>
      <c r="E437" t="inlineStr">
        <is>
          <t>KALMAR</t>
        </is>
      </c>
      <c r="F437" t="inlineStr">
        <is>
          <t>Kommuner</t>
        </is>
      </c>
      <c r="G437" t="n">
        <v>2.5</v>
      </c>
      <c r="H437" t="n">
        <v>2</v>
      </c>
      <c r="I437" t="n">
        <v>0</v>
      </c>
      <c r="J437" t="n">
        <v>1</v>
      </c>
      <c r="K437" t="n">
        <v>0</v>
      </c>
      <c r="L437" t="n">
        <v>1</v>
      </c>
      <c r="M437" t="n">
        <v>0</v>
      </c>
      <c r="N437" t="n">
        <v>0</v>
      </c>
      <c r="O437" t="n">
        <v>2</v>
      </c>
      <c r="P437" t="n">
        <v>1</v>
      </c>
      <c r="Q437" t="n">
        <v>2</v>
      </c>
      <c r="R437" s="2" t="inlineStr">
        <is>
          <t>Tornseglare
Entita</t>
        </is>
      </c>
      <c r="S437">
        <f>HYPERLINK("https://klasma.github.io/Logging_0880/artfynd/A 63949-2019 artfynd.xlsx", "A 63949-2019")</f>
        <v/>
      </c>
      <c r="T437">
        <f>HYPERLINK("https://klasma.github.io/Logging_0880/kartor/A 63949-2019 karta.png", "A 63949-2019")</f>
        <v/>
      </c>
      <c r="V437">
        <f>HYPERLINK("https://klasma.github.io/Logging_0880/klagomål/A 63949-2019 FSC-klagomål.docx", "A 63949-2019")</f>
        <v/>
      </c>
      <c r="W437">
        <f>HYPERLINK("https://klasma.github.io/Logging_0880/klagomålsmail/A 63949-2019 FSC-klagomål mail.docx", "A 63949-2019")</f>
        <v/>
      </c>
      <c r="X437">
        <f>HYPERLINK("https://klasma.github.io/Logging_0880/tillsyn/A 63949-2019 tillsynsbegäran.docx", "A 63949-2019")</f>
        <v/>
      </c>
      <c r="Y437">
        <f>HYPERLINK("https://klasma.github.io/Logging_0880/tillsynsmail/A 63949-2019 tillsynsbegäran mail.docx", "A 63949-2019")</f>
        <v/>
      </c>
      <c r="Z437">
        <f>HYPERLINK("https://klasma.github.io/Logging_0880/fåglar/A 63949-2019 prioriterade fågelarter.docx", "A 63949-2019")</f>
        <v/>
      </c>
    </row>
    <row r="438" ht="15" customHeight="1">
      <c r="A438" t="inlineStr">
        <is>
          <t>A 12722-2020</t>
        </is>
      </c>
      <c r="B438" s="1" t="n">
        <v>43899</v>
      </c>
      <c r="C438" s="1" t="n">
        <v>45715</v>
      </c>
      <c r="D438" t="inlineStr">
        <is>
          <t>KALMAR LÄN</t>
        </is>
      </c>
      <c r="E438" t="inlineStr">
        <is>
          <t>EMMABODA</t>
        </is>
      </c>
      <c r="G438" t="n">
        <v>2.2</v>
      </c>
      <c r="H438" t="n">
        <v>1</v>
      </c>
      <c r="I438" t="n">
        <v>0</v>
      </c>
      <c r="J438" t="n">
        <v>0</v>
      </c>
      <c r="K438" t="n">
        <v>0</v>
      </c>
      <c r="L438" t="n">
        <v>1</v>
      </c>
      <c r="M438" t="n">
        <v>0</v>
      </c>
      <c r="N438" t="n">
        <v>0</v>
      </c>
      <c r="O438" t="n">
        <v>1</v>
      </c>
      <c r="P438" t="n">
        <v>1</v>
      </c>
      <c r="Q438" t="n">
        <v>2</v>
      </c>
      <c r="R438" s="2" t="inlineStr">
        <is>
          <t>Ask
Revlummer</t>
        </is>
      </c>
      <c r="S438">
        <f>HYPERLINK("https://klasma.github.io/Logging_0862/artfynd/A 12722-2020 artfynd.xlsx", "A 12722-2020")</f>
        <v/>
      </c>
      <c r="T438">
        <f>HYPERLINK("https://klasma.github.io/Logging_0862/kartor/A 12722-2020 karta.png", "A 12722-2020")</f>
        <v/>
      </c>
      <c r="V438">
        <f>HYPERLINK("https://klasma.github.io/Logging_0862/klagomål/A 12722-2020 FSC-klagomål.docx", "A 12722-2020")</f>
        <v/>
      </c>
      <c r="W438">
        <f>HYPERLINK("https://klasma.github.io/Logging_0862/klagomålsmail/A 12722-2020 FSC-klagomål mail.docx", "A 12722-2020")</f>
        <v/>
      </c>
      <c r="X438">
        <f>HYPERLINK("https://klasma.github.io/Logging_0862/tillsyn/A 12722-2020 tillsynsbegäran.docx", "A 12722-2020")</f>
        <v/>
      </c>
      <c r="Y438">
        <f>HYPERLINK("https://klasma.github.io/Logging_0862/tillsynsmail/A 12722-2020 tillsynsbegäran mail.docx", "A 12722-2020")</f>
        <v/>
      </c>
    </row>
    <row r="439" ht="15" customHeight="1">
      <c r="A439" t="inlineStr">
        <is>
          <t>A 15700-2020</t>
        </is>
      </c>
      <c r="B439" s="1" t="n">
        <v>43915</v>
      </c>
      <c r="C439" s="1" t="n">
        <v>45715</v>
      </c>
      <c r="D439" t="inlineStr">
        <is>
          <t>KALMAR LÄN</t>
        </is>
      </c>
      <c r="E439" t="inlineStr">
        <is>
          <t>KALMAR</t>
        </is>
      </c>
      <c r="G439" t="n">
        <v>5.3</v>
      </c>
      <c r="H439" t="n">
        <v>2</v>
      </c>
      <c r="I439" t="n">
        <v>0</v>
      </c>
      <c r="J439" t="n">
        <v>0</v>
      </c>
      <c r="K439" t="n">
        <v>1</v>
      </c>
      <c r="L439" t="n">
        <v>0</v>
      </c>
      <c r="M439" t="n">
        <v>0</v>
      </c>
      <c r="N439" t="n">
        <v>0</v>
      </c>
      <c r="O439" t="n">
        <v>1</v>
      </c>
      <c r="P439" t="n">
        <v>1</v>
      </c>
      <c r="Q439" t="n">
        <v>2</v>
      </c>
      <c r="R439" s="2" t="inlineStr">
        <is>
          <t>Stare
Trädlärka</t>
        </is>
      </c>
      <c r="S439">
        <f>HYPERLINK("https://klasma.github.io/Logging_0880/artfynd/A 15700-2020 artfynd.xlsx", "A 15700-2020")</f>
        <v/>
      </c>
      <c r="T439">
        <f>HYPERLINK("https://klasma.github.io/Logging_0880/kartor/A 15700-2020 karta.png", "A 15700-2020")</f>
        <v/>
      </c>
      <c r="V439">
        <f>HYPERLINK("https://klasma.github.io/Logging_0880/klagomål/A 15700-2020 FSC-klagomål.docx", "A 15700-2020")</f>
        <v/>
      </c>
      <c r="W439">
        <f>HYPERLINK("https://klasma.github.io/Logging_0880/klagomålsmail/A 15700-2020 FSC-klagomål mail.docx", "A 15700-2020")</f>
        <v/>
      </c>
      <c r="X439">
        <f>HYPERLINK("https://klasma.github.io/Logging_0880/tillsyn/A 15700-2020 tillsynsbegäran.docx", "A 15700-2020")</f>
        <v/>
      </c>
      <c r="Y439">
        <f>HYPERLINK("https://klasma.github.io/Logging_0880/tillsynsmail/A 15700-2020 tillsynsbegäran mail.docx", "A 15700-2020")</f>
        <v/>
      </c>
      <c r="Z439">
        <f>HYPERLINK("https://klasma.github.io/Logging_0880/fåglar/A 15700-2020 prioriterade fågelarter.docx", "A 15700-2020")</f>
        <v/>
      </c>
    </row>
    <row r="440" ht="15" customHeight="1">
      <c r="A440" t="inlineStr">
        <is>
          <t>A 20970-2020</t>
        </is>
      </c>
      <c r="B440" s="1" t="n">
        <v>43950</v>
      </c>
      <c r="C440" s="1" t="n">
        <v>45715</v>
      </c>
      <c r="D440" t="inlineStr">
        <is>
          <t>KALMAR LÄN</t>
        </is>
      </c>
      <c r="E440" t="inlineStr">
        <is>
          <t>MÖNSTERÅS</t>
        </is>
      </c>
      <c r="F440" t="inlineStr">
        <is>
          <t>Kommuner</t>
        </is>
      </c>
      <c r="G440" t="n">
        <v>5.1</v>
      </c>
      <c r="H440" t="n">
        <v>0</v>
      </c>
      <c r="I440" t="n">
        <v>2</v>
      </c>
      <c r="J440" t="n">
        <v>0</v>
      </c>
      <c r="K440" t="n">
        <v>0</v>
      </c>
      <c r="L440" t="n">
        <v>0</v>
      </c>
      <c r="M440" t="n">
        <v>0</v>
      </c>
      <c r="N440" t="n">
        <v>0</v>
      </c>
      <c r="O440" t="n">
        <v>0</v>
      </c>
      <c r="P440" t="n">
        <v>0</v>
      </c>
      <c r="Q440" t="n">
        <v>2</v>
      </c>
      <c r="R440" s="2" t="inlineStr">
        <is>
          <t>Blåmossa
Grovticka</t>
        </is>
      </c>
      <c r="S440">
        <f>HYPERLINK("https://klasma.github.io/Logging_0861/artfynd/A 20970-2020 artfynd.xlsx", "A 20970-2020")</f>
        <v/>
      </c>
      <c r="T440">
        <f>HYPERLINK("https://klasma.github.io/Logging_0861/kartor/A 20970-2020 karta.png", "A 20970-2020")</f>
        <v/>
      </c>
      <c r="V440">
        <f>HYPERLINK("https://klasma.github.io/Logging_0861/klagomål/A 20970-2020 FSC-klagomål.docx", "A 20970-2020")</f>
        <v/>
      </c>
      <c r="W440">
        <f>HYPERLINK("https://klasma.github.io/Logging_0861/klagomålsmail/A 20970-2020 FSC-klagomål mail.docx", "A 20970-2020")</f>
        <v/>
      </c>
      <c r="X440">
        <f>HYPERLINK("https://klasma.github.io/Logging_0861/tillsyn/A 20970-2020 tillsynsbegäran.docx", "A 20970-2020")</f>
        <v/>
      </c>
      <c r="Y440">
        <f>HYPERLINK("https://klasma.github.io/Logging_0861/tillsynsmail/A 20970-2020 tillsynsbegäran mail.docx", "A 20970-2020")</f>
        <v/>
      </c>
    </row>
    <row r="441" ht="15" customHeight="1">
      <c r="A441" t="inlineStr">
        <is>
          <t>A 33362-2020</t>
        </is>
      </c>
      <c r="B441" s="1" t="n">
        <v>44021</v>
      </c>
      <c r="C441" s="1" t="n">
        <v>45715</v>
      </c>
      <c r="D441" t="inlineStr">
        <is>
          <t>KALMAR LÄN</t>
        </is>
      </c>
      <c r="E441" t="inlineStr">
        <is>
          <t>MÖNSTERÅS</t>
        </is>
      </c>
      <c r="G441" t="n">
        <v>2.6</v>
      </c>
      <c r="H441" t="n">
        <v>0</v>
      </c>
      <c r="I441" t="n">
        <v>0</v>
      </c>
      <c r="J441" t="n">
        <v>2</v>
      </c>
      <c r="K441" t="n">
        <v>0</v>
      </c>
      <c r="L441" t="n">
        <v>0</v>
      </c>
      <c r="M441" t="n">
        <v>0</v>
      </c>
      <c r="N441" t="n">
        <v>0</v>
      </c>
      <c r="O441" t="n">
        <v>2</v>
      </c>
      <c r="P441" t="n">
        <v>0</v>
      </c>
      <c r="Q441" t="n">
        <v>2</v>
      </c>
      <c r="R441" s="2" t="inlineStr">
        <is>
          <t>Ekgrenbock
Smalvingad blombock</t>
        </is>
      </c>
      <c r="S441">
        <f>HYPERLINK("https://klasma.github.io/Logging_0861/artfynd/A 33362-2020 artfynd.xlsx", "A 33362-2020")</f>
        <v/>
      </c>
      <c r="T441">
        <f>HYPERLINK("https://klasma.github.io/Logging_0861/kartor/A 33362-2020 karta.png", "A 33362-2020")</f>
        <v/>
      </c>
      <c r="V441">
        <f>HYPERLINK("https://klasma.github.io/Logging_0861/klagomål/A 33362-2020 FSC-klagomål.docx", "A 33362-2020")</f>
        <v/>
      </c>
      <c r="W441">
        <f>HYPERLINK("https://klasma.github.io/Logging_0861/klagomålsmail/A 33362-2020 FSC-klagomål mail.docx", "A 33362-2020")</f>
        <v/>
      </c>
      <c r="X441">
        <f>HYPERLINK("https://klasma.github.io/Logging_0861/tillsyn/A 33362-2020 tillsynsbegäran.docx", "A 33362-2020")</f>
        <v/>
      </c>
      <c r="Y441">
        <f>HYPERLINK("https://klasma.github.io/Logging_0861/tillsynsmail/A 33362-2020 tillsynsbegäran mail.docx", "A 33362-2020")</f>
        <v/>
      </c>
    </row>
    <row r="442" ht="15" customHeight="1">
      <c r="A442" t="inlineStr">
        <is>
          <t>A 38434-2020</t>
        </is>
      </c>
      <c r="B442" s="1" t="n">
        <v>44060</v>
      </c>
      <c r="C442" s="1" t="n">
        <v>45715</v>
      </c>
      <c r="D442" t="inlineStr">
        <is>
          <t>KALMAR LÄN</t>
        </is>
      </c>
      <c r="E442" t="inlineStr">
        <is>
          <t>HULTSFRED</t>
        </is>
      </c>
      <c r="G442" t="n">
        <v>2.3</v>
      </c>
      <c r="H442" t="n">
        <v>1</v>
      </c>
      <c r="I442" t="n">
        <v>1</v>
      </c>
      <c r="J442" t="n">
        <v>0</v>
      </c>
      <c r="K442" t="n">
        <v>0</v>
      </c>
      <c r="L442" t="n">
        <v>0</v>
      </c>
      <c r="M442" t="n">
        <v>0</v>
      </c>
      <c r="N442" t="n">
        <v>0</v>
      </c>
      <c r="O442" t="n">
        <v>0</v>
      </c>
      <c r="P442" t="n">
        <v>0</v>
      </c>
      <c r="Q442" t="n">
        <v>2</v>
      </c>
      <c r="R442" s="2" t="inlineStr">
        <is>
          <t>Sårläka
Blåsippa</t>
        </is>
      </c>
      <c r="S442">
        <f>HYPERLINK("https://klasma.github.io/Logging_0860/artfynd/A 38434-2020 artfynd.xlsx", "A 38434-2020")</f>
        <v/>
      </c>
      <c r="T442">
        <f>HYPERLINK("https://klasma.github.io/Logging_0860/kartor/A 38434-2020 karta.png", "A 38434-2020")</f>
        <v/>
      </c>
      <c r="V442">
        <f>HYPERLINK("https://klasma.github.io/Logging_0860/klagomål/A 38434-2020 FSC-klagomål.docx", "A 38434-2020")</f>
        <v/>
      </c>
      <c r="W442">
        <f>HYPERLINK("https://klasma.github.io/Logging_0860/klagomålsmail/A 38434-2020 FSC-klagomål mail.docx", "A 38434-2020")</f>
        <v/>
      </c>
      <c r="X442">
        <f>HYPERLINK("https://klasma.github.io/Logging_0860/tillsyn/A 38434-2020 tillsynsbegäran.docx", "A 38434-2020")</f>
        <v/>
      </c>
      <c r="Y442">
        <f>HYPERLINK("https://klasma.github.io/Logging_0860/tillsynsmail/A 38434-2020 tillsynsbegäran mail.docx", "A 38434-2020")</f>
        <v/>
      </c>
    </row>
    <row r="443" ht="15" customHeight="1">
      <c r="A443" t="inlineStr">
        <is>
          <t>A 43921-2020</t>
        </is>
      </c>
      <c r="B443" s="1" t="n">
        <v>44083</v>
      </c>
      <c r="C443" s="1" t="n">
        <v>45715</v>
      </c>
      <c r="D443" t="inlineStr">
        <is>
          <t>KALMAR LÄN</t>
        </is>
      </c>
      <c r="E443" t="inlineStr">
        <is>
          <t>HULTSFRED</t>
        </is>
      </c>
      <c r="G443" t="n">
        <v>0.7</v>
      </c>
      <c r="H443" t="n">
        <v>1</v>
      </c>
      <c r="I443" t="n">
        <v>0</v>
      </c>
      <c r="J443" t="n">
        <v>0</v>
      </c>
      <c r="K443" t="n">
        <v>0</v>
      </c>
      <c r="L443" t="n">
        <v>1</v>
      </c>
      <c r="M443" t="n">
        <v>0</v>
      </c>
      <c r="N443" t="n">
        <v>0</v>
      </c>
      <c r="O443" t="n">
        <v>1</v>
      </c>
      <c r="P443" t="n">
        <v>1</v>
      </c>
      <c r="Q443" t="n">
        <v>2</v>
      </c>
      <c r="R443" s="2" t="inlineStr">
        <is>
          <t>Ask
Blåsippa</t>
        </is>
      </c>
      <c r="S443">
        <f>HYPERLINK("https://klasma.github.io/Logging_0860/artfynd/A 43921-2020 artfynd.xlsx", "A 43921-2020")</f>
        <v/>
      </c>
      <c r="T443">
        <f>HYPERLINK("https://klasma.github.io/Logging_0860/kartor/A 43921-2020 karta.png", "A 43921-2020")</f>
        <v/>
      </c>
      <c r="V443">
        <f>HYPERLINK("https://klasma.github.io/Logging_0860/klagomål/A 43921-2020 FSC-klagomål.docx", "A 43921-2020")</f>
        <v/>
      </c>
      <c r="W443">
        <f>HYPERLINK("https://klasma.github.io/Logging_0860/klagomålsmail/A 43921-2020 FSC-klagomål mail.docx", "A 43921-2020")</f>
        <v/>
      </c>
      <c r="X443">
        <f>HYPERLINK("https://klasma.github.io/Logging_0860/tillsyn/A 43921-2020 tillsynsbegäran.docx", "A 43921-2020")</f>
        <v/>
      </c>
      <c r="Y443">
        <f>HYPERLINK("https://klasma.github.io/Logging_0860/tillsynsmail/A 43921-2020 tillsynsbegäran mail.docx", "A 43921-2020")</f>
        <v/>
      </c>
    </row>
    <row r="444" ht="15" customHeight="1">
      <c r="A444" t="inlineStr">
        <is>
          <t>A 47493-2020</t>
        </is>
      </c>
      <c r="B444" s="1" t="n">
        <v>44098</v>
      </c>
      <c r="C444" s="1" t="n">
        <v>45715</v>
      </c>
      <c r="D444" t="inlineStr">
        <is>
          <t>KALMAR LÄN</t>
        </is>
      </c>
      <c r="E444" t="inlineStr">
        <is>
          <t>HULTSFRED</t>
        </is>
      </c>
      <c r="G444" t="n">
        <v>1.3</v>
      </c>
      <c r="H444" t="n">
        <v>2</v>
      </c>
      <c r="I444" t="n">
        <v>1</v>
      </c>
      <c r="J444" t="n">
        <v>0</v>
      </c>
      <c r="K444" t="n">
        <v>1</v>
      </c>
      <c r="L444" t="n">
        <v>0</v>
      </c>
      <c r="M444" t="n">
        <v>0</v>
      </c>
      <c r="N444" t="n">
        <v>0</v>
      </c>
      <c r="O444" t="n">
        <v>1</v>
      </c>
      <c r="P444" t="n">
        <v>1</v>
      </c>
      <c r="Q444" t="n">
        <v>2</v>
      </c>
      <c r="R444" s="2" t="inlineStr">
        <is>
          <t>Knärot
Plattlummer</t>
        </is>
      </c>
      <c r="S444">
        <f>HYPERLINK("https://klasma.github.io/Logging_0860/artfynd/A 47493-2020 artfynd.xlsx", "A 47493-2020")</f>
        <v/>
      </c>
      <c r="T444">
        <f>HYPERLINK("https://klasma.github.io/Logging_0860/kartor/A 47493-2020 karta.png", "A 47493-2020")</f>
        <v/>
      </c>
      <c r="U444">
        <f>HYPERLINK("https://klasma.github.io/Logging_0860/knärot/A 47493-2020 karta knärot.png", "A 47493-2020")</f>
        <v/>
      </c>
      <c r="V444">
        <f>HYPERLINK("https://klasma.github.io/Logging_0860/klagomål/A 47493-2020 FSC-klagomål.docx", "A 47493-2020")</f>
        <v/>
      </c>
      <c r="W444">
        <f>HYPERLINK("https://klasma.github.io/Logging_0860/klagomålsmail/A 47493-2020 FSC-klagomål mail.docx", "A 47493-2020")</f>
        <v/>
      </c>
      <c r="X444">
        <f>HYPERLINK("https://klasma.github.io/Logging_0860/tillsyn/A 47493-2020 tillsynsbegäran.docx", "A 47493-2020")</f>
        <v/>
      </c>
      <c r="Y444">
        <f>HYPERLINK("https://klasma.github.io/Logging_0860/tillsynsmail/A 47493-2020 tillsynsbegäran mail.docx", "A 47493-2020")</f>
        <v/>
      </c>
    </row>
    <row r="445" ht="15" customHeight="1">
      <c r="A445" t="inlineStr">
        <is>
          <t>A 53115-2020</t>
        </is>
      </c>
      <c r="B445" s="1" t="n">
        <v>44120</v>
      </c>
      <c r="C445" s="1" t="n">
        <v>45715</v>
      </c>
      <c r="D445" t="inlineStr">
        <is>
          <t>KALMAR LÄN</t>
        </is>
      </c>
      <c r="E445" t="inlineStr">
        <is>
          <t>NYBRO</t>
        </is>
      </c>
      <c r="G445" t="n">
        <v>6.2</v>
      </c>
      <c r="H445" t="n">
        <v>1</v>
      </c>
      <c r="I445" t="n">
        <v>1</v>
      </c>
      <c r="J445" t="n">
        <v>1</v>
      </c>
      <c r="K445" t="n">
        <v>0</v>
      </c>
      <c r="L445" t="n">
        <v>0</v>
      </c>
      <c r="M445" t="n">
        <v>0</v>
      </c>
      <c r="N445" t="n">
        <v>0</v>
      </c>
      <c r="O445" t="n">
        <v>1</v>
      </c>
      <c r="P445" t="n">
        <v>0</v>
      </c>
      <c r="Q445" t="n">
        <v>2</v>
      </c>
      <c r="R445" s="2" t="inlineStr">
        <is>
          <t>Granticka
Grön sköldmossa</t>
        </is>
      </c>
      <c r="S445">
        <f>HYPERLINK("https://klasma.github.io/Logging_0881/artfynd/A 53115-2020 artfynd.xlsx", "A 53115-2020")</f>
        <v/>
      </c>
      <c r="T445">
        <f>HYPERLINK("https://klasma.github.io/Logging_0881/kartor/A 53115-2020 karta.png", "A 53115-2020")</f>
        <v/>
      </c>
      <c r="V445">
        <f>HYPERLINK("https://klasma.github.io/Logging_0881/klagomål/A 53115-2020 FSC-klagomål.docx", "A 53115-2020")</f>
        <v/>
      </c>
      <c r="W445">
        <f>HYPERLINK("https://klasma.github.io/Logging_0881/klagomålsmail/A 53115-2020 FSC-klagomål mail.docx", "A 53115-2020")</f>
        <v/>
      </c>
      <c r="X445">
        <f>HYPERLINK("https://klasma.github.io/Logging_0881/tillsyn/A 53115-2020 tillsynsbegäran.docx", "A 53115-2020")</f>
        <v/>
      </c>
      <c r="Y445">
        <f>HYPERLINK("https://klasma.github.io/Logging_0881/tillsynsmail/A 53115-2020 tillsynsbegäran mail.docx", "A 53115-2020")</f>
        <v/>
      </c>
    </row>
    <row r="446" ht="15" customHeight="1">
      <c r="A446" t="inlineStr">
        <is>
          <t>A 56180-2020</t>
        </is>
      </c>
      <c r="B446" s="1" t="n">
        <v>44133</v>
      </c>
      <c r="C446" s="1" t="n">
        <v>45715</v>
      </c>
      <c r="D446" t="inlineStr">
        <is>
          <t>KALMAR LÄN</t>
        </is>
      </c>
      <c r="E446" t="inlineStr">
        <is>
          <t>VÄSTERVIK</t>
        </is>
      </c>
      <c r="G446" t="n">
        <v>9.199999999999999</v>
      </c>
      <c r="H446" t="n">
        <v>2</v>
      </c>
      <c r="I446" t="n">
        <v>0</v>
      </c>
      <c r="J446" t="n">
        <v>0</v>
      </c>
      <c r="K446" t="n">
        <v>1</v>
      </c>
      <c r="L446" t="n">
        <v>0</v>
      </c>
      <c r="M446" t="n">
        <v>0</v>
      </c>
      <c r="N446" t="n">
        <v>0</v>
      </c>
      <c r="O446" t="n">
        <v>1</v>
      </c>
      <c r="P446" t="n">
        <v>1</v>
      </c>
      <c r="Q446" t="n">
        <v>2</v>
      </c>
      <c r="R446" s="2" t="inlineStr">
        <is>
          <t>Hasselsnok
Mattlummer</t>
        </is>
      </c>
      <c r="S446">
        <f>HYPERLINK("https://klasma.github.io/Logging_0883/artfynd/A 56180-2020 artfynd.xlsx", "A 56180-2020")</f>
        <v/>
      </c>
      <c r="T446">
        <f>HYPERLINK("https://klasma.github.io/Logging_0883/kartor/A 56180-2020 karta.png", "A 56180-2020")</f>
        <v/>
      </c>
      <c r="V446">
        <f>HYPERLINK("https://klasma.github.io/Logging_0883/klagomål/A 56180-2020 FSC-klagomål.docx", "A 56180-2020")</f>
        <v/>
      </c>
      <c r="W446">
        <f>HYPERLINK("https://klasma.github.io/Logging_0883/klagomålsmail/A 56180-2020 FSC-klagomål mail.docx", "A 56180-2020")</f>
        <v/>
      </c>
      <c r="X446">
        <f>HYPERLINK("https://klasma.github.io/Logging_0883/tillsyn/A 56180-2020 tillsynsbegäran.docx", "A 56180-2020")</f>
        <v/>
      </c>
      <c r="Y446">
        <f>HYPERLINK("https://klasma.github.io/Logging_0883/tillsynsmail/A 56180-2020 tillsynsbegäran mail.docx", "A 56180-2020")</f>
        <v/>
      </c>
    </row>
    <row r="447" ht="15" customHeight="1">
      <c r="A447" t="inlineStr">
        <is>
          <t>A 58410-2020</t>
        </is>
      </c>
      <c r="B447" s="1" t="n">
        <v>44145</v>
      </c>
      <c r="C447" s="1" t="n">
        <v>45715</v>
      </c>
      <c r="D447" t="inlineStr">
        <is>
          <t>KALMAR LÄN</t>
        </is>
      </c>
      <c r="E447" t="inlineStr">
        <is>
          <t>NYBRO</t>
        </is>
      </c>
      <c r="G447" t="n">
        <v>4.5</v>
      </c>
      <c r="H447" t="n">
        <v>0</v>
      </c>
      <c r="I447" t="n">
        <v>2</v>
      </c>
      <c r="J447" t="n">
        <v>0</v>
      </c>
      <c r="K447" t="n">
        <v>0</v>
      </c>
      <c r="L447" t="n">
        <v>0</v>
      </c>
      <c r="M447" t="n">
        <v>0</v>
      </c>
      <c r="N447" t="n">
        <v>0</v>
      </c>
      <c r="O447" t="n">
        <v>0</v>
      </c>
      <c r="P447" t="n">
        <v>0</v>
      </c>
      <c r="Q447" t="n">
        <v>2</v>
      </c>
      <c r="R447" s="2" t="inlineStr">
        <is>
          <t>Fjällig taggsvamp s.str.
Tjockfotad fingersvamp</t>
        </is>
      </c>
      <c r="S447">
        <f>HYPERLINK("https://klasma.github.io/Logging_0881/artfynd/A 58410-2020 artfynd.xlsx", "A 58410-2020")</f>
        <v/>
      </c>
      <c r="T447">
        <f>HYPERLINK("https://klasma.github.io/Logging_0881/kartor/A 58410-2020 karta.png", "A 58410-2020")</f>
        <v/>
      </c>
      <c r="V447">
        <f>HYPERLINK("https://klasma.github.io/Logging_0881/klagomål/A 58410-2020 FSC-klagomål.docx", "A 58410-2020")</f>
        <v/>
      </c>
      <c r="W447">
        <f>HYPERLINK("https://klasma.github.io/Logging_0881/klagomålsmail/A 58410-2020 FSC-klagomål mail.docx", "A 58410-2020")</f>
        <v/>
      </c>
      <c r="X447">
        <f>HYPERLINK("https://klasma.github.io/Logging_0881/tillsyn/A 58410-2020 tillsynsbegäran.docx", "A 58410-2020")</f>
        <v/>
      </c>
      <c r="Y447">
        <f>HYPERLINK("https://klasma.github.io/Logging_0881/tillsynsmail/A 58410-2020 tillsynsbegäran mail.docx", "A 58410-2020")</f>
        <v/>
      </c>
    </row>
    <row r="448" ht="15" customHeight="1">
      <c r="A448" t="inlineStr">
        <is>
          <t>A 62745-2020</t>
        </is>
      </c>
      <c r="B448" s="1" t="n">
        <v>44161</v>
      </c>
      <c r="C448" s="1" t="n">
        <v>45715</v>
      </c>
      <c r="D448" t="inlineStr">
        <is>
          <t>KALMAR LÄN</t>
        </is>
      </c>
      <c r="E448" t="inlineStr">
        <is>
          <t>OSKARSHAMN</t>
        </is>
      </c>
      <c r="G448" t="n">
        <v>3.3</v>
      </c>
      <c r="H448" t="n">
        <v>1</v>
      </c>
      <c r="I448" t="n">
        <v>0</v>
      </c>
      <c r="J448" t="n">
        <v>1</v>
      </c>
      <c r="K448" t="n">
        <v>0</v>
      </c>
      <c r="L448" t="n">
        <v>1</v>
      </c>
      <c r="M448" t="n">
        <v>0</v>
      </c>
      <c r="N448" t="n">
        <v>0</v>
      </c>
      <c r="O448" t="n">
        <v>2</v>
      </c>
      <c r="P448" t="n">
        <v>1</v>
      </c>
      <c r="Q448" t="n">
        <v>2</v>
      </c>
      <c r="R448" s="2" t="inlineStr">
        <is>
          <t>Tornseglare
Klubbsprötad bastardsvärmare</t>
        </is>
      </c>
      <c r="S448">
        <f>HYPERLINK("https://klasma.github.io/Logging_0882/artfynd/A 62745-2020 artfynd.xlsx", "A 62745-2020")</f>
        <v/>
      </c>
      <c r="T448">
        <f>HYPERLINK("https://klasma.github.io/Logging_0882/kartor/A 62745-2020 karta.png", "A 62745-2020")</f>
        <v/>
      </c>
      <c r="V448">
        <f>HYPERLINK("https://klasma.github.io/Logging_0882/klagomål/A 62745-2020 FSC-klagomål.docx", "A 62745-2020")</f>
        <v/>
      </c>
      <c r="W448">
        <f>HYPERLINK("https://klasma.github.io/Logging_0882/klagomålsmail/A 62745-2020 FSC-klagomål mail.docx", "A 62745-2020")</f>
        <v/>
      </c>
      <c r="X448">
        <f>HYPERLINK("https://klasma.github.io/Logging_0882/tillsyn/A 62745-2020 tillsynsbegäran.docx", "A 62745-2020")</f>
        <v/>
      </c>
      <c r="Y448">
        <f>HYPERLINK("https://klasma.github.io/Logging_0882/tillsynsmail/A 62745-2020 tillsynsbegäran mail.docx", "A 62745-2020")</f>
        <v/>
      </c>
      <c r="Z448">
        <f>HYPERLINK("https://klasma.github.io/Logging_0882/fåglar/A 62745-2020 prioriterade fågelarter.docx", "A 62745-2020")</f>
        <v/>
      </c>
    </row>
    <row r="449" ht="15" customHeight="1">
      <c r="A449" t="inlineStr">
        <is>
          <t>A 1068-2021</t>
        </is>
      </c>
      <c r="B449" s="1" t="n">
        <v>44207</v>
      </c>
      <c r="C449" s="1" t="n">
        <v>45715</v>
      </c>
      <c r="D449" t="inlineStr">
        <is>
          <t>KALMAR LÄN</t>
        </is>
      </c>
      <c r="E449" t="inlineStr">
        <is>
          <t>TORSÅS</t>
        </is>
      </c>
      <c r="G449" t="n">
        <v>5</v>
      </c>
      <c r="H449" t="n">
        <v>1</v>
      </c>
      <c r="I449" t="n">
        <v>1</v>
      </c>
      <c r="J449" t="n">
        <v>0</v>
      </c>
      <c r="K449" t="n">
        <v>0</v>
      </c>
      <c r="L449" t="n">
        <v>0</v>
      </c>
      <c r="M449" t="n">
        <v>0</v>
      </c>
      <c r="N449" t="n">
        <v>0</v>
      </c>
      <c r="O449" t="n">
        <v>0</v>
      </c>
      <c r="P449" t="n">
        <v>0</v>
      </c>
      <c r="Q449" t="n">
        <v>2</v>
      </c>
      <c r="R449" s="2" t="inlineStr">
        <is>
          <t>Grönpyrola
Mattlummer</t>
        </is>
      </c>
      <c r="S449">
        <f>HYPERLINK("https://klasma.github.io/Logging_0834/artfynd/A 1068-2021 artfynd.xlsx", "A 1068-2021")</f>
        <v/>
      </c>
      <c r="T449">
        <f>HYPERLINK("https://klasma.github.io/Logging_0834/kartor/A 1068-2021 karta.png", "A 1068-2021")</f>
        <v/>
      </c>
      <c r="V449">
        <f>HYPERLINK("https://klasma.github.io/Logging_0834/klagomål/A 1068-2021 FSC-klagomål.docx", "A 1068-2021")</f>
        <v/>
      </c>
      <c r="W449">
        <f>HYPERLINK("https://klasma.github.io/Logging_0834/klagomålsmail/A 1068-2021 FSC-klagomål mail.docx", "A 1068-2021")</f>
        <v/>
      </c>
      <c r="X449">
        <f>HYPERLINK("https://klasma.github.io/Logging_0834/tillsyn/A 1068-2021 tillsynsbegäran.docx", "A 1068-2021")</f>
        <v/>
      </c>
      <c r="Y449">
        <f>HYPERLINK("https://klasma.github.io/Logging_0834/tillsynsmail/A 1068-2021 tillsynsbegäran mail.docx", "A 1068-2021")</f>
        <v/>
      </c>
    </row>
    <row r="450" ht="15" customHeight="1">
      <c r="A450" t="inlineStr">
        <is>
          <t>A 1955-2021</t>
        </is>
      </c>
      <c r="B450" s="1" t="n">
        <v>44210</v>
      </c>
      <c r="C450" s="1" t="n">
        <v>45715</v>
      </c>
      <c r="D450" t="inlineStr">
        <is>
          <t>KALMAR LÄN</t>
        </is>
      </c>
      <c r="E450" t="inlineStr">
        <is>
          <t>VÄSTERVIK</t>
        </is>
      </c>
      <c r="G450" t="n">
        <v>5.3</v>
      </c>
      <c r="H450" t="n">
        <v>2</v>
      </c>
      <c r="I450" t="n">
        <v>0</v>
      </c>
      <c r="J450" t="n">
        <v>2</v>
      </c>
      <c r="K450" t="n">
        <v>0</v>
      </c>
      <c r="L450" t="n">
        <v>0</v>
      </c>
      <c r="M450" t="n">
        <v>0</v>
      </c>
      <c r="N450" t="n">
        <v>0</v>
      </c>
      <c r="O450" t="n">
        <v>2</v>
      </c>
      <c r="P450" t="n">
        <v>0</v>
      </c>
      <c r="Q450" t="n">
        <v>2</v>
      </c>
      <c r="R450" s="2" t="inlineStr">
        <is>
          <t>Spillkråka
Talltita</t>
        </is>
      </c>
      <c r="S450">
        <f>HYPERLINK("https://klasma.github.io/Logging_0883/artfynd/A 1955-2021 artfynd.xlsx", "A 1955-2021")</f>
        <v/>
      </c>
      <c r="T450">
        <f>HYPERLINK("https://klasma.github.io/Logging_0883/kartor/A 1955-2021 karta.png", "A 1955-2021")</f>
        <v/>
      </c>
      <c r="V450">
        <f>HYPERLINK("https://klasma.github.io/Logging_0883/klagomål/A 1955-2021 FSC-klagomål.docx", "A 1955-2021")</f>
        <v/>
      </c>
      <c r="W450">
        <f>HYPERLINK("https://klasma.github.io/Logging_0883/klagomålsmail/A 1955-2021 FSC-klagomål mail.docx", "A 1955-2021")</f>
        <v/>
      </c>
      <c r="X450">
        <f>HYPERLINK("https://klasma.github.io/Logging_0883/tillsyn/A 1955-2021 tillsynsbegäran.docx", "A 1955-2021")</f>
        <v/>
      </c>
      <c r="Y450">
        <f>HYPERLINK("https://klasma.github.io/Logging_0883/tillsynsmail/A 1955-2021 tillsynsbegäran mail.docx", "A 1955-2021")</f>
        <v/>
      </c>
      <c r="Z450">
        <f>HYPERLINK("https://klasma.github.io/Logging_0883/fåglar/A 1955-2021 prioriterade fågelarter.docx", "A 1955-2021")</f>
        <v/>
      </c>
    </row>
    <row r="451" ht="15" customHeight="1">
      <c r="A451" t="inlineStr">
        <is>
          <t>A 2921-2021</t>
        </is>
      </c>
      <c r="B451" s="1" t="n">
        <v>44216</v>
      </c>
      <c r="C451" s="1" t="n">
        <v>45715</v>
      </c>
      <c r="D451" t="inlineStr">
        <is>
          <t>KALMAR LÄN</t>
        </is>
      </c>
      <c r="E451" t="inlineStr">
        <is>
          <t>TORSÅS</t>
        </is>
      </c>
      <c r="G451" t="n">
        <v>2.7</v>
      </c>
      <c r="H451" t="n">
        <v>2</v>
      </c>
      <c r="I451" t="n">
        <v>0</v>
      </c>
      <c r="J451" t="n">
        <v>1</v>
      </c>
      <c r="K451" t="n">
        <v>0</v>
      </c>
      <c r="L451" t="n">
        <v>0</v>
      </c>
      <c r="M451" t="n">
        <v>0</v>
      </c>
      <c r="N451" t="n">
        <v>0</v>
      </c>
      <c r="O451" t="n">
        <v>1</v>
      </c>
      <c r="P451" t="n">
        <v>0</v>
      </c>
      <c r="Q451" t="n">
        <v>2</v>
      </c>
      <c r="R451" s="2" t="inlineStr">
        <is>
          <t>Nordfladdermus
Gråskimlig fladdermus</t>
        </is>
      </c>
      <c r="S451">
        <f>HYPERLINK("https://klasma.github.io/Logging_0834/artfynd/A 2921-2021 artfynd.xlsx", "A 2921-2021")</f>
        <v/>
      </c>
      <c r="T451">
        <f>HYPERLINK("https://klasma.github.io/Logging_0834/kartor/A 2921-2021 karta.png", "A 2921-2021")</f>
        <v/>
      </c>
      <c r="V451">
        <f>HYPERLINK("https://klasma.github.io/Logging_0834/klagomål/A 2921-2021 FSC-klagomål.docx", "A 2921-2021")</f>
        <v/>
      </c>
      <c r="W451">
        <f>HYPERLINK("https://klasma.github.io/Logging_0834/klagomålsmail/A 2921-2021 FSC-klagomål mail.docx", "A 2921-2021")</f>
        <v/>
      </c>
      <c r="X451">
        <f>HYPERLINK("https://klasma.github.io/Logging_0834/tillsyn/A 2921-2021 tillsynsbegäran.docx", "A 2921-2021")</f>
        <v/>
      </c>
      <c r="Y451">
        <f>HYPERLINK("https://klasma.github.io/Logging_0834/tillsynsmail/A 2921-2021 tillsynsbegäran mail.docx", "A 2921-2021")</f>
        <v/>
      </c>
    </row>
    <row r="452" ht="15" customHeight="1">
      <c r="A452" t="inlineStr">
        <is>
          <t>A 3975-2021</t>
        </is>
      </c>
      <c r="B452" s="1" t="n">
        <v>44222</v>
      </c>
      <c r="C452" s="1" t="n">
        <v>45715</v>
      </c>
      <c r="D452" t="inlineStr">
        <is>
          <t>KALMAR LÄN</t>
        </is>
      </c>
      <c r="E452" t="inlineStr">
        <is>
          <t>MÖRBYLÅNGA</t>
        </is>
      </c>
      <c r="G452" t="n">
        <v>6</v>
      </c>
      <c r="H452" t="n">
        <v>0</v>
      </c>
      <c r="I452" t="n">
        <v>1</v>
      </c>
      <c r="J452" t="n">
        <v>0</v>
      </c>
      <c r="K452" t="n">
        <v>0</v>
      </c>
      <c r="L452" t="n">
        <v>0</v>
      </c>
      <c r="M452" t="n">
        <v>1</v>
      </c>
      <c r="N452" t="n">
        <v>0</v>
      </c>
      <c r="O452" t="n">
        <v>1</v>
      </c>
      <c r="P452" t="n">
        <v>1</v>
      </c>
      <c r="Q452" t="n">
        <v>2</v>
      </c>
      <c r="R452" s="2" t="inlineStr">
        <is>
          <t>Järnek
Sårläka</t>
        </is>
      </c>
      <c r="S452">
        <f>HYPERLINK("https://klasma.github.io/Logging_0840/artfynd/A 3975-2021 artfynd.xlsx", "A 3975-2021")</f>
        <v/>
      </c>
      <c r="T452">
        <f>HYPERLINK("https://klasma.github.io/Logging_0840/kartor/A 3975-2021 karta.png", "A 3975-2021")</f>
        <v/>
      </c>
      <c r="V452">
        <f>HYPERLINK("https://klasma.github.io/Logging_0840/klagomål/A 3975-2021 FSC-klagomål.docx", "A 3975-2021")</f>
        <v/>
      </c>
      <c r="W452">
        <f>HYPERLINK("https://klasma.github.io/Logging_0840/klagomålsmail/A 3975-2021 FSC-klagomål mail.docx", "A 3975-2021")</f>
        <v/>
      </c>
      <c r="X452">
        <f>HYPERLINK("https://klasma.github.io/Logging_0840/tillsyn/A 3975-2021 tillsynsbegäran.docx", "A 3975-2021")</f>
        <v/>
      </c>
      <c r="Y452">
        <f>HYPERLINK("https://klasma.github.io/Logging_0840/tillsynsmail/A 3975-2021 tillsynsbegäran mail.docx", "A 3975-2021")</f>
        <v/>
      </c>
    </row>
    <row r="453" ht="15" customHeight="1">
      <c r="A453" t="inlineStr">
        <is>
          <t>A 6384-2021</t>
        </is>
      </c>
      <c r="B453" s="1" t="n">
        <v>44235</v>
      </c>
      <c r="C453" s="1" t="n">
        <v>45715</v>
      </c>
      <c r="D453" t="inlineStr">
        <is>
          <t>KALMAR LÄN</t>
        </is>
      </c>
      <c r="E453" t="inlineStr">
        <is>
          <t>HULTSFRED</t>
        </is>
      </c>
      <c r="G453" t="n">
        <v>10.8</v>
      </c>
      <c r="H453" t="n">
        <v>2</v>
      </c>
      <c r="I453" t="n">
        <v>0</v>
      </c>
      <c r="J453" t="n">
        <v>1</v>
      </c>
      <c r="K453" t="n">
        <v>0</v>
      </c>
      <c r="L453" t="n">
        <v>0</v>
      </c>
      <c r="M453" t="n">
        <v>0</v>
      </c>
      <c r="N453" t="n">
        <v>0</v>
      </c>
      <c r="O453" t="n">
        <v>1</v>
      </c>
      <c r="P453" t="n">
        <v>0</v>
      </c>
      <c r="Q453" t="n">
        <v>2</v>
      </c>
      <c r="R453" s="2" t="inlineStr">
        <is>
          <t>Spillkråka
Vanlig padda</t>
        </is>
      </c>
      <c r="S453">
        <f>HYPERLINK("https://klasma.github.io/Logging_0860/artfynd/A 6384-2021 artfynd.xlsx", "A 6384-2021")</f>
        <v/>
      </c>
      <c r="T453">
        <f>HYPERLINK("https://klasma.github.io/Logging_0860/kartor/A 6384-2021 karta.png", "A 6384-2021")</f>
        <v/>
      </c>
      <c r="V453">
        <f>HYPERLINK("https://klasma.github.io/Logging_0860/klagomål/A 6384-2021 FSC-klagomål.docx", "A 6384-2021")</f>
        <v/>
      </c>
      <c r="W453">
        <f>HYPERLINK("https://klasma.github.io/Logging_0860/klagomålsmail/A 6384-2021 FSC-klagomål mail.docx", "A 6384-2021")</f>
        <v/>
      </c>
      <c r="X453">
        <f>HYPERLINK("https://klasma.github.io/Logging_0860/tillsyn/A 6384-2021 tillsynsbegäran.docx", "A 6384-2021")</f>
        <v/>
      </c>
      <c r="Y453">
        <f>HYPERLINK("https://klasma.github.io/Logging_0860/tillsynsmail/A 6384-2021 tillsynsbegäran mail.docx", "A 6384-2021")</f>
        <v/>
      </c>
      <c r="Z453">
        <f>HYPERLINK("https://klasma.github.io/Logging_0860/fåglar/A 6384-2021 prioriterade fågelarter.docx", "A 6384-2021")</f>
        <v/>
      </c>
    </row>
    <row r="454" ht="15" customHeight="1">
      <c r="A454" t="inlineStr">
        <is>
          <t>A 6396-2021</t>
        </is>
      </c>
      <c r="B454" s="1" t="n">
        <v>44235</v>
      </c>
      <c r="C454" s="1" t="n">
        <v>45715</v>
      </c>
      <c r="D454" t="inlineStr">
        <is>
          <t>KALMAR LÄN</t>
        </is>
      </c>
      <c r="E454" t="inlineStr">
        <is>
          <t>HULTSFRED</t>
        </is>
      </c>
      <c r="G454" t="n">
        <v>0.6</v>
      </c>
      <c r="H454" t="n">
        <v>2</v>
      </c>
      <c r="I454" t="n">
        <v>0</v>
      </c>
      <c r="J454" t="n">
        <v>1</v>
      </c>
      <c r="K454" t="n">
        <v>0</v>
      </c>
      <c r="L454" t="n">
        <v>0</v>
      </c>
      <c r="M454" t="n">
        <v>0</v>
      </c>
      <c r="N454" t="n">
        <v>0</v>
      </c>
      <c r="O454" t="n">
        <v>1</v>
      </c>
      <c r="P454" t="n">
        <v>0</v>
      </c>
      <c r="Q454" t="n">
        <v>2</v>
      </c>
      <c r="R454" s="2" t="inlineStr">
        <is>
          <t>Spillkråka
Revlummer</t>
        </is>
      </c>
      <c r="S454">
        <f>HYPERLINK("https://klasma.github.io/Logging_0860/artfynd/A 6396-2021 artfynd.xlsx", "A 6396-2021")</f>
        <v/>
      </c>
      <c r="T454">
        <f>HYPERLINK("https://klasma.github.io/Logging_0860/kartor/A 6396-2021 karta.png", "A 6396-2021")</f>
        <v/>
      </c>
      <c r="V454">
        <f>HYPERLINK("https://klasma.github.io/Logging_0860/klagomål/A 6396-2021 FSC-klagomål.docx", "A 6396-2021")</f>
        <v/>
      </c>
      <c r="W454">
        <f>HYPERLINK("https://klasma.github.io/Logging_0860/klagomålsmail/A 6396-2021 FSC-klagomål mail.docx", "A 6396-2021")</f>
        <v/>
      </c>
      <c r="X454">
        <f>HYPERLINK("https://klasma.github.io/Logging_0860/tillsyn/A 6396-2021 tillsynsbegäran.docx", "A 6396-2021")</f>
        <v/>
      </c>
      <c r="Y454">
        <f>HYPERLINK("https://klasma.github.io/Logging_0860/tillsynsmail/A 6396-2021 tillsynsbegäran mail.docx", "A 6396-2021")</f>
        <v/>
      </c>
      <c r="Z454">
        <f>HYPERLINK("https://klasma.github.io/Logging_0860/fåglar/A 6396-2021 prioriterade fågelarter.docx", "A 6396-2021")</f>
        <v/>
      </c>
    </row>
    <row r="455" ht="15" customHeight="1">
      <c r="A455" t="inlineStr">
        <is>
          <t>A 11903-2021</t>
        </is>
      </c>
      <c r="B455" s="1" t="n">
        <v>44265</v>
      </c>
      <c r="C455" s="1" t="n">
        <v>45715</v>
      </c>
      <c r="D455" t="inlineStr">
        <is>
          <t>KALMAR LÄN</t>
        </is>
      </c>
      <c r="E455" t="inlineStr">
        <is>
          <t>MÖNSTERÅS</t>
        </is>
      </c>
      <c r="G455" t="n">
        <v>6.5</v>
      </c>
      <c r="H455" t="n">
        <v>2</v>
      </c>
      <c r="I455" t="n">
        <v>0</v>
      </c>
      <c r="J455" t="n">
        <v>0</v>
      </c>
      <c r="K455" t="n">
        <v>2</v>
      </c>
      <c r="L455" t="n">
        <v>0</v>
      </c>
      <c r="M455" t="n">
        <v>0</v>
      </c>
      <c r="N455" t="n">
        <v>0</v>
      </c>
      <c r="O455" t="n">
        <v>2</v>
      </c>
      <c r="P455" t="n">
        <v>2</v>
      </c>
      <c r="Q455" t="n">
        <v>2</v>
      </c>
      <c r="R455" s="2" t="inlineStr">
        <is>
          <t>Kricka
Småfläckig sumphöna</t>
        </is>
      </c>
      <c r="S455">
        <f>HYPERLINK("https://klasma.github.io/Logging_0861/artfynd/A 11903-2021 artfynd.xlsx", "A 11903-2021")</f>
        <v/>
      </c>
      <c r="T455">
        <f>HYPERLINK("https://klasma.github.io/Logging_0861/kartor/A 11903-2021 karta.png", "A 11903-2021")</f>
        <v/>
      </c>
      <c r="V455">
        <f>HYPERLINK("https://klasma.github.io/Logging_0861/klagomål/A 11903-2021 FSC-klagomål.docx", "A 11903-2021")</f>
        <v/>
      </c>
      <c r="W455">
        <f>HYPERLINK("https://klasma.github.io/Logging_0861/klagomålsmail/A 11903-2021 FSC-klagomål mail.docx", "A 11903-2021")</f>
        <v/>
      </c>
      <c r="X455">
        <f>HYPERLINK("https://klasma.github.io/Logging_0861/tillsyn/A 11903-2021 tillsynsbegäran.docx", "A 11903-2021")</f>
        <v/>
      </c>
      <c r="Y455">
        <f>HYPERLINK("https://klasma.github.io/Logging_0861/tillsynsmail/A 11903-2021 tillsynsbegäran mail.docx", "A 11903-2021")</f>
        <v/>
      </c>
      <c r="Z455">
        <f>HYPERLINK("https://klasma.github.io/Logging_0861/fåglar/A 11903-2021 prioriterade fågelarter.docx", "A 11903-2021")</f>
        <v/>
      </c>
    </row>
    <row r="456" ht="15" customHeight="1">
      <c r="A456" t="inlineStr">
        <is>
          <t>A 12093-2021</t>
        </is>
      </c>
      <c r="B456" s="1" t="n">
        <v>44266</v>
      </c>
      <c r="C456" s="1" t="n">
        <v>45715</v>
      </c>
      <c r="D456" t="inlineStr">
        <is>
          <t>KALMAR LÄN</t>
        </is>
      </c>
      <c r="E456" t="inlineStr">
        <is>
          <t>NYBRO</t>
        </is>
      </c>
      <c r="G456" t="n">
        <v>1.3</v>
      </c>
      <c r="H456" t="n">
        <v>0</v>
      </c>
      <c r="I456" t="n">
        <v>0</v>
      </c>
      <c r="J456" t="n">
        <v>2</v>
      </c>
      <c r="K456" t="n">
        <v>0</v>
      </c>
      <c r="L456" t="n">
        <v>0</v>
      </c>
      <c r="M456" t="n">
        <v>0</v>
      </c>
      <c r="N456" t="n">
        <v>0</v>
      </c>
      <c r="O456" t="n">
        <v>2</v>
      </c>
      <c r="P456" t="n">
        <v>0</v>
      </c>
      <c r="Q456" t="n">
        <v>2</v>
      </c>
      <c r="R456" s="2" t="inlineStr">
        <is>
          <t>Spindelört
Spindelörtskinnbagge</t>
        </is>
      </c>
      <c r="S456">
        <f>HYPERLINK("https://klasma.github.io/Logging_0881/artfynd/A 12093-2021 artfynd.xlsx", "A 12093-2021")</f>
        <v/>
      </c>
      <c r="T456">
        <f>HYPERLINK("https://klasma.github.io/Logging_0881/kartor/A 12093-2021 karta.png", "A 12093-2021")</f>
        <v/>
      </c>
      <c r="V456">
        <f>HYPERLINK("https://klasma.github.io/Logging_0881/klagomål/A 12093-2021 FSC-klagomål.docx", "A 12093-2021")</f>
        <v/>
      </c>
      <c r="W456">
        <f>HYPERLINK("https://klasma.github.io/Logging_0881/klagomålsmail/A 12093-2021 FSC-klagomål mail.docx", "A 12093-2021")</f>
        <v/>
      </c>
      <c r="X456">
        <f>HYPERLINK("https://klasma.github.io/Logging_0881/tillsyn/A 12093-2021 tillsynsbegäran.docx", "A 12093-2021")</f>
        <v/>
      </c>
      <c r="Y456">
        <f>HYPERLINK("https://klasma.github.io/Logging_0881/tillsynsmail/A 12093-2021 tillsynsbegäran mail.docx", "A 12093-2021")</f>
        <v/>
      </c>
    </row>
    <row r="457" ht="15" customHeight="1">
      <c r="A457" t="inlineStr">
        <is>
          <t>A 14246-2021</t>
        </is>
      </c>
      <c r="B457" s="1" t="n">
        <v>44278</v>
      </c>
      <c r="C457" s="1" t="n">
        <v>45715</v>
      </c>
      <c r="D457" t="inlineStr">
        <is>
          <t>KALMAR LÄN</t>
        </is>
      </c>
      <c r="E457" t="inlineStr">
        <is>
          <t>HULTSFRED</t>
        </is>
      </c>
      <c r="G457" t="n">
        <v>5</v>
      </c>
      <c r="H457" t="n">
        <v>1</v>
      </c>
      <c r="I457" t="n">
        <v>2</v>
      </c>
      <c r="J457" t="n">
        <v>0</v>
      </c>
      <c r="K457" t="n">
        <v>0</v>
      </c>
      <c r="L457" t="n">
        <v>0</v>
      </c>
      <c r="M457" t="n">
        <v>0</v>
      </c>
      <c r="N457" t="n">
        <v>0</v>
      </c>
      <c r="O457" t="n">
        <v>0</v>
      </c>
      <c r="P457" t="n">
        <v>0</v>
      </c>
      <c r="Q457" t="n">
        <v>2</v>
      </c>
      <c r="R457" s="2" t="inlineStr">
        <is>
          <t>Purpurknipprot
Underviol</t>
        </is>
      </c>
      <c r="S457">
        <f>HYPERLINK("https://klasma.github.io/Logging_0860/artfynd/A 14246-2021 artfynd.xlsx", "A 14246-2021")</f>
        <v/>
      </c>
      <c r="T457">
        <f>HYPERLINK("https://klasma.github.io/Logging_0860/kartor/A 14246-2021 karta.png", "A 14246-2021")</f>
        <v/>
      </c>
      <c r="V457">
        <f>HYPERLINK("https://klasma.github.io/Logging_0860/klagomål/A 14246-2021 FSC-klagomål.docx", "A 14246-2021")</f>
        <v/>
      </c>
      <c r="W457">
        <f>HYPERLINK("https://klasma.github.io/Logging_0860/klagomålsmail/A 14246-2021 FSC-klagomål mail.docx", "A 14246-2021")</f>
        <v/>
      </c>
      <c r="X457">
        <f>HYPERLINK("https://klasma.github.io/Logging_0860/tillsyn/A 14246-2021 tillsynsbegäran.docx", "A 14246-2021")</f>
        <v/>
      </c>
      <c r="Y457">
        <f>HYPERLINK("https://klasma.github.io/Logging_0860/tillsynsmail/A 14246-2021 tillsynsbegäran mail.docx", "A 14246-2021")</f>
        <v/>
      </c>
    </row>
    <row r="458" ht="15" customHeight="1">
      <c r="A458" t="inlineStr">
        <is>
          <t>A 14626-2021</t>
        </is>
      </c>
      <c r="B458" s="1" t="n">
        <v>44280</v>
      </c>
      <c r="C458" s="1" t="n">
        <v>45715</v>
      </c>
      <c r="D458" t="inlineStr">
        <is>
          <t>KALMAR LÄN</t>
        </is>
      </c>
      <c r="E458" t="inlineStr">
        <is>
          <t>HULTSFRED</t>
        </is>
      </c>
      <c r="G458" t="n">
        <v>19.3</v>
      </c>
      <c r="H458" t="n">
        <v>0</v>
      </c>
      <c r="I458" t="n">
        <v>1</v>
      </c>
      <c r="J458" t="n">
        <v>1</v>
      </c>
      <c r="K458" t="n">
        <v>0</v>
      </c>
      <c r="L458" t="n">
        <v>0</v>
      </c>
      <c r="M458" t="n">
        <v>0</v>
      </c>
      <c r="N458" t="n">
        <v>0</v>
      </c>
      <c r="O458" t="n">
        <v>1</v>
      </c>
      <c r="P458" t="n">
        <v>0</v>
      </c>
      <c r="Q458" t="n">
        <v>2</v>
      </c>
      <c r="R458" s="2" t="inlineStr">
        <is>
          <t>Skogshare
Jättesvampmal</t>
        </is>
      </c>
      <c r="S458">
        <f>HYPERLINK("https://klasma.github.io/Logging_0860/artfynd/A 14626-2021 artfynd.xlsx", "A 14626-2021")</f>
        <v/>
      </c>
      <c r="T458">
        <f>HYPERLINK("https://klasma.github.io/Logging_0860/kartor/A 14626-2021 karta.png", "A 14626-2021")</f>
        <v/>
      </c>
      <c r="V458">
        <f>HYPERLINK("https://klasma.github.io/Logging_0860/klagomål/A 14626-2021 FSC-klagomål.docx", "A 14626-2021")</f>
        <v/>
      </c>
      <c r="W458">
        <f>HYPERLINK("https://klasma.github.io/Logging_0860/klagomålsmail/A 14626-2021 FSC-klagomål mail.docx", "A 14626-2021")</f>
        <v/>
      </c>
      <c r="X458">
        <f>HYPERLINK("https://klasma.github.io/Logging_0860/tillsyn/A 14626-2021 tillsynsbegäran.docx", "A 14626-2021")</f>
        <v/>
      </c>
      <c r="Y458">
        <f>HYPERLINK("https://klasma.github.io/Logging_0860/tillsynsmail/A 14626-2021 tillsynsbegäran mail.docx", "A 14626-2021")</f>
        <v/>
      </c>
    </row>
    <row r="459" ht="15" customHeight="1">
      <c r="A459" t="inlineStr">
        <is>
          <t>A 18057-2021</t>
        </is>
      </c>
      <c r="B459" s="1" t="n">
        <v>44302</v>
      </c>
      <c r="C459" s="1" t="n">
        <v>45715</v>
      </c>
      <c r="D459" t="inlineStr">
        <is>
          <t>KALMAR LÄN</t>
        </is>
      </c>
      <c r="E459" t="inlineStr">
        <is>
          <t>KALMAR</t>
        </is>
      </c>
      <c r="G459" t="n">
        <v>3.7</v>
      </c>
      <c r="H459" t="n">
        <v>0</v>
      </c>
      <c r="I459" t="n">
        <v>1</v>
      </c>
      <c r="J459" t="n">
        <v>1</v>
      </c>
      <c r="K459" t="n">
        <v>0</v>
      </c>
      <c r="L459" t="n">
        <v>0</v>
      </c>
      <c r="M459" t="n">
        <v>0</v>
      </c>
      <c r="N459" t="n">
        <v>0</v>
      </c>
      <c r="O459" t="n">
        <v>1</v>
      </c>
      <c r="P459" t="n">
        <v>0</v>
      </c>
      <c r="Q459" t="n">
        <v>2</v>
      </c>
      <c r="R459" s="2" t="inlineStr">
        <is>
          <t>Tallticka
Blomkålssvamp</t>
        </is>
      </c>
      <c r="S459">
        <f>HYPERLINK("https://klasma.github.io/Logging_0880/artfynd/A 18057-2021 artfynd.xlsx", "A 18057-2021")</f>
        <v/>
      </c>
      <c r="T459">
        <f>HYPERLINK("https://klasma.github.io/Logging_0880/kartor/A 18057-2021 karta.png", "A 18057-2021")</f>
        <v/>
      </c>
      <c r="V459">
        <f>HYPERLINK("https://klasma.github.io/Logging_0880/klagomål/A 18057-2021 FSC-klagomål.docx", "A 18057-2021")</f>
        <v/>
      </c>
      <c r="W459">
        <f>HYPERLINK("https://klasma.github.io/Logging_0880/klagomålsmail/A 18057-2021 FSC-klagomål mail.docx", "A 18057-2021")</f>
        <v/>
      </c>
      <c r="X459">
        <f>HYPERLINK("https://klasma.github.io/Logging_0880/tillsyn/A 18057-2021 tillsynsbegäran.docx", "A 18057-2021")</f>
        <v/>
      </c>
      <c r="Y459">
        <f>HYPERLINK("https://klasma.github.io/Logging_0880/tillsynsmail/A 18057-2021 tillsynsbegäran mail.docx", "A 18057-2021")</f>
        <v/>
      </c>
    </row>
    <row r="460" ht="15" customHeight="1">
      <c r="A460" t="inlineStr">
        <is>
          <t>A 20129-2021</t>
        </is>
      </c>
      <c r="B460" s="1" t="n">
        <v>44314</v>
      </c>
      <c r="C460" s="1" t="n">
        <v>45715</v>
      </c>
      <c r="D460" t="inlineStr">
        <is>
          <t>KALMAR LÄN</t>
        </is>
      </c>
      <c r="E460" t="inlineStr">
        <is>
          <t>EMMABODA</t>
        </is>
      </c>
      <c r="G460" t="n">
        <v>5.8</v>
      </c>
      <c r="H460" t="n">
        <v>2</v>
      </c>
      <c r="I460" t="n">
        <v>0</v>
      </c>
      <c r="J460" t="n">
        <v>0</v>
      </c>
      <c r="K460" t="n">
        <v>0</v>
      </c>
      <c r="L460" t="n">
        <v>0</v>
      </c>
      <c r="M460" t="n">
        <v>0</v>
      </c>
      <c r="N460" t="n">
        <v>0</v>
      </c>
      <c r="O460" t="n">
        <v>0</v>
      </c>
      <c r="P460" t="n">
        <v>0</v>
      </c>
      <c r="Q460" t="n">
        <v>2</v>
      </c>
      <c r="R460" s="2" t="inlineStr">
        <is>
          <t>Vanlig groda
Revlummer</t>
        </is>
      </c>
      <c r="S460">
        <f>HYPERLINK("https://klasma.github.io/Logging_0862/artfynd/A 20129-2021 artfynd.xlsx", "A 20129-2021")</f>
        <v/>
      </c>
      <c r="T460">
        <f>HYPERLINK("https://klasma.github.io/Logging_0862/kartor/A 20129-2021 karta.png", "A 20129-2021")</f>
        <v/>
      </c>
      <c r="V460">
        <f>HYPERLINK("https://klasma.github.io/Logging_0862/klagomål/A 20129-2021 FSC-klagomål.docx", "A 20129-2021")</f>
        <v/>
      </c>
      <c r="W460">
        <f>HYPERLINK("https://klasma.github.io/Logging_0862/klagomålsmail/A 20129-2021 FSC-klagomål mail.docx", "A 20129-2021")</f>
        <v/>
      </c>
      <c r="X460">
        <f>HYPERLINK("https://klasma.github.io/Logging_0862/tillsyn/A 20129-2021 tillsynsbegäran.docx", "A 20129-2021")</f>
        <v/>
      </c>
      <c r="Y460">
        <f>HYPERLINK("https://klasma.github.io/Logging_0862/tillsynsmail/A 20129-2021 tillsynsbegäran mail.docx", "A 20129-2021")</f>
        <v/>
      </c>
    </row>
    <row r="461" ht="15" customHeight="1">
      <c r="A461" t="inlineStr">
        <is>
          <t>A 21665-2021</t>
        </is>
      </c>
      <c r="B461" s="1" t="n">
        <v>44322</v>
      </c>
      <c r="C461" s="1" t="n">
        <v>45715</v>
      </c>
      <c r="D461" t="inlineStr">
        <is>
          <t>KALMAR LÄN</t>
        </is>
      </c>
      <c r="E461" t="inlineStr">
        <is>
          <t>VÄSTERVIK</t>
        </is>
      </c>
      <c r="G461" t="n">
        <v>18.9</v>
      </c>
      <c r="H461" t="n">
        <v>0</v>
      </c>
      <c r="I461" t="n">
        <v>0</v>
      </c>
      <c r="J461" t="n">
        <v>2</v>
      </c>
      <c r="K461" t="n">
        <v>0</v>
      </c>
      <c r="L461" t="n">
        <v>0</v>
      </c>
      <c r="M461" t="n">
        <v>0</v>
      </c>
      <c r="N461" t="n">
        <v>0</v>
      </c>
      <c r="O461" t="n">
        <v>2</v>
      </c>
      <c r="P461" t="n">
        <v>0</v>
      </c>
      <c r="Q461" t="n">
        <v>2</v>
      </c>
      <c r="R461" s="2" t="inlineStr">
        <is>
          <t>Klubbsprötad bastardsvärmare
Smalsprötad bastardsvärmare</t>
        </is>
      </c>
      <c r="S461">
        <f>HYPERLINK("https://klasma.github.io/Logging_0883/artfynd/A 21665-2021 artfynd.xlsx", "A 21665-2021")</f>
        <v/>
      </c>
      <c r="T461">
        <f>HYPERLINK("https://klasma.github.io/Logging_0883/kartor/A 21665-2021 karta.png", "A 21665-2021")</f>
        <v/>
      </c>
      <c r="V461">
        <f>HYPERLINK("https://klasma.github.io/Logging_0883/klagomål/A 21665-2021 FSC-klagomål.docx", "A 21665-2021")</f>
        <v/>
      </c>
      <c r="W461">
        <f>HYPERLINK("https://klasma.github.io/Logging_0883/klagomålsmail/A 21665-2021 FSC-klagomål mail.docx", "A 21665-2021")</f>
        <v/>
      </c>
      <c r="X461">
        <f>HYPERLINK("https://klasma.github.io/Logging_0883/tillsyn/A 21665-2021 tillsynsbegäran.docx", "A 21665-2021")</f>
        <v/>
      </c>
      <c r="Y461">
        <f>HYPERLINK("https://klasma.github.io/Logging_0883/tillsynsmail/A 21665-2021 tillsynsbegäran mail.docx", "A 21665-2021")</f>
        <v/>
      </c>
    </row>
    <row r="462" ht="15" customHeight="1">
      <c r="A462" t="inlineStr">
        <is>
          <t>A 25439-2021</t>
        </is>
      </c>
      <c r="B462" s="1" t="n">
        <v>44342</v>
      </c>
      <c r="C462" s="1" t="n">
        <v>45715</v>
      </c>
      <c r="D462" t="inlineStr">
        <is>
          <t>KALMAR LÄN</t>
        </is>
      </c>
      <c r="E462" t="inlineStr">
        <is>
          <t>VÄSTERVIK</t>
        </is>
      </c>
      <c r="F462" t="inlineStr">
        <is>
          <t>Holmen skog AB</t>
        </is>
      </c>
      <c r="G462" t="n">
        <v>2.4</v>
      </c>
      <c r="H462" t="n">
        <v>2</v>
      </c>
      <c r="I462" t="n">
        <v>1</v>
      </c>
      <c r="J462" t="n">
        <v>0</v>
      </c>
      <c r="K462" t="n">
        <v>0</v>
      </c>
      <c r="L462" t="n">
        <v>0</v>
      </c>
      <c r="M462" t="n">
        <v>0</v>
      </c>
      <c r="N462" t="n">
        <v>0</v>
      </c>
      <c r="O462" t="n">
        <v>0</v>
      </c>
      <c r="P462" t="n">
        <v>0</v>
      </c>
      <c r="Q462" t="n">
        <v>2</v>
      </c>
      <c r="R462" s="2" t="inlineStr">
        <is>
          <t>Grön sköldmossa
Röd glada</t>
        </is>
      </c>
      <c r="S462">
        <f>HYPERLINK("https://klasma.github.io/Logging_0883/artfynd/A 25439-2021 artfynd.xlsx", "A 25439-2021")</f>
        <v/>
      </c>
      <c r="T462">
        <f>HYPERLINK("https://klasma.github.io/Logging_0883/kartor/A 25439-2021 karta.png", "A 25439-2021")</f>
        <v/>
      </c>
      <c r="V462">
        <f>HYPERLINK("https://klasma.github.io/Logging_0883/klagomål/A 25439-2021 FSC-klagomål.docx", "A 25439-2021")</f>
        <v/>
      </c>
      <c r="W462">
        <f>HYPERLINK("https://klasma.github.io/Logging_0883/klagomålsmail/A 25439-2021 FSC-klagomål mail.docx", "A 25439-2021")</f>
        <v/>
      </c>
      <c r="X462">
        <f>HYPERLINK("https://klasma.github.io/Logging_0883/tillsyn/A 25439-2021 tillsynsbegäran.docx", "A 25439-2021")</f>
        <v/>
      </c>
      <c r="Y462">
        <f>HYPERLINK("https://klasma.github.io/Logging_0883/tillsynsmail/A 25439-2021 tillsynsbegäran mail.docx", "A 25439-2021")</f>
        <v/>
      </c>
      <c r="Z462">
        <f>HYPERLINK("https://klasma.github.io/Logging_0883/fåglar/A 25439-2021 prioriterade fågelarter.docx", "A 25439-2021")</f>
        <v/>
      </c>
    </row>
    <row r="463" ht="15" customHeight="1">
      <c r="A463" t="inlineStr">
        <is>
          <t>A 26367-2021</t>
        </is>
      </c>
      <c r="B463" s="1" t="n">
        <v>44347</v>
      </c>
      <c r="C463" s="1" t="n">
        <v>45715</v>
      </c>
      <c r="D463" t="inlineStr">
        <is>
          <t>KALMAR LÄN</t>
        </is>
      </c>
      <c r="E463" t="inlineStr">
        <is>
          <t>NYBRO</t>
        </is>
      </c>
      <c r="G463" t="n">
        <v>23.7</v>
      </c>
      <c r="H463" t="n">
        <v>0</v>
      </c>
      <c r="I463" t="n">
        <v>1</v>
      </c>
      <c r="J463" t="n">
        <v>1</v>
      </c>
      <c r="K463" t="n">
        <v>0</v>
      </c>
      <c r="L463" t="n">
        <v>0</v>
      </c>
      <c r="M463" t="n">
        <v>0</v>
      </c>
      <c r="N463" t="n">
        <v>0</v>
      </c>
      <c r="O463" t="n">
        <v>1</v>
      </c>
      <c r="P463" t="n">
        <v>0</v>
      </c>
      <c r="Q463" t="n">
        <v>2</v>
      </c>
      <c r="R463" s="2" t="inlineStr">
        <is>
          <t>Ullticka
Grovticka</t>
        </is>
      </c>
      <c r="S463">
        <f>HYPERLINK("https://klasma.github.io/Logging_0881/artfynd/A 26367-2021 artfynd.xlsx", "A 26367-2021")</f>
        <v/>
      </c>
      <c r="T463">
        <f>HYPERLINK("https://klasma.github.io/Logging_0881/kartor/A 26367-2021 karta.png", "A 26367-2021")</f>
        <v/>
      </c>
      <c r="V463">
        <f>HYPERLINK("https://klasma.github.io/Logging_0881/klagomål/A 26367-2021 FSC-klagomål.docx", "A 26367-2021")</f>
        <v/>
      </c>
      <c r="W463">
        <f>HYPERLINK("https://klasma.github.io/Logging_0881/klagomålsmail/A 26367-2021 FSC-klagomål mail.docx", "A 26367-2021")</f>
        <v/>
      </c>
      <c r="X463">
        <f>HYPERLINK("https://klasma.github.io/Logging_0881/tillsyn/A 26367-2021 tillsynsbegäran.docx", "A 26367-2021")</f>
        <v/>
      </c>
      <c r="Y463">
        <f>HYPERLINK("https://klasma.github.io/Logging_0881/tillsynsmail/A 26367-2021 tillsynsbegäran mail.docx", "A 26367-2021")</f>
        <v/>
      </c>
    </row>
    <row r="464" ht="15" customHeight="1">
      <c r="A464" t="inlineStr">
        <is>
          <t>A 31378-2021</t>
        </is>
      </c>
      <c r="B464" s="1" t="n">
        <v>44369</v>
      </c>
      <c r="C464" s="1" t="n">
        <v>45715</v>
      </c>
      <c r="D464" t="inlineStr">
        <is>
          <t>KALMAR LÄN</t>
        </is>
      </c>
      <c r="E464" t="inlineStr">
        <is>
          <t>KALMAR</t>
        </is>
      </c>
      <c r="G464" t="n">
        <v>5.2</v>
      </c>
      <c r="H464" t="n">
        <v>0</v>
      </c>
      <c r="I464" t="n">
        <v>2</v>
      </c>
      <c r="J464" t="n">
        <v>0</v>
      </c>
      <c r="K464" t="n">
        <v>0</v>
      </c>
      <c r="L464" t="n">
        <v>0</v>
      </c>
      <c r="M464" t="n">
        <v>0</v>
      </c>
      <c r="N464" t="n">
        <v>0</v>
      </c>
      <c r="O464" t="n">
        <v>0</v>
      </c>
      <c r="P464" t="n">
        <v>0</v>
      </c>
      <c r="Q464" t="n">
        <v>2</v>
      </c>
      <c r="R464" s="2" t="inlineStr">
        <is>
          <t>Blomkålssvamp
Dropptaggsvamp</t>
        </is>
      </c>
      <c r="S464">
        <f>HYPERLINK("https://klasma.github.io/Logging_0880/artfynd/A 31378-2021 artfynd.xlsx", "A 31378-2021")</f>
        <v/>
      </c>
      <c r="T464">
        <f>HYPERLINK("https://klasma.github.io/Logging_0880/kartor/A 31378-2021 karta.png", "A 31378-2021")</f>
        <v/>
      </c>
      <c r="V464">
        <f>HYPERLINK("https://klasma.github.io/Logging_0880/klagomål/A 31378-2021 FSC-klagomål.docx", "A 31378-2021")</f>
        <v/>
      </c>
      <c r="W464">
        <f>HYPERLINK("https://klasma.github.io/Logging_0880/klagomålsmail/A 31378-2021 FSC-klagomål mail.docx", "A 31378-2021")</f>
        <v/>
      </c>
      <c r="X464">
        <f>HYPERLINK("https://klasma.github.io/Logging_0880/tillsyn/A 31378-2021 tillsynsbegäran.docx", "A 31378-2021")</f>
        <v/>
      </c>
      <c r="Y464">
        <f>HYPERLINK("https://klasma.github.io/Logging_0880/tillsynsmail/A 31378-2021 tillsynsbegäran mail.docx", "A 31378-2021")</f>
        <v/>
      </c>
    </row>
    <row r="465" ht="15" customHeight="1">
      <c r="A465" t="inlineStr">
        <is>
          <t>A 36077-2021</t>
        </is>
      </c>
      <c r="B465" s="1" t="n">
        <v>44386</v>
      </c>
      <c r="C465" s="1" t="n">
        <v>45715</v>
      </c>
      <c r="D465" t="inlineStr">
        <is>
          <t>KALMAR LÄN</t>
        </is>
      </c>
      <c r="E465" t="inlineStr">
        <is>
          <t>VIMMERBY</t>
        </is>
      </c>
      <c r="G465" t="n">
        <v>2</v>
      </c>
      <c r="H465" t="n">
        <v>1</v>
      </c>
      <c r="I465" t="n">
        <v>1</v>
      </c>
      <c r="J465" t="n">
        <v>0</v>
      </c>
      <c r="K465" t="n">
        <v>1</v>
      </c>
      <c r="L465" t="n">
        <v>0</v>
      </c>
      <c r="M465" t="n">
        <v>0</v>
      </c>
      <c r="N465" t="n">
        <v>0</v>
      </c>
      <c r="O465" t="n">
        <v>1</v>
      </c>
      <c r="P465" t="n">
        <v>1</v>
      </c>
      <c r="Q465" t="n">
        <v>2</v>
      </c>
      <c r="R465" s="2" t="inlineStr">
        <is>
          <t>Knärot
Kattfotslav</t>
        </is>
      </c>
      <c r="S465">
        <f>HYPERLINK("https://klasma.github.io/Logging_0884/artfynd/A 36077-2021 artfynd.xlsx", "A 36077-2021")</f>
        <v/>
      </c>
      <c r="T465">
        <f>HYPERLINK("https://klasma.github.io/Logging_0884/kartor/A 36077-2021 karta.png", "A 36077-2021")</f>
        <v/>
      </c>
      <c r="U465">
        <f>HYPERLINK("https://klasma.github.io/Logging_0884/knärot/A 36077-2021 karta knärot.png", "A 36077-2021")</f>
        <v/>
      </c>
      <c r="V465">
        <f>HYPERLINK("https://klasma.github.io/Logging_0884/klagomål/A 36077-2021 FSC-klagomål.docx", "A 36077-2021")</f>
        <v/>
      </c>
      <c r="W465">
        <f>HYPERLINK("https://klasma.github.io/Logging_0884/klagomålsmail/A 36077-2021 FSC-klagomål mail.docx", "A 36077-2021")</f>
        <v/>
      </c>
      <c r="X465">
        <f>HYPERLINK("https://klasma.github.io/Logging_0884/tillsyn/A 36077-2021 tillsynsbegäran.docx", "A 36077-2021")</f>
        <v/>
      </c>
      <c r="Y465">
        <f>HYPERLINK("https://klasma.github.io/Logging_0884/tillsynsmail/A 36077-2021 tillsynsbegäran mail.docx", "A 36077-2021")</f>
        <v/>
      </c>
    </row>
    <row r="466" ht="15" customHeight="1">
      <c r="A466" t="inlineStr">
        <is>
          <t>A 38695-2021</t>
        </is>
      </c>
      <c r="B466" s="1" t="n">
        <v>44410</v>
      </c>
      <c r="C466" s="1" t="n">
        <v>45715</v>
      </c>
      <c r="D466" t="inlineStr">
        <is>
          <t>KALMAR LÄN</t>
        </is>
      </c>
      <c r="E466" t="inlineStr">
        <is>
          <t>TORSÅS</t>
        </is>
      </c>
      <c r="G466" t="n">
        <v>17.2</v>
      </c>
      <c r="H466" t="n">
        <v>1</v>
      </c>
      <c r="I466" t="n">
        <v>1</v>
      </c>
      <c r="J466" t="n">
        <v>0</v>
      </c>
      <c r="K466" t="n">
        <v>0</v>
      </c>
      <c r="L466" t="n">
        <v>0</v>
      </c>
      <c r="M466" t="n">
        <v>0</v>
      </c>
      <c r="N466" t="n">
        <v>0</v>
      </c>
      <c r="O466" t="n">
        <v>0</v>
      </c>
      <c r="P466" t="n">
        <v>0</v>
      </c>
      <c r="Q466" t="n">
        <v>2</v>
      </c>
      <c r="R466" s="2" t="inlineStr">
        <is>
          <t>Murgröna
Blåsippa</t>
        </is>
      </c>
      <c r="S466">
        <f>HYPERLINK("https://klasma.github.io/Logging_0834/artfynd/A 38695-2021 artfynd.xlsx", "A 38695-2021")</f>
        <v/>
      </c>
      <c r="T466">
        <f>HYPERLINK("https://klasma.github.io/Logging_0834/kartor/A 38695-2021 karta.png", "A 38695-2021")</f>
        <v/>
      </c>
      <c r="V466">
        <f>HYPERLINK("https://klasma.github.io/Logging_0834/klagomål/A 38695-2021 FSC-klagomål.docx", "A 38695-2021")</f>
        <v/>
      </c>
      <c r="W466">
        <f>HYPERLINK("https://klasma.github.io/Logging_0834/klagomålsmail/A 38695-2021 FSC-klagomål mail.docx", "A 38695-2021")</f>
        <v/>
      </c>
      <c r="X466">
        <f>HYPERLINK("https://klasma.github.io/Logging_0834/tillsyn/A 38695-2021 tillsynsbegäran.docx", "A 38695-2021")</f>
        <v/>
      </c>
      <c r="Y466">
        <f>HYPERLINK("https://klasma.github.io/Logging_0834/tillsynsmail/A 38695-2021 tillsynsbegäran mail.docx", "A 38695-2021")</f>
        <v/>
      </c>
    </row>
    <row r="467" ht="15" customHeight="1">
      <c r="A467" t="inlineStr">
        <is>
          <t>A 41398-2021</t>
        </is>
      </c>
      <c r="B467" s="1" t="n">
        <v>44424</v>
      </c>
      <c r="C467" s="1" t="n">
        <v>45715</v>
      </c>
      <c r="D467" t="inlineStr">
        <is>
          <t>KALMAR LÄN</t>
        </is>
      </c>
      <c r="E467" t="inlineStr">
        <is>
          <t>VIMMERBY</t>
        </is>
      </c>
      <c r="G467" t="n">
        <v>14.1</v>
      </c>
      <c r="H467" t="n">
        <v>0</v>
      </c>
      <c r="I467" t="n">
        <v>0</v>
      </c>
      <c r="J467" t="n">
        <v>2</v>
      </c>
      <c r="K467" t="n">
        <v>0</v>
      </c>
      <c r="L467" t="n">
        <v>0</v>
      </c>
      <c r="M467" t="n">
        <v>0</v>
      </c>
      <c r="N467" t="n">
        <v>0</v>
      </c>
      <c r="O467" t="n">
        <v>2</v>
      </c>
      <c r="P467" t="n">
        <v>0</v>
      </c>
      <c r="Q467" t="n">
        <v>2</v>
      </c>
      <c r="R467" s="2" t="inlineStr">
        <is>
          <t>Klasefibbla
Sommarfibbla</t>
        </is>
      </c>
      <c r="S467">
        <f>HYPERLINK("https://klasma.github.io/Logging_0884/artfynd/A 41398-2021 artfynd.xlsx", "A 41398-2021")</f>
        <v/>
      </c>
      <c r="T467">
        <f>HYPERLINK("https://klasma.github.io/Logging_0884/kartor/A 41398-2021 karta.png", "A 41398-2021")</f>
        <v/>
      </c>
      <c r="V467">
        <f>HYPERLINK("https://klasma.github.io/Logging_0884/klagomål/A 41398-2021 FSC-klagomål.docx", "A 41398-2021")</f>
        <v/>
      </c>
      <c r="W467">
        <f>HYPERLINK("https://klasma.github.io/Logging_0884/klagomålsmail/A 41398-2021 FSC-klagomål mail.docx", "A 41398-2021")</f>
        <v/>
      </c>
      <c r="X467">
        <f>HYPERLINK("https://klasma.github.io/Logging_0884/tillsyn/A 41398-2021 tillsynsbegäran.docx", "A 41398-2021")</f>
        <v/>
      </c>
      <c r="Y467">
        <f>HYPERLINK("https://klasma.github.io/Logging_0884/tillsynsmail/A 41398-2021 tillsynsbegäran mail.docx", "A 41398-2021")</f>
        <v/>
      </c>
    </row>
    <row r="468" ht="15" customHeight="1">
      <c r="A468" t="inlineStr">
        <is>
          <t>A 42141-2021</t>
        </is>
      </c>
      <c r="B468" s="1" t="n">
        <v>44426</v>
      </c>
      <c r="C468" s="1" t="n">
        <v>45715</v>
      </c>
      <c r="D468" t="inlineStr">
        <is>
          <t>KALMAR LÄN</t>
        </is>
      </c>
      <c r="E468" t="inlineStr">
        <is>
          <t>VIMMERBY</t>
        </is>
      </c>
      <c r="G468" t="n">
        <v>6.8</v>
      </c>
      <c r="H468" t="n">
        <v>2</v>
      </c>
      <c r="I468" t="n">
        <v>0</v>
      </c>
      <c r="J468" t="n">
        <v>0</v>
      </c>
      <c r="K468" t="n">
        <v>0</v>
      </c>
      <c r="L468" t="n">
        <v>0</v>
      </c>
      <c r="M468" t="n">
        <v>0</v>
      </c>
      <c r="N468" t="n">
        <v>0</v>
      </c>
      <c r="O468" t="n">
        <v>0</v>
      </c>
      <c r="P468" t="n">
        <v>0</v>
      </c>
      <c r="Q468" t="n">
        <v>2</v>
      </c>
      <c r="R468" s="2" t="inlineStr">
        <is>
          <t>Grönvit nattviol
Nattviol</t>
        </is>
      </c>
      <c r="S468">
        <f>HYPERLINK("https://klasma.github.io/Logging_0884/artfynd/A 42141-2021 artfynd.xlsx", "A 42141-2021")</f>
        <v/>
      </c>
      <c r="T468">
        <f>HYPERLINK("https://klasma.github.io/Logging_0884/kartor/A 42141-2021 karta.png", "A 42141-2021")</f>
        <v/>
      </c>
      <c r="V468">
        <f>HYPERLINK("https://klasma.github.io/Logging_0884/klagomål/A 42141-2021 FSC-klagomål.docx", "A 42141-2021")</f>
        <v/>
      </c>
      <c r="W468">
        <f>HYPERLINK("https://klasma.github.io/Logging_0884/klagomålsmail/A 42141-2021 FSC-klagomål mail.docx", "A 42141-2021")</f>
        <v/>
      </c>
      <c r="X468">
        <f>HYPERLINK("https://klasma.github.io/Logging_0884/tillsyn/A 42141-2021 tillsynsbegäran.docx", "A 42141-2021")</f>
        <v/>
      </c>
      <c r="Y468">
        <f>HYPERLINK("https://klasma.github.io/Logging_0884/tillsynsmail/A 42141-2021 tillsynsbegäran mail.docx", "A 42141-2021")</f>
        <v/>
      </c>
    </row>
    <row r="469" ht="15" customHeight="1">
      <c r="A469" t="inlineStr">
        <is>
          <t>A 44667-2021</t>
        </is>
      </c>
      <c r="B469" s="1" t="n">
        <v>44438</v>
      </c>
      <c r="C469" s="1" t="n">
        <v>45715</v>
      </c>
      <c r="D469" t="inlineStr">
        <is>
          <t>KALMAR LÄN</t>
        </is>
      </c>
      <c r="E469" t="inlineStr">
        <is>
          <t>VÄSTERVIK</t>
        </is>
      </c>
      <c r="G469" t="n">
        <v>1.7</v>
      </c>
      <c r="H469" t="n">
        <v>1</v>
      </c>
      <c r="I469" t="n">
        <v>1</v>
      </c>
      <c r="J469" t="n">
        <v>1</v>
      </c>
      <c r="K469" t="n">
        <v>0</v>
      </c>
      <c r="L469" t="n">
        <v>0</v>
      </c>
      <c r="M469" t="n">
        <v>0</v>
      </c>
      <c r="N469" t="n">
        <v>0</v>
      </c>
      <c r="O469" t="n">
        <v>1</v>
      </c>
      <c r="P469" t="n">
        <v>0</v>
      </c>
      <c r="Q469" t="n">
        <v>2</v>
      </c>
      <c r="R469" s="2" t="inlineStr">
        <is>
          <t>Järpe
Fjällig taggsvamp s.str.</t>
        </is>
      </c>
      <c r="S469">
        <f>HYPERLINK("https://klasma.github.io/Logging_0883/artfynd/A 44667-2021 artfynd.xlsx", "A 44667-2021")</f>
        <v/>
      </c>
      <c r="T469">
        <f>HYPERLINK("https://klasma.github.io/Logging_0883/kartor/A 44667-2021 karta.png", "A 44667-2021")</f>
        <v/>
      </c>
      <c r="V469">
        <f>HYPERLINK("https://klasma.github.io/Logging_0883/klagomål/A 44667-2021 FSC-klagomål.docx", "A 44667-2021")</f>
        <v/>
      </c>
      <c r="W469">
        <f>HYPERLINK("https://klasma.github.io/Logging_0883/klagomålsmail/A 44667-2021 FSC-klagomål mail.docx", "A 44667-2021")</f>
        <v/>
      </c>
      <c r="X469">
        <f>HYPERLINK("https://klasma.github.io/Logging_0883/tillsyn/A 44667-2021 tillsynsbegäran.docx", "A 44667-2021")</f>
        <v/>
      </c>
      <c r="Y469">
        <f>HYPERLINK("https://klasma.github.io/Logging_0883/tillsynsmail/A 44667-2021 tillsynsbegäran mail.docx", "A 44667-2021")</f>
        <v/>
      </c>
      <c r="Z469">
        <f>HYPERLINK("https://klasma.github.io/Logging_0883/fåglar/A 44667-2021 prioriterade fågelarter.docx", "A 44667-2021")</f>
        <v/>
      </c>
    </row>
    <row r="470" ht="15" customHeight="1">
      <c r="A470" t="inlineStr">
        <is>
          <t>A 51833-2021</t>
        </is>
      </c>
      <c r="B470" s="1" t="n">
        <v>44462</v>
      </c>
      <c r="C470" s="1" t="n">
        <v>45715</v>
      </c>
      <c r="D470" t="inlineStr">
        <is>
          <t>KALMAR LÄN</t>
        </is>
      </c>
      <c r="E470" t="inlineStr">
        <is>
          <t>VÄSTERVIK</t>
        </is>
      </c>
      <c r="G470" t="n">
        <v>4</v>
      </c>
      <c r="H470" t="n">
        <v>1</v>
      </c>
      <c r="I470" t="n">
        <v>0</v>
      </c>
      <c r="J470" t="n">
        <v>1</v>
      </c>
      <c r="K470" t="n">
        <v>0</v>
      </c>
      <c r="L470" t="n">
        <v>0</v>
      </c>
      <c r="M470" t="n">
        <v>0</v>
      </c>
      <c r="N470" t="n">
        <v>0</v>
      </c>
      <c r="O470" t="n">
        <v>1</v>
      </c>
      <c r="P470" t="n">
        <v>0</v>
      </c>
      <c r="Q470" t="n">
        <v>2</v>
      </c>
      <c r="R470" s="2" t="inlineStr">
        <is>
          <t>Motaggsvamp
Fläcknycklar</t>
        </is>
      </c>
      <c r="S470">
        <f>HYPERLINK("https://klasma.github.io/Logging_0883/artfynd/A 51833-2021 artfynd.xlsx", "A 51833-2021")</f>
        <v/>
      </c>
      <c r="T470">
        <f>HYPERLINK("https://klasma.github.io/Logging_0883/kartor/A 51833-2021 karta.png", "A 51833-2021")</f>
        <v/>
      </c>
      <c r="V470">
        <f>HYPERLINK("https://klasma.github.io/Logging_0883/klagomål/A 51833-2021 FSC-klagomål.docx", "A 51833-2021")</f>
        <v/>
      </c>
      <c r="W470">
        <f>HYPERLINK("https://klasma.github.io/Logging_0883/klagomålsmail/A 51833-2021 FSC-klagomål mail.docx", "A 51833-2021")</f>
        <v/>
      </c>
      <c r="X470">
        <f>HYPERLINK("https://klasma.github.io/Logging_0883/tillsyn/A 51833-2021 tillsynsbegäran.docx", "A 51833-2021")</f>
        <v/>
      </c>
      <c r="Y470">
        <f>HYPERLINK("https://klasma.github.io/Logging_0883/tillsynsmail/A 51833-2021 tillsynsbegäran mail.docx", "A 51833-2021")</f>
        <v/>
      </c>
    </row>
    <row r="471" ht="15" customHeight="1">
      <c r="A471" t="inlineStr">
        <is>
          <t>A 53769-2021</t>
        </is>
      </c>
      <c r="B471" s="1" t="n">
        <v>44467</v>
      </c>
      <c r="C471" s="1" t="n">
        <v>45715</v>
      </c>
      <c r="D471" t="inlineStr">
        <is>
          <t>KALMAR LÄN</t>
        </is>
      </c>
      <c r="E471" t="inlineStr">
        <is>
          <t>VÄSTERVIK</t>
        </is>
      </c>
      <c r="G471" t="n">
        <v>2.2</v>
      </c>
      <c r="H471" t="n">
        <v>1</v>
      </c>
      <c r="I471" t="n">
        <v>2</v>
      </c>
      <c r="J471" t="n">
        <v>0</v>
      </c>
      <c r="K471" t="n">
        <v>0</v>
      </c>
      <c r="L471" t="n">
        <v>0</v>
      </c>
      <c r="M471" t="n">
        <v>0</v>
      </c>
      <c r="N471" t="n">
        <v>0</v>
      </c>
      <c r="O471" t="n">
        <v>0</v>
      </c>
      <c r="P471" t="n">
        <v>0</v>
      </c>
      <c r="Q471" t="n">
        <v>2</v>
      </c>
      <c r="R471" s="2" t="inlineStr">
        <is>
          <t>Grön sköldmossa
Stubbspretmossa</t>
        </is>
      </c>
      <c r="S471">
        <f>HYPERLINK("https://klasma.github.io/Logging_0883/artfynd/A 53769-2021 artfynd.xlsx", "A 53769-2021")</f>
        <v/>
      </c>
      <c r="T471">
        <f>HYPERLINK("https://klasma.github.io/Logging_0883/kartor/A 53769-2021 karta.png", "A 53769-2021")</f>
        <v/>
      </c>
      <c r="V471">
        <f>HYPERLINK("https://klasma.github.io/Logging_0883/klagomål/A 53769-2021 FSC-klagomål.docx", "A 53769-2021")</f>
        <v/>
      </c>
      <c r="W471">
        <f>HYPERLINK("https://klasma.github.io/Logging_0883/klagomålsmail/A 53769-2021 FSC-klagomål mail.docx", "A 53769-2021")</f>
        <v/>
      </c>
      <c r="X471">
        <f>HYPERLINK("https://klasma.github.io/Logging_0883/tillsyn/A 53769-2021 tillsynsbegäran.docx", "A 53769-2021")</f>
        <v/>
      </c>
      <c r="Y471">
        <f>HYPERLINK("https://klasma.github.io/Logging_0883/tillsynsmail/A 53769-2021 tillsynsbegäran mail.docx", "A 53769-2021")</f>
        <v/>
      </c>
    </row>
    <row r="472" ht="15" customHeight="1">
      <c r="A472" t="inlineStr">
        <is>
          <t>A 53295-2021</t>
        </is>
      </c>
      <c r="B472" s="1" t="n">
        <v>44468</v>
      </c>
      <c r="C472" s="1" t="n">
        <v>45715</v>
      </c>
      <c r="D472" t="inlineStr">
        <is>
          <t>KALMAR LÄN</t>
        </is>
      </c>
      <c r="E472" t="inlineStr">
        <is>
          <t>HULTSFRED</t>
        </is>
      </c>
      <c r="F472" t="inlineStr">
        <is>
          <t>Sveaskog</t>
        </is>
      </c>
      <c r="G472" t="n">
        <v>2.2</v>
      </c>
      <c r="H472" t="n">
        <v>1</v>
      </c>
      <c r="I472" t="n">
        <v>0</v>
      </c>
      <c r="J472" t="n">
        <v>1</v>
      </c>
      <c r="K472" t="n">
        <v>0</v>
      </c>
      <c r="L472" t="n">
        <v>0</v>
      </c>
      <c r="M472" t="n">
        <v>0</v>
      </c>
      <c r="N472" t="n">
        <v>0</v>
      </c>
      <c r="O472" t="n">
        <v>1</v>
      </c>
      <c r="P472" t="n">
        <v>0</v>
      </c>
      <c r="Q472" t="n">
        <v>2</v>
      </c>
      <c r="R472" s="2" t="inlineStr">
        <is>
          <t>Vedskivlav
Blåsippa</t>
        </is>
      </c>
      <c r="S472">
        <f>HYPERLINK("https://klasma.github.io/Logging_0860/artfynd/A 53295-2021 artfynd.xlsx", "A 53295-2021")</f>
        <v/>
      </c>
      <c r="T472">
        <f>HYPERLINK("https://klasma.github.io/Logging_0860/kartor/A 53295-2021 karta.png", "A 53295-2021")</f>
        <v/>
      </c>
      <c r="V472">
        <f>HYPERLINK("https://klasma.github.io/Logging_0860/klagomål/A 53295-2021 FSC-klagomål.docx", "A 53295-2021")</f>
        <v/>
      </c>
      <c r="W472">
        <f>HYPERLINK("https://klasma.github.io/Logging_0860/klagomålsmail/A 53295-2021 FSC-klagomål mail.docx", "A 53295-2021")</f>
        <v/>
      </c>
      <c r="X472">
        <f>HYPERLINK("https://klasma.github.io/Logging_0860/tillsyn/A 53295-2021 tillsynsbegäran.docx", "A 53295-2021")</f>
        <v/>
      </c>
      <c r="Y472">
        <f>HYPERLINK("https://klasma.github.io/Logging_0860/tillsynsmail/A 53295-2021 tillsynsbegäran mail.docx", "A 53295-2021")</f>
        <v/>
      </c>
    </row>
    <row r="473" ht="15" customHeight="1">
      <c r="A473" t="inlineStr">
        <is>
          <t>A 56616-2021</t>
        </is>
      </c>
      <c r="B473" s="1" t="n">
        <v>44480</v>
      </c>
      <c r="C473" s="1" t="n">
        <v>45715</v>
      </c>
      <c r="D473" t="inlineStr">
        <is>
          <t>KALMAR LÄN</t>
        </is>
      </c>
      <c r="E473" t="inlineStr">
        <is>
          <t>VÄSTERVIK</t>
        </is>
      </c>
      <c r="G473" t="n">
        <v>0.7</v>
      </c>
      <c r="H473" t="n">
        <v>0</v>
      </c>
      <c r="I473" t="n">
        <v>0</v>
      </c>
      <c r="J473" t="n">
        <v>2</v>
      </c>
      <c r="K473" t="n">
        <v>0</v>
      </c>
      <c r="L473" t="n">
        <v>0</v>
      </c>
      <c r="M473" t="n">
        <v>0</v>
      </c>
      <c r="N473" t="n">
        <v>0</v>
      </c>
      <c r="O473" t="n">
        <v>2</v>
      </c>
      <c r="P473" t="n">
        <v>0</v>
      </c>
      <c r="Q473" t="n">
        <v>2</v>
      </c>
      <c r="R473" s="2" t="inlineStr">
        <is>
          <t>Gullklöver
Vippärt</t>
        </is>
      </c>
      <c r="S473">
        <f>HYPERLINK("https://klasma.github.io/Logging_0883/artfynd/A 56616-2021 artfynd.xlsx", "A 56616-2021")</f>
        <v/>
      </c>
      <c r="T473">
        <f>HYPERLINK("https://klasma.github.io/Logging_0883/kartor/A 56616-2021 karta.png", "A 56616-2021")</f>
        <v/>
      </c>
      <c r="V473">
        <f>HYPERLINK("https://klasma.github.io/Logging_0883/klagomål/A 56616-2021 FSC-klagomål.docx", "A 56616-2021")</f>
        <v/>
      </c>
      <c r="W473">
        <f>HYPERLINK("https://klasma.github.io/Logging_0883/klagomålsmail/A 56616-2021 FSC-klagomål mail.docx", "A 56616-2021")</f>
        <v/>
      </c>
      <c r="X473">
        <f>HYPERLINK("https://klasma.github.io/Logging_0883/tillsyn/A 56616-2021 tillsynsbegäran.docx", "A 56616-2021")</f>
        <v/>
      </c>
      <c r="Y473">
        <f>HYPERLINK("https://klasma.github.io/Logging_0883/tillsynsmail/A 56616-2021 tillsynsbegäran mail.docx", "A 56616-2021")</f>
        <v/>
      </c>
    </row>
    <row r="474" ht="15" customHeight="1">
      <c r="A474" t="inlineStr">
        <is>
          <t>A 59940-2021</t>
        </is>
      </c>
      <c r="B474" s="1" t="n">
        <v>44494</v>
      </c>
      <c r="C474" s="1" t="n">
        <v>45715</v>
      </c>
      <c r="D474" t="inlineStr">
        <is>
          <t>KALMAR LÄN</t>
        </is>
      </c>
      <c r="E474" t="inlineStr">
        <is>
          <t>VÄSTERVIK</t>
        </is>
      </c>
      <c r="G474" t="n">
        <v>4.3</v>
      </c>
      <c r="H474" t="n">
        <v>1</v>
      </c>
      <c r="I474" t="n">
        <v>1</v>
      </c>
      <c r="J474" t="n">
        <v>0</v>
      </c>
      <c r="K474" t="n">
        <v>1</v>
      </c>
      <c r="L474" t="n">
        <v>0</v>
      </c>
      <c r="M474" t="n">
        <v>0</v>
      </c>
      <c r="N474" t="n">
        <v>0</v>
      </c>
      <c r="O474" t="n">
        <v>1</v>
      </c>
      <c r="P474" t="n">
        <v>1</v>
      </c>
      <c r="Q474" t="n">
        <v>2</v>
      </c>
      <c r="R474" s="2" t="inlineStr">
        <is>
          <t>Knärot
Grönpyrola</t>
        </is>
      </c>
      <c r="S474">
        <f>HYPERLINK("https://klasma.github.io/Logging_0883/artfynd/A 59940-2021 artfynd.xlsx", "A 59940-2021")</f>
        <v/>
      </c>
      <c r="T474">
        <f>HYPERLINK("https://klasma.github.io/Logging_0883/kartor/A 59940-2021 karta.png", "A 59940-2021")</f>
        <v/>
      </c>
      <c r="U474">
        <f>HYPERLINK("https://klasma.github.io/Logging_0883/knärot/A 59940-2021 karta knärot.png", "A 59940-2021")</f>
        <v/>
      </c>
      <c r="V474">
        <f>HYPERLINK("https://klasma.github.io/Logging_0883/klagomål/A 59940-2021 FSC-klagomål.docx", "A 59940-2021")</f>
        <v/>
      </c>
      <c r="W474">
        <f>HYPERLINK("https://klasma.github.io/Logging_0883/klagomålsmail/A 59940-2021 FSC-klagomål mail.docx", "A 59940-2021")</f>
        <v/>
      </c>
      <c r="X474">
        <f>HYPERLINK("https://klasma.github.io/Logging_0883/tillsyn/A 59940-2021 tillsynsbegäran.docx", "A 59940-2021")</f>
        <v/>
      </c>
      <c r="Y474">
        <f>HYPERLINK("https://klasma.github.io/Logging_0883/tillsynsmail/A 59940-2021 tillsynsbegäran mail.docx", "A 59940-2021")</f>
        <v/>
      </c>
    </row>
    <row r="475" ht="15" customHeight="1">
      <c r="A475" t="inlineStr">
        <is>
          <t>A 65169-2021</t>
        </is>
      </c>
      <c r="B475" s="1" t="n">
        <v>44515</v>
      </c>
      <c r="C475" s="1" t="n">
        <v>45715</v>
      </c>
      <c r="D475" t="inlineStr">
        <is>
          <t>KALMAR LÄN</t>
        </is>
      </c>
      <c r="E475" t="inlineStr">
        <is>
          <t>OSKARSHAMN</t>
        </is>
      </c>
      <c r="G475" t="n">
        <v>1.6</v>
      </c>
      <c r="H475" t="n">
        <v>0</v>
      </c>
      <c r="I475" t="n">
        <v>1</v>
      </c>
      <c r="J475" t="n">
        <v>1</v>
      </c>
      <c r="K475" t="n">
        <v>0</v>
      </c>
      <c r="L475" t="n">
        <v>0</v>
      </c>
      <c r="M475" t="n">
        <v>0</v>
      </c>
      <c r="N475" t="n">
        <v>0</v>
      </c>
      <c r="O475" t="n">
        <v>1</v>
      </c>
      <c r="P475" t="n">
        <v>0</v>
      </c>
      <c r="Q475" t="n">
        <v>2</v>
      </c>
      <c r="R475" s="2" t="inlineStr">
        <is>
          <t>Svinrot
Svart trolldruva</t>
        </is>
      </c>
      <c r="S475">
        <f>HYPERLINK("https://klasma.github.io/Logging_0882/artfynd/A 65169-2021 artfynd.xlsx", "A 65169-2021")</f>
        <v/>
      </c>
      <c r="T475">
        <f>HYPERLINK("https://klasma.github.io/Logging_0882/kartor/A 65169-2021 karta.png", "A 65169-2021")</f>
        <v/>
      </c>
      <c r="V475">
        <f>HYPERLINK("https://klasma.github.io/Logging_0882/klagomål/A 65169-2021 FSC-klagomål.docx", "A 65169-2021")</f>
        <v/>
      </c>
      <c r="W475">
        <f>HYPERLINK("https://klasma.github.io/Logging_0882/klagomålsmail/A 65169-2021 FSC-klagomål mail.docx", "A 65169-2021")</f>
        <v/>
      </c>
      <c r="X475">
        <f>HYPERLINK("https://klasma.github.io/Logging_0882/tillsyn/A 65169-2021 tillsynsbegäran.docx", "A 65169-2021")</f>
        <v/>
      </c>
      <c r="Y475">
        <f>HYPERLINK("https://klasma.github.io/Logging_0882/tillsynsmail/A 65169-2021 tillsynsbegäran mail.docx", "A 65169-2021")</f>
        <v/>
      </c>
    </row>
    <row r="476" ht="15" customHeight="1">
      <c r="A476" t="inlineStr">
        <is>
          <t>A 68563-2021</t>
        </is>
      </c>
      <c r="B476" s="1" t="n">
        <v>44529</v>
      </c>
      <c r="C476" s="1" t="n">
        <v>45715</v>
      </c>
      <c r="D476" t="inlineStr">
        <is>
          <t>KALMAR LÄN</t>
        </is>
      </c>
      <c r="E476" t="inlineStr">
        <is>
          <t>HÖGSBY</t>
        </is>
      </c>
      <c r="F476" t="inlineStr">
        <is>
          <t>Sveaskog</t>
        </is>
      </c>
      <c r="G476" t="n">
        <v>9.1</v>
      </c>
      <c r="H476" t="n">
        <v>0</v>
      </c>
      <c r="I476" t="n">
        <v>0</v>
      </c>
      <c r="J476" t="n">
        <v>1</v>
      </c>
      <c r="K476" t="n">
        <v>0</v>
      </c>
      <c r="L476" t="n">
        <v>1</v>
      </c>
      <c r="M476" t="n">
        <v>0</v>
      </c>
      <c r="N476" t="n">
        <v>0</v>
      </c>
      <c r="O476" t="n">
        <v>2</v>
      </c>
      <c r="P476" t="n">
        <v>1</v>
      </c>
      <c r="Q476" t="n">
        <v>2</v>
      </c>
      <c r="R476" s="2" t="inlineStr">
        <is>
          <t>Ask
Matt blombagge</t>
        </is>
      </c>
      <c r="S476">
        <f>HYPERLINK("https://klasma.github.io/Logging_0821/artfynd/A 68563-2021 artfynd.xlsx", "A 68563-2021")</f>
        <v/>
      </c>
      <c r="T476">
        <f>HYPERLINK("https://klasma.github.io/Logging_0821/kartor/A 68563-2021 karta.png", "A 68563-2021")</f>
        <v/>
      </c>
      <c r="V476">
        <f>HYPERLINK("https://klasma.github.io/Logging_0821/klagomål/A 68563-2021 FSC-klagomål.docx", "A 68563-2021")</f>
        <v/>
      </c>
      <c r="W476">
        <f>HYPERLINK("https://klasma.github.io/Logging_0821/klagomålsmail/A 68563-2021 FSC-klagomål mail.docx", "A 68563-2021")</f>
        <v/>
      </c>
      <c r="X476">
        <f>HYPERLINK("https://klasma.github.io/Logging_0821/tillsyn/A 68563-2021 tillsynsbegäran.docx", "A 68563-2021")</f>
        <v/>
      </c>
      <c r="Y476">
        <f>HYPERLINK("https://klasma.github.io/Logging_0821/tillsynsmail/A 68563-2021 tillsynsbegäran mail.docx", "A 68563-2021")</f>
        <v/>
      </c>
    </row>
    <row r="477" ht="15" customHeight="1">
      <c r="A477" t="inlineStr">
        <is>
          <t>A 72945-2021</t>
        </is>
      </c>
      <c r="B477" s="1" t="n">
        <v>44547</v>
      </c>
      <c r="C477" s="1" t="n">
        <v>45715</v>
      </c>
      <c r="D477" t="inlineStr">
        <is>
          <t>KALMAR LÄN</t>
        </is>
      </c>
      <c r="E477" t="inlineStr">
        <is>
          <t>VÄSTERVIK</t>
        </is>
      </c>
      <c r="G477" t="n">
        <v>1.6</v>
      </c>
      <c r="H477" t="n">
        <v>0</v>
      </c>
      <c r="I477" t="n">
        <v>1</v>
      </c>
      <c r="J477" t="n">
        <v>1</v>
      </c>
      <c r="K477" t="n">
        <v>0</v>
      </c>
      <c r="L477" t="n">
        <v>0</v>
      </c>
      <c r="M477" t="n">
        <v>0</v>
      </c>
      <c r="N477" t="n">
        <v>0</v>
      </c>
      <c r="O477" t="n">
        <v>1</v>
      </c>
      <c r="P477" t="n">
        <v>0</v>
      </c>
      <c r="Q477" t="n">
        <v>2</v>
      </c>
      <c r="R477" s="2" t="inlineStr">
        <is>
          <t>Veckticka
Rävticka</t>
        </is>
      </c>
      <c r="S477">
        <f>HYPERLINK("https://klasma.github.io/Logging_0883/artfynd/A 72945-2021 artfynd.xlsx", "A 72945-2021")</f>
        <v/>
      </c>
      <c r="T477">
        <f>HYPERLINK("https://klasma.github.io/Logging_0883/kartor/A 72945-2021 karta.png", "A 72945-2021")</f>
        <v/>
      </c>
      <c r="V477">
        <f>HYPERLINK("https://klasma.github.io/Logging_0883/klagomål/A 72945-2021 FSC-klagomål.docx", "A 72945-2021")</f>
        <v/>
      </c>
      <c r="W477">
        <f>HYPERLINK("https://klasma.github.io/Logging_0883/klagomålsmail/A 72945-2021 FSC-klagomål mail.docx", "A 72945-2021")</f>
        <v/>
      </c>
      <c r="X477">
        <f>HYPERLINK("https://klasma.github.io/Logging_0883/tillsyn/A 72945-2021 tillsynsbegäran.docx", "A 72945-2021")</f>
        <v/>
      </c>
      <c r="Y477">
        <f>HYPERLINK("https://klasma.github.io/Logging_0883/tillsynsmail/A 72945-2021 tillsynsbegäran mail.docx", "A 72945-2021")</f>
        <v/>
      </c>
    </row>
    <row r="478" ht="15" customHeight="1">
      <c r="A478" t="inlineStr">
        <is>
          <t>A 74390-2021</t>
        </is>
      </c>
      <c r="B478" s="1" t="n">
        <v>44559</v>
      </c>
      <c r="C478" s="1" t="n">
        <v>45715</v>
      </c>
      <c r="D478" t="inlineStr">
        <is>
          <t>KALMAR LÄN</t>
        </is>
      </c>
      <c r="E478" t="inlineStr">
        <is>
          <t>HULTSFRED</t>
        </is>
      </c>
      <c r="G478" t="n">
        <v>1.6</v>
      </c>
      <c r="H478" t="n">
        <v>0</v>
      </c>
      <c r="I478" t="n">
        <v>2</v>
      </c>
      <c r="J478" t="n">
        <v>0</v>
      </c>
      <c r="K478" t="n">
        <v>0</v>
      </c>
      <c r="L478" t="n">
        <v>0</v>
      </c>
      <c r="M478" t="n">
        <v>0</v>
      </c>
      <c r="N478" t="n">
        <v>0</v>
      </c>
      <c r="O478" t="n">
        <v>0</v>
      </c>
      <c r="P478" t="n">
        <v>0</v>
      </c>
      <c r="Q478" t="n">
        <v>2</v>
      </c>
      <c r="R478" s="2" t="inlineStr">
        <is>
          <t>Dvärgkällmossa
Källmossa</t>
        </is>
      </c>
      <c r="S478">
        <f>HYPERLINK("https://klasma.github.io/Logging_0860/artfynd/A 74390-2021 artfynd.xlsx", "A 74390-2021")</f>
        <v/>
      </c>
      <c r="T478">
        <f>HYPERLINK("https://klasma.github.io/Logging_0860/kartor/A 74390-2021 karta.png", "A 74390-2021")</f>
        <v/>
      </c>
      <c r="V478">
        <f>HYPERLINK("https://klasma.github.io/Logging_0860/klagomål/A 74390-2021 FSC-klagomål.docx", "A 74390-2021")</f>
        <v/>
      </c>
      <c r="W478">
        <f>HYPERLINK("https://klasma.github.io/Logging_0860/klagomålsmail/A 74390-2021 FSC-klagomål mail.docx", "A 74390-2021")</f>
        <v/>
      </c>
      <c r="X478">
        <f>HYPERLINK("https://klasma.github.io/Logging_0860/tillsyn/A 74390-2021 tillsynsbegäran.docx", "A 74390-2021")</f>
        <v/>
      </c>
      <c r="Y478">
        <f>HYPERLINK("https://klasma.github.io/Logging_0860/tillsynsmail/A 74390-2021 tillsynsbegäran mail.docx", "A 74390-2021")</f>
        <v/>
      </c>
    </row>
    <row r="479" ht="15" customHeight="1">
      <c r="A479" t="inlineStr">
        <is>
          <t>A 251-2022</t>
        </is>
      </c>
      <c r="B479" s="1" t="n">
        <v>44565</v>
      </c>
      <c r="C479" s="1" t="n">
        <v>45715</v>
      </c>
      <c r="D479" t="inlineStr">
        <is>
          <t>KALMAR LÄN</t>
        </is>
      </c>
      <c r="E479" t="inlineStr">
        <is>
          <t>HULTSFRED</t>
        </is>
      </c>
      <c r="G479" t="n">
        <v>10.4</v>
      </c>
      <c r="H479" t="n">
        <v>1</v>
      </c>
      <c r="I479" t="n">
        <v>1</v>
      </c>
      <c r="J479" t="n">
        <v>1</v>
      </c>
      <c r="K479" t="n">
        <v>0</v>
      </c>
      <c r="L479" t="n">
        <v>0</v>
      </c>
      <c r="M479" t="n">
        <v>0</v>
      </c>
      <c r="N479" t="n">
        <v>0</v>
      </c>
      <c r="O479" t="n">
        <v>1</v>
      </c>
      <c r="P479" t="n">
        <v>0</v>
      </c>
      <c r="Q479" t="n">
        <v>2</v>
      </c>
      <c r="R479" s="2" t="inlineStr">
        <is>
          <t>Entita
Blåmossa</t>
        </is>
      </c>
      <c r="S479">
        <f>HYPERLINK("https://klasma.github.io/Logging_0860/artfynd/A 251-2022 artfynd.xlsx", "A 251-2022")</f>
        <v/>
      </c>
      <c r="T479">
        <f>HYPERLINK("https://klasma.github.io/Logging_0860/kartor/A 251-2022 karta.png", "A 251-2022")</f>
        <v/>
      </c>
      <c r="V479">
        <f>HYPERLINK("https://klasma.github.io/Logging_0860/klagomål/A 251-2022 FSC-klagomål.docx", "A 251-2022")</f>
        <v/>
      </c>
      <c r="W479">
        <f>HYPERLINK("https://klasma.github.io/Logging_0860/klagomålsmail/A 251-2022 FSC-klagomål mail.docx", "A 251-2022")</f>
        <v/>
      </c>
      <c r="X479">
        <f>HYPERLINK("https://klasma.github.io/Logging_0860/tillsyn/A 251-2022 tillsynsbegäran.docx", "A 251-2022")</f>
        <v/>
      </c>
      <c r="Y479">
        <f>HYPERLINK("https://klasma.github.io/Logging_0860/tillsynsmail/A 251-2022 tillsynsbegäran mail.docx", "A 251-2022")</f>
        <v/>
      </c>
      <c r="Z479">
        <f>HYPERLINK("https://klasma.github.io/Logging_0860/fåglar/A 251-2022 prioriterade fågelarter.docx", "A 251-2022")</f>
        <v/>
      </c>
    </row>
    <row r="480" ht="15" customHeight="1">
      <c r="A480" t="inlineStr">
        <is>
          <t>A 942-2022</t>
        </is>
      </c>
      <c r="B480" s="1" t="n">
        <v>44568</v>
      </c>
      <c r="C480" s="1" t="n">
        <v>45715</v>
      </c>
      <c r="D480" t="inlineStr">
        <is>
          <t>KALMAR LÄN</t>
        </is>
      </c>
      <c r="E480" t="inlineStr">
        <is>
          <t>TORSÅS</t>
        </is>
      </c>
      <c r="G480" t="n">
        <v>4.7</v>
      </c>
      <c r="H480" t="n">
        <v>0</v>
      </c>
      <c r="I480" t="n">
        <v>1</v>
      </c>
      <c r="J480" t="n">
        <v>1</v>
      </c>
      <c r="K480" t="n">
        <v>0</v>
      </c>
      <c r="L480" t="n">
        <v>0</v>
      </c>
      <c r="M480" t="n">
        <v>0</v>
      </c>
      <c r="N480" t="n">
        <v>0</v>
      </c>
      <c r="O480" t="n">
        <v>1</v>
      </c>
      <c r="P480" t="n">
        <v>0</v>
      </c>
      <c r="Q480" t="n">
        <v>2</v>
      </c>
      <c r="R480" s="2" t="inlineStr">
        <is>
          <t>Tallticka
Brandticka</t>
        </is>
      </c>
      <c r="S480">
        <f>HYPERLINK("https://klasma.github.io/Logging_0834/artfynd/A 942-2022 artfynd.xlsx", "A 942-2022")</f>
        <v/>
      </c>
      <c r="T480">
        <f>HYPERLINK("https://klasma.github.io/Logging_0834/kartor/A 942-2022 karta.png", "A 942-2022")</f>
        <v/>
      </c>
      <c r="V480">
        <f>HYPERLINK("https://klasma.github.io/Logging_0834/klagomål/A 942-2022 FSC-klagomål.docx", "A 942-2022")</f>
        <v/>
      </c>
      <c r="W480">
        <f>HYPERLINK("https://klasma.github.io/Logging_0834/klagomålsmail/A 942-2022 FSC-klagomål mail.docx", "A 942-2022")</f>
        <v/>
      </c>
      <c r="X480">
        <f>HYPERLINK("https://klasma.github.io/Logging_0834/tillsyn/A 942-2022 tillsynsbegäran.docx", "A 942-2022")</f>
        <v/>
      </c>
      <c r="Y480">
        <f>HYPERLINK("https://klasma.github.io/Logging_0834/tillsynsmail/A 942-2022 tillsynsbegäran mail.docx", "A 942-2022")</f>
        <v/>
      </c>
    </row>
    <row r="481" ht="15" customHeight="1">
      <c r="A481" t="inlineStr">
        <is>
          <t>A 635-2022</t>
        </is>
      </c>
      <c r="B481" s="1" t="n">
        <v>44568</v>
      </c>
      <c r="C481" s="1" t="n">
        <v>45715</v>
      </c>
      <c r="D481" t="inlineStr">
        <is>
          <t>KALMAR LÄN</t>
        </is>
      </c>
      <c r="E481" t="inlineStr">
        <is>
          <t>OSKARSHAMN</t>
        </is>
      </c>
      <c r="G481" t="n">
        <v>6.2</v>
      </c>
      <c r="H481" t="n">
        <v>0</v>
      </c>
      <c r="I481" t="n">
        <v>0</v>
      </c>
      <c r="J481" t="n">
        <v>2</v>
      </c>
      <c r="K481" t="n">
        <v>0</v>
      </c>
      <c r="L481" t="n">
        <v>0</v>
      </c>
      <c r="M481" t="n">
        <v>0</v>
      </c>
      <c r="N481" t="n">
        <v>0</v>
      </c>
      <c r="O481" t="n">
        <v>2</v>
      </c>
      <c r="P481" t="n">
        <v>0</v>
      </c>
      <c r="Q481" t="n">
        <v>2</v>
      </c>
      <c r="R481" s="2" t="inlineStr">
        <is>
          <t>Orange taggsvamp
Svart taggsvamp</t>
        </is>
      </c>
      <c r="S481">
        <f>HYPERLINK("https://klasma.github.io/Logging_0882/artfynd/A 635-2022 artfynd.xlsx", "A 635-2022")</f>
        <v/>
      </c>
      <c r="T481">
        <f>HYPERLINK("https://klasma.github.io/Logging_0882/kartor/A 635-2022 karta.png", "A 635-2022")</f>
        <v/>
      </c>
      <c r="V481">
        <f>HYPERLINK("https://klasma.github.io/Logging_0882/klagomål/A 635-2022 FSC-klagomål.docx", "A 635-2022")</f>
        <v/>
      </c>
      <c r="W481">
        <f>HYPERLINK("https://klasma.github.io/Logging_0882/klagomålsmail/A 635-2022 FSC-klagomål mail.docx", "A 635-2022")</f>
        <v/>
      </c>
      <c r="X481">
        <f>HYPERLINK("https://klasma.github.io/Logging_0882/tillsyn/A 635-2022 tillsynsbegäran.docx", "A 635-2022")</f>
        <v/>
      </c>
      <c r="Y481">
        <f>HYPERLINK("https://klasma.github.io/Logging_0882/tillsynsmail/A 635-2022 tillsynsbegäran mail.docx", "A 635-2022")</f>
        <v/>
      </c>
    </row>
    <row r="482" ht="15" customHeight="1">
      <c r="A482" t="inlineStr">
        <is>
          <t>A 5086-2022</t>
        </is>
      </c>
      <c r="B482" s="1" t="n">
        <v>44593</v>
      </c>
      <c r="C482" s="1" t="n">
        <v>45715</v>
      </c>
      <c r="D482" t="inlineStr">
        <is>
          <t>KALMAR LÄN</t>
        </is>
      </c>
      <c r="E482" t="inlineStr">
        <is>
          <t>OSKARSHAMN</t>
        </is>
      </c>
      <c r="F482" t="inlineStr">
        <is>
          <t>Sveaskog</t>
        </is>
      </c>
      <c r="G482" t="n">
        <v>1.6</v>
      </c>
      <c r="H482" t="n">
        <v>2</v>
      </c>
      <c r="I482" t="n">
        <v>0</v>
      </c>
      <c r="J482" t="n">
        <v>0</v>
      </c>
      <c r="K482" t="n">
        <v>0</v>
      </c>
      <c r="L482" t="n">
        <v>0</v>
      </c>
      <c r="M482" t="n">
        <v>0</v>
      </c>
      <c r="N482" t="n">
        <v>0</v>
      </c>
      <c r="O482" t="n">
        <v>0</v>
      </c>
      <c r="P482" t="n">
        <v>0</v>
      </c>
      <c r="Q482" t="n">
        <v>2</v>
      </c>
      <c r="R482" s="2" t="inlineStr">
        <is>
          <t>Järnsparv
Kungsfågel</t>
        </is>
      </c>
      <c r="S482">
        <f>HYPERLINK("https://klasma.github.io/Logging_0882/artfynd/A 5086-2022 artfynd.xlsx", "A 5086-2022")</f>
        <v/>
      </c>
      <c r="T482">
        <f>HYPERLINK("https://klasma.github.io/Logging_0882/kartor/A 5086-2022 karta.png", "A 5086-2022")</f>
        <v/>
      </c>
      <c r="V482">
        <f>HYPERLINK("https://klasma.github.io/Logging_0882/klagomål/A 5086-2022 FSC-klagomål.docx", "A 5086-2022")</f>
        <v/>
      </c>
      <c r="W482">
        <f>HYPERLINK("https://klasma.github.io/Logging_0882/klagomålsmail/A 5086-2022 FSC-klagomål mail.docx", "A 5086-2022")</f>
        <v/>
      </c>
      <c r="X482">
        <f>HYPERLINK("https://klasma.github.io/Logging_0882/tillsyn/A 5086-2022 tillsynsbegäran.docx", "A 5086-2022")</f>
        <v/>
      </c>
      <c r="Y482">
        <f>HYPERLINK("https://klasma.github.io/Logging_0882/tillsynsmail/A 5086-2022 tillsynsbegäran mail.docx", "A 5086-2022")</f>
        <v/>
      </c>
      <c r="Z482">
        <f>HYPERLINK("https://klasma.github.io/Logging_0882/fåglar/A 5086-2022 prioriterade fågelarter.docx", "A 5086-2022")</f>
        <v/>
      </c>
    </row>
    <row r="483" ht="15" customHeight="1">
      <c r="A483" t="inlineStr">
        <is>
          <t>A 9518-2022</t>
        </is>
      </c>
      <c r="B483" s="1" t="n">
        <v>44616</v>
      </c>
      <c r="C483" s="1" t="n">
        <v>45715</v>
      </c>
      <c r="D483" t="inlineStr">
        <is>
          <t>KALMAR LÄN</t>
        </is>
      </c>
      <c r="E483" t="inlineStr">
        <is>
          <t>OSKARSHAMN</t>
        </is>
      </c>
      <c r="F483" t="inlineStr">
        <is>
          <t>Kyrkan</t>
        </is>
      </c>
      <c r="G483" t="n">
        <v>1.9</v>
      </c>
      <c r="H483" t="n">
        <v>1</v>
      </c>
      <c r="I483" t="n">
        <v>1</v>
      </c>
      <c r="J483" t="n">
        <v>0</v>
      </c>
      <c r="K483" t="n">
        <v>0</v>
      </c>
      <c r="L483" t="n">
        <v>0</v>
      </c>
      <c r="M483" t="n">
        <v>0</v>
      </c>
      <c r="N483" t="n">
        <v>0</v>
      </c>
      <c r="O483" t="n">
        <v>0</v>
      </c>
      <c r="P483" t="n">
        <v>0</v>
      </c>
      <c r="Q483" t="n">
        <v>2</v>
      </c>
      <c r="R483" s="2" t="inlineStr">
        <is>
          <t>Blåmossa
Revlummer</t>
        </is>
      </c>
      <c r="S483">
        <f>HYPERLINK("https://klasma.github.io/Logging_0882/artfynd/A 9518-2022 artfynd.xlsx", "A 9518-2022")</f>
        <v/>
      </c>
      <c r="T483">
        <f>HYPERLINK("https://klasma.github.io/Logging_0882/kartor/A 9518-2022 karta.png", "A 9518-2022")</f>
        <v/>
      </c>
      <c r="V483">
        <f>HYPERLINK("https://klasma.github.io/Logging_0882/klagomål/A 9518-2022 FSC-klagomål.docx", "A 9518-2022")</f>
        <v/>
      </c>
      <c r="W483">
        <f>HYPERLINK("https://klasma.github.io/Logging_0882/klagomålsmail/A 9518-2022 FSC-klagomål mail.docx", "A 9518-2022")</f>
        <v/>
      </c>
      <c r="X483">
        <f>HYPERLINK("https://klasma.github.io/Logging_0882/tillsyn/A 9518-2022 tillsynsbegäran.docx", "A 9518-2022")</f>
        <v/>
      </c>
      <c r="Y483">
        <f>HYPERLINK("https://klasma.github.io/Logging_0882/tillsynsmail/A 9518-2022 tillsynsbegäran mail.docx", "A 9518-2022")</f>
        <v/>
      </c>
    </row>
    <row r="484" ht="15" customHeight="1">
      <c r="A484" t="inlineStr">
        <is>
          <t>A 14927-2022</t>
        </is>
      </c>
      <c r="B484" s="1" t="n">
        <v>44657</v>
      </c>
      <c r="C484" s="1" t="n">
        <v>45715</v>
      </c>
      <c r="D484" t="inlineStr">
        <is>
          <t>KALMAR LÄN</t>
        </is>
      </c>
      <c r="E484" t="inlineStr">
        <is>
          <t>VÄSTERVIK</t>
        </is>
      </c>
      <c r="F484" t="inlineStr">
        <is>
          <t>Holmen skog AB</t>
        </is>
      </c>
      <c r="G484" t="n">
        <v>1.1</v>
      </c>
      <c r="H484" t="n">
        <v>2</v>
      </c>
      <c r="I484" t="n">
        <v>1</v>
      </c>
      <c r="J484" t="n">
        <v>0</v>
      </c>
      <c r="K484" t="n">
        <v>0</v>
      </c>
      <c r="L484" t="n">
        <v>0</v>
      </c>
      <c r="M484" t="n">
        <v>0</v>
      </c>
      <c r="N484" t="n">
        <v>0</v>
      </c>
      <c r="O484" t="n">
        <v>0</v>
      </c>
      <c r="P484" t="n">
        <v>0</v>
      </c>
      <c r="Q484" t="n">
        <v>2</v>
      </c>
      <c r="R484" s="2" t="inlineStr">
        <is>
          <t>Ekoxe
Revlummer</t>
        </is>
      </c>
      <c r="S484">
        <f>HYPERLINK("https://klasma.github.io/Logging_0883/artfynd/A 14927-2022 artfynd.xlsx", "A 14927-2022")</f>
        <v/>
      </c>
      <c r="T484">
        <f>HYPERLINK("https://klasma.github.io/Logging_0883/kartor/A 14927-2022 karta.png", "A 14927-2022")</f>
        <v/>
      </c>
      <c r="V484">
        <f>HYPERLINK("https://klasma.github.io/Logging_0883/klagomål/A 14927-2022 FSC-klagomål.docx", "A 14927-2022")</f>
        <v/>
      </c>
      <c r="W484">
        <f>HYPERLINK("https://klasma.github.io/Logging_0883/klagomålsmail/A 14927-2022 FSC-klagomål mail.docx", "A 14927-2022")</f>
        <v/>
      </c>
      <c r="X484">
        <f>HYPERLINK("https://klasma.github.io/Logging_0883/tillsyn/A 14927-2022 tillsynsbegäran.docx", "A 14927-2022")</f>
        <v/>
      </c>
      <c r="Y484">
        <f>HYPERLINK("https://klasma.github.io/Logging_0883/tillsynsmail/A 14927-2022 tillsynsbegäran mail.docx", "A 14927-2022")</f>
        <v/>
      </c>
    </row>
    <row r="485" ht="15" customHeight="1">
      <c r="A485" t="inlineStr">
        <is>
          <t>A 21024-2022</t>
        </is>
      </c>
      <c r="B485" s="1" t="n">
        <v>44704</v>
      </c>
      <c r="C485" s="1" t="n">
        <v>45715</v>
      </c>
      <c r="D485" t="inlineStr">
        <is>
          <t>KALMAR LÄN</t>
        </is>
      </c>
      <c r="E485" t="inlineStr">
        <is>
          <t>VÄSTERVIK</t>
        </is>
      </c>
      <c r="F485" t="inlineStr">
        <is>
          <t>Sveaskog</t>
        </is>
      </c>
      <c r="G485" t="n">
        <v>4.4</v>
      </c>
      <c r="H485" t="n">
        <v>0</v>
      </c>
      <c r="I485" t="n">
        <v>2</v>
      </c>
      <c r="J485" t="n">
        <v>0</v>
      </c>
      <c r="K485" t="n">
        <v>0</v>
      </c>
      <c r="L485" t="n">
        <v>0</v>
      </c>
      <c r="M485" t="n">
        <v>0</v>
      </c>
      <c r="N485" t="n">
        <v>0</v>
      </c>
      <c r="O485" t="n">
        <v>0</v>
      </c>
      <c r="P485" t="n">
        <v>0</v>
      </c>
      <c r="Q485" t="n">
        <v>2</v>
      </c>
      <c r="R485" s="2" t="inlineStr">
        <is>
          <t>Skogsbräsma
Vätteros</t>
        </is>
      </c>
      <c r="S485">
        <f>HYPERLINK("https://klasma.github.io/Logging_0883/artfynd/A 21024-2022 artfynd.xlsx", "A 21024-2022")</f>
        <v/>
      </c>
      <c r="T485">
        <f>HYPERLINK("https://klasma.github.io/Logging_0883/kartor/A 21024-2022 karta.png", "A 21024-2022")</f>
        <v/>
      </c>
      <c r="V485">
        <f>HYPERLINK("https://klasma.github.io/Logging_0883/klagomål/A 21024-2022 FSC-klagomål.docx", "A 21024-2022")</f>
        <v/>
      </c>
      <c r="W485">
        <f>HYPERLINK("https://klasma.github.io/Logging_0883/klagomålsmail/A 21024-2022 FSC-klagomål mail.docx", "A 21024-2022")</f>
        <v/>
      </c>
      <c r="X485">
        <f>HYPERLINK("https://klasma.github.io/Logging_0883/tillsyn/A 21024-2022 tillsynsbegäran.docx", "A 21024-2022")</f>
        <v/>
      </c>
      <c r="Y485">
        <f>HYPERLINK("https://klasma.github.io/Logging_0883/tillsynsmail/A 21024-2022 tillsynsbegäran mail.docx", "A 21024-2022")</f>
        <v/>
      </c>
    </row>
    <row r="486" ht="15" customHeight="1">
      <c r="A486" t="inlineStr">
        <is>
          <t>A 25145-2022</t>
        </is>
      </c>
      <c r="B486" s="1" t="n">
        <v>44729</v>
      </c>
      <c r="C486" s="1" t="n">
        <v>45715</v>
      </c>
      <c r="D486" t="inlineStr">
        <is>
          <t>KALMAR LÄN</t>
        </is>
      </c>
      <c r="E486" t="inlineStr">
        <is>
          <t>VÄSTERVIK</t>
        </is>
      </c>
      <c r="G486" t="n">
        <v>1.3</v>
      </c>
      <c r="H486" t="n">
        <v>1</v>
      </c>
      <c r="I486" t="n">
        <v>0</v>
      </c>
      <c r="J486" t="n">
        <v>1</v>
      </c>
      <c r="K486" t="n">
        <v>1</v>
      </c>
      <c r="L486" t="n">
        <v>0</v>
      </c>
      <c r="M486" t="n">
        <v>0</v>
      </c>
      <c r="N486" t="n">
        <v>0</v>
      </c>
      <c r="O486" t="n">
        <v>2</v>
      </c>
      <c r="P486" t="n">
        <v>1</v>
      </c>
      <c r="Q486" t="n">
        <v>2</v>
      </c>
      <c r="R486" s="2" t="inlineStr">
        <is>
          <t>Knärot
Tallticka</t>
        </is>
      </c>
      <c r="S486">
        <f>HYPERLINK("https://klasma.github.io/Logging_0883/artfynd/A 25145-2022 artfynd.xlsx", "A 25145-2022")</f>
        <v/>
      </c>
      <c r="T486">
        <f>HYPERLINK("https://klasma.github.io/Logging_0883/kartor/A 25145-2022 karta.png", "A 25145-2022")</f>
        <v/>
      </c>
      <c r="U486">
        <f>HYPERLINK("https://klasma.github.io/Logging_0883/knärot/A 25145-2022 karta knärot.png", "A 25145-2022")</f>
        <v/>
      </c>
      <c r="V486">
        <f>HYPERLINK("https://klasma.github.io/Logging_0883/klagomål/A 25145-2022 FSC-klagomål.docx", "A 25145-2022")</f>
        <v/>
      </c>
      <c r="W486">
        <f>HYPERLINK("https://klasma.github.io/Logging_0883/klagomålsmail/A 25145-2022 FSC-klagomål mail.docx", "A 25145-2022")</f>
        <v/>
      </c>
      <c r="X486">
        <f>HYPERLINK("https://klasma.github.io/Logging_0883/tillsyn/A 25145-2022 tillsynsbegäran.docx", "A 25145-2022")</f>
        <v/>
      </c>
      <c r="Y486">
        <f>HYPERLINK("https://klasma.github.io/Logging_0883/tillsynsmail/A 25145-2022 tillsynsbegäran mail.docx", "A 25145-2022")</f>
        <v/>
      </c>
    </row>
    <row r="487" ht="15" customHeight="1">
      <c r="A487" t="inlineStr">
        <is>
          <t>A 31733-2022</t>
        </is>
      </c>
      <c r="B487" s="1" t="n">
        <v>44776</v>
      </c>
      <c r="C487" s="1" t="n">
        <v>45715</v>
      </c>
      <c r="D487" t="inlineStr">
        <is>
          <t>KALMAR LÄN</t>
        </is>
      </c>
      <c r="E487" t="inlineStr">
        <is>
          <t>BORGHOLM</t>
        </is>
      </c>
      <c r="F487" t="inlineStr">
        <is>
          <t>Sveaskog</t>
        </is>
      </c>
      <c r="G487" t="n">
        <v>6.9</v>
      </c>
      <c r="H487" t="n">
        <v>1</v>
      </c>
      <c r="I487" t="n">
        <v>1</v>
      </c>
      <c r="J487" t="n">
        <v>0</v>
      </c>
      <c r="K487" t="n">
        <v>0</v>
      </c>
      <c r="L487" t="n">
        <v>1</v>
      </c>
      <c r="M487" t="n">
        <v>0</v>
      </c>
      <c r="N487" t="n">
        <v>0</v>
      </c>
      <c r="O487" t="n">
        <v>1</v>
      </c>
      <c r="P487" t="n">
        <v>1</v>
      </c>
      <c r="Q487" t="n">
        <v>2</v>
      </c>
      <c r="R487" s="2" t="inlineStr">
        <is>
          <t>Ask
Skogsknipprot</t>
        </is>
      </c>
      <c r="S487">
        <f>HYPERLINK("https://klasma.github.io/Logging_0885/artfynd/A 31733-2022 artfynd.xlsx", "A 31733-2022")</f>
        <v/>
      </c>
      <c r="T487">
        <f>HYPERLINK("https://klasma.github.io/Logging_0885/kartor/A 31733-2022 karta.png", "A 31733-2022")</f>
        <v/>
      </c>
      <c r="V487">
        <f>HYPERLINK("https://klasma.github.io/Logging_0885/klagomål/A 31733-2022 FSC-klagomål.docx", "A 31733-2022")</f>
        <v/>
      </c>
      <c r="W487">
        <f>HYPERLINK("https://klasma.github.io/Logging_0885/klagomålsmail/A 31733-2022 FSC-klagomål mail.docx", "A 31733-2022")</f>
        <v/>
      </c>
      <c r="X487">
        <f>HYPERLINK("https://klasma.github.io/Logging_0885/tillsyn/A 31733-2022 tillsynsbegäran.docx", "A 31733-2022")</f>
        <v/>
      </c>
      <c r="Y487">
        <f>HYPERLINK("https://klasma.github.io/Logging_0885/tillsynsmail/A 31733-2022 tillsynsbegäran mail.docx", "A 31733-2022")</f>
        <v/>
      </c>
    </row>
    <row r="488" ht="15" customHeight="1">
      <c r="A488" t="inlineStr">
        <is>
          <t>A 32174-2022</t>
        </is>
      </c>
      <c r="B488" s="1" t="n">
        <v>44781</v>
      </c>
      <c r="C488" s="1" t="n">
        <v>45715</v>
      </c>
      <c r="D488" t="inlineStr">
        <is>
          <t>KALMAR LÄN</t>
        </is>
      </c>
      <c r="E488" t="inlineStr">
        <is>
          <t>BORGHOLM</t>
        </is>
      </c>
      <c r="F488" t="inlineStr">
        <is>
          <t>Sveaskog</t>
        </is>
      </c>
      <c r="G488" t="n">
        <v>1.6</v>
      </c>
      <c r="H488" t="n">
        <v>1</v>
      </c>
      <c r="I488" t="n">
        <v>1</v>
      </c>
      <c r="J488" t="n">
        <v>1</v>
      </c>
      <c r="K488" t="n">
        <v>0</v>
      </c>
      <c r="L488" t="n">
        <v>0</v>
      </c>
      <c r="M488" t="n">
        <v>0</v>
      </c>
      <c r="N488" t="n">
        <v>0</v>
      </c>
      <c r="O488" t="n">
        <v>1</v>
      </c>
      <c r="P488" t="n">
        <v>0</v>
      </c>
      <c r="Q488" t="n">
        <v>2</v>
      </c>
      <c r="R488" s="2" t="inlineStr">
        <is>
          <t>Backklöver
Tvåblad</t>
        </is>
      </c>
      <c r="S488">
        <f>HYPERLINK("https://klasma.github.io/Logging_0885/artfynd/A 32174-2022 artfynd.xlsx", "A 32174-2022")</f>
        <v/>
      </c>
      <c r="T488">
        <f>HYPERLINK("https://klasma.github.io/Logging_0885/kartor/A 32174-2022 karta.png", "A 32174-2022")</f>
        <v/>
      </c>
      <c r="V488">
        <f>HYPERLINK("https://klasma.github.io/Logging_0885/klagomål/A 32174-2022 FSC-klagomål.docx", "A 32174-2022")</f>
        <v/>
      </c>
      <c r="W488">
        <f>HYPERLINK("https://klasma.github.io/Logging_0885/klagomålsmail/A 32174-2022 FSC-klagomål mail.docx", "A 32174-2022")</f>
        <v/>
      </c>
      <c r="X488">
        <f>HYPERLINK("https://klasma.github.io/Logging_0885/tillsyn/A 32174-2022 tillsynsbegäran.docx", "A 32174-2022")</f>
        <v/>
      </c>
      <c r="Y488">
        <f>HYPERLINK("https://klasma.github.io/Logging_0885/tillsynsmail/A 32174-2022 tillsynsbegäran mail.docx", "A 32174-2022")</f>
        <v/>
      </c>
    </row>
    <row r="489" ht="15" customHeight="1">
      <c r="A489" t="inlineStr">
        <is>
          <t>A 33043-2022</t>
        </is>
      </c>
      <c r="B489" s="1" t="n">
        <v>44785</v>
      </c>
      <c r="C489" s="1" t="n">
        <v>45715</v>
      </c>
      <c r="D489" t="inlineStr">
        <is>
          <t>KALMAR LÄN</t>
        </is>
      </c>
      <c r="E489" t="inlineStr">
        <is>
          <t>KALMAR</t>
        </is>
      </c>
      <c r="F489" t="inlineStr">
        <is>
          <t>Kyrkan</t>
        </is>
      </c>
      <c r="G489" t="n">
        <v>1.6</v>
      </c>
      <c r="H489" t="n">
        <v>1</v>
      </c>
      <c r="I489" t="n">
        <v>1</v>
      </c>
      <c r="J489" t="n">
        <v>0</v>
      </c>
      <c r="K489" t="n">
        <v>1</v>
      </c>
      <c r="L489" t="n">
        <v>0</v>
      </c>
      <c r="M489" t="n">
        <v>0</v>
      </c>
      <c r="N489" t="n">
        <v>0</v>
      </c>
      <c r="O489" t="n">
        <v>1</v>
      </c>
      <c r="P489" t="n">
        <v>1</v>
      </c>
      <c r="Q489" t="n">
        <v>2</v>
      </c>
      <c r="R489" s="2" t="inlineStr">
        <is>
          <t>Knärot
Murgröna</t>
        </is>
      </c>
      <c r="S489">
        <f>HYPERLINK("https://klasma.github.io/Logging_0880/artfynd/A 33043-2022 artfynd.xlsx", "A 33043-2022")</f>
        <v/>
      </c>
      <c r="T489">
        <f>HYPERLINK("https://klasma.github.io/Logging_0880/kartor/A 33043-2022 karta.png", "A 33043-2022")</f>
        <v/>
      </c>
      <c r="U489">
        <f>HYPERLINK("https://klasma.github.io/Logging_0880/knärot/A 33043-2022 karta knärot.png", "A 33043-2022")</f>
        <v/>
      </c>
      <c r="V489">
        <f>HYPERLINK("https://klasma.github.io/Logging_0880/klagomål/A 33043-2022 FSC-klagomål.docx", "A 33043-2022")</f>
        <v/>
      </c>
      <c r="W489">
        <f>HYPERLINK("https://klasma.github.io/Logging_0880/klagomålsmail/A 33043-2022 FSC-klagomål mail.docx", "A 33043-2022")</f>
        <v/>
      </c>
      <c r="X489">
        <f>HYPERLINK("https://klasma.github.io/Logging_0880/tillsyn/A 33043-2022 tillsynsbegäran.docx", "A 33043-2022")</f>
        <v/>
      </c>
      <c r="Y489">
        <f>HYPERLINK("https://klasma.github.io/Logging_0880/tillsynsmail/A 33043-2022 tillsynsbegäran mail.docx", "A 33043-2022")</f>
        <v/>
      </c>
    </row>
    <row r="490" ht="15" customHeight="1">
      <c r="A490" t="inlineStr">
        <is>
          <t>A 33067-2022</t>
        </is>
      </c>
      <c r="B490" s="1" t="n">
        <v>44785</v>
      </c>
      <c r="C490" s="1" t="n">
        <v>45715</v>
      </c>
      <c r="D490" t="inlineStr">
        <is>
          <t>KALMAR LÄN</t>
        </is>
      </c>
      <c r="E490" t="inlineStr">
        <is>
          <t>NYBRO</t>
        </is>
      </c>
      <c r="G490" t="n">
        <v>14.1</v>
      </c>
      <c r="H490" t="n">
        <v>1</v>
      </c>
      <c r="I490" t="n">
        <v>0</v>
      </c>
      <c r="J490" t="n">
        <v>1</v>
      </c>
      <c r="K490" t="n">
        <v>0</v>
      </c>
      <c r="L490" t="n">
        <v>0</v>
      </c>
      <c r="M490" t="n">
        <v>0</v>
      </c>
      <c r="N490" t="n">
        <v>0</v>
      </c>
      <c r="O490" t="n">
        <v>1</v>
      </c>
      <c r="P490" t="n">
        <v>0</v>
      </c>
      <c r="Q490" t="n">
        <v>2</v>
      </c>
      <c r="R490" s="2" t="inlineStr">
        <is>
          <t>Sommarfibbla
Tjäder</t>
        </is>
      </c>
      <c r="S490">
        <f>HYPERLINK("https://klasma.github.io/Logging_0881/artfynd/A 33067-2022 artfynd.xlsx", "A 33067-2022")</f>
        <v/>
      </c>
      <c r="T490">
        <f>HYPERLINK("https://klasma.github.io/Logging_0881/kartor/A 33067-2022 karta.png", "A 33067-2022")</f>
        <v/>
      </c>
      <c r="V490">
        <f>HYPERLINK("https://klasma.github.io/Logging_0881/klagomål/A 33067-2022 FSC-klagomål.docx", "A 33067-2022")</f>
        <v/>
      </c>
      <c r="W490">
        <f>HYPERLINK("https://klasma.github.io/Logging_0881/klagomålsmail/A 33067-2022 FSC-klagomål mail.docx", "A 33067-2022")</f>
        <v/>
      </c>
      <c r="X490">
        <f>HYPERLINK("https://klasma.github.io/Logging_0881/tillsyn/A 33067-2022 tillsynsbegäran.docx", "A 33067-2022")</f>
        <v/>
      </c>
      <c r="Y490">
        <f>HYPERLINK("https://klasma.github.io/Logging_0881/tillsynsmail/A 33067-2022 tillsynsbegäran mail.docx", "A 33067-2022")</f>
        <v/>
      </c>
      <c r="Z490">
        <f>HYPERLINK("https://klasma.github.io/Logging_0881/fåglar/A 33067-2022 prioriterade fågelarter.docx", "A 33067-2022")</f>
        <v/>
      </c>
    </row>
    <row r="491" ht="15" customHeight="1">
      <c r="A491" t="inlineStr">
        <is>
          <t>A 34944-2022</t>
        </is>
      </c>
      <c r="B491" s="1" t="n">
        <v>44796</v>
      </c>
      <c r="C491" s="1" t="n">
        <v>45715</v>
      </c>
      <c r="D491" t="inlineStr">
        <is>
          <t>KALMAR LÄN</t>
        </is>
      </c>
      <c r="E491" t="inlineStr">
        <is>
          <t>BORGHOLM</t>
        </is>
      </c>
      <c r="F491" t="inlineStr">
        <is>
          <t>Sveaskog</t>
        </is>
      </c>
      <c r="G491" t="n">
        <v>1.7</v>
      </c>
      <c r="H491" t="n">
        <v>2</v>
      </c>
      <c r="I491" t="n">
        <v>0</v>
      </c>
      <c r="J491" t="n">
        <v>2</v>
      </c>
      <c r="K491" t="n">
        <v>0</v>
      </c>
      <c r="L491" t="n">
        <v>0</v>
      </c>
      <c r="M491" t="n">
        <v>0</v>
      </c>
      <c r="N491" t="n">
        <v>0</v>
      </c>
      <c r="O491" t="n">
        <v>2</v>
      </c>
      <c r="P491" t="n">
        <v>0</v>
      </c>
      <c r="Q491" t="n">
        <v>2</v>
      </c>
      <c r="R491" s="2" t="inlineStr">
        <is>
          <t>Entita
Talltita</t>
        </is>
      </c>
      <c r="S491">
        <f>HYPERLINK("https://klasma.github.io/Logging_0885/artfynd/A 34944-2022 artfynd.xlsx", "A 34944-2022")</f>
        <v/>
      </c>
      <c r="T491">
        <f>HYPERLINK("https://klasma.github.io/Logging_0885/kartor/A 34944-2022 karta.png", "A 34944-2022")</f>
        <v/>
      </c>
      <c r="V491">
        <f>HYPERLINK("https://klasma.github.io/Logging_0885/klagomål/A 34944-2022 FSC-klagomål.docx", "A 34944-2022")</f>
        <v/>
      </c>
      <c r="W491">
        <f>HYPERLINK("https://klasma.github.io/Logging_0885/klagomålsmail/A 34944-2022 FSC-klagomål mail.docx", "A 34944-2022")</f>
        <v/>
      </c>
      <c r="X491">
        <f>HYPERLINK("https://klasma.github.io/Logging_0885/tillsyn/A 34944-2022 tillsynsbegäran.docx", "A 34944-2022")</f>
        <v/>
      </c>
      <c r="Y491">
        <f>HYPERLINK("https://klasma.github.io/Logging_0885/tillsynsmail/A 34944-2022 tillsynsbegäran mail.docx", "A 34944-2022")</f>
        <v/>
      </c>
      <c r="Z491">
        <f>HYPERLINK("https://klasma.github.io/Logging_0885/fåglar/A 34944-2022 prioriterade fågelarter.docx", "A 34944-2022")</f>
        <v/>
      </c>
    </row>
    <row r="492" ht="15" customHeight="1">
      <c r="A492" t="inlineStr">
        <is>
          <t>A 35871-2022</t>
        </is>
      </c>
      <c r="B492" s="1" t="n">
        <v>44802</v>
      </c>
      <c r="C492" s="1" t="n">
        <v>45715</v>
      </c>
      <c r="D492" t="inlineStr">
        <is>
          <t>KALMAR LÄN</t>
        </is>
      </c>
      <c r="E492" t="inlineStr">
        <is>
          <t>KALMAR</t>
        </is>
      </c>
      <c r="G492" t="n">
        <v>1</v>
      </c>
      <c r="H492" t="n">
        <v>2</v>
      </c>
      <c r="I492" t="n">
        <v>0</v>
      </c>
      <c r="J492" t="n">
        <v>1</v>
      </c>
      <c r="K492" t="n">
        <v>0</v>
      </c>
      <c r="L492" t="n">
        <v>0</v>
      </c>
      <c r="M492" t="n">
        <v>0</v>
      </c>
      <c r="N492" t="n">
        <v>0</v>
      </c>
      <c r="O492" t="n">
        <v>1</v>
      </c>
      <c r="P492" t="n">
        <v>0</v>
      </c>
      <c r="Q492" t="n">
        <v>2</v>
      </c>
      <c r="R492" s="2" t="inlineStr">
        <is>
          <t>Nordfladdermus
Större brunfladdermus</t>
        </is>
      </c>
      <c r="S492">
        <f>HYPERLINK("https://klasma.github.io/Logging_0880/artfynd/A 35871-2022 artfynd.xlsx", "A 35871-2022")</f>
        <v/>
      </c>
      <c r="T492">
        <f>HYPERLINK("https://klasma.github.io/Logging_0880/kartor/A 35871-2022 karta.png", "A 35871-2022")</f>
        <v/>
      </c>
      <c r="V492">
        <f>HYPERLINK("https://klasma.github.io/Logging_0880/klagomål/A 35871-2022 FSC-klagomål.docx", "A 35871-2022")</f>
        <v/>
      </c>
      <c r="W492">
        <f>HYPERLINK("https://klasma.github.io/Logging_0880/klagomålsmail/A 35871-2022 FSC-klagomål mail.docx", "A 35871-2022")</f>
        <v/>
      </c>
      <c r="X492">
        <f>HYPERLINK("https://klasma.github.io/Logging_0880/tillsyn/A 35871-2022 tillsynsbegäran.docx", "A 35871-2022")</f>
        <v/>
      </c>
      <c r="Y492">
        <f>HYPERLINK("https://klasma.github.io/Logging_0880/tillsynsmail/A 35871-2022 tillsynsbegäran mail.docx", "A 35871-2022")</f>
        <v/>
      </c>
    </row>
    <row r="493" ht="15" customHeight="1">
      <c r="A493" t="inlineStr">
        <is>
          <t>A 38373-2022</t>
        </is>
      </c>
      <c r="B493" s="1" t="n">
        <v>44812</v>
      </c>
      <c r="C493" s="1" t="n">
        <v>45715</v>
      </c>
      <c r="D493" t="inlineStr">
        <is>
          <t>KALMAR LÄN</t>
        </is>
      </c>
      <c r="E493" t="inlineStr">
        <is>
          <t>VÄSTERVIK</t>
        </is>
      </c>
      <c r="G493" t="n">
        <v>3.1</v>
      </c>
      <c r="H493" t="n">
        <v>1</v>
      </c>
      <c r="I493" t="n">
        <v>1</v>
      </c>
      <c r="J493" t="n">
        <v>0</v>
      </c>
      <c r="K493" t="n">
        <v>1</v>
      </c>
      <c r="L493" t="n">
        <v>0</v>
      </c>
      <c r="M493" t="n">
        <v>0</v>
      </c>
      <c r="N493" t="n">
        <v>0</v>
      </c>
      <c r="O493" t="n">
        <v>1</v>
      </c>
      <c r="P493" t="n">
        <v>1</v>
      </c>
      <c r="Q493" t="n">
        <v>2</v>
      </c>
      <c r="R493" s="2" t="inlineStr">
        <is>
          <t>Knärot
Blåmossa</t>
        </is>
      </c>
      <c r="S493">
        <f>HYPERLINK("https://klasma.github.io/Logging_0883/artfynd/A 38373-2022 artfynd.xlsx", "A 38373-2022")</f>
        <v/>
      </c>
      <c r="T493">
        <f>HYPERLINK("https://klasma.github.io/Logging_0883/kartor/A 38373-2022 karta.png", "A 38373-2022")</f>
        <v/>
      </c>
      <c r="U493">
        <f>HYPERLINK("https://klasma.github.io/Logging_0883/knärot/A 38373-2022 karta knärot.png", "A 38373-2022")</f>
        <v/>
      </c>
      <c r="V493">
        <f>HYPERLINK("https://klasma.github.io/Logging_0883/klagomål/A 38373-2022 FSC-klagomål.docx", "A 38373-2022")</f>
        <v/>
      </c>
      <c r="W493">
        <f>HYPERLINK("https://klasma.github.io/Logging_0883/klagomålsmail/A 38373-2022 FSC-klagomål mail.docx", "A 38373-2022")</f>
        <v/>
      </c>
      <c r="X493">
        <f>HYPERLINK("https://klasma.github.io/Logging_0883/tillsyn/A 38373-2022 tillsynsbegäran.docx", "A 38373-2022")</f>
        <v/>
      </c>
      <c r="Y493">
        <f>HYPERLINK("https://klasma.github.io/Logging_0883/tillsynsmail/A 38373-2022 tillsynsbegäran mail.docx", "A 38373-2022")</f>
        <v/>
      </c>
    </row>
    <row r="494" ht="15" customHeight="1">
      <c r="A494" t="inlineStr">
        <is>
          <t>A 40785-2022</t>
        </is>
      </c>
      <c r="B494" s="1" t="n">
        <v>44824</v>
      </c>
      <c r="C494" s="1" t="n">
        <v>45715</v>
      </c>
      <c r="D494" t="inlineStr">
        <is>
          <t>KALMAR LÄN</t>
        </is>
      </c>
      <c r="E494" t="inlineStr">
        <is>
          <t>MÖNSTERÅS</t>
        </is>
      </c>
      <c r="G494" t="n">
        <v>0.3</v>
      </c>
      <c r="H494" t="n">
        <v>2</v>
      </c>
      <c r="I494" t="n">
        <v>0</v>
      </c>
      <c r="J494" t="n">
        <v>0</v>
      </c>
      <c r="K494" t="n">
        <v>1</v>
      </c>
      <c r="L494" t="n">
        <v>0</v>
      </c>
      <c r="M494" t="n">
        <v>0</v>
      </c>
      <c r="N494" t="n">
        <v>0</v>
      </c>
      <c r="O494" t="n">
        <v>1</v>
      </c>
      <c r="P494" t="n">
        <v>1</v>
      </c>
      <c r="Q494" t="n">
        <v>2</v>
      </c>
      <c r="R494" s="2" t="inlineStr">
        <is>
          <t>Knärot
Blåsippa</t>
        </is>
      </c>
      <c r="S494">
        <f>HYPERLINK("https://klasma.github.io/Logging_0861/artfynd/A 40785-2022 artfynd.xlsx", "A 40785-2022")</f>
        <v/>
      </c>
      <c r="T494">
        <f>HYPERLINK("https://klasma.github.io/Logging_0861/kartor/A 40785-2022 karta.png", "A 40785-2022")</f>
        <v/>
      </c>
      <c r="U494">
        <f>HYPERLINK("https://klasma.github.io/Logging_0861/knärot/A 40785-2022 karta knärot.png", "A 40785-2022")</f>
        <v/>
      </c>
      <c r="V494">
        <f>HYPERLINK("https://klasma.github.io/Logging_0861/klagomål/A 40785-2022 FSC-klagomål.docx", "A 40785-2022")</f>
        <v/>
      </c>
      <c r="W494">
        <f>HYPERLINK("https://klasma.github.io/Logging_0861/klagomålsmail/A 40785-2022 FSC-klagomål mail.docx", "A 40785-2022")</f>
        <v/>
      </c>
      <c r="X494">
        <f>HYPERLINK("https://klasma.github.io/Logging_0861/tillsyn/A 40785-2022 tillsynsbegäran.docx", "A 40785-2022")</f>
        <v/>
      </c>
      <c r="Y494">
        <f>HYPERLINK("https://klasma.github.io/Logging_0861/tillsynsmail/A 40785-2022 tillsynsbegäran mail.docx", "A 40785-2022")</f>
        <v/>
      </c>
    </row>
    <row r="495" ht="15" customHeight="1">
      <c r="A495" t="inlineStr">
        <is>
          <t>A 43756-2022</t>
        </is>
      </c>
      <c r="B495" s="1" t="n">
        <v>44837</v>
      </c>
      <c r="C495" s="1" t="n">
        <v>45715</v>
      </c>
      <c r="D495" t="inlineStr">
        <is>
          <t>KALMAR LÄN</t>
        </is>
      </c>
      <c r="E495" t="inlineStr">
        <is>
          <t>BORGHOLM</t>
        </is>
      </c>
      <c r="G495" t="n">
        <v>2.2</v>
      </c>
      <c r="H495" t="n">
        <v>1</v>
      </c>
      <c r="I495" t="n">
        <v>1</v>
      </c>
      <c r="J495" t="n">
        <v>0</v>
      </c>
      <c r="K495" t="n">
        <v>0</v>
      </c>
      <c r="L495" t="n">
        <v>0</v>
      </c>
      <c r="M495" t="n">
        <v>0</v>
      </c>
      <c r="N495" t="n">
        <v>0</v>
      </c>
      <c r="O495" t="n">
        <v>0</v>
      </c>
      <c r="P495" t="n">
        <v>0</v>
      </c>
      <c r="Q495" t="n">
        <v>2</v>
      </c>
      <c r="R495" s="2" t="inlineStr">
        <is>
          <t>Murgröna
Blåsippa</t>
        </is>
      </c>
      <c r="S495">
        <f>HYPERLINK("https://klasma.github.io/Logging_0885/artfynd/A 43756-2022 artfynd.xlsx", "A 43756-2022")</f>
        <v/>
      </c>
      <c r="T495">
        <f>HYPERLINK("https://klasma.github.io/Logging_0885/kartor/A 43756-2022 karta.png", "A 43756-2022")</f>
        <v/>
      </c>
      <c r="V495">
        <f>HYPERLINK("https://klasma.github.io/Logging_0885/klagomål/A 43756-2022 FSC-klagomål.docx", "A 43756-2022")</f>
        <v/>
      </c>
      <c r="W495">
        <f>HYPERLINK("https://klasma.github.io/Logging_0885/klagomålsmail/A 43756-2022 FSC-klagomål mail.docx", "A 43756-2022")</f>
        <v/>
      </c>
      <c r="X495">
        <f>HYPERLINK("https://klasma.github.io/Logging_0885/tillsyn/A 43756-2022 tillsynsbegäran.docx", "A 43756-2022")</f>
        <v/>
      </c>
      <c r="Y495">
        <f>HYPERLINK("https://klasma.github.io/Logging_0885/tillsynsmail/A 43756-2022 tillsynsbegäran mail.docx", "A 43756-2022")</f>
        <v/>
      </c>
    </row>
    <row r="496" ht="15" customHeight="1">
      <c r="A496" t="inlineStr">
        <is>
          <t>A 44008-2022</t>
        </is>
      </c>
      <c r="B496" s="1" t="n">
        <v>44838</v>
      </c>
      <c r="C496" s="1" t="n">
        <v>45715</v>
      </c>
      <c r="D496" t="inlineStr">
        <is>
          <t>KALMAR LÄN</t>
        </is>
      </c>
      <c r="E496" t="inlineStr">
        <is>
          <t>BORGHOLM</t>
        </is>
      </c>
      <c r="F496" t="inlineStr">
        <is>
          <t>Sveaskog</t>
        </is>
      </c>
      <c r="G496" t="n">
        <v>1.7</v>
      </c>
      <c r="H496" t="n">
        <v>2</v>
      </c>
      <c r="I496" t="n">
        <v>0</v>
      </c>
      <c r="J496" t="n">
        <v>2</v>
      </c>
      <c r="K496" t="n">
        <v>0</v>
      </c>
      <c r="L496" t="n">
        <v>0</v>
      </c>
      <c r="M496" t="n">
        <v>0</v>
      </c>
      <c r="N496" t="n">
        <v>0</v>
      </c>
      <c r="O496" t="n">
        <v>2</v>
      </c>
      <c r="P496" t="n">
        <v>0</v>
      </c>
      <c r="Q496" t="n">
        <v>2</v>
      </c>
      <c r="R496" s="2" t="inlineStr">
        <is>
          <t>Entita
Talltita</t>
        </is>
      </c>
      <c r="S496">
        <f>HYPERLINK("https://klasma.github.io/Logging_0885/artfynd/A 44008-2022 artfynd.xlsx", "A 44008-2022")</f>
        <v/>
      </c>
      <c r="T496">
        <f>HYPERLINK("https://klasma.github.io/Logging_0885/kartor/A 44008-2022 karta.png", "A 44008-2022")</f>
        <v/>
      </c>
      <c r="V496">
        <f>HYPERLINK("https://klasma.github.io/Logging_0885/klagomål/A 44008-2022 FSC-klagomål.docx", "A 44008-2022")</f>
        <v/>
      </c>
      <c r="W496">
        <f>HYPERLINK("https://klasma.github.io/Logging_0885/klagomålsmail/A 44008-2022 FSC-klagomål mail.docx", "A 44008-2022")</f>
        <v/>
      </c>
      <c r="X496">
        <f>HYPERLINK("https://klasma.github.io/Logging_0885/tillsyn/A 44008-2022 tillsynsbegäran.docx", "A 44008-2022")</f>
        <v/>
      </c>
      <c r="Y496">
        <f>HYPERLINK("https://klasma.github.io/Logging_0885/tillsynsmail/A 44008-2022 tillsynsbegäran mail.docx", "A 44008-2022")</f>
        <v/>
      </c>
      <c r="Z496">
        <f>HYPERLINK("https://klasma.github.io/Logging_0885/fåglar/A 44008-2022 prioriterade fågelarter.docx", "A 44008-2022")</f>
        <v/>
      </c>
    </row>
    <row r="497" ht="15" customHeight="1">
      <c r="A497" t="inlineStr">
        <is>
          <t>A 46552-2022</t>
        </is>
      </c>
      <c r="B497" s="1" t="n">
        <v>44848</v>
      </c>
      <c r="C497" s="1" t="n">
        <v>45715</v>
      </c>
      <c r="D497" t="inlineStr">
        <is>
          <t>KALMAR LÄN</t>
        </is>
      </c>
      <c r="E497" t="inlineStr">
        <is>
          <t>VÄSTERVIK</t>
        </is>
      </c>
      <c r="F497" t="inlineStr">
        <is>
          <t>Sveaskog</t>
        </is>
      </c>
      <c r="G497" t="n">
        <v>1.7</v>
      </c>
      <c r="H497" t="n">
        <v>0</v>
      </c>
      <c r="I497" t="n">
        <v>1</v>
      </c>
      <c r="J497" t="n">
        <v>1</v>
      </c>
      <c r="K497" t="n">
        <v>0</v>
      </c>
      <c r="L497" t="n">
        <v>0</v>
      </c>
      <c r="M497" t="n">
        <v>0</v>
      </c>
      <c r="N497" t="n">
        <v>0</v>
      </c>
      <c r="O497" t="n">
        <v>1</v>
      </c>
      <c r="P497" t="n">
        <v>0</v>
      </c>
      <c r="Q497" t="n">
        <v>2</v>
      </c>
      <c r="R497" s="2" t="inlineStr">
        <is>
          <t>Motaggsvamp
Sårläka</t>
        </is>
      </c>
      <c r="S497">
        <f>HYPERLINK("https://klasma.github.io/Logging_0883/artfynd/A 46552-2022 artfynd.xlsx", "A 46552-2022")</f>
        <v/>
      </c>
      <c r="T497">
        <f>HYPERLINK("https://klasma.github.io/Logging_0883/kartor/A 46552-2022 karta.png", "A 46552-2022")</f>
        <v/>
      </c>
      <c r="V497">
        <f>HYPERLINK("https://klasma.github.io/Logging_0883/klagomål/A 46552-2022 FSC-klagomål.docx", "A 46552-2022")</f>
        <v/>
      </c>
      <c r="W497">
        <f>HYPERLINK("https://klasma.github.io/Logging_0883/klagomålsmail/A 46552-2022 FSC-klagomål mail.docx", "A 46552-2022")</f>
        <v/>
      </c>
      <c r="X497">
        <f>HYPERLINK("https://klasma.github.io/Logging_0883/tillsyn/A 46552-2022 tillsynsbegäran.docx", "A 46552-2022")</f>
        <v/>
      </c>
      <c r="Y497">
        <f>HYPERLINK("https://klasma.github.io/Logging_0883/tillsynsmail/A 46552-2022 tillsynsbegäran mail.docx", "A 46552-2022")</f>
        <v/>
      </c>
    </row>
    <row r="498" ht="15" customHeight="1">
      <c r="A498" t="inlineStr">
        <is>
          <t>A 46787-2022</t>
        </is>
      </c>
      <c r="B498" s="1" t="n">
        <v>44851</v>
      </c>
      <c r="C498" s="1" t="n">
        <v>45715</v>
      </c>
      <c r="D498" t="inlineStr">
        <is>
          <t>KALMAR LÄN</t>
        </is>
      </c>
      <c r="E498" t="inlineStr">
        <is>
          <t>VÄSTERVIK</t>
        </is>
      </c>
      <c r="G498" t="n">
        <v>4.4</v>
      </c>
      <c r="H498" t="n">
        <v>0</v>
      </c>
      <c r="I498" t="n">
        <v>0</v>
      </c>
      <c r="J498" t="n">
        <v>2</v>
      </c>
      <c r="K498" t="n">
        <v>0</v>
      </c>
      <c r="L498" t="n">
        <v>0</v>
      </c>
      <c r="M498" t="n">
        <v>0</v>
      </c>
      <c r="N498" t="n">
        <v>0</v>
      </c>
      <c r="O498" t="n">
        <v>2</v>
      </c>
      <c r="P498" t="n">
        <v>0</v>
      </c>
      <c r="Q498" t="n">
        <v>2</v>
      </c>
      <c r="R498" s="2" t="inlineStr">
        <is>
          <t>Motaggsvamp
Tallticka</t>
        </is>
      </c>
      <c r="S498">
        <f>HYPERLINK("https://klasma.github.io/Logging_0883/artfynd/A 46787-2022 artfynd.xlsx", "A 46787-2022")</f>
        <v/>
      </c>
      <c r="T498">
        <f>HYPERLINK("https://klasma.github.io/Logging_0883/kartor/A 46787-2022 karta.png", "A 46787-2022")</f>
        <v/>
      </c>
      <c r="V498">
        <f>HYPERLINK("https://klasma.github.io/Logging_0883/klagomål/A 46787-2022 FSC-klagomål.docx", "A 46787-2022")</f>
        <v/>
      </c>
      <c r="W498">
        <f>HYPERLINK("https://klasma.github.io/Logging_0883/klagomålsmail/A 46787-2022 FSC-klagomål mail.docx", "A 46787-2022")</f>
        <v/>
      </c>
      <c r="X498">
        <f>HYPERLINK("https://klasma.github.io/Logging_0883/tillsyn/A 46787-2022 tillsynsbegäran.docx", "A 46787-2022")</f>
        <v/>
      </c>
      <c r="Y498">
        <f>HYPERLINK("https://klasma.github.io/Logging_0883/tillsynsmail/A 46787-2022 tillsynsbegäran mail.docx", "A 46787-2022")</f>
        <v/>
      </c>
    </row>
    <row r="499" ht="15" customHeight="1">
      <c r="A499" t="inlineStr">
        <is>
          <t>A 50989-2022</t>
        </is>
      </c>
      <c r="B499" s="1" t="n">
        <v>44867</v>
      </c>
      <c r="C499" s="1" t="n">
        <v>45715</v>
      </c>
      <c r="D499" t="inlineStr">
        <is>
          <t>KALMAR LÄN</t>
        </is>
      </c>
      <c r="E499" t="inlineStr">
        <is>
          <t>VÄSTERVIK</t>
        </is>
      </c>
      <c r="G499" t="n">
        <v>2</v>
      </c>
      <c r="H499" t="n">
        <v>0</v>
      </c>
      <c r="I499" t="n">
        <v>2</v>
      </c>
      <c r="J499" t="n">
        <v>0</v>
      </c>
      <c r="K499" t="n">
        <v>0</v>
      </c>
      <c r="L499" t="n">
        <v>0</v>
      </c>
      <c r="M499" t="n">
        <v>0</v>
      </c>
      <c r="N499" t="n">
        <v>0</v>
      </c>
      <c r="O499" t="n">
        <v>0</v>
      </c>
      <c r="P499" t="n">
        <v>0</v>
      </c>
      <c r="Q499" t="n">
        <v>2</v>
      </c>
      <c r="R499" s="2" t="inlineStr">
        <is>
          <t>Blomkålssvamp
Vätteros</t>
        </is>
      </c>
      <c r="S499">
        <f>HYPERLINK("https://klasma.github.io/Logging_0883/artfynd/A 50989-2022 artfynd.xlsx", "A 50989-2022")</f>
        <v/>
      </c>
      <c r="T499">
        <f>HYPERLINK("https://klasma.github.io/Logging_0883/kartor/A 50989-2022 karta.png", "A 50989-2022")</f>
        <v/>
      </c>
      <c r="V499">
        <f>HYPERLINK("https://klasma.github.io/Logging_0883/klagomål/A 50989-2022 FSC-klagomål.docx", "A 50989-2022")</f>
        <v/>
      </c>
      <c r="W499">
        <f>HYPERLINK("https://klasma.github.io/Logging_0883/klagomålsmail/A 50989-2022 FSC-klagomål mail.docx", "A 50989-2022")</f>
        <v/>
      </c>
      <c r="X499">
        <f>HYPERLINK("https://klasma.github.io/Logging_0883/tillsyn/A 50989-2022 tillsynsbegäran.docx", "A 50989-2022")</f>
        <v/>
      </c>
      <c r="Y499">
        <f>HYPERLINK("https://klasma.github.io/Logging_0883/tillsynsmail/A 50989-2022 tillsynsbegäran mail.docx", "A 50989-2022")</f>
        <v/>
      </c>
    </row>
    <row r="500" ht="15" customHeight="1">
      <c r="A500" t="inlineStr">
        <is>
          <t>A 57171-2022</t>
        </is>
      </c>
      <c r="B500" s="1" t="n">
        <v>44895</v>
      </c>
      <c r="C500" s="1" t="n">
        <v>45715</v>
      </c>
      <c r="D500" t="inlineStr">
        <is>
          <t>KALMAR LÄN</t>
        </is>
      </c>
      <c r="E500" t="inlineStr">
        <is>
          <t>HÖGSBY</t>
        </is>
      </c>
      <c r="G500" t="n">
        <v>4.3</v>
      </c>
      <c r="H500" t="n">
        <v>1</v>
      </c>
      <c r="I500" t="n">
        <v>0</v>
      </c>
      <c r="J500" t="n">
        <v>1</v>
      </c>
      <c r="K500" t="n">
        <v>0</v>
      </c>
      <c r="L500" t="n">
        <v>0</v>
      </c>
      <c r="M500" t="n">
        <v>0</v>
      </c>
      <c r="N500" t="n">
        <v>0</v>
      </c>
      <c r="O500" t="n">
        <v>1</v>
      </c>
      <c r="P500" t="n">
        <v>0</v>
      </c>
      <c r="Q500" t="n">
        <v>2</v>
      </c>
      <c r="R500" s="2" t="inlineStr">
        <is>
          <t>Mindre träfjäril
Gröngöling</t>
        </is>
      </c>
      <c r="S500">
        <f>HYPERLINK("https://klasma.github.io/Logging_0821/artfynd/A 57171-2022 artfynd.xlsx", "A 57171-2022")</f>
        <v/>
      </c>
      <c r="T500">
        <f>HYPERLINK("https://klasma.github.io/Logging_0821/kartor/A 57171-2022 karta.png", "A 57171-2022")</f>
        <v/>
      </c>
      <c r="V500">
        <f>HYPERLINK("https://klasma.github.io/Logging_0821/klagomål/A 57171-2022 FSC-klagomål.docx", "A 57171-2022")</f>
        <v/>
      </c>
      <c r="W500">
        <f>HYPERLINK("https://klasma.github.io/Logging_0821/klagomålsmail/A 57171-2022 FSC-klagomål mail.docx", "A 57171-2022")</f>
        <v/>
      </c>
      <c r="X500">
        <f>HYPERLINK("https://klasma.github.io/Logging_0821/tillsyn/A 57171-2022 tillsynsbegäran.docx", "A 57171-2022")</f>
        <v/>
      </c>
      <c r="Y500">
        <f>HYPERLINK("https://klasma.github.io/Logging_0821/tillsynsmail/A 57171-2022 tillsynsbegäran mail.docx", "A 57171-2022")</f>
        <v/>
      </c>
      <c r="Z500">
        <f>HYPERLINK("https://klasma.github.io/Logging_0821/fåglar/A 57171-2022 prioriterade fågelarter.docx", "A 57171-2022")</f>
        <v/>
      </c>
    </row>
    <row r="501" ht="15" customHeight="1">
      <c r="A501" t="inlineStr">
        <is>
          <t>A 57330-2022</t>
        </is>
      </c>
      <c r="B501" s="1" t="n">
        <v>44896</v>
      </c>
      <c r="C501" s="1" t="n">
        <v>45715</v>
      </c>
      <c r="D501" t="inlineStr">
        <is>
          <t>KALMAR LÄN</t>
        </is>
      </c>
      <c r="E501" t="inlineStr">
        <is>
          <t>KALMAR</t>
        </is>
      </c>
      <c r="G501" t="n">
        <v>5.7</v>
      </c>
      <c r="H501" t="n">
        <v>1</v>
      </c>
      <c r="I501" t="n">
        <v>1</v>
      </c>
      <c r="J501" t="n">
        <v>0</v>
      </c>
      <c r="K501" t="n">
        <v>0</v>
      </c>
      <c r="L501" t="n">
        <v>0</v>
      </c>
      <c r="M501" t="n">
        <v>0</v>
      </c>
      <c r="N501" t="n">
        <v>0</v>
      </c>
      <c r="O501" t="n">
        <v>0</v>
      </c>
      <c r="P501" t="n">
        <v>0</v>
      </c>
      <c r="Q501" t="n">
        <v>2</v>
      </c>
      <c r="R501" s="2" t="inlineStr">
        <is>
          <t>Blåmossa
Mattlummer</t>
        </is>
      </c>
      <c r="S501">
        <f>HYPERLINK("https://klasma.github.io/Logging_0880/artfynd/A 57330-2022 artfynd.xlsx", "A 57330-2022")</f>
        <v/>
      </c>
      <c r="T501">
        <f>HYPERLINK("https://klasma.github.io/Logging_0880/kartor/A 57330-2022 karta.png", "A 57330-2022")</f>
        <v/>
      </c>
      <c r="V501">
        <f>HYPERLINK("https://klasma.github.io/Logging_0880/klagomål/A 57330-2022 FSC-klagomål.docx", "A 57330-2022")</f>
        <v/>
      </c>
      <c r="W501">
        <f>HYPERLINK("https://klasma.github.io/Logging_0880/klagomålsmail/A 57330-2022 FSC-klagomål mail.docx", "A 57330-2022")</f>
        <v/>
      </c>
      <c r="X501">
        <f>HYPERLINK("https://klasma.github.io/Logging_0880/tillsyn/A 57330-2022 tillsynsbegäran.docx", "A 57330-2022")</f>
        <v/>
      </c>
      <c r="Y501">
        <f>HYPERLINK("https://klasma.github.io/Logging_0880/tillsynsmail/A 57330-2022 tillsynsbegäran mail.docx", "A 57330-2022")</f>
        <v/>
      </c>
    </row>
    <row r="502" ht="15" customHeight="1">
      <c r="A502" t="inlineStr">
        <is>
          <t>A 59145-2022</t>
        </is>
      </c>
      <c r="B502" s="1" t="n">
        <v>44904</v>
      </c>
      <c r="C502" s="1" t="n">
        <v>45715</v>
      </c>
      <c r="D502" t="inlineStr">
        <is>
          <t>KALMAR LÄN</t>
        </is>
      </c>
      <c r="E502" t="inlineStr">
        <is>
          <t>NYBRO</t>
        </is>
      </c>
      <c r="F502" t="inlineStr">
        <is>
          <t>Sveaskog</t>
        </is>
      </c>
      <c r="G502" t="n">
        <v>11.3</v>
      </c>
      <c r="H502" t="n">
        <v>2</v>
      </c>
      <c r="I502" t="n">
        <v>0</v>
      </c>
      <c r="J502" t="n">
        <v>2</v>
      </c>
      <c r="K502" t="n">
        <v>0</v>
      </c>
      <c r="L502" t="n">
        <v>0</v>
      </c>
      <c r="M502" t="n">
        <v>0</v>
      </c>
      <c r="N502" t="n">
        <v>0</v>
      </c>
      <c r="O502" t="n">
        <v>2</v>
      </c>
      <c r="P502" t="n">
        <v>0</v>
      </c>
      <c r="Q502" t="n">
        <v>2</v>
      </c>
      <c r="R502" s="2" t="inlineStr">
        <is>
          <t>Barbastell
Nordfladdermus</t>
        </is>
      </c>
      <c r="S502">
        <f>HYPERLINK("https://klasma.github.io/Logging_0881/artfynd/A 59145-2022 artfynd.xlsx", "A 59145-2022")</f>
        <v/>
      </c>
      <c r="T502">
        <f>HYPERLINK("https://klasma.github.io/Logging_0881/kartor/A 59145-2022 karta.png", "A 59145-2022")</f>
        <v/>
      </c>
      <c r="V502">
        <f>HYPERLINK("https://klasma.github.io/Logging_0881/klagomål/A 59145-2022 FSC-klagomål.docx", "A 59145-2022")</f>
        <v/>
      </c>
      <c r="W502">
        <f>HYPERLINK("https://klasma.github.io/Logging_0881/klagomålsmail/A 59145-2022 FSC-klagomål mail.docx", "A 59145-2022")</f>
        <v/>
      </c>
      <c r="X502">
        <f>HYPERLINK("https://klasma.github.io/Logging_0881/tillsyn/A 59145-2022 tillsynsbegäran.docx", "A 59145-2022")</f>
        <v/>
      </c>
      <c r="Y502">
        <f>HYPERLINK("https://klasma.github.io/Logging_0881/tillsynsmail/A 59145-2022 tillsynsbegäran mail.docx", "A 59145-2022")</f>
        <v/>
      </c>
    </row>
    <row r="503" ht="15" customHeight="1">
      <c r="A503" t="inlineStr">
        <is>
          <t>A 59231-2022</t>
        </is>
      </c>
      <c r="B503" s="1" t="n">
        <v>44904</v>
      </c>
      <c r="C503" s="1" t="n">
        <v>45715</v>
      </c>
      <c r="D503" t="inlineStr">
        <is>
          <t>KALMAR LÄN</t>
        </is>
      </c>
      <c r="E503" t="inlineStr">
        <is>
          <t>VÄSTERVIK</t>
        </is>
      </c>
      <c r="G503" t="n">
        <v>1.8</v>
      </c>
      <c r="H503" t="n">
        <v>0</v>
      </c>
      <c r="I503" t="n">
        <v>1</v>
      </c>
      <c r="J503" t="n">
        <v>1</v>
      </c>
      <c r="K503" t="n">
        <v>0</v>
      </c>
      <c r="L503" t="n">
        <v>0</v>
      </c>
      <c r="M503" t="n">
        <v>0</v>
      </c>
      <c r="N503" t="n">
        <v>0</v>
      </c>
      <c r="O503" t="n">
        <v>1</v>
      </c>
      <c r="P503" t="n">
        <v>0</v>
      </c>
      <c r="Q503" t="n">
        <v>2</v>
      </c>
      <c r="R503" s="2" t="inlineStr">
        <is>
          <t>Tallticka
Grönpyrola</t>
        </is>
      </c>
      <c r="S503">
        <f>HYPERLINK("https://klasma.github.io/Logging_0883/artfynd/A 59231-2022 artfynd.xlsx", "A 59231-2022")</f>
        <v/>
      </c>
      <c r="T503">
        <f>HYPERLINK("https://klasma.github.io/Logging_0883/kartor/A 59231-2022 karta.png", "A 59231-2022")</f>
        <v/>
      </c>
      <c r="V503">
        <f>HYPERLINK("https://klasma.github.io/Logging_0883/klagomål/A 59231-2022 FSC-klagomål.docx", "A 59231-2022")</f>
        <v/>
      </c>
      <c r="W503">
        <f>HYPERLINK("https://klasma.github.io/Logging_0883/klagomålsmail/A 59231-2022 FSC-klagomål mail.docx", "A 59231-2022")</f>
        <v/>
      </c>
      <c r="X503">
        <f>HYPERLINK("https://klasma.github.io/Logging_0883/tillsyn/A 59231-2022 tillsynsbegäran.docx", "A 59231-2022")</f>
        <v/>
      </c>
      <c r="Y503">
        <f>HYPERLINK("https://klasma.github.io/Logging_0883/tillsynsmail/A 59231-2022 tillsynsbegäran mail.docx", "A 59231-2022")</f>
        <v/>
      </c>
    </row>
    <row r="504" ht="15" customHeight="1">
      <c r="A504" t="inlineStr">
        <is>
          <t>A 61429-2022</t>
        </is>
      </c>
      <c r="B504" s="1" t="n">
        <v>44909</v>
      </c>
      <c r="C504" s="1" t="n">
        <v>45715</v>
      </c>
      <c r="D504" t="inlineStr">
        <is>
          <t>KALMAR LÄN</t>
        </is>
      </c>
      <c r="E504" t="inlineStr">
        <is>
          <t>HULTSFRED</t>
        </is>
      </c>
      <c r="F504" t="inlineStr">
        <is>
          <t>Övriga Aktiebolag</t>
        </is>
      </c>
      <c r="G504" t="n">
        <v>24.9</v>
      </c>
      <c r="H504" t="n">
        <v>1</v>
      </c>
      <c r="I504" t="n">
        <v>0</v>
      </c>
      <c r="J504" t="n">
        <v>0</v>
      </c>
      <c r="K504" t="n">
        <v>1</v>
      </c>
      <c r="L504" t="n">
        <v>1</v>
      </c>
      <c r="M504" t="n">
        <v>0</v>
      </c>
      <c r="N504" t="n">
        <v>0</v>
      </c>
      <c r="O504" t="n">
        <v>2</v>
      </c>
      <c r="P504" t="n">
        <v>2</v>
      </c>
      <c r="Q504" t="n">
        <v>2</v>
      </c>
      <c r="R504" s="2" t="inlineStr">
        <is>
          <t>Ryl
Mellanlummer</t>
        </is>
      </c>
      <c r="S504">
        <f>HYPERLINK("https://klasma.github.io/Logging_0860/artfynd/A 61429-2022 artfynd.xlsx", "A 61429-2022")</f>
        <v/>
      </c>
      <c r="T504">
        <f>HYPERLINK("https://klasma.github.io/Logging_0860/kartor/A 61429-2022 karta.png", "A 61429-2022")</f>
        <v/>
      </c>
      <c r="V504">
        <f>HYPERLINK("https://klasma.github.io/Logging_0860/klagomål/A 61429-2022 FSC-klagomål.docx", "A 61429-2022")</f>
        <v/>
      </c>
      <c r="W504">
        <f>HYPERLINK("https://klasma.github.io/Logging_0860/klagomålsmail/A 61429-2022 FSC-klagomål mail.docx", "A 61429-2022")</f>
        <v/>
      </c>
      <c r="X504">
        <f>HYPERLINK("https://klasma.github.io/Logging_0860/tillsyn/A 61429-2022 tillsynsbegäran.docx", "A 61429-2022")</f>
        <v/>
      </c>
      <c r="Y504">
        <f>HYPERLINK("https://klasma.github.io/Logging_0860/tillsynsmail/A 61429-2022 tillsynsbegäran mail.docx", "A 61429-2022")</f>
        <v/>
      </c>
    </row>
    <row r="505" ht="15" customHeight="1">
      <c r="A505" t="inlineStr">
        <is>
          <t>A 61709-2022</t>
        </is>
      </c>
      <c r="B505" s="1" t="n">
        <v>44917</v>
      </c>
      <c r="C505" s="1" t="n">
        <v>45715</v>
      </c>
      <c r="D505" t="inlineStr">
        <is>
          <t>KALMAR LÄN</t>
        </is>
      </c>
      <c r="E505" t="inlineStr">
        <is>
          <t>HULTSFRED</t>
        </is>
      </c>
      <c r="G505" t="n">
        <v>3.7</v>
      </c>
      <c r="H505" t="n">
        <v>1</v>
      </c>
      <c r="I505" t="n">
        <v>1</v>
      </c>
      <c r="J505" t="n">
        <v>0</v>
      </c>
      <c r="K505" t="n">
        <v>1</v>
      </c>
      <c r="L505" t="n">
        <v>0</v>
      </c>
      <c r="M505" t="n">
        <v>0</v>
      </c>
      <c r="N505" t="n">
        <v>0</v>
      </c>
      <c r="O505" t="n">
        <v>1</v>
      </c>
      <c r="P505" t="n">
        <v>1</v>
      </c>
      <c r="Q505" t="n">
        <v>2</v>
      </c>
      <c r="R505" s="2" t="inlineStr">
        <is>
          <t>Knärot
Grönpyrola</t>
        </is>
      </c>
      <c r="S505">
        <f>HYPERLINK("https://klasma.github.io/Logging_0860/artfynd/A 61709-2022 artfynd.xlsx", "A 61709-2022")</f>
        <v/>
      </c>
      <c r="T505">
        <f>HYPERLINK("https://klasma.github.io/Logging_0860/kartor/A 61709-2022 karta.png", "A 61709-2022")</f>
        <v/>
      </c>
      <c r="U505">
        <f>HYPERLINK("https://klasma.github.io/Logging_0860/knärot/A 61709-2022 karta knärot.png", "A 61709-2022")</f>
        <v/>
      </c>
      <c r="V505">
        <f>HYPERLINK("https://klasma.github.io/Logging_0860/klagomål/A 61709-2022 FSC-klagomål.docx", "A 61709-2022")</f>
        <v/>
      </c>
      <c r="W505">
        <f>HYPERLINK("https://klasma.github.io/Logging_0860/klagomålsmail/A 61709-2022 FSC-klagomål mail.docx", "A 61709-2022")</f>
        <v/>
      </c>
      <c r="X505">
        <f>HYPERLINK("https://klasma.github.io/Logging_0860/tillsyn/A 61709-2022 tillsynsbegäran.docx", "A 61709-2022")</f>
        <v/>
      </c>
      <c r="Y505">
        <f>HYPERLINK("https://klasma.github.io/Logging_0860/tillsynsmail/A 61709-2022 tillsynsbegäran mail.docx", "A 61709-2022")</f>
        <v/>
      </c>
    </row>
    <row r="506" ht="15" customHeight="1">
      <c r="A506" t="inlineStr">
        <is>
          <t>A 62003-2022</t>
        </is>
      </c>
      <c r="B506" s="1" t="n">
        <v>44918</v>
      </c>
      <c r="C506" s="1" t="n">
        <v>45715</v>
      </c>
      <c r="D506" t="inlineStr">
        <is>
          <t>KALMAR LÄN</t>
        </is>
      </c>
      <c r="E506" t="inlineStr">
        <is>
          <t>VÄSTERVIK</t>
        </is>
      </c>
      <c r="G506" t="n">
        <v>6.2</v>
      </c>
      <c r="H506" t="n">
        <v>1</v>
      </c>
      <c r="I506" t="n">
        <v>0</v>
      </c>
      <c r="J506" t="n">
        <v>1</v>
      </c>
      <c r="K506" t="n">
        <v>1</v>
      </c>
      <c r="L506" t="n">
        <v>0</v>
      </c>
      <c r="M506" t="n">
        <v>0</v>
      </c>
      <c r="N506" t="n">
        <v>0</v>
      </c>
      <c r="O506" t="n">
        <v>2</v>
      </c>
      <c r="P506" t="n">
        <v>1</v>
      </c>
      <c r="Q506" t="n">
        <v>2</v>
      </c>
      <c r="R506" s="2" t="inlineStr">
        <is>
          <t>Knärot
Linmåra/småsnärjmåra</t>
        </is>
      </c>
      <c r="S506">
        <f>HYPERLINK("https://klasma.github.io/Logging_0883/artfynd/A 62003-2022 artfynd.xlsx", "A 62003-2022")</f>
        <v/>
      </c>
      <c r="T506">
        <f>HYPERLINK("https://klasma.github.io/Logging_0883/kartor/A 62003-2022 karta.png", "A 62003-2022")</f>
        <v/>
      </c>
      <c r="U506">
        <f>HYPERLINK("https://klasma.github.io/Logging_0883/knärot/A 62003-2022 karta knärot.png", "A 62003-2022")</f>
        <v/>
      </c>
      <c r="V506">
        <f>HYPERLINK("https://klasma.github.io/Logging_0883/klagomål/A 62003-2022 FSC-klagomål.docx", "A 62003-2022")</f>
        <v/>
      </c>
      <c r="W506">
        <f>HYPERLINK("https://klasma.github.io/Logging_0883/klagomålsmail/A 62003-2022 FSC-klagomål mail.docx", "A 62003-2022")</f>
        <v/>
      </c>
      <c r="X506">
        <f>HYPERLINK("https://klasma.github.io/Logging_0883/tillsyn/A 62003-2022 tillsynsbegäran.docx", "A 62003-2022")</f>
        <v/>
      </c>
      <c r="Y506">
        <f>HYPERLINK("https://klasma.github.io/Logging_0883/tillsynsmail/A 62003-2022 tillsynsbegäran mail.docx", "A 62003-2022")</f>
        <v/>
      </c>
    </row>
    <row r="507" ht="15" customHeight="1">
      <c r="A507" t="inlineStr">
        <is>
          <t>A 804-2023</t>
        </is>
      </c>
      <c r="B507" s="1" t="n">
        <v>44931</v>
      </c>
      <c r="C507" s="1" t="n">
        <v>45715</v>
      </c>
      <c r="D507" t="inlineStr">
        <is>
          <t>KALMAR LÄN</t>
        </is>
      </c>
      <c r="E507" t="inlineStr">
        <is>
          <t>VÄSTERVIK</t>
        </is>
      </c>
      <c r="F507" t="inlineStr">
        <is>
          <t>Holmen skog AB</t>
        </is>
      </c>
      <c r="G507" t="n">
        <v>5.2</v>
      </c>
      <c r="H507" t="n">
        <v>0</v>
      </c>
      <c r="I507" t="n">
        <v>0</v>
      </c>
      <c r="J507" t="n">
        <v>1</v>
      </c>
      <c r="K507" t="n">
        <v>1</v>
      </c>
      <c r="L507" t="n">
        <v>0</v>
      </c>
      <c r="M507" t="n">
        <v>0</v>
      </c>
      <c r="N507" t="n">
        <v>0</v>
      </c>
      <c r="O507" t="n">
        <v>2</v>
      </c>
      <c r="P507" t="n">
        <v>1</v>
      </c>
      <c r="Q507" t="n">
        <v>2</v>
      </c>
      <c r="R507" s="2" t="inlineStr">
        <is>
          <t>Violett fingersvamp
Ekticka</t>
        </is>
      </c>
      <c r="S507">
        <f>HYPERLINK("https://klasma.github.io/Logging_0883/artfynd/A 804-2023 artfynd.xlsx", "A 804-2023")</f>
        <v/>
      </c>
      <c r="T507">
        <f>HYPERLINK("https://klasma.github.io/Logging_0883/kartor/A 804-2023 karta.png", "A 804-2023")</f>
        <v/>
      </c>
      <c r="V507">
        <f>HYPERLINK("https://klasma.github.io/Logging_0883/klagomål/A 804-2023 FSC-klagomål.docx", "A 804-2023")</f>
        <v/>
      </c>
      <c r="W507">
        <f>HYPERLINK("https://klasma.github.io/Logging_0883/klagomålsmail/A 804-2023 FSC-klagomål mail.docx", "A 804-2023")</f>
        <v/>
      </c>
      <c r="X507">
        <f>HYPERLINK("https://klasma.github.io/Logging_0883/tillsyn/A 804-2023 tillsynsbegäran.docx", "A 804-2023")</f>
        <v/>
      </c>
      <c r="Y507">
        <f>HYPERLINK("https://klasma.github.io/Logging_0883/tillsynsmail/A 804-2023 tillsynsbegäran mail.docx", "A 804-2023")</f>
        <v/>
      </c>
    </row>
    <row r="508" ht="15" customHeight="1">
      <c r="A508" t="inlineStr">
        <is>
          <t>A 765-2023</t>
        </is>
      </c>
      <c r="B508" s="1" t="n">
        <v>44931</v>
      </c>
      <c r="C508" s="1" t="n">
        <v>45715</v>
      </c>
      <c r="D508" t="inlineStr">
        <is>
          <t>KALMAR LÄN</t>
        </is>
      </c>
      <c r="E508" t="inlineStr">
        <is>
          <t>VÄSTERVIK</t>
        </is>
      </c>
      <c r="F508" t="inlineStr">
        <is>
          <t>Holmen skog AB</t>
        </is>
      </c>
      <c r="G508" t="n">
        <v>3.7</v>
      </c>
      <c r="H508" t="n">
        <v>1</v>
      </c>
      <c r="I508" t="n">
        <v>0</v>
      </c>
      <c r="J508" t="n">
        <v>2</v>
      </c>
      <c r="K508" t="n">
        <v>0</v>
      </c>
      <c r="L508" t="n">
        <v>0</v>
      </c>
      <c r="M508" t="n">
        <v>0</v>
      </c>
      <c r="N508" t="n">
        <v>0</v>
      </c>
      <c r="O508" t="n">
        <v>2</v>
      </c>
      <c r="P508" t="n">
        <v>0</v>
      </c>
      <c r="Q508" t="n">
        <v>2</v>
      </c>
      <c r="R508" s="2" t="inlineStr">
        <is>
          <t>Ekticka
Talltita</t>
        </is>
      </c>
      <c r="S508">
        <f>HYPERLINK("https://klasma.github.io/Logging_0883/artfynd/A 765-2023 artfynd.xlsx", "A 765-2023")</f>
        <v/>
      </c>
      <c r="T508">
        <f>HYPERLINK("https://klasma.github.io/Logging_0883/kartor/A 765-2023 karta.png", "A 765-2023")</f>
        <v/>
      </c>
      <c r="V508">
        <f>HYPERLINK("https://klasma.github.io/Logging_0883/klagomål/A 765-2023 FSC-klagomål.docx", "A 765-2023")</f>
        <v/>
      </c>
      <c r="W508">
        <f>HYPERLINK("https://klasma.github.io/Logging_0883/klagomålsmail/A 765-2023 FSC-klagomål mail.docx", "A 765-2023")</f>
        <v/>
      </c>
      <c r="X508">
        <f>HYPERLINK("https://klasma.github.io/Logging_0883/tillsyn/A 765-2023 tillsynsbegäran.docx", "A 765-2023")</f>
        <v/>
      </c>
      <c r="Y508">
        <f>HYPERLINK("https://klasma.github.io/Logging_0883/tillsynsmail/A 765-2023 tillsynsbegäran mail.docx", "A 765-2023")</f>
        <v/>
      </c>
      <c r="Z508">
        <f>HYPERLINK("https://klasma.github.io/Logging_0883/fåglar/A 765-2023 prioriterade fågelarter.docx", "A 765-2023")</f>
        <v/>
      </c>
    </row>
    <row r="509" ht="15" customHeight="1">
      <c r="A509" t="inlineStr">
        <is>
          <t>A 1529-2023</t>
        </is>
      </c>
      <c r="B509" s="1" t="n">
        <v>44937</v>
      </c>
      <c r="C509" s="1" t="n">
        <v>45715</v>
      </c>
      <c r="D509" t="inlineStr">
        <is>
          <t>KALMAR LÄN</t>
        </is>
      </c>
      <c r="E509" t="inlineStr">
        <is>
          <t>NYBRO</t>
        </is>
      </c>
      <c r="F509" t="inlineStr">
        <is>
          <t>Sveaskog</t>
        </is>
      </c>
      <c r="G509" t="n">
        <v>4.1</v>
      </c>
      <c r="H509" t="n">
        <v>2</v>
      </c>
      <c r="I509" t="n">
        <v>0</v>
      </c>
      <c r="J509" t="n">
        <v>0</v>
      </c>
      <c r="K509" t="n">
        <v>0</v>
      </c>
      <c r="L509" t="n">
        <v>0</v>
      </c>
      <c r="M509" t="n">
        <v>0</v>
      </c>
      <c r="N509" t="n">
        <v>0</v>
      </c>
      <c r="O509" t="n">
        <v>0</v>
      </c>
      <c r="P509" t="n">
        <v>0</v>
      </c>
      <c r="Q509" t="n">
        <v>2</v>
      </c>
      <c r="R509" s="2" t="inlineStr">
        <is>
          <t>Gröngöling
Trana</t>
        </is>
      </c>
      <c r="S509">
        <f>HYPERLINK("https://klasma.github.io/Logging_0881/artfynd/A 1529-2023 artfynd.xlsx", "A 1529-2023")</f>
        <v/>
      </c>
      <c r="T509">
        <f>HYPERLINK("https://klasma.github.io/Logging_0881/kartor/A 1529-2023 karta.png", "A 1529-2023")</f>
        <v/>
      </c>
      <c r="V509">
        <f>HYPERLINK("https://klasma.github.io/Logging_0881/klagomål/A 1529-2023 FSC-klagomål.docx", "A 1529-2023")</f>
        <v/>
      </c>
      <c r="W509">
        <f>HYPERLINK("https://klasma.github.io/Logging_0881/klagomålsmail/A 1529-2023 FSC-klagomål mail.docx", "A 1529-2023")</f>
        <v/>
      </c>
      <c r="X509">
        <f>HYPERLINK("https://klasma.github.io/Logging_0881/tillsyn/A 1529-2023 tillsynsbegäran.docx", "A 1529-2023")</f>
        <v/>
      </c>
      <c r="Y509">
        <f>HYPERLINK("https://klasma.github.io/Logging_0881/tillsynsmail/A 1529-2023 tillsynsbegäran mail.docx", "A 1529-2023")</f>
        <v/>
      </c>
      <c r="Z509">
        <f>HYPERLINK("https://klasma.github.io/Logging_0881/fåglar/A 1529-2023 prioriterade fågelarter.docx", "A 1529-2023")</f>
        <v/>
      </c>
    </row>
    <row r="510" ht="15" customHeight="1">
      <c r="A510" t="inlineStr">
        <is>
          <t>A 1991-2023</t>
        </is>
      </c>
      <c r="B510" s="1" t="n">
        <v>44939</v>
      </c>
      <c r="C510" s="1" t="n">
        <v>45715</v>
      </c>
      <c r="D510" t="inlineStr">
        <is>
          <t>KALMAR LÄN</t>
        </is>
      </c>
      <c r="E510" t="inlineStr">
        <is>
          <t>MÖNSTERÅS</t>
        </is>
      </c>
      <c r="G510" t="n">
        <v>0.8</v>
      </c>
      <c r="H510" t="n">
        <v>0</v>
      </c>
      <c r="I510" t="n">
        <v>2</v>
      </c>
      <c r="J510" t="n">
        <v>0</v>
      </c>
      <c r="K510" t="n">
        <v>0</v>
      </c>
      <c r="L510" t="n">
        <v>0</v>
      </c>
      <c r="M510" t="n">
        <v>0</v>
      </c>
      <c r="N510" t="n">
        <v>0</v>
      </c>
      <c r="O510" t="n">
        <v>0</v>
      </c>
      <c r="P510" t="n">
        <v>0</v>
      </c>
      <c r="Q510" t="n">
        <v>2</v>
      </c>
      <c r="R510" s="2" t="inlineStr">
        <is>
          <t>Vätteros
Vårärt</t>
        </is>
      </c>
      <c r="S510">
        <f>HYPERLINK("https://klasma.github.io/Logging_0861/artfynd/A 1991-2023 artfynd.xlsx", "A 1991-2023")</f>
        <v/>
      </c>
      <c r="T510">
        <f>HYPERLINK("https://klasma.github.io/Logging_0861/kartor/A 1991-2023 karta.png", "A 1991-2023")</f>
        <v/>
      </c>
      <c r="V510">
        <f>HYPERLINK("https://klasma.github.io/Logging_0861/klagomål/A 1991-2023 FSC-klagomål.docx", "A 1991-2023")</f>
        <v/>
      </c>
      <c r="W510">
        <f>HYPERLINK("https://klasma.github.io/Logging_0861/klagomålsmail/A 1991-2023 FSC-klagomål mail.docx", "A 1991-2023")</f>
        <v/>
      </c>
      <c r="X510">
        <f>HYPERLINK("https://klasma.github.io/Logging_0861/tillsyn/A 1991-2023 tillsynsbegäran.docx", "A 1991-2023")</f>
        <v/>
      </c>
      <c r="Y510">
        <f>HYPERLINK("https://klasma.github.io/Logging_0861/tillsynsmail/A 1991-2023 tillsynsbegäran mail.docx", "A 1991-2023")</f>
        <v/>
      </c>
    </row>
    <row r="511" ht="15" customHeight="1">
      <c r="A511" t="inlineStr">
        <is>
          <t>A 2097-2023</t>
        </is>
      </c>
      <c r="B511" s="1" t="n">
        <v>44939</v>
      </c>
      <c r="C511" s="1" t="n">
        <v>45715</v>
      </c>
      <c r="D511" t="inlineStr">
        <is>
          <t>KALMAR LÄN</t>
        </is>
      </c>
      <c r="E511" t="inlineStr">
        <is>
          <t>VÄSTERVIK</t>
        </is>
      </c>
      <c r="G511" t="n">
        <v>6.9</v>
      </c>
      <c r="H511" t="n">
        <v>1</v>
      </c>
      <c r="I511" t="n">
        <v>1</v>
      </c>
      <c r="J511" t="n">
        <v>0</v>
      </c>
      <c r="K511" t="n">
        <v>1</v>
      </c>
      <c r="L511" t="n">
        <v>0</v>
      </c>
      <c r="M511" t="n">
        <v>0</v>
      </c>
      <c r="N511" t="n">
        <v>0</v>
      </c>
      <c r="O511" t="n">
        <v>1</v>
      </c>
      <c r="P511" t="n">
        <v>1</v>
      </c>
      <c r="Q511" t="n">
        <v>2</v>
      </c>
      <c r="R511" s="2" t="inlineStr">
        <is>
          <t>Knärot
Grovticka</t>
        </is>
      </c>
      <c r="S511">
        <f>HYPERLINK("https://klasma.github.io/Logging_0883/artfynd/A 2097-2023 artfynd.xlsx", "A 2097-2023")</f>
        <v/>
      </c>
      <c r="T511">
        <f>HYPERLINK("https://klasma.github.io/Logging_0883/kartor/A 2097-2023 karta.png", "A 2097-2023")</f>
        <v/>
      </c>
      <c r="U511">
        <f>HYPERLINK("https://klasma.github.io/Logging_0883/knärot/A 2097-2023 karta knärot.png", "A 2097-2023")</f>
        <v/>
      </c>
      <c r="V511">
        <f>HYPERLINK("https://klasma.github.io/Logging_0883/klagomål/A 2097-2023 FSC-klagomål.docx", "A 2097-2023")</f>
        <v/>
      </c>
      <c r="W511">
        <f>HYPERLINK("https://klasma.github.io/Logging_0883/klagomålsmail/A 2097-2023 FSC-klagomål mail.docx", "A 2097-2023")</f>
        <v/>
      </c>
      <c r="X511">
        <f>HYPERLINK("https://klasma.github.io/Logging_0883/tillsyn/A 2097-2023 tillsynsbegäran.docx", "A 2097-2023")</f>
        <v/>
      </c>
      <c r="Y511">
        <f>HYPERLINK("https://klasma.github.io/Logging_0883/tillsynsmail/A 2097-2023 tillsynsbegäran mail.docx", "A 2097-2023")</f>
        <v/>
      </c>
    </row>
    <row r="512" ht="15" customHeight="1">
      <c r="A512" t="inlineStr">
        <is>
          <t>A 2063-2023</t>
        </is>
      </c>
      <c r="B512" s="1" t="n">
        <v>44939</v>
      </c>
      <c r="C512" s="1" t="n">
        <v>45715</v>
      </c>
      <c r="D512" t="inlineStr">
        <is>
          <t>KALMAR LÄN</t>
        </is>
      </c>
      <c r="E512" t="inlineStr">
        <is>
          <t>TORSÅS</t>
        </is>
      </c>
      <c r="G512" t="n">
        <v>1.8</v>
      </c>
      <c r="H512" t="n">
        <v>0</v>
      </c>
      <c r="I512" t="n">
        <v>0</v>
      </c>
      <c r="J512" t="n">
        <v>1</v>
      </c>
      <c r="K512" t="n">
        <v>0</v>
      </c>
      <c r="L512" t="n">
        <v>0</v>
      </c>
      <c r="M512" t="n">
        <v>1</v>
      </c>
      <c r="N512" t="n">
        <v>0</v>
      </c>
      <c r="O512" t="n">
        <v>2</v>
      </c>
      <c r="P512" t="n">
        <v>1</v>
      </c>
      <c r="Q512" t="n">
        <v>2</v>
      </c>
      <c r="R512" s="2" t="inlineStr">
        <is>
          <t>Selleri
Kavelhirs</t>
        </is>
      </c>
      <c r="S512">
        <f>HYPERLINK("https://klasma.github.io/Logging_0834/artfynd/A 2063-2023 artfynd.xlsx", "A 2063-2023")</f>
        <v/>
      </c>
      <c r="T512">
        <f>HYPERLINK("https://klasma.github.io/Logging_0834/kartor/A 2063-2023 karta.png", "A 2063-2023")</f>
        <v/>
      </c>
      <c r="V512">
        <f>HYPERLINK("https://klasma.github.io/Logging_0834/klagomål/A 2063-2023 FSC-klagomål.docx", "A 2063-2023")</f>
        <v/>
      </c>
      <c r="W512">
        <f>HYPERLINK("https://klasma.github.io/Logging_0834/klagomålsmail/A 2063-2023 FSC-klagomål mail.docx", "A 2063-2023")</f>
        <v/>
      </c>
      <c r="X512">
        <f>HYPERLINK("https://klasma.github.io/Logging_0834/tillsyn/A 2063-2023 tillsynsbegäran.docx", "A 2063-2023")</f>
        <v/>
      </c>
      <c r="Y512">
        <f>HYPERLINK("https://klasma.github.io/Logging_0834/tillsynsmail/A 2063-2023 tillsynsbegäran mail.docx", "A 2063-2023")</f>
        <v/>
      </c>
    </row>
    <row r="513" ht="15" customHeight="1">
      <c r="A513" t="inlineStr">
        <is>
          <t>A 2518-2023</t>
        </is>
      </c>
      <c r="B513" s="1" t="n">
        <v>44943</v>
      </c>
      <c r="C513" s="1" t="n">
        <v>45715</v>
      </c>
      <c r="D513" t="inlineStr">
        <is>
          <t>KALMAR LÄN</t>
        </is>
      </c>
      <c r="E513" t="inlineStr">
        <is>
          <t>VIMMERBY</t>
        </is>
      </c>
      <c r="G513" t="n">
        <v>6.1</v>
      </c>
      <c r="H513" t="n">
        <v>1</v>
      </c>
      <c r="I513" t="n">
        <v>1</v>
      </c>
      <c r="J513" t="n">
        <v>0</v>
      </c>
      <c r="K513" t="n">
        <v>1</v>
      </c>
      <c r="L513" t="n">
        <v>0</v>
      </c>
      <c r="M513" t="n">
        <v>0</v>
      </c>
      <c r="N513" t="n">
        <v>0</v>
      </c>
      <c r="O513" t="n">
        <v>1</v>
      </c>
      <c r="P513" t="n">
        <v>1</v>
      </c>
      <c r="Q513" t="n">
        <v>2</v>
      </c>
      <c r="R513" s="2" t="inlineStr">
        <is>
          <t>Knärot
Grönpyrola</t>
        </is>
      </c>
      <c r="S513">
        <f>HYPERLINK("https://klasma.github.io/Logging_0884/artfynd/A 2518-2023 artfynd.xlsx", "A 2518-2023")</f>
        <v/>
      </c>
      <c r="T513">
        <f>HYPERLINK("https://klasma.github.io/Logging_0884/kartor/A 2518-2023 karta.png", "A 2518-2023")</f>
        <v/>
      </c>
      <c r="U513">
        <f>HYPERLINK("https://klasma.github.io/Logging_0884/knärot/A 2518-2023 karta knärot.png", "A 2518-2023")</f>
        <v/>
      </c>
      <c r="V513">
        <f>HYPERLINK("https://klasma.github.io/Logging_0884/klagomål/A 2518-2023 FSC-klagomål.docx", "A 2518-2023")</f>
        <v/>
      </c>
      <c r="W513">
        <f>HYPERLINK("https://klasma.github.io/Logging_0884/klagomålsmail/A 2518-2023 FSC-klagomål mail.docx", "A 2518-2023")</f>
        <v/>
      </c>
      <c r="X513">
        <f>HYPERLINK("https://klasma.github.io/Logging_0884/tillsyn/A 2518-2023 tillsynsbegäran.docx", "A 2518-2023")</f>
        <v/>
      </c>
      <c r="Y513">
        <f>HYPERLINK("https://klasma.github.io/Logging_0884/tillsynsmail/A 2518-2023 tillsynsbegäran mail.docx", "A 2518-2023")</f>
        <v/>
      </c>
    </row>
    <row r="514" ht="15" customHeight="1">
      <c r="A514" t="inlineStr">
        <is>
          <t>A 2515-2023</t>
        </is>
      </c>
      <c r="B514" s="1" t="n">
        <v>44943</v>
      </c>
      <c r="C514" s="1" t="n">
        <v>45715</v>
      </c>
      <c r="D514" t="inlineStr">
        <is>
          <t>KALMAR LÄN</t>
        </is>
      </c>
      <c r="E514" t="inlineStr">
        <is>
          <t>VÄSTERVIK</t>
        </is>
      </c>
      <c r="G514" t="n">
        <v>1.3</v>
      </c>
      <c r="H514" t="n">
        <v>1</v>
      </c>
      <c r="I514" t="n">
        <v>1</v>
      </c>
      <c r="J514" t="n">
        <v>0</v>
      </c>
      <c r="K514" t="n">
        <v>1</v>
      </c>
      <c r="L514" t="n">
        <v>0</v>
      </c>
      <c r="M514" t="n">
        <v>0</v>
      </c>
      <c r="N514" t="n">
        <v>0</v>
      </c>
      <c r="O514" t="n">
        <v>1</v>
      </c>
      <c r="P514" t="n">
        <v>1</v>
      </c>
      <c r="Q514" t="n">
        <v>2</v>
      </c>
      <c r="R514" s="2" t="inlineStr">
        <is>
          <t>Knärot
Grönpyrola</t>
        </is>
      </c>
      <c r="S514">
        <f>HYPERLINK("https://klasma.github.io/Logging_0883/artfynd/A 2515-2023 artfynd.xlsx", "A 2515-2023")</f>
        <v/>
      </c>
      <c r="T514">
        <f>HYPERLINK("https://klasma.github.io/Logging_0883/kartor/A 2515-2023 karta.png", "A 2515-2023")</f>
        <v/>
      </c>
      <c r="U514">
        <f>HYPERLINK("https://klasma.github.io/Logging_0883/knärot/A 2515-2023 karta knärot.png", "A 2515-2023")</f>
        <v/>
      </c>
      <c r="V514">
        <f>HYPERLINK("https://klasma.github.io/Logging_0883/klagomål/A 2515-2023 FSC-klagomål.docx", "A 2515-2023")</f>
        <v/>
      </c>
      <c r="W514">
        <f>HYPERLINK("https://klasma.github.io/Logging_0883/klagomålsmail/A 2515-2023 FSC-klagomål mail.docx", "A 2515-2023")</f>
        <v/>
      </c>
      <c r="X514">
        <f>HYPERLINK("https://klasma.github.io/Logging_0883/tillsyn/A 2515-2023 tillsynsbegäran.docx", "A 2515-2023")</f>
        <v/>
      </c>
      <c r="Y514">
        <f>HYPERLINK("https://klasma.github.io/Logging_0883/tillsynsmail/A 2515-2023 tillsynsbegäran mail.docx", "A 2515-2023")</f>
        <v/>
      </c>
    </row>
    <row r="515" ht="15" customHeight="1">
      <c r="A515" t="inlineStr">
        <is>
          <t>A 3173-2023</t>
        </is>
      </c>
      <c r="B515" s="1" t="n">
        <v>44946</v>
      </c>
      <c r="C515" s="1" t="n">
        <v>45715</v>
      </c>
      <c r="D515" t="inlineStr">
        <is>
          <t>KALMAR LÄN</t>
        </is>
      </c>
      <c r="E515" t="inlineStr">
        <is>
          <t>VÄSTERVIK</t>
        </is>
      </c>
      <c r="G515" t="n">
        <v>4</v>
      </c>
      <c r="H515" t="n">
        <v>1</v>
      </c>
      <c r="I515" t="n">
        <v>0</v>
      </c>
      <c r="J515" t="n">
        <v>1</v>
      </c>
      <c r="K515" t="n">
        <v>1</v>
      </c>
      <c r="L515" t="n">
        <v>0</v>
      </c>
      <c r="M515" t="n">
        <v>0</v>
      </c>
      <c r="N515" t="n">
        <v>0</v>
      </c>
      <c r="O515" t="n">
        <v>2</v>
      </c>
      <c r="P515" t="n">
        <v>1</v>
      </c>
      <c r="Q515" t="n">
        <v>2</v>
      </c>
      <c r="R515" s="2" t="inlineStr">
        <is>
          <t>Knärot
Tallticka</t>
        </is>
      </c>
      <c r="S515">
        <f>HYPERLINK("https://klasma.github.io/Logging_0883/artfynd/A 3173-2023 artfynd.xlsx", "A 3173-2023")</f>
        <v/>
      </c>
      <c r="T515">
        <f>HYPERLINK("https://klasma.github.io/Logging_0883/kartor/A 3173-2023 karta.png", "A 3173-2023")</f>
        <v/>
      </c>
      <c r="U515">
        <f>HYPERLINK("https://klasma.github.io/Logging_0883/knärot/A 3173-2023 karta knärot.png", "A 3173-2023")</f>
        <v/>
      </c>
      <c r="V515">
        <f>HYPERLINK("https://klasma.github.io/Logging_0883/klagomål/A 3173-2023 FSC-klagomål.docx", "A 3173-2023")</f>
        <v/>
      </c>
      <c r="W515">
        <f>HYPERLINK("https://klasma.github.io/Logging_0883/klagomålsmail/A 3173-2023 FSC-klagomål mail.docx", "A 3173-2023")</f>
        <v/>
      </c>
      <c r="X515">
        <f>HYPERLINK("https://klasma.github.io/Logging_0883/tillsyn/A 3173-2023 tillsynsbegäran.docx", "A 3173-2023")</f>
        <v/>
      </c>
      <c r="Y515">
        <f>HYPERLINK("https://klasma.github.io/Logging_0883/tillsynsmail/A 3173-2023 tillsynsbegäran mail.docx", "A 3173-2023")</f>
        <v/>
      </c>
    </row>
    <row r="516" ht="15" customHeight="1">
      <c r="A516" t="inlineStr">
        <is>
          <t>A 4538-2023</t>
        </is>
      </c>
      <c r="B516" s="1" t="n">
        <v>44951</v>
      </c>
      <c r="C516" s="1" t="n">
        <v>45715</v>
      </c>
      <c r="D516" t="inlineStr">
        <is>
          <t>KALMAR LÄN</t>
        </is>
      </c>
      <c r="E516" t="inlineStr">
        <is>
          <t>KALMAR</t>
        </is>
      </c>
      <c r="G516" t="n">
        <v>3.2</v>
      </c>
      <c r="H516" t="n">
        <v>0</v>
      </c>
      <c r="I516" t="n">
        <v>2</v>
      </c>
      <c r="J516" t="n">
        <v>0</v>
      </c>
      <c r="K516" t="n">
        <v>0</v>
      </c>
      <c r="L516" t="n">
        <v>0</v>
      </c>
      <c r="M516" t="n">
        <v>0</v>
      </c>
      <c r="N516" t="n">
        <v>0</v>
      </c>
      <c r="O516" t="n">
        <v>0</v>
      </c>
      <c r="P516" t="n">
        <v>0</v>
      </c>
      <c r="Q516" t="n">
        <v>2</v>
      </c>
      <c r="R516" s="2" t="inlineStr">
        <is>
          <t>Bronshjon
Kornknutmossa</t>
        </is>
      </c>
      <c r="S516">
        <f>HYPERLINK("https://klasma.github.io/Logging_0880/artfynd/A 4538-2023 artfynd.xlsx", "A 4538-2023")</f>
        <v/>
      </c>
      <c r="T516">
        <f>HYPERLINK("https://klasma.github.io/Logging_0880/kartor/A 4538-2023 karta.png", "A 4538-2023")</f>
        <v/>
      </c>
      <c r="V516">
        <f>HYPERLINK("https://klasma.github.io/Logging_0880/klagomål/A 4538-2023 FSC-klagomål.docx", "A 4538-2023")</f>
        <v/>
      </c>
      <c r="W516">
        <f>HYPERLINK("https://klasma.github.io/Logging_0880/klagomålsmail/A 4538-2023 FSC-klagomål mail.docx", "A 4538-2023")</f>
        <v/>
      </c>
      <c r="X516">
        <f>HYPERLINK("https://klasma.github.io/Logging_0880/tillsyn/A 4538-2023 tillsynsbegäran.docx", "A 4538-2023")</f>
        <v/>
      </c>
      <c r="Y516">
        <f>HYPERLINK("https://klasma.github.io/Logging_0880/tillsynsmail/A 4538-2023 tillsynsbegäran mail.docx", "A 4538-2023")</f>
        <v/>
      </c>
    </row>
    <row r="517" ht="15" customHeight="1">
      <c r="A517" t="inlineStr">
        <is>
          <t>A 4164-2023</t>
        </is>
      </c>
      <c r="B517" s="1" t="n">
        <v>44953</v>
      </c>
      <c r="C517" s="1" t="n">
        <v>45715</v>
      </c>
      <c r="D517" t="inlineStr">
        <is>
          <t>KALMAR LÄN</t>
        </is>
      </c>
      <c r="E517" t="inlineStr">
        <is>
          <t>BORGHOLM</t>
        </is>
      </c>
      <c r="G517" t="n">
        <v>3.3</v>
      </c>
      <c r="H517" t="n">
        <v>1</v>
      </c>
      <c r="I517" t="n">
        <v>1</v>
      </c>
      <c r="J517" t="n">
        <v>0</v>
      </c>
      <c r="K517" t="n">
        <v>0</v>
      </c>
      <c r="L517" t="n">
        <v>0</v>
      </c>
      <c r="M517" t="n">
        <v>0</v>
      </c>
      <c r="N517" t="n">
        <v>0</v>
      </c>
      <c r="O517" t="n">
        <v>0</v>
      </c>
      <c r="P517" t="n">
        <v>0</v>
      </c>
      <c r="Q517" t="n">
        <v>2</v>
      </c>
      <c r="R517" s="2" t="inlineStr">
        <is>
          <t>Murgröna
Blåsippa</t>
        </is>
      </c>
      <c r="S517">
        <f>HYPERLINK("https://klasma.github.io/Logging_0885/artfynd/A 4164-2023 artfynd.xlsx", "A 4164-2023")</f>
        <v/>
      </c>
      <c r="T517">
        <f>HYPERLINK("https://klasma.github.io/Logging_0885/kartor/A 4164-2023 karta.png", "A 4164-2023")</f>
        <v/>
      </c>
      <c r="V517">
        <f>HYPERLINK("https://klasma.github.io/Logging_0885/klagomål/A 4164-2023 FSC-klagomål.docx", "A 4164-2023")</f>
        <v/>
      </c>
      <c r="W517">
        <f>HYPERLINK("https://klasma.github.io/Logging_0885/klagomålsmail/A 4164-2023 FSC-klagomål mail.docx", "A 4164-2023")</f>
        <v/>
      </c>
      <c r="X517">
        <f>HYPERLINK("https://klasma.github.io/Logging_0885/tillsyn/A 4164-2023 tillsynsbegäran.docx", "A 4164-2023")</f>
        <v/>
      </c>
      <c r="Y517">
        <f>HYPERLINK("https://klasma.github.io/Logging_0885/tillsynsmail/A 4164-2023 tillsynsbegäran mail.docx", "A 4164-2023")</f>
        <v/>
      </c>
    </row>
    <row r="518" ht="15" customHeight="1">
      <c r="A518" t="inlineStr">
        <is>
          <t>A 8742-2023</t>
        </is>
      </c>
      <c r="B518" s="1" t="n">
        <v>44978</v>
      </c>
      <c r="C518" s="1" t="n">
        <v>45715</v>
      </c>
      <c r="D518" t="inlineStr">
        <is>
          <t>KALMAR LÄN</t>
        </is>
      </c>
      <c r="E518" t="inlineStr">
        <is>
          <t>NYBRO</t>
        </is>
      </c>
      <c r="G518" t="n">
        <v>0.9</v>
      </c>
      <c r="H518" t="n">
        <v>0</v>
      </c>
      <c r="I518" t="n">
        <v>2</v>
      </c>
      <c r="J518" t="n">
        <v>0</v>
      </c>
      <c r="K518" t="n">
        <v>0</v>
      </c>
      <c r="L518" t="n">
        <v>0</v>
      </c>
      <c r="M518" t="n">
        <v>0</v>
      </c>
      <c r="N518" t="n">
        <v>0</v>
      </c>
      <c r="O518" t="n">
        <v>0</v>
      </c>
      <c r="P518" t="n">
        <v>0</v>
      </c>
      <c r="Q518" t="n">
        <v>2</v>
      </c>
      <c r="R518" s="2" t="inlineStr">
        <is>
          <t>Fällmossa
Rostfläck</t>
        </is>
      </c>
      <c r="S518">
        <f>HYPERLINK("https://klasma.github.io/Logging_0881/artfynd/A 8742-2023 artfynd.xlsx", "A 8742-2023")</f>
        <v/>
      </c>
      <c r="T518">
        <f>HYPERLINK("https://klasma.github.io/Logging_0881/kartor/A 8742-2023 karta.png", "A 8742-2023")</f>
        <v/>
      </c>
      <c r="V518">
        <f>HYPERLINK("https://klasma.github.io/Logging_0881/klagomål/A 8742-2023 FSC-klagomål.docx", "A 8742-2023")</f>
        <v/>
      </c>
      <c r="W518">
        <f>HYPERLINK("https://klasma.github.io/Logging_0881/klagomålsmail/A 8742-2023 FSC-klagomål mail.docx", "A 8742-2023")</f>
        <v/>
      </c>
      <c r="X518">
        <f>HYPERLINK("https://klasma.github.io/Logging_0881/tillsyn/A 8742-2023 tillsynsbegäran.docx", "A 8742-2023")</f>
        <v/>
      </c>
      <c r="Y518">
        <f>HYPERLINK("https://klasma.github.io/Logging_0881/tillsynsmail/A 8742-2023 tillsynsbegäran mail.docx", "A 8742-2023")</f>
        <v/>
      </c>
    </row>
    <row r="519" ht="15" customHeight="1">
      <c r="A519" t="inlineStr">
        <is>
          <t>A 8729-2023</t>
        </is>
      </c>
      <c r="B519" s="1" t="n">
        <v>44978</v>
      </c>
      <c r="C519" s="1" t="n">
        <v>45715</v>
      </c>
      <c r="D519" t="inlineStr">
        <is>
          <t>KALMAR LÄN</t>
        </is>
      </c>
      <c r="E519" t="inlineStr">
        <is>
          <t>OSKARSHAMN</t>
        </is>
      </c>
      <c r="G519" t="n">
        <v>6.6</v>
      </c>
      <c r="H519" t="n">
        <v>1</v>
      </c>
      <c r="I519" t="n">
        <v>0</v>
      </c>
      <c r="J519" t="n">
        <v>2</v>
      </c>
      <c r="K519" t="n">
        <v>0</v>
      </c>
      <c r="L519" t="n">
        <v>0</v>
      </c>
      <c r="M519" t="n">
        <v>0</v>
      </c>
      <c r="N519" t="n">
        <v>0</v>
      </c>
      <c r="O519" t="n">
        <v>2</v>
      </c>
      <c r="P519" t="n">
        <v>0</v>
      </c>
      <c r="Q519" t="n">
        <v>2</v>
      </c>
      <c r="R519" s="2" t="inlineStr">
        <is>
          <t>Tallticka
Talltita</t>
        </is>
      </c>
      <c r="S519">
        <f>HYPERLINK("https://klasma.github.io/Logging_0882/artfynd/A 8729-2023 artfynd.xlsx", "A 8729-2023")</f>
        <v/>
      </c>
      <c r="T519">
        <f>HYPERLINK("https://klasma.github.io/Logging_0882/kartor/A 8729-2023 karta.png", "A 8729-2023")</f>
        <v/>
      </c>
      <c r="V519">
        <f>HYPERLINK("https://klasma.github.io/Logging_0882/klagomål/A 8729-2023 FSC-klagomål.docx", "A 8729-2023")</f>
        <v/>
      </c>
      <c r="W519">
        <f>HYPERLINK("https://klasma.github.io/Logging_0882/klagomålsmail/A 8729-2023 FSC-klagomål mail.docx", "A 8729-2023")</f>
        <v/>
      </c>
      <c r="X519">
        <f>HYPERLINK("https://klasma.github.io/Logging_0882/tillsyn/A 8729-2023 tillsynsbegäran.docx", "A 8729-2023")</f>
        <v/>
      </c>
      <c r="Y519">
        <f>HYPERLINK("https://klasma.github.io/Logging_0882/tillsynsmail/A 8729-2023 tillsynsbegäran mail.docx", "A 8729-2023")</f>
        <v/>
      </c>
      <c r="Z519">
        <f>HYPERLINK("https://klasma.github.io/Logging_0882/fåglar/A 8729-2023 prioriterade fågelarter.docx", "A 8729-2023")</f>
        <v/>
      </c>
    </row>
    <row r="520" ht="15" customHeight="1">
      <c r="A520" t="inlineStr">
        <is>
          <t>A 9040-2023</t>
        </is>
      </c>
      <c r="B520" s="1" t="n">
        <v>44979</v>
      </c>
      <c r="C520" s="1" t="n">
        <v>45715</v>
      </c>
      <c r="D520" t="inlineStr">
        <is>
          <t>KALMAR LÄN</t>
        </is>
      </c>
      <c r="E520" t="inlineStr">
        <is>
          <t>VÄSTERVIK</t>
        </is>
      </c>
      <c r="G520" t="n">
        <v>5.1</v>
      </c>
      <c r="H520" t="n">
        <v>1</v>
      </c>
      <c r="I520" t="n">
        <v>1</v>
      </c>
      <c r="J520" t="n">
        <v>0</v>
      </c>
      <c r="K520" t="n">
        <v>1</v>
      </c>
      <c r="L520" t="n">
        <v>0</v>
      </c>
      <c r="M520" t="n">
        <v>0</v>
      </c>
      <c r="N520" t="n">
        <v>0</v>
      </c>
      <c r="O520" t="n">
        <v>1</v>
      </c>
      <c r="P520" t="n">
        <v>1</v>
      </c>
      <c r="Q520" t="n">
        <v>2</v>
      </c>
      <c r="R520" s="2" t="inlineStr">
        <is>
          <t>Knärot
Grönpyrola</t>
        </is>
      </c>
      <c r="S520">
        <f>HYPERLINK("https://klasma.github.io/Logging_0883/artfynd/A 9040-2023 artfynd.xlsx", "A 9040-2023")</f>
        <v/>
      </c>
      <c r="T520">
        <f>HYPERLINK("https://klasma.github.io/Logging_0883/kartor/A 9040-2023 karta.png", "A 9040-2023")</f>
        <v/>
      </c>
      <c r="U520">
        <f>HYPERLINK("https://klasma.github.io/Logging_0883/knärot/A 9040-2023 karta knärot.png", "A 9040-2023")</f>
        <v/>
      </c>
      <c r="V520">
        <f>HYPERLINK("https://klasma.github.io/Logging_0883/klagomål/A 9040-2023 FSC-klagomål.docx", "A 9040-2023")</f>
        <v/>
      </c>
      <c r="W520">
        <f>HYPERLINK("https://klasma.github.io/Logging_0883/klagomålsmail/A 9040-2023 FSC-klagomål mail.docx", "A 9040-2023")</f>
        <v/>
      </c>
      <c r="X520">
        <f>HYPERLINK("https://klasma.github.io/Logging_0883/tillsyn/A 9040-2023 tillsynsbegäran.docx", "A 9040-2023")</f>
        <v/>
      </c>
      <c r="Y520">
        <f>HYPERLINK("https://klasma.github.io/Logging_0883/tillsynsmail/A 9040-2023 tillsynsbegäran mail.docx", "A 9040-2023")</f>
        <v/>
      </c>
    </row>
    <row r="521" ht="15" customHeight="1">
      <c r="A521" t="inlineStr">
        <is>
          <t>A 10603-2023</t>
        </is>
      </c>
      <c r="B521" s="1" t="n">
        <v>44988</v>
      </c>
      <c r="C521" s="1" t="n">
        <v>45715</v>
      </c>
      <c r="D521" t="inlineStr">
        <is>
          <t>KALMAR LÄN</t>
        </is>
      </c>
      <c r="E521" t="inlineStr">
        <is>
          <t>TORSÅS</t>
        </is>
      </c>
      <c r="G521" t="n">
        <v>0.9</v>
      </c>
      <c r="H521" t="n">
        <v>2</v>
      </c>
      <c r="I521" t="n">
        <v>0</v>
      </c>
      <c r="J521" t="n">
        <v>0</v>
      </c>
      <c r="K521" t="n">
        <v>1</v>
      </c>
      <c r="L521" t="n">
        <v>0</v>
      </c>
      <c r="M521" t="n">
        <v>0</v>
      </c>
      <c r="N521" t="n">
        <v>0</v>
      </c>
      <c r="O521" t="n">
        <v>1</v>
      </c>
      <c r="P521" t="n">
        <v>1</v>
      </c>
      <c r="Q521" t="n">
        <v>2</v>
      </c>
      <c r="R521" s="2" t="inlineStr">
        <is>
          <t>Stare
Skogsödla</t>
        </is>
      </c>
      <c r="S521">
        <f>HYPERLINK("https://klasma.github.io/Logging_0834/artfynd/A 10603-2023 artfynd.xlsx", "A 10603-2023")</f>
        <v/>
      </c>
      <c r="T521">
        <f>HYPERLINK("https://klasma.github.io/Logging_0834/kartor/A 10603-2023 karta.png", "A 10603-2023")</f>
        <v/>
      </c>
      <c r="V521">
        <f>HYPERLINK("https://klasma.github.io/Logging_0834/klagomål/A 10603-2023 FSC-klagomål.docx", "A 10603-2023")</f>
        <v/>
      </c>
      <c r="W521">
        <f>HYPERLINK("https://klasma.github.io/Logging_0834/klagomålsmail/A 10603-2023 FSC-klagomål mail.docx", "A 10603-2023")</f>
        <v/>
      </c>
      <c r="X521">
        <f>HYPERLINK("https://klasma.github.io/Logging_0834/tillsyn/A 10603-2023 tillsynsbegäran.docx", "A 10603-2023")</f>
        <v/>
      </c>
      <c r="Y521">
        <f>HYPERLINK("https://klasma.github.io/Logging_0834/tillsynsmail/A 10603-2023 tillsynsbegäran mail.docx", "A 10603-2023")</f>
        <v/>
      </c>
    </row>
    <row r="522" ht="15" customHeight="1">
      <c r="A522" t="inlineStr">
        <is>
          <t>A 10806-2023</t>
        </is>
      </c>
      <c r="B522" s="1" t="n">
        <v>44989</v>
      </c>
      <c r="C522" s="1" t="n">
        <v>45715</v>
      </c>
      <c r="D522" t="inlineStr">
        <is>
          <t>KALMAR LÄN</t>
        </is>
      </c>
      <c r="E522" t="inlineStr">
        <is>
          <t>VÄSTERVIK</t>
        </is>
      </c>
      <c r="G522" t="n">
        <v>3</v>
      </c>
      <c r="H522" t="n">
        <v>2</v>
      </c>
      <c r="I522" t="n">
        <v>0</v>
      </c>
      <c r="J522" t="n">
        <v>0</v>
      </c>
      <c r="K522" t="n">
        <v>1</v>
      </c>
      <c r="L522" t="n">
        <v>0</v>
      </c>
      <c r="M522" t="n">
        <v>0</v>
      </c>
      <c r="N522" t="n">
        <v>0</v>
      </c>
      <c r="O522" t="n">
        <v>1</v>
      </c>
      <c r="P522" t="n">
        <v>1</v>
      </c>
      <c r="Q522" t="n">
        <v>2</v>
      </c>
      <c r="R522" s="2" t="inlineStr">
        <is>
          <t>Knärot
Revlummer</t>
        </is>
      </c>
      <c r="S522">
        <f>HYPERLINK("https://klasma.github.io/Logging_0883/artfynd/A 10806-2023 artfynd.xlsx", "A 10806-2023")</f>
        <v/>
      </c>
      <c r="T522">
        <f>HYPERLINK("https://klasma.github.io/Logging_0883/kartor/A 10806-2023 karta.png", "A 10806-2023")</f>
        <v/>
      </c>
      <c r="U522">
        <f>HYPERLINK("https://klasma.github.io/Logging_0883/knärot/A 10806-2023 karta knärot.png", "A 10806-2023")</f>
        <v/>
      </c>
      <c r="V522">
        <f>HYPERLINK("https://klasma.github.io/Logging_0883/klagomål/A 10806-2023 FSC-klagomål.docx", "A 10806-2023")</f>
        <v/>
      </c>
      <c r="W522">
        <f>HYPERLINK("https://klasma.github.io/Logging_0883/klagomålsmail/A 10806-2023 FSC-klagomål mail.docx", "A 10806-2023")</f>
        <v/>
      </c>
      <c r="X522">
        <f>HYPERLINK("https://klasma.github.io/Logging_0883/tillsyn/A 10806-2023 tillsynsbegäran.docx", "A 10806-2023")</f>
        <v/>
      </c>
      <c r="Y522">
        <f>HYPERLINK("https://klasma.github.io/Logging_0883/tillsynsmail/A 10806-2023 tillsynsbegäran mail.docx", "A 10806-2023")</f>
        <v/>
      </c>
    </row>
    <row r="523" ht="15" customHeight="1">
      <c r="A523" t="inlineStr">
        <is>
          <t>A 14024-2023</t>
        </is>
      </c>
      <c r="B523" s="1" t="n">
        <v>45008</v>
      </c>
      <c r="C523" s="1" t="n">
        <v>45715</v>
      </c>
      <c r="D523" t="inlineStr">
        <is>
          <t>KALMAR LÄN</t>
        </is>
      </c>
      <c r="E523" t="inlineStr">
        <is>
          <t>VIMMERBY</t>
        </is>
      </c>
      <c r="G523" t="n">
        <v>3.2</v>
      </c>
      <c r="H523" t="n">
        <v>1</v>
      </c>
      <c r="I523" t="n">
        <v>1</v>
      </c>
      <c r="J523" t="n">
        <v>0</v>
      </c>
      <c r="K523" t="n">
        <v>0</v>
      </c>
      <c r="L523" t="n">
        <v>1</v>
      </c>
      <c r="M523" t="n">
        <v>0</v>
      </c>
      <c r="N523" t="n">
        <v>0</v>
      </c>
      <c r="O523" t="n">
        <v>1</v>
      </c>
      <c r="P523" t="n">
        <v>1</v>
      </c>
      <c r="Q523" t="n">
        <v>2</v>
      </c>
      <c r="R523" s="2" t="inlineStr">
        <is>
          <t>Ryl
Purpurknipprot</t>
        </is>
      </c>
      <c r="S523">
        <f>HYPERLINK("https://klasma.github.io/Logging_0884/artfynd/A 14024-2023 artfynd.xlsx", "A 14024-2023")</f>
        <v/>
      </c>
      <c r="T523">
        <f>HYPERLINK("https://klasma.github.io/Logging_0884/kartor/A 14024-2023 karta.png", "A 14024-2023")</f>
        <v/>
      </c>
      <c r="V523">
        <f>HYPERLINK("https://klasma.github.io/Logging_0884/klagomål/A 14024-2023 FSC-klagomål.docx", "A 14024-2023")</f>
        <v/>
      </c>
      <c r="W523">
        <f>HYPERLINK("https://klasma.github.io/Logging_0884/klagomålsmail/A 14024-2023 FSC-klagomål mail.docx", "A 14024-2023")</f>
        <v/>
      </c>
      <c r="X523">
        <f>HYPERLINK("https://klasma.github.io/Logging_0884/tillsyn/A 14024-2023 tillsynsbegäran.docx", "A 14024-2023")</f>
        <v/>
      </c>
      <c r="Y523">
        <f>HYPERLINK("https://klasma.github.io/Logging_0884/tillsynsmail/A 14024-2023 tillsynsbegäran mail.docx", "A 14024-2023")</f>
        <v/>
      </c>
    </row>
    <row r="524" ht="15" customHeight="1">
      <c r="A524" t="inlineStr">
        <is>
          <t>A 14301-2023</t>
        </is>
      </c>
      <c r="B524" s="1" t="n">
        <v>45011</v>
      </c>
      <c r="C524" s="1" t="n">
        <v>45715</v>
      </c>
      <c r="D524" t="inlineStr">
        <is>
          <t>KALMAR LÄN</t>
        </is>
      </c>
      <c r="E524" t="inlineStr">
        <is>
          <t>VÄSTERVIK</t>
        </is>
      </c>
      <c r="G524" t="n">
        <v>4.4</v>
      </c>
      <c r="H524" t="n">
        <v>1</v>
      </c>
      <c r="I524" t="n">
        <v>1</v>
      </c>
      <c r="J524" t="n">
        <v>0</v>
      </c>
      <c r="K524" t="n">
        <v>1</v>
      </c>
      <c r="L524" t="n">
        <v>0</v>
      </c>
      <c r="M524" t="n">
        <v>0</v>
      </c>
      <c r="N524" t="n">
        <v>0</v>
      </c>
      <c r="O524" t="n">
        <v>1</v>
      </c>
      <c r="P524" t="n">
        <v>1</v>
      </c>
      <c r="Q524" t="n">
        <v>2</v>
      </c>
      <c r="R524" s="2" t="inlineStr">
        <is>
          <t>Knärot
Grönpyrola</t>
        </is>
      </c>
      <c r="S524">
        <f>HYPERLINK("https://klasma.github.io/Logging_0883/artfynd/A 14301-2023 artfynd.xlsx", "A 14301-2023")</f>
        <v/>
      </c>
      <c r="T524">
        <f>HYPERLINK("https://klasma.github.io/Logging_0883/kartor/A 14301-2023 karta.png", "A 14301-2023")</f>
        <v/>
      </c>
      <c r="U524">
        <f>HYPERLINK("https://klasma.github.io/Logging_0883/knärot/A 14301-2023 karta knärot.png", "A 14301-2023")</f>
        <v/>
      </c>
      <c r="V524">
        <f>HYPERLINK("https://klasma.github.io/Logging_0883/klagomål/A 14301-2023 FSC-klagomål.docx", "A 14301-2023")</f>
        <v/>
      </c>
      <c r="W524">
        <f>HYPERLINK("https://klasma.github.io/Logging_0883/klagomålsmail/A 14301-2023 FSC-klagomål mail.docx", "A 14301-2023")</f>
        <v/>
      </c>
      <c r="X524">
        <f>HYPERLINK("https://klasma.github.io/Logging_0883/tillsyn/A 14301-2023 tillsynsbegäran.docx", "A 14301-2023")</f>
        <v/>
      </c>
      <c r="Y524">
        <f>HYPERLINK("https://klasma.github.io/Logging_0883/tillsynsmail/A 14301-2023 tillsynsbegäran mail.docx", "A 14301-2023")</f>
        <v/>
      </c>
    </row>
    <row r="525" ht="15" customHeight="1">
      <c r="A525" t="inlineStr">
        <is>
          <t>A 16431-2023</t>
        </is>
      </c>
      <c r="B525" s="1" t="n">
        <v>45022</v>
      </c>
      <c r="C525" s="1" t="n">
        <v>45715</v>
      </c>
      <c r="D525" t="inlineStr">
        <is>
          <t>KALMAR LÄN</t>
        </is>
      </c>
      <c r="E525" t="inlineStr">
        <is>
          <t>MÖNSTERÅS</t>
        </is>
      </c>
      <c r="G525" t="n">
        <v>9.4</v>
      </c>
      <c r="H525" t="n">
        <v>0</v>
      </c>
      <c r="I525" t="n">
        <v>2</v>
      </c>
      <c r="J525" t="n">
        <v>0</v>
      </c>
      <c r="K525" t="n">
        <v>0</v>
      </c>
      <c r="L525" t="n">
        <v>0</v>
      </c>
      <c r="M525" t="n">
        <v>0</v>
      </c>
      <c r="N525" t="n">
        <v>0</v>
      </c>
      <c r="O525" t="n">
        <v>0</v>
      </c>
      <c r="P525" t="n">
        <v>0</v>
      </c>
      <c r="Q525" t="n">
        <v>2</v>
      </c>
      <c r="R525" s="2" t="inlineStr">
        <is>
          <t>Sårläka
Vätteros</t>
        </is>
      </c>
      <c r="S525">
        <f>HYPERLINK("https://klasma.github.io/Logging_0861/artfynd/A 16431-2023 artfynd.xlsx", "A 16431-2023")</f>
        <v/>
      </c>
      <c r="T525">
        <f>HYPERLINK("https://klasma.github.io/Logging_0861/kartor/A 16431-2023 karta.png", "A 16431-2023")</f>
        <v/>
      </c>
      <c r="V525">
        <f>HYPERLINK("https://klasma.github.io/Logging_0861/klagomål/A 16431-2023 FSC-klagomål.docx", "A 16431-2023")</f>
        <v/>
      </c>
      <c r="W525">
        <f>HYPERLINK("https://klasma.github.io/Logging_0861/klagomålsmail/A 16431-2023 FSC-klagomål mail.docx", "A 16431-2023")</f>
        <v/>
      </c>
      <c r="X525">
        <f>HYPERLINK("https://klasma.github.io/Logging_0861/tillsyn/A 16431-2023 tillsynsbegäran.docx", "A 16431-2023")</f>
        <v/>
      </c>
      <c r="Y525">
        <f>HYPERLINK("https://klasma.github.io/Logging_0861/tillsynsmail/A 16431-2023 tillsynsbegäran mail.docx", "A 16431-2023")</f>
        <v/>
      </c>
    </row>
    <row r="526" ht="15" customHeight="1">
      <c r="A526" t="inlineStr">
        <is>
          <t>A 19158-2023</t>
        </is>
      </c>
      <c r="B526" s="1" t="n">
        <v>45048</v>
      </c>
      <c r="C526" s="1" t="n">
        <v>45715</v>
      </c>
      <c r="D526" t="inlineStr">
        <is>
          <t>KALMAR LÄN</t>
        </is>
      </c>
      <c r="E526" t="inlineStr">
        <is>
          <t>VIMMERBY</t>
        </is>
      </c>
      <c r="G526" t="n">
        <v>2.2</v>
      </c>
      <c r="H526" t="n">
        <v>2</v>
      </c>
      <c r="I526" t="n">
        <v>0</v>
      </c>
      <c r="J526" t="n">
        <v>0</v>
      </c>
      <c r="K526" t="n">
        <v>1</v>
      </c>
      <c r="L526" t="n">
        <v>0</v>
      </c>
      <c r="M526" t="n">
        <v>0</v>
      </c>
      <c r="N526" t="n">
        <v>0</v>
      </c>
      <c r="O526" t="n">
        <v>1</v>
      </c>
      <c r="P526" t="n">
        <v>1</v>
      </c>
      <c r="Q526" t="n">
        <v>2</v>
      </c>
      <c r="R526" s="2" t="inlineStr">
        <is>
          <t>Knärot
Blåsippa</t>
        </is>
      </c>
      <c r="S526">
        <f>HYPERLINK("https://klasma.github.io/Logging_0884/artfynd/A 19158-2023 artfynd.xlsx", "A 19158-2023")</f>
        <v/>
      </c>
      <c r="T526">
        <f>HYPERLINK("https://klasma.github.io/Logging_0884/kartor/A 19158-2023 karta.png", "A 19158-2023")</f>
        <v/>
      </c>
      <c r="U526">
        <f>HYPERLINK("https://klasma.github.io/Logging_0884/knärot/A 19158-2023 karta knärot.png", "A 19158-2023")</f>
        <v/>
      </c>
      <c r="V526">
        <f>HYPERLINK("https://klasma.github.io/Logging_0884/klagomål/A 19158-2023 FSC-klagomål.docx", "A 19158-2023")</f>
        <v/>
      </c>
      <c r="W526">
        <f>HYPERLINK("https://klasma.github.io/Logging_0884/klagomålsmail/A 19158-2023 FSC-klagomål mail.docx", "A 19158-2023")</f>
        <v/>
      </c>
      <c r="X526">
        <f>HYPERLINK("https://klasma.github.io/Logging_0884/tillsyn/A 19158-2023 tillsynsbegäran.docx", "A 19158-2023")</f>
        <v/>
      </c>
      <c r="Y526">
        <f>HYPERLINK("https://klasma.github.io/Logging_0884/tillsynsmail/A 19158-2023 tillsynsbegäran mail.docx", "A 19158-2023")</f>
        <v/>
      </c>
    </row>
    <row r="527" ht="15" customHeight="1">
      <c r="A527" t="inlineStr">
        <is>
          <t>A 22825-2023</t>
        </is>
      </c>
      <c r="B527" s="1" t="n">
        <v>45072</v>
      </c>
      <c r="C527" s="1" t="n">
        <v>45715</v>
      </c>
      <c r="D527" t="inlineStr">
        <is>
          <t>KALMAR LÄN</t>
        </is>
      </c>
      <c r="E527" t="inlineStr">
        <is>
          <t>VIMMERBY</t>
        </is>
      </c>
      <c r="G527" t="n">
        <v>14.1</v>
      </c>
      <c r="H527" t="n">
        <v>0</v>
      </c>
      <c r="I527" t="n">
        <v>0</v>
      </c>
      <c r="J527" t="n">
        <v>2</v>
      </c>
      <c r="K527" t="n">
        <v>0</v>
      </c>
      <c r="L527" t="n">
        <v>0</v>
      </c>
      <c r="M527" t="n">
        <v>0</v>
      </c>
      <c r="N527" t="n">
        <v>0</v>
      </c>
      <c r="O527" t="n">
        <v>2</v>
      </c>
      <c r="P527" t="n">
        <v>0</v>
      </c>
      <c r="Q527" t="n">
        <v>2</v>
      </c>
      <c r="R527" s="2" t="inlineStr">
        <is>
          <t>Klasefibbla
Sommarfibbla</t>
        </is>
      </c>
      <c r="S527">
        <f>HYPERLINK("https://klasma.github.io/Logging_0884/artfynd/A 22825-2023 artfynd.xlsx", "A 22825-2023")</f>
        <v/>
      </c>
      <c r="T527">
        <f>HYPERLINK("https://klasma.github.io/Logging_0884/kartor/A 22825-2023 karta.png", "A 22825-2023")</f>
        <v/>
      </c>
      <c r="V527">
        <f>HYPERLINK("https://klasma.github.io/Logging_0884/klagomål/A 22825-2023 FSC-klagomål.docx", "A 22825-2023")</f>
        <v/>
      </c>
      <c r="W527">
        <f>HYPERLINK("https://klasma.github.io/Logging_0884/klagomålsmail/A 22825-2023 FSC-klagomål mail.docx", "A 22825-2023")</f>
        <v/>
      </c>
      <c r="X527">
        <f>HYPERLINK("https://klasma.github.io/Logging_0884/tillsyn/A 22825-2023 tillsynsbegäran.docx", "A 22825-2023")</f>
        <v/>
      </c>
      <c r="Y527">
        <f>HYPERLINK("https://klasma.github.io/Logging_0884/tillsynsmail/A 22825-2023 tillsynsbegäran mail.docx", "A 22825-2023")</f>
        <v/>
      </c>
    </row>
    <row r="528" ht="15" customHeight="1">
      <c r="A528" t="inlineStr">
        <is>
          <t>A 23106-2023</t>
        </is>
      </c>
      <c r="B528" s="1" t="n">
        <v>45075</v>
      </c>
      <c r="C528" s="1" t="n">
        <v>45715</v>
      </c>
      <c r="D528" t="inlineStr">
        <is>
          <t>KALMAR LÄN</t>
        </is>
      </c>
      <c r="E528" t="inlineStr">
        <is>
          <t>NYBRO</t>
        </is>
      </c>
      <c r="G528" t="n">
        <v>9.6</v>
      </c>
      <c r="H528" t="n">
        <v>0</v>
      </c>
      <c r="I528" t="n">
        <v>2</v>
      </c>
      <c r="J528" t="n">
        <v>0</v>
      </c>
      <c r="K528" t="n">
        <v>0</v>
      </c>
      <c r="L528" t="n">
        <v>0</v>
      </c>
      <c r="M528" t="n">
        <v>0</v>
      </c>
      <c r="N528" t="n">
        <v>0</v>
      </c>
      <c r="O528" t="n">
        <v>0</v>
      </c>
      <c r="P528" t="n">
        <v>0</v>
      </c>
      <c r="Q528" t="n">
        <v>2</v>
      </c>
      <c r="R528" s="2" t="inlineStr">
        <is>
          <t>Fjällig taggsvamp s.str.
Grovticka</t>
        </is>
      </c>
      <c r="S528">
        <f>HYPERLINK("https://klasma.github.io/Logging_0881/artfynd/A 23106-2023 artfynd.xlsx", "A 23106-2023")</f>
        <v/>
      </c>
      <c r="T528">
        <f>HYPERLINK("https://klasma.github.io/Logging_0881/kartor/A 23106-2023 karta.png", "A 23106-2023")</f>
        <v/>
      </c>
      <c r="V528">
        <f>HYPERLINK("https://klasma.github.io/Logging_0881/klagomål/A 23106-2023 FSC-klagomål.docx", "A 23106-2023")</f>
        <v/>
      </c>
      <c r="W528">
        <f>HYPERLINK("https://klasma.github.io/Logging_0881/klagomålsmail/A 23106-2023 FSC-klagomål mail.docx", "A 23106-2023")</f>
        <v/>
      </c>
      <c r="X528">
        <f>HYPERLINK("https://klasma.github.io/Logging_0881/tillsyn/A 23106-2023 tillsynsbegäran.docx", "A 23106-2023")</f>
        <v/>
      </c>
      <c r="Y528">
        <f>HYPERLINK("https://klasma.github.io/Logging_0881/tillsynsmail/A 23106-2023 tillsynsbegäran mail.docx", "A 23106-2023")</f>
        <v/>
      </c>
    </row>
    <row r="529" ht="15" customHeight="1">
      <c r="A529" t="inlineStr">
        <is>
          <t>A 25435-2023</t>
        </is>
      </c>
      <c r="B529" s="1" t="n">
        <v>45089</v>
      </c>
      <c r="C529" s="1" t="n">
        <v>45715</v>
      </c>
      <c r="D529" t="inlineStr">
        <is>
          <t>KALMAR LÄN</t>
        </is>
      </c>
      <c r="E529" t="inlineStr">
        <is>
          <t>VÄSTERVIK</t>
        </is>
      </c>
      <c r="G529" t="n">
        <v>1.6</v>
      </c>
      <c r="H529" t="n">
        <v>2</v>
      </c>
      <c r="I529" t="n">
        <v>0</v>
      </c>
      <c r="J529" t="n">
        <v>0</v>
      </c>
      <c r="K529" t="n">
        <v>1</v>
      </c>
      <c r="L529" t="n">
        <v>0</v>
      </c>
      <c r="M529" t="n">
        <v>0</v>
      </c>
      <c r="N529" t="n">
        <v>0</v>
      </c>
      <c r="O529" t="n">
        <v>1</v>
      </c>
      <c r="P529" t="n">
        <v>1</v>
      </c>
      <c r="Q529" t="n">
        <v>2</v>
      </c>
      <c r="R529" s="2" t="inlineStr">
        <is>
          <t>Knärot
Tjäder</t>
        </is>
      </c>
      <c r="S529">
        <f>HYPERLINK("https://klasma.github.io/Logging_0883/artfynd/A 25435-2023 artfynd.xlsx", "A 25435-2023")</f>
        <v/>
      </c>
      <c r="T529">
        <f>HYPERLINK("https://klasma.github.io/Logging_0883/kartor/A 25435-2023 karta.png", "A 25435-2023")</f>
        <v/>
      </c>
      <c r="U529">
        <f>HYPERLINK("https://klasma.github.io/Logging_0883/knärot/A 25435-2023 karta knärot.png", "A 25435-2023")</f>
        <v/>
      </c>
      <c r="V529">
        <f>HYPERLINK("https://klasma.github.io/Logging_0883/klagomål/A 25435-2023 FSC-klagomål.docx", "A 25435-2023")</f>
        <v/>
      </c>
      <c r="W529">
        <f>HYPERLINK("https://klasma.github.io/Logging_0883/klagomålsmail/A 25435-2023 FSC-klagomål mail.docx", "A 25435-2023")</f>
        <v/>
      </c>
      <c r="X529">
        <f>HYPERLINK("https://klasma.github.io/Logging_0883/tillsyn/A 25435-2023 tillsynsbegäran.docx", "A 25435-2023")</f>
        <v/>
      </c>
      <c r="Y529">
        <f>HYPERLINK("https://klasma.github.io/Logging_0883/tillsynsmail/A 25435-2023 tillsynsbegäran mail.docx", "A 25435-2023")</f>
        <v/>
      </c>
      <c r="Z529">
        <f>HYPERLINK("https://klasma.github.io/Logging_0883/fåglar/A 25435-2023 prioriterade fågelarter.docx", "A 25435-2023")</f>
        <v/>
      </c>
    </row>
    <row r="530" ht="15" customHeight="1">
      <c r="A530" t="inlineStr">
        <is>
          <t>A 26272-2023</t>
        </is>
      </c>
      <c r="B530" s="1" t="n">
        <v>45091</v>
      </c>
      <c r="C530" s="1" t="n">
        <v>45715</v>
      </c>
      <c r="D530" t="inlineStr">
        <is>
          <t>KALMAR LÄN</t>
        </is>
      </c>
      <c r="E530" t="inlineStr">
        <is>
          <t>MÖNSTERÅS</t>
        </is>
      </c>
      <c r="G530" t="n">
        <v>1.6</v>
      </c>
      <c r="H530" t="n">
        <v>2</v>
      </c>
      <c r="I530" t="n">
        <v>0</v>
      </c>
      <c r="J530" t="n">
        <v>0</v>
      </c>
      <c r="K530" t="n">
        <v>0</v>
      </c>
      <c r="L530" t="n">
        <v>0</v>
      </c>
      <c r="M530" t="n">
        <v>0</v>
      </c>
      <c r="N530" t="n">
        <v>0</v>
      </c>
      <c r="O530" t="n">
        <v>0</v>
      </c>
      <c r="P530" t="n">
        <v>0</v>
      </c>
      <c r="Q530" t="n">
        <v>2</v>
      </c>
      <c r="R530" s="2" t="inlineStr">
        <is>
          <t>Dvärgpipistrell
Större brunfladdermus</t>
        </is>
      </c>
      <c r="S530">
        <f>HYPERLINK("https://klasma.github.io/Logging_0861/artfynd/A 26272-2023 artfynd.xlsx", "A 26272-2023")</f>
        <v/>
      </c>
      <c r="T530">
        <f>HYPERLINK("https://klasma.github.io/Logging_0861/kartor/A 26272-2023 karta.png", "A 26272-2023")</f>
        <v/>
      </c>
      <c r="V530">
        <f>HYPERLINK("https://klasma.github.io/Logging_0861/klagomål/A 26272-2023 FSC-klagomål.docx", "A 26272-2023")</f>
        <v/>
      </c>
      <c r="W530">
        <f>HYPERLINK("https://klasma.github.io/Logging_0861/klagomålsmail/A 26272-2023 FSC-klagomål mail.docx", "A 26272-2023")</f>
        <v/>
      </c>
      <c r="X530">
        <f>HYPERLINK("https://klasma.github.io/Logging_0861/tillsyn/A 26272-2023 tillsynsbegäran.docx", "A 26272-2023")</f>
        <v/>
      </c>
      <c r="Y530">
        <f>HYPERLINK("https://klasma.github.io/Logging_0861/tillsynsmail/A 26272-2023 tillsynsbegäran mail.docx", "A 26272-2023")</f>
        <v/>
      </c>
    </row>
    <row r="531" ht="15" customHeight="1">
      <c r="A531" t="inlineStr">
        <is>
          <t>A 26695-2023</t>
        </is>
      </c>
      <c r="B531" s="1" t="n">
        <v>45093</v>
      </c>
      <c r="C531" s="1" t="n">
        <v>45715</v>
      </c>
      <c r="D531" t="inlineStr">
        <is>
          <t>KALMAR LÄN</t>
        </is>
      </c>
      <c r="E531" t="inlineStr">
        <is>
          <t>NYBRO</t>
        </is>
      </c>
      <c r="G531" t="n">
        <v>1.4</v>
      </c>
      <c r="H531" t="n">
        <v>1</v>
      </c>
      <c r="I531" t="n">
        <v>1</v>
      </c>
      <c r="J531" t="n">
        <v>0</v>
      </c>
      <c r="K531" t="n">
        <v>0</v>
      </c>
      <c r="L531" t="n">
        <v>0</v>
      </c>
      <c r="M531" t="n">
        <v>0</v>
      </c>
      <c r="N531" t="n">
        <v>0</v>
      </c>
      <c r="O531" t="n">
        <v>0</v>
      </c>
      <c r="P531" t="n">
        <v>0</v>
      </c>
      <c r="Q531" t="n">
        <v>2</v>
      </c>
      <c r="R531" s="2" t="inlineStr">
        <is>
          <t>Vågbandad barkbock
Järnsparv</t>
        </is>
      </c>
      <c r="S531">
        <f>HYPERLINK("https://klasma.github.io/Logging_0881/artfynd/A 26695-2023 artfynd.xlsx", "A 26695-2023")</f>
        <v/>
      </c>
      <c r="T531">
        <f>HYPERLINK("https://klasma.github.io/Logging_0881/kartor/A 26695-2023 karta.png", "A 26695-2023")</f>
        <v/>
      </c>
      <c r="V531">
        <f>HYPERLINK("https://klasma.github.io/Logging_0881/klagomål/A 26695-2023 FSC-klagomål.docx", "A 26695-2023")</f>
        <v/>
      </c>
      <c r="W531">
        <f>HYPERLINK("https://klasma.github.io/Logging_0881/klagomålsmail/A 26695-2023 FSC-klagomål mail.docx", "A 26695-2023")</f>
        <v/>
      </c>
      <c r="X531">
        <f>HYPERLINK("https://klasma.github.io/Logging_0881/tillsyn/A 26695-2023 tillsynsbegäran.docx", "A 26695-2023")</f>
        <v/>
      </c>
      <c r="Y531">
        <f>HYPERLINK("https://klasma.github.io/Logging_0881/tillsynsmail/A 26695-2023 tillsynsbegäran mail.docx", "A 26695-2023")</f>
        <v/>
      </c>
      <c r="Z531">
        <f>HYPERLINK("https://klasma.github.io/Logging_0881/fåglar/A 26695-2023 prioriterade fågelarter.docx", "A 26695-2023")</f>
        <v/>
      </c>
    </row>
    <row r="532" ht="15" customHeight="1">
      <c r="A532" t="inlineStr">
        <is>
          <t>A 26699-2023</t>
        </is>
      </c>
      <c r="B532" s="1" t="n">
        <v>45093</v>
      </c>
      <c r="C532" s="1" t="n">
        <v>45715</v>
      </c>
      <c r="D532" t="inlineStr">
        <is>
          <t>KALMAR LÄN</t>
        </is>
      </c>
      <c r="E532" t="inlineStr">
        <is>
          <t>NYBRO</t>
        </is>
      </c>
      <c r="G532" t="n">
        <v>2.1</v>
      </c>
      <c r="H532" t="n">
        <v>0</v>
      </c>
      <c r="I532" t="n">
        <v>1</v>
      </c>
      <c r="J532" t="n">
        <v>1</v>
      </c>
      <c r="K532" t="n">
        <v>0</v>
      </c>
      <c r="L532" t="n">
        <v>0</v>
      </c>
      <c r="M532" t="n">
        <v>0</v>
      </c>
      <c r="N532" t="n">
        <v>0</v>
      </c>
      <c r="O532" t="n">
        <v>1</v>
      </c>
      <c r="P532" t="n">
        <v>0</v>
      </c>
      <c r="Q532" t="n">
        <v>2</v>
      </c>
      <c r="R532" s="2" t="inlineStr">
        <is>
          <t>Grönhjon
Vågbandad barkbock</t>
        </is>
      </c>
      <c r="S532">
        <f>HYPERLINK("https://klasma.github.io/Logging_0881/artfynd/A 26699-2023 artfynd.xlsx", "A 26699-2023")</f>
        <v/>
      </c>
      <c r="T532">
        <f>HYPERLINK("https://klasma.github.io/Logging_0881/kartor/A 26699-2023 karta.png", "A 26699-2023")</f>
        <v/>
      </c>
      <c r="V532">
        <f>HYPERLINK("https://klasma.github.io/Logging_0881/klagomål/A 26699-2023 FSC-klagomål.docx", "A 26699-2023")</f>
        <v/>
      </c>
      <c r="W532">
        <f>HYPERLINK("https://klasma.github.io/Logging_0881/klagomålsmail/A 26699-2023 FSC-klagomål mail.docx", "A 26699-2023")</f>
        <v/>
      </c>
      <c r="X532">
        <f>HYPERLINK("https://klasma.github.io/Logging_0881/tillsyn/A 26699-2023 tillsynsbegäran.docx", "A 26699-2023")</f>
        <v/>
      </c>
      <c r="Y532">
        <f>HYPERLINK("https://klasma.github.io/Logging_0881/tillsynsmail/A 26699-2023 tillsynsbegäran mail.docx", "A 26699-2023")</f>
        <v/>
      </c>
    </row>
    <row r="533" ht="15" customHeight="1">
      <c r="A533" t="inlineStr">
        <is>
          <t>A 27719-2023</t>
        </is>
      </c>
      <c r="B533" s="1" t="n">
        <v>45093</v>
      </c>
      <c r="C533" s="1" t="n">
        <v>45715</v>
      </c>
      <c r="D533" t="inlineStr">
        <is>
          <t>KALMAR LÄN</t>
        </is>
      </c>
      <c r="E533" t="inlineStr">
        <is>
          <t>NYBRO</t>
        </is>
      </c>
      <c r="G533" t="n">
        <v>20.4</v>
      </c>
      <c r="H533" t="n">
        <v>0</v>
      </c>
      <c r="I533" t="n">
        <v>0</v>
      </c>
      <c r="J533" t="n">
        <v>1</v>
      </c>
      <c r="K533" t="n">
        <v>1</v>
      </c>
      <c r="L533" t="n">
        <v>0</v>
      </c>
      <c r="M533" t="n">
        <v>0</v>
      </c>
      <c r="N533" t="n">
        <v>0</v>
      </c>
      <c r="O533" t="n">
        <v>2</v>
      </c>
      <c r="P533" t="n">
        <v>1</v>
      </c>
      <c r="Q533" t="n">
        <v>2</v>
      </c>
      <c r="R533" s="2" t="inlineStr">
        <is>
          <t>Raggbock
Mindre träfjäril</t>
        </is>
      </c>
      <c r="S533">
        <f>HYPERLINK("https://klasma.github.io/Logging_0881/artfynd/A 27719-2023 artfynd.xlsx", "A 27719-2023")</f>
        <v/>
      </c>
      <c r="T533">
        <f>HYPERLINK("https://klasma.github.io/Logging_0881/kartor/A 27719-2023 karta.png", "A 27719-2023")</f>
        <v/>
      </c>
      <c r="V533">
        <f>HYPERLINK("https://klasma.github.io/Logging_0881/klagomål/A 27719-2023 FSC-klagomål.docx", "A 27719-2023")</f>
        <v/>
      </c>
      <c r="W533">
        <f>HYPERLINK("https://klasma.github.io/Logging_0881/klagomålsmail/A 27719-2023 FSC-klagomål mail.docx", "A 27719-2023")</f>
        <v/>
      </c>
      <c r="X533">
        <f>HYPERLINK("https://klasma.github.io/Logging_0881/tillsyn/A 27719-2023 tillsynsbegäran.docx", "A 27719-2023")</f>
        <v/>
      </c>
      <c r="Y533">
        <f>HYPERLINK("https://klasma.github.io/Logging_0881/tillsynsmail/A 27719-2023 tillsynsbegäran mail.docx", "A 27719-2023")</f>
        <v/>
      </c>
    </row>
    <row r="534" ht="15" customHeight="1">
      <c r="A534" t="inlineStr">
        <is>
          <t>A 31695-2023</t>
        </is>
      </c>
      <c r="B534" s="1" t="n">
        <v>45105</v>
      </c>
      <c r="C534" s="1" t="n">
        <v>45715</v>
      </c>
      <c r="D534" t="inlineStr">
        <is>
          <t>KALMAR LÄN</t>
        </is>
      </c>
      <c r="E534" t="inlineStr">
        <is>
          <t>KALMAR</t>
        </is>
      </c>
      <c r="G534" t="n">
        <v>0.7</v>
      </c>
      <c r="H534" t="n">
        <v>0</v>
      </c>
      <c r="I534" t="n">
        <v>2</v>
      </c>
      <c r="J534" t="n">
        <v>0</v>
      </c>
      <c r="K534" t="n">
        <v>0</v>
      </c>
      <c r="L534" t="n">
        <v>0</v>
      </c>
      <c r="M534" t="n">
        <v>0</v>
      </c>
      <c r="N534" t="n">
        <v>0</v>
      </c>
      <c r="O534" t="n">
        <v>0</v>
      </c>
      <c r="P534" t="n">
        <v>0</v>
      </c>
      <c r="Q534" t="n">
        <v>2</v>
      </c>
      <c r="R534" s="2" t="inlineStr">
        <is>
          <t>Blåmossa
Grovticka</t>
        </is>
      </c>
      <c r="S534">
        <f>HYPERLINK("https://klasma.github.io/Logging_0880/artfynd/A 31695-2023 artfynd.xlsx", "A 31695-2023")</f>
        <v/>
      </c>
      <c r="T534">
        <f>HYPERLINK("https://klasma.github.io/Logging_0880/kartor/A 31695-2023 karta.png", "A 31695-2023")</f>
        <v/>
      </c>
      <c r="V534">
        <f>HYPERLINK("https://klasma.github.io/Logging_0880/klagomål/A 31695-2023 FSC-klagomål.docx", "A 31695-2023")</f>
        <v/>
      </c>
      <c r="W534">
        <f>HYPERLINK("https://klasma.github.io/Logging_0880/klagomålsmail/A 31695-2023 FSC-klagomål mail.docx", "A 31695-2023")</f>
        <v/>
      </c>
      <c r="X534">
        <f>HYPERLINK("https://klasma.github.io/Logging_0880/tillsyn/A 31695-2023 tillsynsbegäran.docx", "A 31695-2023")</f>
        <v/>
      </c>
      <c r="Y534">
        <f>HYPERLINK("https://klasma.github.io/Logging_0880/tillsynsmail/A 31695-2023 tillsynsbegäran mail.docx", "A 31695-2023")</f>
        <v/>
      </c>
    </row>
    <row r="535" ht="15" customHeight="1">
      <c r="A535" t="inlineStr">
        <is>
          <t>A 31692-2023</t>
        </is>
      </c>
      <c r="B535" s="1" t="n">
        <v>45105</v>
      </c>
      <c r="C535" s="1" t="n">
        <v>45715</v>
      </c>
      <c r="D535" t="inlineStr">
        <is>
          <t>KALMAR LÄN</t>
        </is>
      </c>
      <c r="E535" t="inlineStr">
        <is>
          <t>KALMAR</t>
        </is>
      </c>
      <c r="G535" t="n">
        <v>6.8</v>
      </c>
      <c r="H535" t="n">
        <v>0</v>
      </c>
      <c r="I535" t="n">
        <v>0</v>
      </c>
      <c r="J535" t="n">
        <v>2</v>
      </c>
      <c r="K535" t="n">
        <v>0</v>
      </c>
      <c r="L535" t="n">
        <v>0</v>
      </c>
      <c r="M535" t="n">
        <v>0</v>
      </c>
      <c r="N535" t="n">
        <v>0</v>
      </c>
      <c r="O535" t="n">
        <v>2</v>
      </c>
      <c r="P535" t="n">
        <v>0</v>
      </c>
      <c r="Q535" t="n">
        <v>2</v>
      </c>
      <c r="R535" s="2" t="inlineStr">
        <is>
          <t>Korskovall
Solvända</t>
        </is>
      </c>
      <c r="S535">
        <f>HYPERLINK("https://klasma.github.io/Logging_0880/artfynd/A 31692-2023 artfynd.xlsx", "A 31692-2023")</f>
        <v/>
      </c>
      <c r="T535">
        <f>HYPERLINK("https://klasma.github.io/Logging_0880/kartor/A 31692-2023 karta.png", "A 31692-2023")</f>
        <v/>
      </c>
      <c r="V535">
        <f>HYPERLINK("https://klasma.github.io/Logging_0880/klagomål/A 31692-2023 FSC-klagomål.docx", "A 31692-2023")</f>
        <v/>
      </c>
      <c r="W535">
        <f>HYPERLINK("https://klasma.github.io/Logging_0880/klagomålsmail/A 31692-2023 FSC-klagomål mail.docx", "A 31692-2023")</f>
        <v/>
      </c>
      <c r="X535">
        <f>HYPERLINK("https://klasma.github.io/Logging_0880/tillsyn/A 31692-2023 tillsynsbegäran.docx", "A 31692-2023")</f>
        <v/>
      </c>
      <c r="Y535">
        <f>HYPERLINK("https://klasma.github.io/Logging_0880/tillsynsmail/A 31692-2023 tillsynsbegäran mail.docx", "A 31692-2023")</f>
        <v/>
      </c>
    </row>
    <row r="536" ht="15" customHeight="1">
      <c r="A536" t="inlineStr">
        <is>
          <t>A 30203-2023</t>
        </is>
      </c>
      <c r="B536" s="1" t="n">
        <v>45110</v>
      </c>
      <c r="C536" s="1" t="n">
        <v>45715</v>
      </c>
      <c r="D536" t="inlineStr">
        <is>
          <t>KALMAR LÄN</t>
        </is>
      </c>
      <c r="E536" t="inlineStr">
        <is>
          <t>HÖGSBY</t>
        </is>
      </c>
      <c r="F536" t="inlineStr">
        <is>
          <t>Sveaskog</t>
        </is>
      </c>
      <c r="G536" t="n">
        <v>3.4</v>
      </c>
      <c r="H536" t="n">
        <v>2</v>
      </c>
      <c r="I536" t="n">
        <v>0</v>
      </c>
      <c r="J536" t="n">
        <v>0</v>
      </c>
      <c r="K536" t="n">
        <v>0</v>
      </c>
      <c r="L536" t="n">
        <v>0</v>
      </c>
      <c r="M536" t="n">
        <v>0</v>
      </c>
      <c r="N536" t="n">
        <v>0</v>
      </c>
      <c r="O536" t="n">
        <v>0</v>
      </c>
      <c r="P536" t="n">
        <v>0</v>
      </c>
      <c r="Q536" t="n">
        <v>2</v>
      </c>
      <c r="R536" s="2" t="inlineStr">
        <is>
          <t>Mistel
Gullviva</t>
        </is>
      </c>
      <c r="S536">
        <f>HYPERLINK("https://klasma.github.io/Logging_0821/artfynd/A 30203-2023 artfynd.xlsx", "A 30203-2023")</f>
        <v/>
      </c>
      <c r="T536">
        <f>HYPERLINK("https://klasma.github.io/Logging_0821/kartor/A 30203-2023 karta.png", "A 30203-2023")</f>
        <v/>
      </c>
      <c r="V536">
        <f>HYPERLINK("https://klasma.github.io/Logging_0821/klagomål/A 30203-2023 FSC-klagomål.docx", "A 30203-2023")</f>
        <v/>
      </c>
      <c r="W536">
        <f>HYPERLINK("https://klasma.github.io/Logging_0821/klagomålsmail/A 30203-2023 FSC-klagomål mail.docx", "A 30203-2023")</f>
        <v/>
      </c>
      <c r="X536">
        <f>HYPERLINK("https://klasma.github.io/Logging_0821/tillsyn/A 30203-2023 tillsynsbegäran.docx", "A 30203-2023")</f>
        <v/>
      </c>
      <c r="Y536">
        <f>HYPERLINK("https://klasma.github.io/Logging_0821/tillsynsmail/A 30203-2023 tillsynsbegäran mail.docx", "A 30203-2023")</f>
        <v/>
      </c>
    </row>
    <row r="537" ht="15" customHeight="1">
      <c r="A537" t="inlineStr">
        <is>
          <t>A 30933-2023</t>
        </is>
      </c>
      <c r="B537" s="1" t="n">
        <v>45113</v>
      </c>
      <c r="C537" s="1" t="n">
        <v>45715</v>
      </c>
      <c r="D537" t="inlineStr">
        <is>
          <t>KALMAR LÄN</t>
        </is>
      </c>
      <c r="E537" t="inlineStr">
        <is>
          <t>OSKARSHAMN</t>
        </is>
      </c>
      <c r="G537" t="n">
        <v>3.7</v>
      </c>
      <c r="H537" t="n">
        <v>2</v>
      </c>
      <c r="I537" t="n">
        <v>0</v>
      </c>
      <c r="J537" t="n">
        <v>2</v>
      </c>
      <c r="K537" t="n">
        <v>0</v>
      </c>
      <c r="L537" t="n">
        <v>0</v>
      </c>
      <c r="M537" t="n">
        <v>0</v>
      </c>
      <c r="N537" t="n">
        <v>0</v>
      </c>
      <c r="O537" t="n">
        <v>2</v>
      </c>
      <c r="P537" t="n">
        <v>0</v>
      </c>
      <c r="Q537" t="n">
        <v>2</v>
      </c>
      <c r="R537" s="2" t="inlineStr">
        <is>
          <t>Mindre hackspett
Spillkråka</t>
        </is>
      </c>
      <c r="S537">
        <f>HYPERLINK("https://klasma.github.io/Logging_0882/artfynd/A 30933-2023 artfynd.xlsx", "A 30933-2023")</f>
        <v/>
      </c>
      <c r="T537">
        <f>HYPERLINK("https://klasma.github.io/Logging_0882/kartor/A 30933-2023 karta.png", "A 30933-2023")</f>
        <v/>
      </c>
      <c r="V537">
        <f>HYPERLINK("https://klasma.github.io/Logging_0882/klagomål/A 30933-2023 FSC-klagomål.docx", "A 30933-2023")</f>
        <v/>
      </c>
      <c r="W537">
        <f>HYPERLINK("https://klasma.github.io/Logging_0882/klagomålsmail/A 30933-2023 FSC-klagomål mail.docx", "A 30933-2023")</f>
        <v/>
      </c>
      <c r="X537">
        <f>HYPERLINK("https://klasma.github.io/Logging_0882/tillsyn/A 30933-2023 tillsynsbegäran.docx", "A 30933-2023")</f>
        <v/>
      </c>
      <c r="Y537">
        <f>HYPERLINK("https://klasma.github.io/Logging_0882/tillsynsmail/A 30933-2023 tillsynsbegäran mail.docx", "A 30933-2023")</f>
        <v/>
      </c>
      <c r="Z537">
        <f>HYPERLINK("https://klasma.github.io/Logging_0882/fåglar/A 30933-2023 prioriterade fågelarter.docx", "A 30933-2023")</f>
        <v/>
      </c>
    </row>
    <row r="538" ht="15" customHeight="1">
      <c r="A538" t="inlineStr">
        <is>
          <t>A 31046-2023</t>
        </is>
      </c>
      <c r="B538" s="1" t="n">
        <v>45113</v>
      </c>
      <c r="C538" s="1" t="n">
        <v>45715</v>
      </c>
      <c r="D538" t="inlineStr">
        <is>
          <t>KALMAR LÄN</t>
        </is>
      </c>
      <c r="E538" t="inlineStr">
        <is>
          <t>HULTSFRED</t>
        </is>
      </c>
      <c r="G538" t="n">
        <v>1.5</v>
      </c>
      <c r="H538" t="n">
        <v>1</v>
      </c>
      <c r="I538" t="n">
        <v>0</v>
      </c>
      <c r="J538" t="n">
        <v>1</v>
      </c>
      <c r="K538" t="n">
        <v>1</v>
      </c>
      <c r="L538" t="n">
        <v>0</v>
      </c>
      <c r="M538" t="n">
        <v>0</v>
      </c>
      <c r="N538" t="n">
        <v>0</v>
      </c>
      <c r="O538" t="n">
        <v>2</v>
      </c>
      <c r="P538" t="n">
        <v>1</v>
      </c>
      <c r="Q538" t="n">
        <v>2</v>
      </c>
      <c r="R538" s="2" t="inlineStr">
        <is>
          <t>Backsippa
Mörk dunört</t>
        </is>
      </c>
      <c r="S538">
        <f>HYPERLINK("https://klasma.github.io/Logging_0860/artfynd/A 31046-2023 artfynd.xlsx", "A 31046-2023")</f>
        <v/>
      </c>
      <c r="T538">
        <f>HYPERLINK("https://klasma.github.io/Logging_0860/kartor/A 31046-2023 karta.png", "A 31046-2023")</f>
        <v/>
      </c>
      <c r="V538">
        <f>HYPERLINK("https://klasma.github.io/Logging_0860/klagomål/A 31046-2023 FSC-klagomål.docx", "A 31046-2023")</f>
        <v/>
      </c>
      <c r="W538">
        <f>HYPERLINK("https://klasma.github.io/Logging_0860/klagomålsmail/A 31046-2023 FSC-klagomål mail.docx", "A 31046-2023")</f>
        <v/>
      </c>
      <c r="X538">
        <f>HYPERLINK("https://klasma.github.io/Logging_0860/tillsyn/A 31046-2023 tillsynsbegäran.docx", "A 31046-2023")</f>
        <v/>
      </c>
      <c r="Y538">
        <f>HYPERLINK("https://klasma.github.io/Logging_0860/tillsynsmail/A 31046-2023 tillsynsbegäran mail.docx", "A 31046-2023")</f>
        <v/>
      </c>
    </row>
    <row r="539" ht="15" customHeight="1">
      <c r="A539" t="inlineStr">
        <is>
          <t>A 32039-2023</t>
        </is>
      </c>
      <c r="B539" s="1" t="n">
        <v>45119</v>
      </c>
      <c r="C539" s="1" t="n">
        <v>45715</v>
      </c>
      <c r="D539" t="inlineStr">
        <is>
          <t>KALMAR LÄN</t>
        </is>
      </c>
      <c r="E539" t="inlineStr">
        <is>
          <t>HÖGSBY</t>
        </is>
      </c>
      <c r="F539" t="inlineStr">
        <is>
          <t>Sveaskog</t>
        </is>
      </c>
      <c r="G539" t="n">
        <v>7</v>
      </c>
      <c r="H539" t="n">
        <v>1</v>
      </c>
      <c r="I539" t="n">
        <v>0</v>
      </c>
      <c r="J539" t="n">
        <v>1</v>
      </c>
      <c r="K539" t="n">
        <v>1</v>
      </c>
      <c r="L539" t="n">
        <v>0</v>
      </c>
      <c r="M539" t="n">
        <v>0</v>
      </c>
      <c r="N539" t="n">
        <v>0</v>
      </c>
      <c r="O539" t="n">
        <v>2</v>
      </c>
      <c r="P539" t="n">
        <v>1</v>
      </c>
      <c r="Q539" t="n">
        <v>2</v>
      </c>
      <c r="R539" s="2" t="inlineStr">
        <is>
          <t>Lappuggla
Ekticka</t>
        </is>
      </c>
      <c r="S539">
        <f>HYPERLINK("https://klasma.github.io/Logging_0821/artfynd/A 32039-2023 artfynd.xlsx", "A 32039-2023")</f>
        <v/>
      </c>
      <c r="T539">
        <f>HYPERLINK("https://klasma.github.io/Logging_0821/kartor/A 32039-2023 karta.png", "A 32039-2023")</f>
        <v/>
      </c>
      <c r="V539">
        <f>HYPERLINK("https://klasma.github.io/Logging_0821/klagomål/A 32039-2023 FSC-klagomål.docx", "A 32039-2023")</f>
        <v/>
      </c>
      <c r="W539">
        <f>HYPERLINK("https://klasma.github.io/Logging_0821/klagomålsmail/A 32039-2023 FSC-klagomål mail.docx", "A 32039-2023")</f>
        <v/>
      </c>
      <c r="X539">
        <f>HYPERLINK("https://klasma.github.io/Logging_0821/tillsyn/A 32039-2023 tillsynsbegäran.docx", "A 32039-2023")</f>
        <v/>
      </c>
      <c r="Y539">
        <f>HYPERLINK("https://klasma.github.io/Logging_0821/tillsynsmail/A 32039-2023 tillsynsbegäran mail.docx", "A 32039-2023")</f>
        <v/>
      </c>
      <c r="Z539">
        <f>HYPERLINK("https://klasma.github.io/Logging_0821/fåglar/A 32039-2023 prioriterade fågelarter.docx", "A 32039-2023")</f>
        <v/>
      </c>
    </row>
    <row r="540" ht="15" customHeight="1">
      <c r="A540" t="inlineStr">
        <is>
          <t>A 32657-2023</t>
        </is>
      </c>
      <c r="B540" s="1" t="n">
        <v>45121</v>
      </c>
      <c r="C540" s="1" t="n">
        <v>45715</v>
      </c>
      <c r="D540" t="inlineStr">
        <is>
          <t>KALMAR LÄN</t>
        </is>
      </c>
      <c r="E540" t="inlineStr">
        <is>
          <t>VIMMERBY</t>
        </is>
      </c>
      <c r="G540" t="n">
        <v>1.6</v>
      </c>
      <c r="H540" t="n">
        <v>1</v>
      </c>
      <c r="I540" t="n">
        <v>0</v>
      </c>
      <c r="J540" t="n">
        <v>1</v>
      </c>
      <c r="K540" t="n">
        <v>0</v>
      </c>
      <c r="L540" t="n">
        <v>1</v>
      </c>
      <c r="M540" t="n">
        <v>0</v>
      </c>
      <c r="N540" t="n">
        <v>0</v>
      </c>
      <c r="O540" t="n">
        <v>2</v>
      </c>
      <c r="P540" t="n">
        <v>1</v>
      </c>
      <c r="Q540" t="n">
        <v>2</v>
      </c>
      <c r="R540" s="2" t="inlineStr">
        <is>
          <t>Bredgentiana
Sandviol</t>
        </is>
      </c>
      <c r="S540">
        <f>HYPERLINK("https://klasma.github.io/Logging_0884/artfynd/A 32657-2023 artfynd.xlsx", "A 32657-2023")</f>
        <v/>
      </c>
      <c r="T540">
        <f>HYPERLINK("https://klasma.github.io/Logging_0884/kartor/A 32657-2023 karta.png", "A 32657-2023")</f>
        <v/>
      </c>
      <c r="V540">
        <f>HYPERLINK("https://klasma.github.io/Logging_0884/klagomål/A 32657-2023 FSC-klagomål.docx", "A 32657-2023")</f>
        <v/>
      </c>
      <c r="W540">
        <f>HYPERLINK("https://klasma.github.io/Logging_0884/klagomålsmail/A 32657-2023 FSC-klagomål mail.docx", "A 32657-2023")</f>
        <v/>
      </c>
      <c r="X540">
        <f>HYPERLINK("https://klasma.github.io/Logging_0884/tillsyn/A 32657-2023 tillsynsbegäran.docx", "A 32657-2023")</f>
        <v/>
      </c>
      <c r="Y540">
        <f>HYPERLINK("https://klasma.github.io/Logging_0884/tillsynsmail/A 32657-2023 tillsynsbegäran mail.docx", "A 32657-2023")</f>
        <v/>
      </c>
    </row>
    <row r="541" ht="15" customHeight="1">
      <c r="A541" t="inlineStr">
        <is>
          <t>A 32649-2023</t>
        </is>
      </c>
      <c r="B541" s="1" t="n">
        <v>45121</v>
      </c>
      <c r="C541" s="1" t="n">
        <v>45715</v>
      </c>
      <c r="D541" t="inlineStr">
        <is>
          <t>KALMAR LÄN</t>
        </is>
      </c>
      <c r="E541" t="inlineStr">
        <is>
          <t>VÄSTERVIK</t>
        </is>
      </c>
      <c r="G541" t="n">
        <v>1.7</v>
      </c>
      <c r="H541" t="n">
        <v>1</v>
      </c>
      <c r="I541" t="n">
        <v>1</v>
      </c>
      <c r="J541" t="n">
        <v>0</v>
      </c>
      <c r="K541" t="n">
        <v>1</v>
      </c>
      <c r="L541" t="n">
        <v>0</v>
      </c>
      <c r="M541" t="n">
        <v>0</v>
      </c>
      <c r="N541" t="n">
        <v>0</v>
      </c>
      <c r="O541" t="n">
        <v>1</v>
      </c>
      <c r="P541" t="n">
        <v>1</v>
      </c>
      <c r="Q541" t="n">
        <v>2</v>
      </c>
      <c r="R541" s="2" t="inlineStr">
        <is>
          <t>Knärot
Blåmossa</t>
        </is>
      </c>
      <c r="S541">
        <f>HYPERLINK("https://klasma.github.io/Logging_0883/artfynd/A 32649-2023 artfynd.xlsx", "A 32649-2023")</f>
        <v/>
      </c>
      <c r="T541">
        <f>HYPERLINK("https://klasma.github.io/Logging_0883/kartor/A 32649-2023 karta.png", "A 32649-2023")</f>
        <v/>
      </c>
      <c r="U541">
        <f>HYPERLINK("https://klasma.github.io/Logging_0883/knärot/A 32649-2023 karta knärot.png", "A 32649-2023")</f>
        <v/>
      </c>
      <c r="V541">
        <f>HYPERLINK("https://klasma.github.io/Logging_0883/klagomål/A 32649-2023 FSC-klagomål.docx", "A 32649-2023")</f>
        <v/>
      </c>
      <c r="W541">
        <f>HYPERLINK("https://klasma.github.io/Logging_0883/klagomålsmail/A 32649-2023 FSC-klagomål mail.docx", "A 32649-2023")</f>
        <v/>
      </c>
      <c r="X541">
        <f>HYPERLINK("https://klasma.github.io/Logging_0883/tillsyn/A 32649-2023 tillsynsbegäran.docx", "A 32649-2023")</f>
        <v/>
      </c>
      <c r="Y541">
        <f>HYPERLINK("https://klasma.github.io/Logging_0883/tillsynsmail/A 32649-2023 tillsynsbegäran mail.docx", "A 32649-2023")</f>
        <v/>
      </c>
    </row>
    <row r="542" ht="15" customHeight="1">
      <c r="A542" t="inlineStr">
        <is>
          <t>A 32964-2023</t>
        </is>
      </c>
      <c r="B542" s="1" t="n">
        <v>45125</v>
      </c>
      <c r="C542" s="1" t="n">
        <v>45715</v>
      </c>
      <c r="D542" t="inlineStr">
        <is>
          <t>KALMAR LÄN</t>
        </is>
      </c>
      <c r="E542" t="inlineStr">
        <is>
          <t>KALMAR</t>
        </is>
      </c>
      <c r="G542" t="n">
        <v>5.2</v>
      </c>
      <c r="H542" t="n">
        <v>1</v>
      </c>
      <c r="I542" t="n">
        <v>1</v>
      </c>
      <c r="J542" t="n">
        <v>0</v>
      </c>
      <c r="K542" t="n">
        <v>0</v>
      </c>
      <c r="L542" t="n">
        <v>0</v>
      </c>
      <c r="M542" t="n">
        <v>0</v>
      </c>
      <c r="N542" t="n">
        <v>0</v>
      </c>
      <c r="O542" t="n">
        <v>0</v>
      </c>
      <c r="P542" t="n">
        <v>0</v>
      </c>
      <c r="Q542" t="n">
        <v>2</v>
      </c>
      <c r="R542" s="2" t="inlineStr">
        <is>
          <t>Blåmossa
Blåsippa</t>
        </is>
      </c>
      <c r="S542">
        <f>HYPERLINK("https://klasma.github.io/Logging_0880/artfynd/A 32964-2023 artfynd.xlsx", "A 32964-2023")</f>
        <v/>
      </c>
      <c r="T542">
        <f>HYPERLINK("https://klasma.github.io/Logging_0880/kartor/A 32964-2023 karta.png", "A 32964-2023")</f>
        <v/>
      </c>
      <c r="V542">
        <f>HYPERLINK("https://klasma.github.io/Logging_0880/klagomål/A 32964-2023 FSC-klagomål.docx", "A 32964-2023")</f>
        <v/>
      </c>
      <c r="W542">
        <f>HYPERLINK("https://klasma.github.io/Logging_0880/klagomålsmail/A 32964-2023 FSC-klagomål mail.docx", "A 32964-2023")</f>
        <v/>
      </c>
      <c r="X542">
        <f>HYPERLINK("https://klasma.github.io/Logging_0880/tillsyn/A 32964-2023 tillsynsbegäran.docx", "A 32964-2023")</f>
        <v/>
      </c>
      <c r="Y542">
        <f>HYPERLINK("https://klasma.github.io/Logging_0880/tillsynsmail/A 32964-2023 tillsynsbegäran mail.docx", "A 32964-2023")</f>
        <v/>
      </c>
    </row>
    <row r="543" ht="15" customHeight="1">
      <c r="A543" t="inlineStr">
        <is>
          <t>A 33824-2023</t>
        </is>
      </c>
      <c r="B543" s="1" t="n">
        <v>45133</v>
      </c>
      <c r="C543" s="1" t="n">
        <v>45715</v>
      </c>
      <c r="D543" t="inlineStr">
        <is>
          <t>KALMAR LÄN</t>
        </is>
      </c>
      <c r="E543" t="inlineStr">
        <is>
          <t>VÄSTERVIK</t>
        </is>
      </c>
      <c r="G543" t="n">
        <v>2</v>
      </c>
      <c r="H543" t="n">
        <v>1</v>
      </c>
      <c r="I543" t="n">
        <v>1</v>
      </c>
      <c r="J543" t="n">
        <v>0</v>
      </c>
      <c r="K543" t="n">
        <v>1</v>
      </c>
      <c r="L543" t="n">
        <v>0</v>
      </c>
      <c r="M543" t="n">
        <v>0</v>
      </c>
      <c r="N543" t="n">
        <v>0</v>
      </c>
      <c r="O543" t="n">
        <v>1</v>
      </c>
      <c r="P543" t="n">
        <v>1</v>
      </c>
      <c r="Q543" t="n">
        <v>2</v>
      </c>
      <c r="R543" s="2" t="inlineStr">
        <is>
          <t>Knärot
Grönpyrola</t>
        </is>
      </c>
      <c r="S543">
        <f>HYPERLINK("https://klasma.github.io/Logging_0883/artfynd/A 33824-2023 artfynd.xlsx", "A 33824-2023")</f>
        <v/>
      </c>
      <c r="T543">
        <f>HYPERLINK("https://klasma.github.io/Logging_0883/kartor/A 33824-2023 karta.png", "A 33824-2023")</f>
        <v/>
      </c>
      <c r="U543">
        <f>HYPERLINK("https://klasma.github.io/Logging_0883/knärot/A 33824-2023 karta knärot.png", "A 33824-2023")</f>
        <v/>
      </c>
      <c r="V543">
        <f>HYPERLINK("https://klasma.github.io/Logging_0883/klagomål/A 33824-2023 FSC-klagomål.docx", "A 33824-2023")</f>
        <v/>
      </c>
      <c r="W543">
        <f>HYPERLINK("https://klasma.github.io/Logging_0883/klagomålsmail/A 33824-2023 FSC-klagomål mail.docx", "A 33824-2023")</f>
        <v/>
      </c>
      <c r="X543">
        <f>HYPERLINK("https://klasma.github.io/Logging_0883/tillsyn/A 33824-2023 tillsynsbegäran.docx", "A 33824-2023")</f>
        <v/>
      </c>
      <c r="Y543">
        <f>HYPERLINK("https://klasma.github.io/Logging_0883/tillsynsmail/A 33824-2023 tillsynsbegäran mail.docx", "A 33824-2023")</f>
        <v/>
      </c>
    </row>
    <row r="544" ht="15" customHeight="1">
      <c r="A544" t="inlineStr">
        <is>
          <t>A 33825-2023</t>
        </is>
      </c>
      <c r="B544" s="1" t="n">
        <v>45133</v>
      </c>
      <c r="C544" s="1" t="n">
        <v>45715</v>
      </c>
      <c r="D544" t="inlineStr">
        <is>
          <t>KALMAR LÄN</t>
        </is>
      </c>
      <c r="E544" t="inlineStr">
        <is>
          <t>VÄSTERVIK</t>
        </is>
      </c>
      <c r="G544" t="n">
        <v>2.2</v>
      </c>
      <c r="H544" t="n">
        <v>2</v>
      </c>
      <c r="I544" t="n">
        <v>0</v>
      </c>
      <c r="J544" t="n">
        <v>0</v>
      </c>
      <c r="K544" t="n">
        <v>1</v>
      </c>
      <c r="L544" t="n">
        <v>0</v>
      </c>
      <c r="M544" t="n">
        <v>0</v>
      </c>
      <c r="N544" t="n">
        <v>0</v>
      </c>
      <c r="O544" t="n">
        <v>1</v>
      </c>
      <c r="P544" t="n">
        <v>1</v>
      </c>
      <c r="Q544" t="n">
        <v>2</v>
      </c>
      <c r="R544" s="2" t="inlineStr">
        <is>
          <t>Knärot
Tjäder</t>
        </is>
      </c>
      <c r="S544">
        <f>HYPERLINK("https://klasma.github.io/Logging_0883/artfynd/A 33825-2023 artfynd.xlsx", "A 33825-2023")</f>
        <v/>
      </c>
      <c r="T544">
        <f>HYPERLINK("https://klasma.github.io/Logging_0883/kartor/A 33825-2023 karta.png", "A 33825-2023")</f>
        <v/>
      </c>
      <c r="U544">
        <f>HYPERLINK("https://klasma.github.io/Logging_0883/knärot/A 33825-2023 karta knärot.png", "A 33825-2023")</f>
        <v/>
      </c>
      <c r="V544">
        <f>HYPERLINK("https://klasma.github.io/Logging_0883/klagomål/A 33825-2023 FSC-klagomål.docx", "A 33825-2023")</f>
        <v/>
      </c>
      <c r="W544">
        <f>HYPERLINK("https://klasma.github.io/Logging_0883/klagomålsmail/A 33825-2023 FSC-klagomål mail.docx", "A 33825-2023")</f>
        <v/>
      </c>
      <c r="X544">
        <f>HYPERLINK("https://klasma.github.io/Logging_0883/tillsyn/A 33825-2023 tillsynsbegäran.docx", "A 33825-2023")</f>
        <v/>
      </c>
      <c r="Y544">
        <f>HYPERLINK("https://klasma.github.io/Logging_0883/tillsynsmail/A 33825-2023 tillsynsbegäran mail.docx", "A 33825-2023")</f>
        <v/>
      </c>
      <c r="Z544">
        <f>HYPERLINK("https://klasma.github.io/Logging_0883/fåglar/A 33825-2023 prioriterade fågelarter.docx", "A 33825-2023")</f>
        <v/>
      </c>
    </row>
    <row r="545" ht="15" customHeight="1">
      <c r="A545" t="inlineStr">
        <is>
          <t>A 34095-2023</t>
        </is>
      </c>
      <c r="B545" s="1" t="n">
        <v>45135</v>
      </c>
      <c r="C545" s="1" t="n">
        <v>45715</v>
      </c>
      <c r="D545" t="inlineStr">
        <is>
          <t>KALMAR LÄN</t>
        </is>
      </c>
      <c r="E545" t="inlineStr">
        <is>
          <t>HULTSFRED</t>
        </is>
      </c>
      <c r="G545" t="n">
        <v>13</v>
      </c>
      <c r="H545" t="n">
        <v>1</v>
      </c>
      <c r="I545" t="n">
        <v>1</v>
      </c>
      <c r="J545" t="n">
        <v>0</v>
      </c>
      <c r="K545" t="n">
        <v>0</v>
      </c>
      <c r="L545" t="n">
        <v>0</v>
      </c>
      <c r="M545" t="n">
        <v>0</v>
      </c>
      <c r="N545" t="n">
        <v>0</v>
      </c>
      <c r="O545" t="n">
        <v>0</v>
      </c>
      <c r="P545" t="n">
        <v>0</v>
      </c>
      <c r="Q545" t="n">
        <v>2</v>
      </c>
      <c r="R545" s="2" t="inlineStr">
        <is>
          <t>Blåmossa
Dubbelnycklar</t>
        </is>
      </c>
      <c r="S545">
        <f>HYPERLINK("https://klasma.github.io/Logging_0860/artfynd/A 34095-2023 artfynd.xlsx", "A 34095-2023")</f>
        <v/>
      </c>
      <c r="T545">
        <f>HYPERLINK("https://klasma.github.io/Logging_0860/kartor/A 34095-2023 karta.png", "A 34095-2023")</f>
        <v/>
      </c>
      <c r="V545">
        <f>HYPERLINK("https://klasma.github.io/Logging_0860/klagomål/A 34095-2023 FSC-klagomål.docx", "A 34095-2023")</f>
        <v/>
      </c>
      <c r="W545">
        <f>HYPERLINK("https://klasma.github.io/Logging_0860/klagomålsmail/A 34095-2023 FSC-klagomål mail.docx", "A 34095-2023")</f>
        <v/>
      </c>
      <c r="X545">
        <f>HYPERLINK("https://klasma.github.io/Logging_0860/tillsyn/A 34095-2023 tillsynsbegäran.docx", "A 34095-2023")</f>
        <v/>
      </c>
      <c r="Y545">
        <f>HYPERLINK("https://klasma.github.io/Logging_0860/tillsynsmail/A 34095-2023 tillsynsbegäran mail.docx", "A 34095-2023")</f>
        <v/>
      </c>
    </row>
    <row r="546" ht="15" customHeight="1">
      <c r="A546" t="inlineStr">
        <is>
          <t>A 34120-2023</t>
        </is>
      </c>
      <c r="B546" s="1" t="n">
        <v>45135</v>
      </c>
      <c r="C546" s="1" t="n">
        <v>45715</v>
      </c>
      <c r="D546" t="inlineStr">
        <is>
          <t>KALMAR LÄN</t>
        </is>
      </c>
      <c r="E546" t="inlineStr">
        <is>
          <t>VÄSTERVIK</t>
        </is>
      </c>
      <c r="G546" t="n">
        <v>2.1</v>
      </c>
      <c r="H546" t="n">
        <v>1</v>
      </c>
      <c r="I546" t="n">
        <v>1</v>
      </c>
      <c r="J546" t="n">
        <v>0</v>
      </c>
      <c r="K546" t="n">
        <v>1</v>
      </c>
      <c r="L546" t="n">
        <v>0</v>
      </c>
      <c r="M546" t="n">
        <v>0</v>
      </c>
      <c r="N546" t="n">
        <v>0</v>
      </c>
      <c r="O546" t="n">
        <v>1</v>
      </c>
      <c r="P546" t="n">
        <v>1</v>
      </c>
      <c r="Q546" t="n">
        <v>2</v>
      </c>
      <c r="R546" s="2" t="inlineStr">
        <is>
          <t>Knärot
Blodticka</t>
        </is>
      </c>
      <c r="S546">
        <f>HYPERLINK("https://klasma.github.io/Logging_0883/artfynd/A 34120-2023 artfynd.xlsx", "A 34120-2023")</f>
        <v/>
      </c>
      <c r="T546">
        <f>HYPERLINK("https://klasma.github.io/Logging_0883/kartor/A 34120-2023 karta.png", "A 34120-2023")</f>
        <v/>
      </c>
      <c r="U546">
        <f>HYPERLINK("https://klasma.github.io/Logging_0883/knärot/A 34120-2023 karta knärot.png", "A 34120-2023")</f>
        <v/>
      </c>
      <c r="V546">
        <f>HYPERLINK("https://klasma.github.io/Logging_0883/klagomål/A 34120-2023 FSC-klagomål.docx", "A 34120-2023")</f>
        <v/>
      </c>
      <c r="W546">
        <f>HYPERLINK("https://klasma.github.io/Logging_0883/klagomålsmail/A 34120-2023 FSC-klagomål mail.docx", "A 34120-2023")</f>
        <v/>
      </c>
      <c r="X546">
        <f>HYPERLINK("https://klasma.github.io/Logging_0883/tillsyn/A 34120-2023 tillsynsbegäran.docx", "A 34120-2023")</f>
        <v/>
      </c>
      <c r="Y546">
        <f>HYPERLINK("https://klasma.github.io/Logging_0883/tillsynsmail/A 34120-2023 tillsynsbegäran mail.docx", "A 34120-2023")</f>
        <v/>
      </c>
    </row>
    <row r="547" ht="15" customHeight="1">
      <c r="A547" t="inlineStr">
        <is>
          <t>A 34119-2023</t>
        </is>
      </c>
      <c r="B547" s="1" t="n">
        <v>45135</v>
      </c>
      <c r="C547" s="1" t="n">
        <v>45715</v>
      </c>
      <c r="D547" t="inlineStr">
        <is>
          <t>KALMAR LÄN</t>
        </is>
      </c>
      <c r="E547" t="inlineStr">
        <is>
          <t>VÄSTERVIK</t>
        </is>
      </c>
      <c r="G547" t="n">
        <v>3.1</v>
      </c>
      <c r="H547" t="n">
        <v>1</v>
      </c>
      <c r="I547" t="n">
        <v>1</v>
      </c>
      <c r="J547" t="n">
        <v>0</v>
      </c>
      <c r="K547" t="n">
        <v>1</v>
      </c>
      <c r="L547" t="n">
        <v>0</v>
      </c>
      <c r="M547" t="n">
        <v>0</v>
      </c>
      <c r="N547" t="n">
        <v>0</v>
      </c>
      <c r="O547" t="n">
        <v>1</v>
      </c>
      <c r="P547" t="n">
        <v>1</v>
      </c>
      <c r="Q547" t="n">
        <v>2</v>
      </c>
      <c r="R547" s="2" t="inlineStr">
        <is>
          <t>Knärot
Blomkålssvamp</t>
        </is>
      </c>
      <c r="S547">
        <f>HYPERLINK("https://klasma.github.io/Logging_0883/artfynd/A 34119-2023 artfynd.xlsx", "A 34119-2023")</f>
        <v/>
      </c>
      <c r="T547">
        <f>HYPERLINK("https://klasma.github.io/Logging_0883/kartor/A 34119-2023 karta.png", "A 34119-2023")</f>
        <v/>
      </c>
      <c r="U547">
        <f>HYPERLINK("https://klasma.github.io/Logging_0883/knärot/A 34119-2023 karta knärot.png", "A 34119-2023")</f>
        <v/>
      </c>
      <c r="V547">
        <f>HYPERLINK("https://klasma.github.io/Logging_0883/klagomål/A 34119-2023 FSC-klagomål.docx", "A 34119-2023")</f>
        <v/>
      </c>
      <c r="W547">
        <f>HYPERLINK("https://klasma.github.io/Logging_0883/klagomålsmail/A 34119-2023 FSC-klagomål mail.docx", "A 34119-2023")</f>
        <v/>
      </c>
      <c r="X547">
        <f>HYPERLINK("https://klasma.github.io/Logging_0883/tillsyn/A 34119-2023 tillsynsbegäran.docx", "A 34119-2023")</f>
        <v/>
      </c>
      <c r="Y547">
        <f>HYPERLINK("https://klasma.github.io/Logging_0883/tillsynsmail/A 34119-2023 tillsynsbegäran mail.docx", "A 34119-2023")</f>
        <v/>
      </c>
    </row>
    <row r="548" ht="15" customHeight="1">
      <c r="A548" t="inlineStr">
        <is>
          <t>A 38036-2023</t>
        </is>
      </c>
      <c r="B548" s="1" t="n">
        <v>45160</v>
      </c>
      <c r="C548" s="1" t="n">
        <v>45715</v>
      </c>
      <c r="D548" t="inlineStr">
        <is>
          <t>KALMAR LÄN</t>
        </is>
      </c>
      <c r="E548" t="inlineStr">
        <is>
          <t>VÄSTERVIK</t>
        </is>
      </c>
      <c r="F548" t="inlineStr">
        <is>
          <t>Sveaskog</t>
        </is>
      </c>
      <c r="G548" t="n">
        <v>4.2</v>
      </c>
      <c r="H548" t="n">
        <v>2</v>
      </c>
      <c r="I548" t="n">
        <v>0</v>
      </c>
      <c r="J548" t="n">
        <v>2</v>
      </c>
      <c r="K548" t="n">
        <v>0</v>
      </c>
      <c r="L548" t="n">
        <v>0</v>
      </c>
      <c r="M548" t="n">
        <v>0</v>
      </c>
      <c r="N548" t="n">
        <v>0</v>
      </c>
      <c r="O548" t="n">
        <v>2</v>
      </c>
      <c r="P548" t="n">
        <v>0</v>
      </c>
      <c r="Q548" t="n">
        <v>2</v>
      </c>
      <c r="R548" s="2" t="inlineStr">
        <is>
          <t>Barbastell
Nordfladdermus</t>
        </is>
      </c>
      <c r="S548">
        <f>HYPERLINK("https://klasma.github.io/Logging_0883/artfynd/A 38036-2023 artfynd.xlsx", "A 38036-2023")</f>
        <v/>
      </c>
      <c r="T548">
        <f>HYPERLINK("https://klasma.github.io/Logging_0883/kartor/A 38036-2023 karta.png", "A 38036-2023")</f>
        <v/>
      </c>
      <c r="V548">
        <f>HYPERLINK("https://klasma.github.io/Logging_0883/klagomål/A 38036-2023 FSC-klagomål.docx", "A 38036-2023")</f>
        <v/>
      </c>
      <c r="W548">
        <f>HYPERLINK("https://klasma.github.io/Logging_0883/klagomålsmail/A 38036-2023 FSC-klagomål mail.docx", "A 38036-2023")</f>
        <v/>
      </c>
      <c r="X548">
        <f>HYPERLINK("https://klasma.github.io/Logging_0883/tillsyn/A 38036-2023 tillsynsbegäran.docx", "A 38036-2023")</f>
        <v/>
      </c>
      <c r="Y548">
        <f>HYPERLINK("https://klasma.github.io/Logging_0883/tillsynsmail/A 38036-2023 tillsynsbegäran mail.docx", "A 38036-2023")</f>
        <v/>
      </c>
    </row>
    <row r="549" ht="15" customHeight="1">
      <c r="A549" t="inlineStr">
        <is>
          <t>A 40361-2023</t>
        </is>
      </c>
      <c r="B549" s="1" t="n">
        <v>45169</v>
      </c>
      <c r="C549" s="1" t="n">
        <v>45715</v>
      </c>
      <c r="D549" t="inlineStr">
        <is>
          <t>KALMAR LÄN</t>
        </is>
      </c>
      <c r="E549" t="inlineStr">
        <is>
          <t>MÖRBYLÅNGA</t>
        </is>
      </c>
      <c r="G549" t="n">
        <v>1.1</v>
      </c>
      <c r="H549" t="n">
        <v>0</v>
      </c>
      <c r="I549" t="n">
        <v>0</v>
      </c>
      <c r="J549" t="n">
        <v>1</v>
      </c>
      <c r="K549" t="n">
        <v>0</v>
      </c>
      <c r="L549" t="n">
        <v>0</v>
      </c>
      <c r="M549" t="n">
        <v>1</v>
      </c>
      <c r="N549" t="n">
        <v>0</v>
      </c>
      <c r="O549" t="n">
        <v>2</v>
      </c>
      <c r="P549" t="n">
        <v>1</v>
      </c>
      <c r="Q549" t="n">
        <v>2</v>
      </c>
      <c r="R549" s="2" t="inlineStr">
        <is>
          <t>Lundalm
Ängsskära</t>
        </is>
      </c>
      <c r="S549">
        <f>HYPERLINK("https://klasma.github.io/Logging_0840/artfynd/A 40361-2023 artfynd.xlsx", "A 40361-2023")</f>
        <v/>
      </c>
      <c r="T549">
        <f>HYPERLINK("https://klasma.github.io/Logging_0840/kartor/A 40361-2023 karta.png", "A 40361-2023")</f>
        <v/>
      </c>
      <c r="V549">
        <f>HYPERLINK("https://klasma.github.io/Logging_0840/klagomål/A 40361-2023 FSC-klagomål.docx", "A 40361-2023")</f>
        <v/>
      </c>
      <c r="W549">
        <f>HYPERLINK("https://klasma.github.io/Logging_0840/klagomålsmail/A 40361-2023 FSC-klagomål mail.docx", "A 40361-2023")</f>
        <v/>
      </c>
      <c r="X549">
        <f>HYPERLINK("https://klasma.github.io/Logging_0840/tillsyn/A 40361-2023 tillsynsbegäran.docx", "A 40361-2023")</f>
        <v/>
      </c>
      <c r="Y549">
        <f>HYPERLINK("https://klasma.github.io/Logging_0840/tillsynsmail/A 40361-2023 tillsynsbegäran mail.docx", "A 40361-2023")</f>
        <v/>
      </c>
    </row>
    <row r="550" ht="15" customHeight="1">
      <c r="A550" t="inlineStr">
        <is>
          <t>A 40564-2023</t>
        </is>
      </c>
      <c r="B550" s="1" t="n">
        <v>45170</v>
      </c>
      <c r="C550" s="1" t="n">
        <v>45715</v>
      </c>
      <c r="D550" t="inlineStr">
        <is>
          <t>KALMAR LÄN</t>
        </is>
      </c>
      <c r="E550" t="inlineStr">
        <is>
          <t>HULTSFRED</t>
        </is>
      </c>
      <c r="G550" t="n">
        <v>5</v>
      </c>
      <c r="H550" t="n">
        <v>2</v>
      </c>
      <c r="I550" t="n">
        <v>0</v>
      </c>
      <c r="J550" t="n">
        <v>0</v>
      </c>
      <c r="K550" t="n">
        <v>1</v>
      </c>
      <c r="L550" t="n">
        <v>0</v>
      </c>
      <c r="M550" t="n">
        <v>0</v>
      </c>
      <c r="N550" t="n">
        <v>0</v>
      </c>
      <c r="O550" t="n">
        <v>1</v>
      </c>
      <c r="P550" t="n">
        <v>1</v>
      </c>
      <c r="Q550" t="n">
        <v>2</v>
      </c>
      <c r="R550" s="2" t="inlineStr">
        <is>
          <t>Knärot
Tjäder</t>
        </is>
      </c>
      <c r="S550">
        <f>HYPERLINK("https://klasma.github.io/Logging_0860/artfynd/A 40564-2023 artfynd.xlsx", "A 40564-2023")</f>
        <v/>
      </c>
      <c r="T550">
        <f>HYPERLINK("https://klasma.github.io/Logging_0860/kartor/A 40564-2023 karta.png", "A 40564-2023")</f>
        <v/>
      </c>
      <c r="U550">
        <f>HYPERLINK("https://klasma.github.io/Logging_0860/knärot/A 40564-2023 karta knärot.png", "A 40564-2023")</f>
        <v/>
      </c>
      <c r="V550">
        <f>HYPERLINK("https://klasma.github.io/Logging_0860/klagomål/A 40564-2023 FSC-klagomål.docx", "A 40564-2023")</f>
        <v/>
      </c>
      <c r="W550">
        <f>HYPERLINK("https://klasma.github.io/Logging_0860/klagomålsmail/A 40564-2023 FSC-klagomål mail.docx", "A 40564-2023")</f>
        <v/>
      </c>
      <c r="X550">
        <f>HYPERLINK("https://klasma.github.io/Logging_0860/tillsyn/A 40564-2023 tillsynsbegäran.docx", "A 40564-2023")</f>
        <v/>
      </c>
      <c r="Y550">
        <f>HYPERLINK("https://klasma.github.io/Logging_0860/tillsynsmail/A 40564-2023 tillsynsbegäran mail.docx", "A 40564-2023")</f>
        <v/>
      </c>
      <c r="Z550">
        <f>HYPERLINK("https://klasma.github.io/Logging_0860/fåglar/A 40564-2023 prioriterade fågelarter.docx", "A 40564-2023")</f>
        <v/>
      </c>
    </row>
    <row r="551" ht="15" customHeight="1">
      <c r="A551" t="inlineStr">
        <is>
          <t>A 41475-2023</t>
        </is>
      </c>
      <c r="B551" s="1" t="n">
        <v>45175</v>
      </c>
      <c r="C551" s="1" t="n">
        <v>45715</v>
      </c>
      <c r="D551" t="inlineStr">
        <is>
          <t>KALMAR LÄN</t>
        </is>
      </c>
      <c r="E551" t="inlineStr">
        <is>
          <t>HÖGSBY</t>
        </is>
      </c>
      <c r="G551" t="n">
        <v>1.6</v>
      </c>
      <c r="H551" t="n">
        <v>0</v>
      </c>
      <c r="I551" t="n">
        <v>0</v>
      </c>
      <c r="J551" t="n">
        <v>2</v>
      </c>
      <c r="K551" t="n">
        <v>0</v>
      </c>
      <c r="L551" t="n">
        <v>0</v>
      </c>
      <c r="M551" t="n">
        <v>0</v>
      </c>
      <c r="N551" t="n">
        <v>0</v>
      </c>
      <c r="O551" t="n">
        <v>2</v>
      </c>
      <c r="P551" t="n">
        <v>0</v>
      </c>
      <c r="Q551" t="n">
        <v>2</v>
      </c>
      <c r="R551" s="2" t="inlineStr">
        <is>
          <t>Gullklöver
Spindelört</t>
        </is>
      </c>
      <c r="S551">
        <f>HYPERLINK("https://klasma.github.io/Logging_0821/artfynd/A 41475-2023 artfynd.xlsx", "A 41475-2023")</f>
        <v/>
      </c>
      <c r="T551">
        <f>HYPERLINK("https://klasma.github.io/Logging_0821/kartor/A 41475-2023 karta.png", "A 41475-2023")</f>
        <v/>
      </c>
      <c r="V551">
        <f>HYPERLINK("https://klasma.github.io/Logging_0821/klagomål/A 41475-2023 FSC-klagomål.docx", "A 41475-2023")</f>
        <v/>
      </c>
      <c r="W551">
        <f>HYPERLINK("https://klasma.github.io/Logging_0821/klagomålsmail/A 41475-2023 FSC-klagomål mail.docx", "A 41475-2023")</f>
        <v/>
      </c>
      <c r="X551">
        <f>HYPERLINK("https://klasma.github.io/Logging_0821/tillsyn/A 41475-2023 tillsynsbegäran.docx", "A 41475-2023")</f>
        <v/>
      </c>
      <c r="Y551">
        <f>HYPERLINK("https://klasma.github.io/Logging_0821/tillsynsmail/A 41475-2023 tillsynsbegäran mail.docx", "A 41475-2023")</f>
        <v/>
      </c>
    </row>
    <row r="552" ht="15" customHeight="1">
      <c r="A552" t="inlineStr">
        <is>
          <t>A 42064-2023</t>
        </is>
      </c>
      <c r="B552" s="1" t="n">
        <v>45177</v>
      </c>
      <c r="C552" s="1" t="n">
        <v>45715</v>
      </c>
      <c r="D552" t="inlineStr">
        <is>
          <t>KALMAR LÄN</t>
        </is>
      </c>
      <c r="E552" t="inlineStr">
        <is>
          <t>HÖGSBY</t>
        </is>
      </c>
      <c r="G552" t="n">
        <v>1.1</v>
      </c>
      <c r="H552" t="n">
        <v>0</v>
      </c>
      <c r="I552" t="n">
        <v>2</v>
      </c>
      <c r="J552" t="n">
        <v>0</v>
      </c>
      <c r="K552" t="n">
        <v>0</v>
      </c>
      <c r="L552" t="n">
        <v>0</v>
      </c>
      <c r="M552" t="n">
        <v>0</v>
      </c>
      <c r="N552" t="n">
        <v>0</v>
      </c>
      <c r="O552" t="n">
        <v>0</v>
      </c>
      <c r="P552" t="n">
        <v>0</v>
      </c>
      <c r="Q552" t="n">
        <v>2</v>
      </c>
      <c r="R552" s="2" t="inlineStr">
        <is>
          <t>Fjällig taggsvamp s.str.
Skarp dropptaggsvamp</t>
        </is>
      </c>
      <c r="S552">
        <f>HYPERLINK("https://klasma.github.io/Logging_0821/artfynd/A 42064-2023 artfynd.xlsx", "A 42064-2023")</f>
        <v/>
      </c>
      <c r="T552">
        <f>HYPERLINK("https://klasma.github.io/Logging_0821/kartor/A 42064-2023 karta.png", "A 42064-2023")</f>
        <v/>
      </c>
      <c r="V552">
        <f>HYPERLINK("https://klasma.github.io/Logging_0821/klagomål/A 42064-2023 FSC-klagomål.docx", "A 42064-2023")</f>
        <v/>
      </c>
      <c r="W552">
        <f>HYPERLINK("https://klasma.github.io/Logging_0821/klagomålsmail/A 42064-2023 FSC-klagomål mail.docx", "A 42064-2023")</f>
        <v/>
      </c>
      <c r="X552">
        <f>HYPERLINK("https://klasma.github.io/Logging_0821/tillsyn/A 42064-2023 tillsynsbegäran.docx", "A 42064-2023")</f>
        <v/>
      </c>
      <c r="Y552">
        <f>HYPERLINK("https://klasma.github.io/Logging_0821/tillsynsmail/A 42064-2023 tillsynsbegäran mail.docx", "A 42064-2023")</f>
        <v/>
      </c>
    </row>
    <row r="553" ht="15" customHeight="1">
      <c r="A553" t="inlineStr">
        <is>
          <t>A 42668-2023</t>
        </is>
      </c>
      <c r="B553" s="1" t="n">
        <v>45181</v>
      </c>
      <c r="C553" s="1" t="n">
        <v>45715</v>
      </c>
      <c r="D553" t="inlineStr">
        <is>
          <t>KALMAR LÄN</t>
        </is>
      </c>
      <c r="E553" t="inlineStr">
        <is>
          <t>HÖGSBY</t>
        </is>
      </c>
      <c r="F553" t="inlineStr">
        <is>
          <t>Sveaskog</t>
        </is>
      </c>
      <c r="G553" t="n">
        <v>13.4</v>
      </c>
      <c r="H553" t="n">
        <v>0</v>
      </c>
      <c r="I553" t="n">
        <v>1</v>
      </c>
      <c r="J553" t="n">
        <v>1</v>
      </c>
      <c r="K553" t="n">
        <v>0</v>
      </c>
      <c r="L553" t="n">
        <v>0</v>
      </c>
      <c r="M553" t="n">
        <v>0</v>
      </c>
      <c r="N553" t="n">
        <v>0</v>
      </c>
      <c r="O553" t="n">
        <v>1</v>
      </c>
      <c r="P553" t="n">
        <v>0</v>
      </c>
      <c r="Q553" t="n">
        <v>2</v>
      </c>
      <c r="R553" s="2" t="inlineStr">
        <is>
          <t>Skogshare
Bronshjon</t>
        </is>
      </c>
      <c r="S553">
        <f>HYPERLINK("https://klasma.github.io/Logging_0821/artfynd/A 42668-2023 artfynd.xlsx", "A 42668-2023")</f>
        <v/>
      </c>
      <c r="T553">
        <f>HYPERLINK("https://klasma.github.io/Logging_0821/kartor/A 42668-2023 karta.png", "A 42668-2023")</f>
        <v/>
      </c>
      <c r="V553">
        <f>HYPERLINK("https://klasma.github.io/Logging_0821/klagomål/A 42668-2023 FSC-klagomål.docx", "A 42668-2023")</f>
        <v/>
      </c>
      <c r="W553">
        <f>HYPERLINK("https://klasma.github.io/Logging_0821/klagomålsmail/A 42668-2023 FSC-klagomål mail.docx", "A 42668-2023")</f>
        <v/>
      </c>
      <c r="X553">
        <f>HYPERLINK("https://klasma.github.io/Logging_0821/tillsyn/A 42668-2023 tillsynsbegäran.docx", "A 42668-2023")</f>
        <v/>
      </c>
      <c r="Y553">
        <f>HYPERLINK("https://klasma.github.io/Logging_0821/tillsynsmail/A 42668-2023 tillsynsbegäran mail.docx", "A 42668-2023")</f>
        <v/>
      </c>
    </row>
    <row r="554" ht="15" customHeight="1">
      <c r="A554" t="inlineStr">
        <is>
          <t>A 43194-2023</t>
        </is>
      </c>
      <c r="B554" s="1" t="n">
        <v>45183</v>
      </c>
      <c r="C554" s="1" t="n">
        <v>45715</v>
      </c>
      <c r="D554" t="inlineStr">
        <is>
          <t>KALMAR LÄN</t>
        </is>
      </c>
      <c r="E554" t="inlineStr">
        <is>
          <t>NYBRO</t>
        </is>
      </c>
      <c r="G554" t="n">
        <v>6.4</v>
      </c>
      <c r="H554" t="n">
        <v>1</v>
      </c>
      <c r="I554" t="n">
        <v>0</v>
      </c>
      <c r="J554" t="n">
        <v>1</v>
      </c>
      <c r="K554" t="n">
        <v>0</v>
      </c>
      <c r="L554" t="n">
        <v>0</v>
      </c>
      <c r="M554" t="n">
        <v>0</v>
      </c>
      <c r="N554" t="n">
        <v>0</v>
      </c>
      <c r="O554" t="n">
        <v>1</v>
      </c>
      <c r="P554" t="n">
        <v>0</v>
      </c>
      <c r="Q554" t="n">
        <v>2</v>
      </c>
      <c r="R554" s="2" t="inlineStr">
        <is>
          <t>Vårstarr
Nattviol</t>
        </is>
      </c>
      <c r="S554">
        <f>HYPERLINK("https://klasma.github.io/Logging_0881/artfynd/A 43194-2023 artfynd.xlsx", "A 43194-2023")</f>
        <v/>
      </c>
      <c r="T554">
        <f>HYPERLINK("https://klasma.github.io/Logging_0881/kartor/A 43194-2023 karta.png", "A 43194-2023")</f>
        <v/>
      </c>
      <c r="V554">
        <f>HYPERLINK("https://klasma.github.io/Logging_0881/klagomål/A 43194-2023 FSC-klagomål.docx", "A 43194-2023")</f>
        <v/>
      </c>
      <c r="W554">
        <f>HYPERLINK("https://klasma.github.io/Logging_0881/klagomålsmail/A 43194-2023 FSC-klagomål mail.docx", "A 43194-2023")</f>
        <v/>
      </c>
      <c r="X554">
        <f>HYPERLINK("https://klasma.github.io/Logging_0881/tillsyn/A 43194-2023 tillsynsbegäran.docx", "A 43194-2023")</f>
        <v/>
      </c>
      <c r="Y554">
        <f>HYPERLINK("https://klasma.github.io/Logging_0881/tillsynsmail/A 43194-2023 tillsynsbegäran mail.docx", "A 43194-2023")</f>
        <v/>
      </c>
    </row>
    <row r="555" ht="15" customHeight="1">
      <c r="A555" t="inlineStr">
        <is>
          <t>A 43712-2023</t>
        </is>
      </c>
      <c r="B555" s="1" t="n">
        <v>45187</v>
      </c>
      <c r="C555" s="1" t="n">
        <v>45715</v>
      </c>
      <c r="D555" t="inlineStr">
        <is>
          <t>KALMAR LÄN</t>
        </is>
      </c>
      <c r="E555" t="inlineStr">
        <is>
          <t>NYBRO</t>
        </is>
      </c>
      <c r="G555" t="n">
        <v>4.5</v>
      </c>
      <c r="H555" t="n">
        <v>1</v>
      </c>
      <c r="I555" t="n">
        <v>2</v>
      </c>
      <c r="J555" t="n">
        <v>0</v>
      </c>
      <c r="K555" t="n">
        <v>0</v>
      </c>
      <c r="L555" t="n">
        <v>0</v>
      </c>
      <c r="M555" t="n">
        <v>0</v>
      </c>
      <c r="N555" t="n">
        <v>0</v>
      </c>
      <c r="O555" t="n">
        <v>0</v>
      </c>
      <c r="P555" t="n">
        <v>0</v>
      </c>
      <c r="Q555" t="n">
        <v>2</v>
      </c>
      <c r="R555" s="2" t="inlineStr">
        <is>
          <t>Grönpyrola
Skogsknipprot</t>
        </is>
      </c>
      <c r="S555">
        <f>HYPERLINK("https://klasma.github.io/Logging_0881/artfynd/A 43712-2023 artfynd.xlsx", "A 43712-2023")</f>
        <v/>
      </c>
      <c r="T555">
        <f>HYPERLINK("https://klasma.github.io/Logging_0881/kartor/A 43712-2023 karta.png", "A 43712-2023")</f>
        <v/>
      </c>
      <c r="V555">
        <f>HYPERLINK("https://klasma.github.io/Logging_0881/klagomål/A 43712-2023 FSC-klagomål.docx", "A 43712-2023")</f>
        <v/>
      </c>
      <c r="W555">
        <f>HYPERLINK("https://klasma.github.io/Logging_0881/klagomålsmail/A 43712-2023 FSC-klagomål mail.docx", "A 43712-2023")</f>
        <v/>
      </c>
      <c r="X555">
        <f>HYPERLINK("https://klasma.github.io/Logging_0881/tillsyn/A 43712-2023 tillsynsbegäran.docx", "A 43712-2023")</f>
        <v/>
      </c>
      <c r="Y555">
        <f>HYPERLINK("https://klasma.github.io/Logging_0881/tillsynsmail/A 43712-2023 tillsynsbegäran mail.docx", "A 43712-2023")</f>
        <v/>
      </c>
    </row>
    <row r="556" ht="15" customHeight="1">
      <c r="A556" t="inlineStr">
        <is>
          <t>A 45984-2023</t>
        </is>
      </c>
      <c r="B556" s="1" t="n">
        <v>45196</v>
      </c>
      <c r="C556" s="1" t="n">
        <v>45715</v>
      </c>
      <c r="D556" t="inlineStr">
        <is>
          <t>KALMAR LÄN</t>
        </is>
      </c>
      <c r="E556" t="inlineStr">
        <is>
          <t>BORGHOLM</t>
        </is>
      </c>
      <c r="G556" t="n">
        <v>2.9</v>
      </c>
      <c r="H556" t="n">
        <v>1</v>
      </c>
      <c r="I556" t="n">
        <v>1</v>
      </c>
      <c r="J556" t="n">
        <v>0</v>
      </c>
      <c r="K556" t="n">
        <v>1</v>
      </c>
      <c r="L556" t="n">
        <v>0</v>
      </c>
      <c r="M556" t="n">
        <v>0</v>
      </c>
      <c r="N556" t="n">
        <v>0</v>
      </c>
      <c r="O556" t="n">
        <v>1</v>
      </c>
      <c r="P556" t="n">
        <v>1</v>
      </c>
      <c r="Q556" t="n">
        <v>2</v>
      </c>
      <c r="R556" s="2" t="inlineStr">
        <is>
          <t>Trubbstarr
Ekoxe</t>
        </is>
      </c>
      <c r="S556">
        <f>HYPERLINK("https://klasma.github.io/Logging_0885/artfynd/A 45984-2023 artfynd.xlsx", "A 45984-2023")</f>
        <v/>
      </c>
      <c r="T556">
        <f>HYPERLINK("https://klasma.github.io/Logging_0885/kartor/A 45984-2023 karta.png", "A 45984-2023")</f>
        <v/>
      </c>
      <c r="V556">
        <f>HYPERLINK("https://klasma.github.io/Logging_0885/klagomål/A 45984-2023 FSC-klagomål.docx", "A 45984-2023")</f>
        <v/>
      </c>
      <c r="W556">
        <f>HYPERLINK("https://klasma.github.io/Logging_0885/klagomålsmail/A 45984-2023 FSC-klagomål mail.docx", "A 45984-2023")</f>
        <v/>
      </c>
      <c r="X556">
        <f>HYPERLINK("https://klasma.github.io/Logging_0885/tillsyn/A 45984-2023 tillsynsbegäran.docx", "A 45984-2023")</f>
        <v/>
      </c>
      <c r="Y556">
        <f>HYPERLINK("https://klasma.github.io/Logging_0885/tillsynsmail/A 45984-2023 tillsynsbegäran mail.docx", "A 45984-2023")</f>
        <v/>
      </c>
    </row>
    <row r="557" ht="15" customHeight="1">
      <c r="A557" t="inlineStr">
        <is>
          <t>A 46089-2023</t>
        </is>
      </c>
      <c r="B557" s="1" t="n">
        <v>45196</v>
      </c>
      <c r="C557" s="1" t="n">
        <v>45715</v>
      </c>
      <c r="D557" t="inlineStr">
        <is>
          <t>KALMAR LÄN</t>
        </is>
      </c>
      <c r="E557" t="inlineStr">
        <is>
          <t>VÄSTERVIK</t>
        </is>
      </c>
      <c r="F557" t="inlineStr">
        <is>
          <t>Sveaskog</t>
        </is>
      </c>
      <c r="G557" t="n">
        <v>1.1</v>
      </c>
      <c r="H557" t="n">
        <v>1</v>
      </c>
      <c r="I557" t="n">
        <v>1</v>
      </c>
      <c r="J557" t="n">
        <v>0</v>
      </c>
      <c r="K557" t="n">
        <v>0</v>
      </c>
      <c r="L557" t="n">
        <v>0</v>
      </c>
      <c r="M557" t="n">
        <v>0</v>
      </c>
      <c r="N557" t="n">
        <v>0</v>
      </c>
      <c r="O557" t="n">
        <v>0</v>
      </c>
      <c r="P557" t="n">
        <v>0</v>
      </c>
      <c r="Q557" t="n">
        <v>2</v>
      </c>
      <c r="R557" s="2" t="inlineStr">
        <is>
          <t>Fällmossa
Blåsippa</t>
        </is>
      </c>
      <c r="S557">
        <f>HYPERLINK("https://klasma.github.io/Logging_0883/artfynd/A 46089-2023 artfynd.xlsx", "A 46089-2023")</f>
        <v/>
      </c>
      <c r="T557">
        <f>HYPERLINK("https://klasma.github.io/Logging_0883/kartor/A 46089-2023 karta.png", "A 46089-2023")</f>
        <v/>
      </c>
      <c r="V557">
        <f>HYPERLINK("https://klasma.github.io/Logging_0883/klagomål/A 46089-2023 FSC-klagomål.docx", "A 46089-2023")</f>
        <v/>
      </c>
      <c r="W557">
        <f>HYPERLINK("https://klasma.github.io/Logging_0883/klagomålsmail/A 46089-2023 FSC-klagomål mail.docx", "A 46089-2023")</f>
        <v/>
      </c>
      <c r="X557">
        <f>HYPERLINK("https://klasma.github.io/Logging_0883/tillsyn/A 46089-2023 tillsynsbegäran.docx", "A 46089-2023")</f>
        <v/>
      </c>
      <c r="Y557">
        <f>HYPERLINK("https://klasma.github.io/Logging_0883/tillsynsmail/A 46089-2023 tillsynsbegäran mail.docx", "A 46089-2023")</f>
        <v/>
      </c>
    </row>
    <row r="558" ht="15" customHeight="1">
      <c r="A558" t="inlineStr">
        <is>
          <t>A 47904-2023</t>
        </is>
      </c>
      <c r="B558" s="1" t="n">
        <v>45204</v>
      </c>
      <c r="C558" s="1" t="n">
        <v>45715</v>
      </c>
      <c r="D558" t="inlineStr">
        <is>
          <t>KALMAR LÄN</t>
        </is>
      </c>
      <c r="E558" t="inlineStr">
        <is>
          <t>NYBRO</t>
        </is>
      </c>
      <c r="F558" t="inlineStr">
        <is>
          <t>Sveaskog</t>
        </is>
      </c>
      <c r="G558" t="n">
        <v>3.2</v>
      </c>
      <c r="H558" t="n">
        <v>1</v>
      </c>
      <c r="I558" t="n">
        <v>0</v>
      </c>
      <c r="J558" t="n">
        <v>1</v>
      </c>
      <c r="K558" t="n">
        <v>0</v>
      </c>
      <c r="L558" t="n">
        <v>0</v>
      </c>
      <c r="M558" t="n">
        <v>0</v>
      </c>
      <c r="N558" t="n">
        <v>0</v>
      </c>
      <c r="O558" t="n">
        <v>1</v>
      </c>
      <c r="P558" t="n">
        <v>0</v>
      </c>
      <c r="Q558" t="n">
        <v>2</v>
      </c>
      <c r="R558" s="2" t="inlineStr">
        <is>
          <t>Solvända
Gullviva</t>
        </is>
      </c>
      <c r="S558">
        <f>HYPERLINK("https://klasma.github.io/Logging_0881/artfynd/A 47904-2023 artfynd.xlsx", "A 47904-2023")</f>
        <v/>
      </c>
      <c r="T558">
        <f>HYPERLINK("https://klasma.github.io/Logging_0881/kartor/A 47904-2023 karta.png", "A 47904-2023")</f>
        <v/>
      </c>
      <c r="V558">
        <f>HYPERLINK("https://klasma.github.io/Logging_0881/klagomål/A 47904-2023 FSC-klagomål.docx", "A 47904-2023")</f>
        <v/>
      </c>
      <c r="W558">
        <f>HYPERLINK("https://klasma.github.io/Logging_0881/klagomålsmail/A 47904-2023 FSC-klagomål mail.docx", "A 47904-2023")</f>
        <v/>
      </c>
      <c r="X558">
        <f>HYPERLINK("https://klasma.github.io/Logging_0881/tillsyn/A 47904-2023 tillsynsbegäran.docx", "A 47904-2023")</f>
        <v/>
      </c>
      <c r="Y558">
        <f>HYPERLINK("https://klasma.github.io/Logging_0881/tillsynsmail/A 47904-2023 tillsynsbegäran mail.docx", "A 47904-2023")</f>
        <v/>
      </c>
    </row>
    <row r="559" ht="15" customHeight="1">
      <c r="A559" t="inlineStr">
        <is>
          <t>A 47935-2023</t>
        </is>
      </c>
      <c r="B559" s="1" t="n">
        <v>45204</v>
      </c>
      <c r="C559" s="1" t="n">
        <v>45715</v>
      </c>
      <c r="D559" t="inlineStr">
        <is>
          <t>KALMAR LÄN</t>
        </is>
      </c>
      <c r="E559" t="inlineStr">
        <is>
          <t>VÄSTERVIK</t>
        </is>
      </c>
      <c r="G559" t="n">
        <v>4.3</v>
      </c>
      <c r="H559" t="n">
        <v>0</v>
      </c>
      <c r="I559" t="n">
        <v>1</v>
      </c>
      <c r="J559" t="n">
        <v>1</v>
      </c>
      <c r="K559" t="n">
        <v>0</v>
      </c>
      <c r="L559" t="n">
        <v>0</v>
      </c>
      <c r="M559" t="n">
        <v>0</v>
      </c>
      <c r="N559" t="n">
        <v>0</v>
      </c>
      <c r="O559" t="n">
        <v>1</v>
      </c>
      <c r="P559" t="n">
        <v>0</v>
      </c>
      <c r="Q559" t="n">
        <v>2</v>
      </c>
      <c r="R559" s="2" t="inlineStr">
        <is>
          <t>Tallticka
Blåmossa</t>
        </is>
      </c>
      <c r="S559">
        <f>HYPERLINK("https://klasma.github.io/Logging_0883/artfynd/A 47935-2023 artfynd.xlsx", "A 47935-2023")</f>
        <v/>
      </c>
      <c r="T559">
        <f>HYPERLINK("https://klasma.github.io/Logging_0883/kartor/A 47935-2023 karta.png", "A 47935-2023")</f>
        <v/>
      </c>
      <c r="V559">
        <f>HYPERLINK("https://klasma.github.io/Logging_0883/klagomål/A 47935-2023 FSC-klagomål.docx", "A 47935-2023")</f>
        <v/>
      </c>
      <c r="W559">
        <f>HYPERLINK("https://klasma.github.io/Logging_0883/klagomålsmail/A 47935-2023 FSC-klagomål mail.docx", "A 47935-2023")</f>
        <v/>
      </c>
      <c r="X559">
        <f>HYPERLINK("https://klasma.github.io/Logging_0883/tillsyn/A 47935-2023 tillsynsbegäran.docx", "A 47935-2023")</f>
        <v/>
      </c>
      <c r="Y559">
        <f>HYPERLINK("https://klasma.github.io/Logging_0883/tillsynsmail/A 47935-2023 tillsynsbegäran mail.docx", "A 47935-2023")</f>
        <v/>
      </c>
    </row>
    <row r="560" ht="15" customHeight="1">
      <c r="A560" t="inlineStr">
        <is>
          <t>A 48911-2023</t>
        </is>
      </c>
      <c r="B560" s="1" t="n">
        <v>45209</v>
      </c>
      <c r="C560" s="1" t="n">
        <v>45715</v>
      </c>
      <c r="D560" t="inlineStr">
        <is>
          <t>KALMAR LÄN</t>
        </is>
      </c>
      <c r="E560" t="inlineStr">
        <is>
          <t>HULTSFRED</t>
        </is>
      </c>
      <c r="F560" t="inlineStr">
        <is>
          <t>Övriga Aktiebolag</t>
        </is>
      </c>
      <c r="G560" t="n">
        <v>6.6</v>
      </c>
      <c r="H560" t="n">
        <v>2</v>
      </c>
      <c r="I560" t="n">
        <v>0</v>
      </c>
      <c r="J560" t="n">
        <v>0</v>
      </c>
      <c r="K560" t="n">
        <v>0</v>
      </c>
      <c r="L560" t="n">
        <v>0</v>
      </c>
      <c r="M560" t="n">
        <v>0</v>
      </c>
      <c r="N560" t="n">
        <v>0</v>
      </c>
      <c r="O560" t="n">
        <v>0</v>
      </c>
      <c r="P560" t="n">
        <v>0</v>
      </c>
      <c r="Q560" t="n">
        <v>2</v>
      </c>
      <c r="R560" s="2" t="inlineStr">
        <is>
          <t>Grönsiska
Blåsippa</t>
        </is>
      </c>
      <c r="S560">
        <f>HYPERLINK("https://klasma.github.io/Logging_0860/artfynd/A 48911-2023 artfynd.xlsx", "A 48911-2023")</f>
        <v/>
      </c>
      <c r="T560">
        <f>HYPERLINK("https://klasma.github.io/Logging_0860/kartor/A 48911-2023 karta.png", "A 48911-2023")</f>
        <v/>
      </c>
      <c r="U560">
        <f>HYPERLINK("https://klasma.github.io/Logging_0860/knärot/A 48911-2023 karta knärot.png", "A 48911-2023")</f>
        <v/>
      </c>
      <c r="V560">
        <f>HYPERLINK("https://klasma.github.io/Logging_0860/klagomål/A 48911-2023 FSC-klagomål.docx", "A 48911-2023")</f>
        <v/>
      </c>
      <c r="W560">
        <f>HYPERLINK("https://klasma.github.io/Logging_0860/klagomålsmail/A 48911-2023 FSC-klagomål mail.docx", "A 48911-2023")</f>
        <v/>
      </c>
      <c r="X560">
        <f>HYPERLINK("https://klasma.github.io/Logging_0860/tillsyn/A 48911-2023 tillsynsbegäran.docx", "A 48911-2023")</f>
        <v/>
      </c>
      <c r="Y560">
        <f>HYPERLINK("https://klasma.github.io/Logging_0860/tillsynsmail/A 48911-2023 tillsynsbegäran mail.docx", "A 48911-2023")</f>
        <v/>
      </c>
      <c r="Z560">
        <f>HYPERLINK("https://klasma.github.io/Logging_0860/fåglar/A 48911-2023 prioriterade fågelarter.docx", "A 48911-2023")</f>
        <v/>
      </c>
    </row>
    <row r="561" ht="15" customHeight="1">
      <c r="A561" t="inlineStr">
        <is>
          <t>A 51069-2023</t>
        </is>
      </c>
      <c r="B561" s="1" t="n">
        <v>45211</v>
      </c>
      <c r="C561" s="1" t="n">
        <v>45715</v>
      </c>
      <c r="D561" t="inlineStr">
        <is>
          <t>KALMAR LÄN</t>
        </is>
      </c>
      <c r="E561" t="inlineStr">
        <is>
          <t>HULTSFRED</t>
        </is>
      </c>
      <c r="G561" t="n">
        <v>8.1</v>
      </c>
      <c r="H561" t="n">
        <v>0</v>
      </c>
      <c r="I561" t="n">
        <v>2</v>
      </c>
      <c r="J561" t="n">
        <v>0</v>
      </c>
      <c r="K561" t="n">
        <v>0</v>
      </c>
      <c r="L561" t="n">
        <v>0</v>
      </c>
      <c r="M561" t="n">
        <v>0</v>
      </c>
      <c r="N561" t="n">
        <v>0</v>
      </c>
      <c r="O561" t="n">
        <v>0</v>
      </c>
      <c r="P561" t="n">
        <v>0</v>
      </c>
      <c r="Q561" t="n">
        <v>2</v>
      </c>
      <c r="R561" s="2" t="inlineStr">
        <is>
          <t>Gulnål
Vågbandad barkbock</t>
        </is>
      </c>
      <c r="S561">
        <f>HYPERLINK("https://klasma.github.io/Logging_0860/artfynd/A 51069-2023 artfynd.xlsx", "A 51069-2023")</f>
        <v/>
      </c>
      <c r="T561">
        <f>HYPERLINK("https://klasma.github.io/Logging_0860/kartor/A 51069-2023 karta.png", "A 51069-2023")</f>
        <v/>
      </c>
      <c r="V561">
        <f>HYPERLINK("https://klasma.github.io/Logging_0860/klagomål/A 51069-2023 FSC-klagomål.docx", "A 51069-2023")</f>
        <v/>
      </c>
      <c r="W561">
        <f>HYPERLINK("https://klasma.github.io/Logging_0860/klagomålsmail/A 51069-2023 FSC-klagomål mail.docx", "A 51069-2023")</f>
        <v/>
      </c>
      <c r="X561">
        <f>HYPERLINK("https://klasma.github.io/Logging_0860/tillsyn/A 51069-2023 tillsynsbegäran.docx", "A 51069-2023")</f>
        <v/>
      </c>
      <c r="Y561">
        <f>HYPERLINK("https://klasma.github.io/Logging_0860/tillsynsmail/A 51069-2023 tillsynsbegäran mail.docx", "A 51069-2023")</f>
        <v/>
      </c>
    </row>
    <row r="562" ht="15" customHeight="1">
      <c r="A562" t="inlineStr">
        <is>
          <t>A 51078-2023</t>
        </is>
      </c>
      <c r="B562" s="1" t="n">
        <v>45218</v>
      </c>
      <c r="C562" s="1" t="n">
        <v>45715</v>
      </c>
      <c r="D562" t="inlineStr">
        <is>
          <t>KALMAR LÄN</t>
        </is>
      </c>
      <c r="E562" t="inlineStr">
        <is>
          <t>OSKARSHAMN</t>
        </is>
      </c>
      <c r="G562" t="n">
        <v>2.9</v>
      </c>
      <c r="H562" t="n">
        <v>2</v>
      </c>
      <c r="I562" t="n">
        <v>0</v>
      </c>
      <c r="J562" t="n">
        <v>2</v>
      </c>
      <c r="K562" t="n">
        <v>0</v>
      </c>
      <c r="L562" t="n">
        <v>0</v>
      </c>
      <c r="M562" t="n">
        <v>0</v>
      </c>
      <c r="N562" t="n">
        <v>0</v>
      </c>
      <c r="O562" t="n">
        <v>2</v>
      </c>
      <c r="P562" t="n">
        <v>0</v>
      </c>
      <c r="Q562" t="n">
        <v>2</v>
      </c>
      <c r="R562" s="2" t="inlineStr">
        <is>
          <t>Gulsparv
Spillkråka</t>
        </is>
      </c>
      <c r="S562">
        <f>HYPERLINK("https://klasma.github.io/Logging_0882/artfynd/A 51078-2023 artfynd.xlsx", "A 51078-2023")</f>
        <v/>
      </c>
      <c r="T562">
        <f>HYPERLINK("https://klasma.github.io/Logging_0882/kartor/A 51078-2023 karta.png", "A 51078-2023")</f>
        <v/>
      </c>
      <c r="V562">
        <f>HYPERLINK("https://klasma.github.io/Logging_0882/klagomål/A 51078-2023 FSC-klagomål.docx", "A 51078-2023")</f>
        <v/>
      </c>
      <c r="W562">
        <f>HYPERLINK("https://klasma.github.io/Logging_0882/klagomålsmail/A 51078-2023 FSC-klagomål mail.docx", "A 51078-2023")</f>
        <v/>
      </c>
      <c r="X562">
        <f>HYPERLINK("https://klasma.github.io/Logging_0882/tillsyn/A 51078-2023 tillsynsbegäran.docx", "A 51078-2023")</f>
        <v/>
      </c>
      <c r="Y562">
        <f>HYPERLINK("https://klasma.github.io/Logging_0882/tillsynsmail/A 51078-2023 tillsynsbegäran mail.docx", "A 51078-2023")</f>
        <v/>
      </c>
      <c r="Z562">
        <f>HYPERLINK("https://klasma.github.io/Logging_0882/fåglar/A 51078-2023 prioriterade fågelarter.docx", "A 51078-2023")</f>
        <v/>
      </c>
    </row>
    <row r="563" ht="15" customHeight="1">
      <c r="A563" t="inlineStr">
        <is>
          <t>A 51784-2023</t>
        </is>
      </c>
      <c r="B563" s="1" t="n">
        <v>45222</v>
      </c>
      <c r="C563" s="1" t="n">
        <v>45715</v>
      </c>
      <c r="D563" t="inlineStr">
        <is>
          <t>KALMAR LÄN</t>
        </is>
      </c>
      <c r="E563" t="inlineStr">
        <is>
          <t>NYBRO</t>
        </is>
      </c>
      <c r="G563" t="n">
        <v>1.2</v>
      </c>
      <c r="H563" t="n">
        <v>1</v>
      </c>
      <c r="I563" t="n">
        <v>1</v>
      </c>
      <c r="J563" t="n">
        <v>1</v>
      </c>
      <c r="K563" t="n">
        <v>0</v>
      </c>
      <c r="L563" t="n">
        <v>0</v>
      </c>
      <c r="M563" t="n">
        <v>0</v>
      </c>
      <c r="N563" t="n">
        <v>0</v>
      </c>
      <c r="O563" t="n">
        <v>1</v>
      </c>
      <c r="P563" t="n">
        <v>0</v>
      </c>
      <c r="Q563" t="n">
        <v>2</v>
      </c>
      <c r="R563" s="2" t="inlineStr">
        <is>
          <t>Solvända
Tvåblad</t>
        </is>
      </c>
      <c r="S563">
        <f>HYPERLINK("https://klasma.github.io/Logging_0881/artfynd/A 51784-2023 artfynd.xlsx", "A 51784-2023")</f>
        <v/>
      </c>
      <c r="T563">
        <f>HYPERLINK("https://klasma.github.io/Logging_0881/kartor/A 51784-2023 karta.png", "A 51784-2023")</f>
        <v/>
      </c>
      <c r="V563">
        <f>HYPERLINK("https://klasma.github.io/Logging_0881/klagomål/A 51784-2023 FSC-klagomål.docx", "A 51784-2023")</f>
        <v/>
      </c>
      <c r="W563">
        <f>HYPERLINK("https://klasma.github.io/Logging_0881/klagomålsmail/A 51784-2023 FSC-klagomål mail.docx", "A 51784-2023")</f>
        <v/>
      </c>
      <c r="X563">
        <f>HYPERLINK("https://klasma.github.io/Logging_0881/tillsyn/A 51784-2023 tillsynsbegäran.docx", "A 51784-2023")</f>
        <v/>
      </c>
      <c r="Y563">
        <f>HYPERLINK("https://klasma.github.io/Logging_0881/tillsynsmail/A 51784-2023 tillsynsbegäran mail.docx", "A 51784-2023")</f>
        <v/>
      </c>
    </row>
    <row r="564" ht="15" customHeight="1">
      <c r="A564" t="inlineStr">
        <is>
          <t>A 51584-2023</t>
        </is>
      </c>
      <c r="B564" s="1" t="n">
        <v>45222</v>
      </c>
      <c r="C564" s="1" t="n">
        <v>45715</v>
      </c>
      <c r="D564" t="inlineStr">
        <is>
          <t>KALMAR LÄN</t>
        </is>
      </c>
      <c r="E564" t="inlineStr">
        <is>
          <t>MÖNSTERÅS</t>
        </is>
      </c>
      <c r="G564" t="n">
        <v>5.2</v>
      </c>
      <c r="H564" t="n">
        <v>1</v>
      </c>
      <c r="I564" t="n">
        <v>1</v>
      </c>
      <c r="J564" t="n">
        <v>0</v>
      </c>
      <c r="K564" t="n">
        <v>1</v>
      </c>
      <c r="L564" t="n">
        <v>0</v>
      </c>
      <c r="M564" t="n">
        <v>0</v>
      </c>
      <c r="N564" t="n">
        <v>0</v>
      </c>
      <c r="O564" t="n">
        <v>1</v>
      </c>
      <c r="P564" t="n">
        <v>1</v>
      </c>
      <c r="Q564" t="n">
        <v>2</v>
      </c>
      <c r="R564" s="2" t="inlineStr">
        <is>
          <t>Knärot
Grönpyrola</t>
        </is>
      </c>
      <c r="S564">
        <f>HYPERLINK("https://klasma.github.io/Logging_0861/artfynd/A 51584-2023 artfynd.xlsx", "A 51584-2023")</f>
        <v/>
      </c>
      <c r="T564">
        <f>HYPERLINK("https://klasma.github.io/Logging_0861/kartor/A 51584-2023 karta.png", "A 51584-2023")</f>
        <v/>
      </c>
      <c r="U564">
        <f>HYPERLINK("https://klasma.github.io/Logging_0861/knärot/A 51584-2023 karta knärot.png", "A 51584-2023")</f>
        <v/>
      </c>
      <c r="V564">
        <f>HYPERLINK("https://klasma.github.io/Logging_0861/klagomål/A 51584-2023 FSC-klagomål.docx", "A 51584-2023")</f>
        <v/>
      </c>
      <c r="W564">
        <f>HYPERLINK("https://klasma.github.io/Logging_0861/klagomålsmail/A 51584-2023 FSC-klagomål mail.docx", "A 51584-2023")</f>
        <v/>
      </c>
      <c r="X564">
        <f>HYPERLINK("https://klasma.github.io/Logging_0861/tillsyn/A 51584-2023 tillsynsbegäran.docx", "A 51584-2023")</f>
        <v/>
      </c>
      <c r="Y564">
        <f>HYPERLINK("https://klasma.github.io/Logging_0861/tillsynsmail/A 51584-2023 tillsynsbegäran mail.docx", "A 51584-2023")</f>
        <v/>
      </c>
    </row>
    <row r="565" ht="15" customHeight="1">
      <c r="A565" t="inlineStr">
        <is>
          <t>A 51912-2023</t>
        </is>
      </c>
      <c r="B565" s="1" t="n">
        <v>45223</v>
      </c>
      <c r="C565" s="1" t="n">
        <v>45715</v>
      </c>
      <c r="D565" t="inlineStr">
        <is>
          <t>KALMAR LÄN</t>
        </is>
      </c>
      <c r="E565" t="inlineStr">
        <is>
          <t>OSKARSHAMN</t>
        </is>
      </c>
      <c r="G565" t="n">
        <v>3.7</v>
      </c>
      <c r="H565" t="n">
        <v>0</v>
      </c>
      <c r="I565" t="n">
        <v>0</v>
      </c>
      <c r="J565" t="n">
        <v>1</v>
      </c>
      <c r="K565" t="n">
        <v>1</v>
      </c>
      <c r="L565" t="n">
        <v>0</v>
      </c>
      <c r="M565" t="n">
        <v>0</v>
      </c>
      <c r="N565" t="n">
        <v>0</v>
      </c>
      <c r="O565" t="n">
        <v>2</v>
      </c>
      <c r="P565" t="n">
        <v>1</v>
      </c>
      <c r="Q565" t="n">
        <v>2</v>
      </c>
      <c r="R565" s="2" t="inlineStr">
        <is>
          <t>Vågticka
Kandelabersvamp</t>
        </is>
      </c>
      <c r="S565">
        <f>HYPERLINK("https://klasma.github.io/Logging_0882/artfynd/A 51912-2023 artfynd.xlsx", "A 51912-2023")</f>
        <v/>
      </c>
      <c r="T565">
        <f>HYPERLINK("https://klasma.github.io/Logging_0882/kartor/A 51912-2023 karta.png", "A 51912-2023")</f>
        <v/>
      </c>
      <c r="V565">
        <f>HYPERLINK("https://klasma.github.io/Logging_0882/klagomål/A 51912-2023 FSC-klagomål.docx", "A 51912-2023")</f>
        <v/>
      </c>
      <c r="W565">
        <f>HYPERLINK("https://klasma.github.io/Logging_0882/klagomålsmail/A 51912-2023 FSC-klagomål mail.docx", "A 51912-2023")</f>
        <v/>
      </c>
      <c r="X565">
        <f>HYPERLINK("https://klasma.github.io/Logging_0882/tillsyn/A 51912-2023 tillsynsbegäran.docx", "A 51912-2023")</f>
        <v/>
      </c>
      <c r="Y565">
        <f>HYPERLINK("https://klasma.github.io/Logging_0882/tillsynsmail/A 51912-2023 tillsynsbegäran mail.docx", "A 51912-2023")</f>
        <v/>
      </c>
    </row>
    <row r="566" ht="15" customHeight="1">
      <c r="A566" t="inlineStr">
        <is>
          <t>A 54360-2023</t>
        </is>
      </c>
      <c r="B566" s="1" t="n">
        <v>45233</v>
      </c>
      <c r="C566" s="1" t="n">
        <v>45715</v>
      </c>
      <c r="D566" t="inlineStr">
        <is>
          <t>KALMAR LÄN</t>
        </is>
      </c>
      <c r="E566" t="inlineStr">
        <is>
          <t>VÄSTERVIK</t>
        </is>
      </c>
      <c r="F566" t="inlineStr">
        <is>
          <t>Sveaskog</t>
        </is>
      </c>
      <c r="G566" t="n">
        <v>8.5</v>
      </c>
      <c r="H566" t="n">
        <v>1</v>
      </c>
      <c r="I566" t="n">
        <v>0</v>
      </c>
      <c r="J566" t="n">
        <v>1</v>
      </c>
      <c r="K566" t="n">
        <v>0</v>
      </c>
      <c r="L566" t="n">
        <v>0</v>
      </c>
      <c r="M566" t="n">
        <v>0</v>
      </c>
      <c r="N566" t="n">
        <v>0</v>
      </c>
      <c r="O566" t="n">
        <v>1</v>
      </c>
      <c r="P566" t="n">
        <v>0</v>
      </c>
      <c r="Q566" t="n">
        <v>2</v>
      </c>
      <c r="R566" s="2" t="inlineStr">
        <is>
          <t>Spindelört
Mattlummer</t>
        </is>
      </c>
      <c r="S566">
        <f>HYPERLINK("https://klasma.github.io/Logging_0883/artfynd/A 54360-2023 artfynd.xlsx", "A 54360-2023")</f>
        <v/>
      </c>
      <c r="T566">
        <f>HYPERLINK("https://klasma.github.io/Logging_0883/kartor/A 54360-2023 karta.png", "A 54360-2023")</f>
        <v/>
      </c>
      <c r="V566">
        <f>HYPERLINK("https://klasma.github.io/Logging_0883/klagomål/A 54360-2023 FSC-klagomål.docx", "A 54360-2023")</f>
        <v/>
      </c>
      <c r="W566">
        <f>HYPERLINK("https://klasma.github.io/Logging_0883/klagomålsmail/A 54360-2023 FSC-klagomål mail.docx", "A 54360-2023")</f>
        <v/>
      </c>
      <c r="X566">
        <f>HYPERLINK("https://klasma.github.io/Logging_0883/tillsyn/A 54360-2023 tillsynsbegäran.docx", "A 54360-2023")</f>
        <v/>
      </c>
      <c r="Y566">
        <f>HYPERLINK("https://klasma.github.io/Logging_0883/tillsynsmail/A 54360-2023 tillsynsbegäran mail.docx", "A 54360-2023")</f>
        <v/>
      </c>
    </row>
    <row r="567" ht="15" customHeight="1">
      <c r="A567" t="inlineStr">
        <is>
          <t>A 54800-2023</t>
        </is>
      </c>
      <c r="B567" s="1" t="n">
        <v>45236</v>
      </c>
      <c r="C567" s="1" t="n">
        <v>45715</v>
      </c>
      <c r="D567" t="inlineStr">
        <is>
          <t>KALMAR LÄN</t>
        </is>
      </c>
      <c r="E567" t="inlineStr">
        <is>
          <t>VÄSTERVIK</t>
        </is>
      </c>
      <c r="G567" t="n">
        <v>0.7</v>
      </c>
      <c r="H567" t="n">
        <v>2</v>
      </c>
      <c r="I567" t="n">
        <v>0</v>
      </c>
      <c r="J567" t="n">
        <v>1</v>
      </c>
      <c r="K567" t="n">
        <v>1</v>
      </c>
      <c r="L567" t="n">
        <v>0</v>
      </c>
      <c r="M567" t="n">
        <v>0</v>
      </c>
      <c r="N567" t="n">
        <v>0</v>
      </c>
      <c r="O567" t="n">
        <v>2</v>
      </c>
      <c r="P567" t="n">
        <v>1</v>
      </c>
      <c r="Q567" t="n">
        <v>2</v>
      </c>
      <c r="R567" s="2" t="inlineStr">
        <is>
          <t>Knärot
Spillkråka</t>
        </is>
      </c>
      <c r="S567">
        <f>HYPERLINK("https://klasma.github.io/Logging_0883/artfynd/A 54800-2023 artfynd.xlsx", "A 54800-2023")</f>
        <v/>
      </c>
      <c r="T567">
        <f>HYPERLINK("https://klasma.github.io/Logging_0883/kartor/A 54800-2023 karta.png", "A 54800-2023")</f>
        <v/>
      </c>
      <c r="U567">
        <f>HYPERLINK("https://klasma.github.io/Logging_0883/knärot/A 54800-2023 karta knärot.png", "A 54800-2023")</f>
        <v/>
      </c>
      <c r="V567">
        <f>HYPERLINK("https://klasma.github.io/Logging_0883/klagomål/A 54800-2023 FSC-klagomål.docx", "A 54800-2023")</f>
        <v/>
      </c>
      <c r="W567">
        <f>HYPERLINK("https://klasma.github.io/Logging_0883/klagomålsmail/A 54800-2023 FSC-klagomål mail.docx", "A 54800-2023")</f>
        <v/>
      </c>
      <c r="X567">
        <f>HYPERLINK("https://klasma.github.io/Logging_0883/tillsyn/A 54800-2023 tillsynsbegäran.docx", "A 54800-2023")</f>
        <v/>
      </c>
      <c r="Y567">
        <f>HYPERLINK("https://klasma.github.io/Logging_0883/tillsynsmail/A 54800-2023 tillsynsbegäran mail.docx", "A 54800-2023")</f>
        <v/>
      </c>
      <c r="Z567">
        <f>HYPERLINK("https://klasma.github.io/Logging_0883/fåglar/A 54800-2023 prioriterade fågelarter.docx", "A 54800-2023")</f>
        <v/>
      </c>
    </row>
    <row r="568" ht="15" customHeight="1">
      <c r="A568" t="inlineStr">
        <is>
          <t>A 55408-2023</t>
        </is>
      </c>
      <c r="B568" s="1" t="n">
        <v>45238</v>
      </c>
      <c r="C568" s="1" t="n">
        <v>45715</v>
      </c>
      <c r="D568" t="inlineStr">
        <is>
          <t>KALMAR LÄN</t>
        </is>
      </c>
      <c r="E568" t="inlineStr">
        <is>
          <t>VÄSTERVIK</t>
        </is>
      </c>
      <c r="G568" t="n">
        <v>2.8</v>
      </c>
      <c r="H568" t="n">
        <v>0</v>
      </c>
      <c r="I568" t="n">
        <v>0</v>
      </c>
      <c r="J568" t="n">
        <v>2</v>
      </c>
      <c r="K568" t="n">
        <v>0</v>
      </c>
      <c r="L568" t="n">
        <v>0</v>
      </c>
      <c r="M568" t="n">
        <v>0</v>
      </c>
      <c r="N568" t="n">
        <v>0</v>
      </c>
      <c r="O568" t="n">
        <v>2</v>
      </c>
      <c r="P568" t="n">
        <v>0</v>
      </c>
      <c r="Q568" t="n">
        <v>2</v>
      </c>
      <c r="R568" s="2" t="inlineStr">
        <is>
          <t>Ekticka
Tallticka</t>
        </is>
      </c>
      <c r="S568">
        <f>HYPERLINK("https://klasma.github.io/Logging_0883/artfynd/A 55408-2023 artfynd.xlsx", "A 55408-2023")</f>
        <v/>
      </c>
      <c r="T568">
        <f>HYPERLINK("https://klasma.github.io/Logging_0883/kartor/A 55408-2023 karta.png", "A 55408-2023")</f>
        <v/>
      </c>
      <c r="V568">
        <f>HYPERLINK("https://klasma.github.io/Logging_0883/klagomål/A 55408-2023 FSC-klagomål.docx", "A 55408-2023")</f>
        <v/>
      </c>
      <c r="W568">
        <f>HYPERLINK("https://klasma.github.io/Logging_0883/klagomålsmail/A 55408-2023 FSC-klagomål mail.docx", "A 55408-2023")</f>
        <v/>
      </c>
      <c r="X568">
        <f>HYPERLINK("https://klasma.github.io/Logging_0883/tillsyn/A 55408-2023 tillsynsbegäran.docx", "A 55408-2023")</f>
        <v/>
      </c>
      <c r="Y568">
        <f>HYPERLINK("https://klasma.github.io/Logging_0883/tillsynsmail/A 55408-2023 tillsynsbegäran mail.docx", "A 55408-2023")</f>
        <v/>
      </c>
    </row>
    <row r="569" ht="15" customHeight="1">
      <c r="A569" t="inlineStr">
        <is>
          <t>A 56857-2023</t>
        </is>
      </c>
      <c r="B569" s="1" t="n">
        <v>45244</v>
      </c>
      <c r="C569" s="1" t="n">
        <v>45715</v>
      </c>
      <c r="D569" t="inlineStr">
        <is>
          <t>KALMAR LÄN</t>
        </is>
      </c>
      <c r="E569" t="inlineStr">
        <is>
          <t>VÄSTERVIK</t>
        </is>
      </c>
      <c r="F569" t="inlineStr">
        <is>
          <t>Kyrkan</t>
        </is>
      </c>
      <c r="G569" t="n">
        <v>7.5</v>
      </c>
      <c r="H569" t="n">
        <v>1</v>
      </c>
      <c r="I569" t="n">
        <v>1</v>
      </c>
      <c r="J569" t="n">
        <v>0</v>
      </c>
      <c r="K569" t="n">
        <v>1</v>
      </c>
      <c r="L569" t="n">
        <v>0</v>
      </c>
      <c r="M569" t="n">
        <v>0</v>
      </c>
      <c r="N569" t="n">
        <v>0</v>
      </c>
      <c r="O569" t="n">
        <v>1</v>
      </c>
      <c r="P569" t="n">
        <v>1</v>
      </c>
      <c r="Q569" t="n">
        <v>2</v>
      </c>
      <c r="R569" s="2" t="inlineStr">
        <is>
          <t>Knärot
Grönpyrola</t>
        </is>
      </c>
      <c r="S569">
        <f>HYPERLINK("https://klasma.github.io/Logging_0883/artfynd/A 56857-2023 artfynd.xlsx", "A 56857-2023")</f>
        <v/>
      </c>
      <c r="T569">
        <f>HYPERLINK("https://klasma.github.io/Logging_0883/kartor/A 56857-2023 karta.png", "A 56857-2023")</f>
        <v/>
      </c>
      <c r="U569">
        <f>HYPERLINK("https://klasma.github.io/Logging_0883/knärot/A 56857-2023 karta knärot.png", "A 56857-2023")</f>
        <v/>
      </c>
      <c r="V569">
        <f>HYPERLINK("https://klasma.github.io/Logging_0883/klagomål/A 56857-2023 FSC-klagomål.docx", "A 56857-2023")</f>
        <v/>
      </c>
      <c r="W569">
        <f>HYPERLINK("https://klasma.github.io/Logging_0883/klagomålsmail/A 56857-2023 FSC-klagomål mail.docx", "A 56857-2023")</f>
        <v/>
      </c>
      <c r="X569">
        <f>HYPERLINK("https://klasma.github.io/Logging_0883/tillsyn/A 56857-2023 tillsynsbegäran.docx", "A 56857-2023")</f>
        <v/>
      </c>
      <c r="Y569">
        <f>HYPERLINK("https://klasma.github.io/Logging_0883/tillsynsmail/A 56857-2023 tillsynsbegäran mail.docx", "A 56857-2023")</f>
        <v/>
      </c>
    </row>
    <row r="570" ht="15" customHeight="1">
      <c r="A570" t="inlineStr">
        <is>
          <t>A 57509-2023</t>
        </is>
      </c>
      <c r="B570" s="1" t="n">
        <v>45246</v>
      </c>
      <c r="C570" s="1" t="n">
        <v>45715</v>
      </c>
      <c r="D570" t="inlineStr">
        <is>
          <t>KALMAR LÄN</t>
        </is>
      </c>
      <c r="E570" t="inlineStr">
        <is>
          <t>NYBRO</t>
        </is>
      </c>
      <c r="G570" t="n">
        <v>7.2</v>
      </c>
      <c r="H570" t="n">
        <v>0</v>
      </c>
      <c r="I570" t="n">
        <v>0</v>
      </c>
      <c r="J570" t="n">
        <v>1</v>
      </c>
      <c r="K570" t="n">
        <v>0</v>
      </c>
      <c r="L570" t="n">
        <v>1</v>
      </c>
      <c r="M570" t="n">
        <v>0</v>
      </c>
      <c r="N570" t="n">
        <v>0</v>
      </c>
      <c r="O570" t="n">
        <v>2</v>
      </c>
      <c r="P570" t="n">
        <v>1</v>
      </c>
      <c r="Q570" t="n">
        <v>2</v>
      </c>
      <c r="R570" s="2" t="inlineStr">
        <is>
          <t>Ryl
Vårstarr</t>
        </is>
      </c>
      <c r="S570">
        <f>HYPERLINK("https://klasma.github.io/Logging_0881/artfynd/A 57509-2023 artfynd.xlsx", "A 57509-2023")</f>
        <v/>
      </c>
      <c r="T570">
        <f>HYPERLINK("https://klasma.github.io/Logging_0881/kartor/A 57509-2023 karta.png", "A 57509-2023")</f>
        <v/>
      </c>
      <c r="V570">
        <f>HYPERLINK("https://klasma.github.io/Logging_0881/klagomål/A 57509-2023 FSC-klagomål.docx", "A 57509-2023")</f>
        <v/>
      </c>
      <c r="W570">
        <f>HYPERLINK("https://klasma.github.io/Logging_0881/klagomålsmail/A 57509-2023 FSC-klagomål mail.docx", "A 57509-2023")</f>
        <v/>
      </c>
      <c r="X570">
        <f>HYPERLINK("https://klasma.github.io/Logging_0881/tillsyn/A 57509-2023 tillsynsbegäran.docx", "A 57509-2023")</f>
        <v/>
      </c>
      <c r="Y570">
        <f>HYPERLINK("https://klasma.github.io/Logging_0881/tillsynsmail/A 57509-2023 tillsynsbegäran mail.docx", "A 57509-2023")</f>
        <v/>
      </c>
    </row>
    <row r="571" ht="15" customHeight="1">
      <c r="A571" t="inlineStr">
        <is>
          <t>A 58899-2023</t>
        </is>
      </c>
      <c r="B571" s="1" t="n">
        <v>45250</v>
      </c>
      <c r="C571" s="1" t="n">
        <v>45715</v>
      </c>
      <c r="D571" t="inlineStr">
        <is>
          <t>KALMAR LÄN</t>
        </is>
      </c>
      <c r="E571" t="inlineStr">
        <is>
          <t>MÖNSTERÅS</t>
        </is>
      </c>
      <c r="G571" t="n">
        <v>1.3</v>
      </c>
      <c r="H571" t="n">
        <v>2</v>
      </c>
      <c r="I571" t="n">
        <v>0</v>
      </c>
      <c r="J571" t="n">
        <v>1</v>
      </c>
      <c r="K571" t="n">
        <v>1</v>
      </c>
      <c r="L571" t="n">
        <v>0</v>
      </c>
      <c r="M571" t="n">
        <v>0</v>
      </c>
      <c r="N571" t="n">
        <v>0</v>
      </c>
      <c r="O571" t="n">
        <v>2</v>
      </c>
      <c r="P571" t="n">
        <v>1</v>
      </c>
      <c r="Q571" t="n">
        <v>2</v>
      </c>
      <c r="R571" s="2" t="inlineStr">
        <is>
          <t>Knärot
Spillkråka</t>
        </is>
      </c>
      <c r="S571">
        <f>HYPERLINK("https://klasma.github.io/Logging_0861/artfynd/A 58899-2023 artfynd.xlsx", "A 58899-2023")</f>
        <v/>
      </c>
      <c r="T571">
        <f>HYPERLINK("https://klasma.github.io/Logging_0861/kartor/A 58899-2023 karta.png", "A 58899-2023")</f>
        <v/>
      </c>
      <c r="U571">
        <f>HYPERLINK("https://klasma.github.io/Logging_0861/knärot/A 58899-2023 karta knärot.png", "A 58899-2023")</f>
        <v/>
      </c>
      <c r="V571">
        <f>HYPERLINK("https://klasma.github.io/Logging_0861/klagomål/A 58899-2023 FSC-klagomål.docx", "A 58899-2023")</f>
        <v/>
      </c>
      <c r="W571">
        <f>HYPERLINK("https://klasma.github.io/Logging_0861/klagomålsmail/A 58899-2023 FSC-klagomål mail.docx", "A 58899-2023")</f>
        <v/>
      </c>
      <c r="X571">
        <f>HYPERLINK("https://klasma.github.io/Logging_0861/tillsyn/A 58899-2023 tillsynsbegäran.docx", "A 58899-2023")</f>
        <v/>
      </c>
      <c r="Y571">
        <f>HYPERLINK("https://klasma.github.io/Logging_0861/tillsynsmail/A 58899-2023 tillsynsbegäran mail.docx", "A 58899-2023")</f>
        <v/>
      </c>
      <c r="Z571">
        <f>HYPERLINK("https://klasma.github.io/Logging_0861/fåglar/A 58899-2023 prioriterade fågelarter.docx", "A 58899-2023")</f>
        <v/>
      </c>
    </row>
    <row r="572" ht="15" customHeight="1">
      <c r="A572" t="inlineStr">
        <is>
          <t>A 60631-2023</t>
        </is>
      </c>
      <c r="B572" s="1" t="n">
        <v>45260</v>
      </c>
      <c r="C572" s="1" t="n">
        <v>45715</v>
      </c>
      <c r="D572" t="inlineStr">
        <is>
          <t>KALMAR LÄN</t>
        </is>
      </c>
      <c r="E572" t="inlineStr">
        <is>
          <t>VÄSTERVIK</t>
        </is>
      </c>
      <c r="G572" t="n">
        <v>4.5</v>
      </c>
      <c r="H572" t="n">
        <v>1</v>
      </c>
      <c r="I572" t="n">
        <v>1</v>
      </c>
      <c r="J572" t="n">
        <v>0</v>
      </c>
      <c r="K572" t="n">
        <v>0</v>
      </c>
      <c r="L572" t="n">
        <v>0</v>
      </c>
      <c r="M572" t="n">
        <v>0</v>
      </c>
      <c r="N572" t="n">
        <v>0</v>
      </c>
      <c r="O572" t="n">
        <v>0</v>
      </c>
      <c r="P572" t="n">
        <v>0</v>
      </c>
      <c r="Q572" t="n">
        <v>2</v>
      </c>
      <c r="R572" s="2" t="inlineStr">
        <is>
          <t>Blomkålssvamp
Revlummer</t>
        </is>
      </c>
      <c r="S572">
        <f>HYPERLINK("https://klasma.github.io/Logging_0883/artfynd/A 60631-2023 artfynd.xlsx", "A 60631-2023")</f>
        <v/>
      </c>
      <c r="T572">
        <f>HYPERLINK("https://klasma.github.io/Logging_0883/kartor/A 60631-2023 karta.png", "A 60631-2023")</f>
        <v/>
      </c>
      <c r="V572">
        <f>HYPERLINK("https://klasma.github.io/Logging_0883/klagomål/A 60631-2023 FSC-klagomål.docx", "A 60631-2023")</f>
        <v/>
      </c>
      <c r="W572">
        <f>HYPERLINK("https://klasma.github.io/Logging_0883/klagomålsmail/A 60631-2023 FSC-klagomål mail.docx", "A 60631-2023")</f>
        <v/>
      </c>
      <c r="X572">
        <f>HYPERLINK("https://klasma.github.io/Logging_0883/tillsyn/A 60631-2023 tillsynsbegäran.docx", "A 60631-2023")</f>
        <v/>
      </c>
      <c r="Y572">
        <f>HYPERLINK("https://klasma.github.io/Logging_0883/tillsynsmail/A 60631-2023 tillsynsbegäran mail.docx", "A 60631-2023")</f>
        <v/>
      </c>
    </row>
    <row r="573" ht="15" customHeight="1">
      <c r="A573" t="inlineStr">
        <is>
          <t>A 60920-2023</t>
        </is>
      </c>
      <c r="B573" s="1" t="n">
        <v>45261</v>
      </c>
      <c r="C573" s="1" t="n">
        <v>45715</v>
      </c>
      <c r="D573" t="inlineStr">
        <is>
          <t>KALMAR LÄN</t>
        </is>
      </c>
      <c r="E573" t="inlineStr">
        <is>
          <t>VÄSTERVIK</t>
        </is>
      </c>
      <c r="G573" t="n">
        <v>10.1</v>
      </c>
      <c r="H573" t="n">
        <v>0</v>
      </c>
      <c r="I573" t="n">
        <v>0</v>
      </c>
      <c r="J573" t="n">
        <v>2</v>
      </c>
      <c r="K573" t="n">
        <v>0</v>
      </c>
      <c r="L573" t="n">
        <v>0</v>
      </c>
      <c r="M573" t="n">
        <v>0</v>
      </c>
      <c r="N573" t="n">
        <v>0</v>
      </c>
      <c r="O573" t="n">
        <v>2</v>
      </c>
      <c r="P573" t="n">
        <v>0</v>
      </c>
      <c r="Q573" t="n">
        <v>2</v>
      </c>
      <c r="R573" s="2" t="inlineStr">
        <is>
          <t>Solvända
Spindelört</t>
        </is>
      </c>
      <c r="S573">
        <f>HYPERLINK("https://klasma.github.io/Logging_0883/artfynd/A 60920-2023 artfynd.xlsx", "A 60920-2023")</f>
        <v/>
      </c>
      <c r="T573">
        <f>HYPERLINK("https://klasma.github.io/Logging_0883/kartor/A 60920-2023 karta.png", "A 60920-2023")</f>
        <v/>
      </c>
      <c r="V573">
        <f>HYPERLINK("https://klasma.github.io/Logging_0883/klagomål/A 60920-2023 FSC-klagomål.docx", "A 60920-2023")</f>
        <v/>
      </c>
      <c r="W573">
        <f>HYPERLINK("https://klasma.github.io/Logging_0883/klagomålsmail/A 60920-2023 FSC-klagomål mail.docx", "A 60920-2023")</f>
        <v/>
      </c>
      <c r="X573">
        <f>HYPERLINK("https://klasma.github.io/Logging_0883/tillsyn/A 60920-2023 tillsynsbegäran.docx", "A 60920-2023")</f>
        <v/>
      </c>
      <c r="Y573">
        <f>HYPERLINK("https://klasma.github.io/Logging_0883/tillsynsmail/A 60920-2023 tillsynsbegäran mail.docx", "A 60920-2023")</f>
        <v/>
      </c>
    </row>
    <row r="574" ht="15" customHeight="1">
      <c r="A574" t="inlineStr">
        <is>
          <t>A 61804-2023</t>
        </is>
      </c>
      <c r="B574" s="1" t="n">
        <v>45266</v>
      </c>
      <c r="C574" s="1" t="n">
        <v>45715</v>
      </c>
      <c r="D574" t="inlineStr">
        <is>
          <t>KALMAR LÄN</t>
        </is>
      </c>
      <c r="E574" t="inlineStr">
        <is>
          <t>VÄSTERVIK</t>
        </is>
      </c>
      <c r="G574" t="n">
        <v>2.3</v>
      </c>
      <c r="H574" t="n">
        <v>0</v>
      </c>
      <c r="I574" t="n">
        <v>0</v>
      </c>
      <c r="J574" t="n">
        <v>2</v>
      </c>
      <c r="K574" t="n">
        <v>0</v>
      </c>
      <c r="L574" t="n">
        <v>0</v>
      </c>
      <c r="M574" t="n">
        <v>0</v>
      </c>
      <c r="N574" t="n">
        <v>0</v>
      </c>
      <c r="O574" t="n">
        <v>2</v>
      </c>
      <c r="P574" t="n">
        <v>0</v>
      </c>
      <c r="Q574" t="n">
        <v>2</v>
      </c>
      <c r="R574" s="2" t="inlineStr">
        <is>
          <t>Bredbrämad bastardsvärmare
Smalsprötad bastardsvärmare</t>
        </is>
      </c>
      <c r="S574">
        <f>HYPERLINK("https://klasma.github.io/Logging_0883/artfynd/A 61804-2023 artfynd.xlsx", "A 61804-2023")</f>
        <v/>
      </c>
      <c r="T574">
        <f>HYPERLINK("https://klasma.github.io/Logging_0883/kartor/A 61804-2023 karta.png", "A 61804-2023")</f>
        <v/>
      </c>
      <c r="V574">
        <f>HYPERLINK("https://klasma.github.io/Logging_0883/klagomål/A 61804-2023 FSC-klagomål.docx", "A 61804-2023")</f>
        <v/>
      </c>
      <c r="W574">
        <f>HYPERLINK("https://klasma.github.io/Logging_0883/klagomålsmail/A 61804-2023 FSC-klagomål mail.docx", "A 61804-2023")</f>
        <v/>
      </c>
      <c r="X574">
        <f>HYPERLINK("https://klasma.github.io/Logging_0883/tillsyn/A 61804-2023 tillsynsbegäran.docx", "A 61804-2023")</f>
        <v/>
      </c>
      <c r="Y574">
        <f>HYPERLINK("https://klasma.github.io/Logging_0883/tillsynsmail/A 61804-2023 tillsynsbegäran mail.docx", "A 61804-2023")</f>
        <v/>
      </c>
    </row>
    <row r="575" ht="15" customHeight="1">
      <c r="A575" t="inlineStr">
        <is>
          <t>A 62008-2023</t>
        </is>
      </c>
      <c r="B575" s="1" t="n">
        <v>45266</v>
      </c>
      <c r="C575" s="1" t="n">
        <v>45715</v>
      </c>
      <c r="D575" t="inlineStr">
        <is>
          <t>KALMAR LÄN</t>
        </is>
      </c>
      <c r="E575" t="inlineStr">
        <is>
          <t>VÄSTERVIK</t>
        </is>
      </c>
      <c r="G575" t="n">
        <v>4</v>
      </c>
      <c r="H575" t="n">
        <v>2</v>
      </c>
      <c r="I575" t="n">
        <v>0</v>
      </c>
      <c r="J575" t="n">
        <v>1</v>
      </c>
      <c r="K575" t="n">
        <v>1</v>
      </c>
      <c r="L575" t="n">
        <v>0</v>
      </c>
      <c r="M575" t="n">
        <v>0</v>
      </c>
      <c r="N575" t="n">
        <v>0</v>
      </c>
      <c r="O575" t="n">
        <v>2</v>
      </c>
      <c r="P575" t="n">
        <v>1</v>
      </c>
      <c r="Q575" t="n">
        <v>2</v>
      </c>
      <c r="R575" s="2" t="inlineStr">
        <is>
          <t>Knärot
Talltita</t>
        </is>
      </c>
      <c r="S575">
        <f>HYPERLINK("https://klasma.github.io/Logging_0883/artfynd/A 62008-2023 artfynd.xlsx", "A 62008-2023")</f>
        <v/>
      </c>
      <c r="T575">
        <f>HYPERLINK("https://klasma.github.io/Logging_0883/kartor/A 62008-2023 karta.png", "A 62008-2023")</f>
        <v/>
      </c>
      <c r="U575">
        <f>HYPERLINK("https://klasma.github.io/Logging_0883/knärot/A 62008-2023 karta knärot.png", "A 62008-2023")</f>
        <v/>
      </c>
      <c r="V575">
        <f>HYPERLINK("https://klasma.github.io/Logging_0883/klagomål/A 62008-2023 FSC-klagomål.docx", "A 62008-2023")</f>
        <v/>
      </c>
      <c r="W575">
        <f>HYPERLINK("https://klasma.github.io/Logging_0883/klagomålsmail/A 62008-2023 FSC-klagomål mail.docx", "A 62008-2023")</f>
        <v/>
      </c>
      <c r="X575">
        <f>HYPERLINK("https://klasma.github.io/Logging_0883/tillsyn/A 62008-2023 tillsynsbegäran.docx", "A 62008-2023")</f>
        <v/>
      </c>
      <c r="Y575">
        <f>HYPERLINK("https://klasma.github.io/Logging_0883/tillsynsmail/A 62008-2023 tillsynsbegäran mail.docx", "A 62008-2023")</f>
        <v/>
      </c>
      <c r="Z575">
        <f>HYPERLINK("https://klasma.github.io/Logging_0883/fåglar/A 62008-2023 prioriterade fågelarter.docx", "A 62008-2023")</f>
        <v/>
      </c>
    </row>
    <row r="576" ht="15" customHeight="1">
      <c r="A576" t="inlineStr">
        <is>
          <t>A 62029-2023</t>
        </is>
      </c>
      <c r="B576" s="1" t="n">
        <v>45266</v>
      </c>
      <c r="C576" s="1" t="n">
        <v>45715</v>
      </c>
      <c r="D576" t="inlineStr">
        <is>
          <t>KALMAR LÄN</t>
        </is>
      </c>
      <c r="E576" t="inlineStr">
        <is>
          <t>VÄSTERVIK</t>
        </is>
      </c>
      <c r="G576" t="n">
        <v>4.8</v>
      </c>
      <c r="H576" t="n">
        <v>1</v>
      </c>
      <c r="I576" t="n">
        <v>0</v>
      </c>
      <c r="J576" t="n">
        <v>2</v>
      </c>
      <c r="K576" t="n">
        <v>0</v>
      </c>
      <c r="L576" t="n">
        <v>0</v>
      </c>
      <c r="M576" t="n">
        <v>0</v>
      </c>
      <c r="N576" t="n">
        <v>0</v>
      </c>
      <c r="O576" t="n">
        <v>2</v>
      </c>
      <c r="P576" t="n">
        <v>0</v>
      </c>
      <c r="Q576" t="n">
        <v>2</v>
      </c>
      <c r="R576" s="2" t="inlineStr">
        <is>
          <t>Tallticka
Talltita</t>
        </is>
      </c>
      <c r="S576">
        <f>HYPERLINK("https://klasma.github.io/Logging_0883/artfynd/A 62029-2023 artfynd.xlsx", "A 62029-2023")</f>
        <v/>
      </c>
      <c r="T576">
        <f>HYPERLINK("https://klasma.github.io/Logging_0883/kartor/A 62029-2023 karta.png", "A 62029-2023")</f>
        <v/>
      </c>
      <c r="V576">
        <f>HYPERLINK("https://klasma.github.io/Logging_0883/klagomål/A 62029-2023 FSC-klagomål.docx", "A 62029-2023")</f>
        <v/>
      </c>
      <c r="W576">
        <f>HYPERLINK("https://klasma.github.io/Logging_0883/klagomålsmail/A 62029-2023 FSC-klagomål mail.docx", "A 62029-2023")</f>
        <v/>
      </c>
      <c r="X576">
        <f>HYPERLINK("https://klasma.github.io/Logging_0883/tillsyn/A 62029-2023 tillsynsbegäran.docx", "A 62029-2023")</f>
        <v/>
      </c>
      <c r="Y576">
        <f>HYPERLINK("https://klasma.github.io/Logging_0883/tillsynsmail/A 62029-2023 tillsynsbegäran mail.docx", "A 62029-2023")</f>
        <v/>
      </c>
      <c r="Z576">
        <f>HYPERLINK("https://klasma.github.io/Logging_0883/fåglar/A 62029-2023 prioriterade fågelarter.docx", "A 62029-2023")</f>
        <v/>
      </c>
    </row>
    <row r="577" ht="15" customHeight="1">
      <c r="A577" t="inlineStr">
        <is>
          <t>A 62231-2023</t>
        </is>
      </c>
      <c r="B577" s="1" t="n">
        <v>45267</v>
      </c>
      <c r="C577" s="1" t="n">
        <v>45715</v>
      </c>
      <c r="D577" t="inlineStr">
        <is>
          <t>KALMAR LÄN</t>
        </is>
      </c>
      <c r="E577" t="inlineStr">
        <is>
          <t>MÖRBYLÅNGA</t>
        </is>
      </c>
      <c r="G577" t="n">
        <v>1.6</v>
      </c>
      <c r="H577" t="n">
        <v>1</v>
      </c>
      <c r="I577" t="n">
        <v>1</v>
      </c>
      <c r="J577" t="n">
        <v>0</v>
      </c>
      <c r="K577" t="n">
        <v>0</v>
      </c>
      <c r="L577" t="n">
        <v>0</v>
      </c>
      <c r="M577" t="n">
        <v>0</v>
      </c>
      <c r="N577" t="n">
        <v>0</v>
      </c>
      <c r="O577" t="n">
        <v>0</v>
      </c>
      <c r="P577" t="n">
        <v>0</v>
      </c>
      <c r="Q577" t="n">
        <v>2</v>
      </c>
      <c r="R577" s="2" t="inlineStr">
        <is>
          <t>Murgröna
Blåsippa</t>
        </is>
      </c>
      <c r="S577">
        <f>HYPERLINK("https://klasma.github.io/Logging_0840/artfynd/A 62231-2023 artfynd.xlsx", "A 62231-2023")</f>
        <v/>
      </c>
      <c r="T577">
        <f>HYPERLINK("https://klasma.github.io/Logging_0840/kartor/A 62231-2023 karta.png", "A 62231-2023")</f>
        <v/>
      </c>
      <c r="V577">
        <f>HYPERLINK("https://klasma.github.io/Logging_0840/klagomål/A 62231-2023 FSC-klagomål.docx", "A 62231-2023")</f>
        <v/>
      </c>
      <c r="W577">
        <f>HYPERLINK("https://klasma.github.io/Logging_0840/klagomålsmail/A 62231-2023 FSC-klagomål mail.docx", "A 62231-2023")</f>
        <v/>
      </c>
      <c r="X577">
        <f>HYPERLINK("https://klasma.github.io/Logging_0840/tillsyn/A 62231-2023 tillsynsbegäran.docx", "A 62231-2023")</f>
        <v/>
      </c>
      <c r="Y577">
        <f>HYPERLINK("https://klasma.github.io/Logging_0840/tillsynsmail/A 62231-2023 tillsynsbegäran mail.docx", "A 62231-2023")</f>
        <v/>
      </c>
    </row>
    <row r="578" ht="15" customHeight="1">
      <c r="A578" t="inlineStr">
        <is>
          <t>A 62371-2023</t>
        </is>
      </c>
      <c r="B578" s="1" t="n">
        <v>45268</v>
      </c>
      <c r="C578" s="1" t="n">
        <v>45715</v>
      </c>
      <c r="D578" t="inlineStr">
        <is>
          <t>KALMAR LÄN</t>
        </is>
      </c>
      <c r="E578" t="inlineStr">
        <is>
          <t>HÖGSBY</t>
        </is>
      </c>
      <c r="G578" t="n">
        <v>4.5</v>
      </c>
      <c r="H578" t="n">
        <v>1</v>
      </c>
      <c r="I578" t="n">
        <v>0</v>
      </c>
      <c r="J578" t="n">
        <v>2</v>
      </c>
      <c r="K578" t="n">
        <v>0</v>
      </c>
      <c r="L578" t="n">
        <v>0</v>
      </c>
      <c r="M578" t="n">
        <v>0</v>
      </c>
      <c r="N578" t="n">
        <v>0</v>
      </c>
      <c r="O578" t="n">
        <v>2</v>
      </c>
      <c r="P578" t="n">
        <v>0</v>
      </c>
      <c r="Q578" t="n">
        <v>2</v>
      </c>
      <c r="R578" s="2" t="inlineStr">
        <is>
          <t>Spillkråka
Ullticka</t>
        </is>
      </c>
      <c r="S578">
        <f>HYPERLINK("https://klasma.github.io/Logging_0821/artfynd/A 62371-2023 artfynd.xlsx", "A 62371-2023")</f>
        <v/>
      </c>
      <c r="T578">
        <f>HYPERLINK("https://klasma.github.io/Logging_0821/kartor/A 62371-2023 karta.png", "A 62371-2023")</f>
        <v/>
      </c>
      <c r="U578">
        <f>HYPERLINK("https://klasma.github.io/Logging_0821/knärot/A 62371-2023 karta knärot.png", "A 62371-2023")</f>
        <v/>
      </c>
      <c r="V578">
        <f>HYPERLINK("https://klasma.github.io/Logging_0821/klagomål/A 62371-2023 FSC-klagomål.docx", "A 62371-2023")</f>
        <v/>
      </c>
      <c r="W578">
        <f>HYPERLINK("https://klasma.github.io/Logging_0821/klagomålsmail/A 62371-2023 FSC-klagomål mail.docx", "A 62371-2023")</f>
        <v/>
      </c>
      <c r="X578">
        <f>HYPERLINK("https://klasma.github.io/Logging_0821/tillsyn/A 62371-2023 tillsynsbegäran.docx", "A 62371-2023")</f>
        <v/>
      </c>
      <c r="Y578">
        <f>HYPERLINK("https://klasma.github.io/Logging_0821/tillsynsmail/A 62371-2023 tillsynsbegäran mail.docx", "A 62371-2023")</f>
        <v/>
      </c>
      <c r="Z578">
        <f>HYPERLINK("https://klasma.github.io/Logging_0821/fåglar/A 62371-2023 prioriterade fågelarter.docx", "A 62371-2023")</f>
        <v/>
      </c>
    </row>
    <row r="579" ht="15" customHeight="1">
      <c r="A579" t="inlineStr">
        <is>
          <t>A 64761-2023</t>
        </is>
      </c>
      <c r="B579" s="1" t="n">
        <v>45282</v>
      </c>
      <c r="C579" s="1" t="n">
        <v>45715</v>
      </c>
      <c r="D579" t="inlineStr">
        <is>
          <t>KALMAR LÄN</t>
        </is>
      </c>
      <c r="E579" t="inlineStr">
        <is>
          <t>VÄSTERVIK</t>
        </is>
      </c>
      <c r="F579" t="inlineStr">
        <is>
          <t>Övriga Aktiebolag</t>
        </is>
      </c>
      <c r="G579" t="n">
        <v>5.8</v>
      </c>
      <c r="H579" t="n">
        <v>2</v>
      </c>
      <c r="I579" t="n">
        <v>0</v>
      </c>
      <c r="J579" t="n">
        <v>1</v>
      </c>
      <c r="K579" t="n">
        <v>1</v>
      </c>
      <c r="L579" t="n">
        <v>0</v>
      </c>
      <c r="M579" t="n">
        <v>0</v>
      </c>
      <c r="N579" t="n">
        <v>0</v>
      </c>
      <c r="O579" t="n">
        <v>2</v>
      </c>
      <c r="P579" t="n">
        <v>1</v>
      </c>
      <c r="Q579" t="n">
        <v>2</v>
      </c>
      <c r="R579" s="2" t="inlineStr">
        <is>
          <t>Knärot
Spillkråka</t>
        </is>
      </c>
      <c r="S579">
        <f>HYPERLINK("https://klasma.github.io/Logging_0883/artfynd/A 64761-2023 artfynd.xlsx", "A 64761-2023")</f>
        <v/>
      </c>
      <c r="T579">
        <f>HYPERLINK("https://klasma.github.io/Logging_0883/kartor/A 64761-2023 karta.png", "A 64761-2023")</f>
        <v/>
      </c>
      <c r="U579">
        <f>HYPERLINK("https://klasma.github.io/Logging_0883/knärot/A 64761-2023 karta knärot.png", "A 64761-2023")</f>
        <v/>
      </c>
      <c r="V579">
        <f>HYPERLINK("https://klasma.github.io/Logging_0883/klagomål/A 64761-2023 FSC-klagomål.docx", "A 64761-2023")</f>
        <v/>
      </c>
      <c r="W579">
        <f>HYPERLINK("https://klasma.github.io/Logging_0883/klagomålsmail/A 64761-2023 FSC-klagomål mail.docx", "A 64761-2023")</f>
        <v/>
      </c>
      <c r="X579">
        <f>HYPERLINK("https://klasma.github.io/Logging_0883/tillsyn/A 64761-2023 tillsynsbegäran.docx", "A 64761-2023")</f>
        <v/>
      </c>
      <c r="Y579">
        <f>HYPERLINK("https://klasma.github.io/Logging_0883/tillsynsmail/A 64761-2023 tillsynsbegäran mail.docx", "A 64761-2023")</f>
        <v/>
      </c>
      <c r="Z579">
        <f>HYPERLINK("https://klasma.github.io/Logging_0883/fåglar/A 64761-2023 prioriterade fågelarter.docx", "A 64761-2023")</f>
        <v/>
      </c>
    </row>
    <row r="580" ht="15" customHeight="1">
      <c r="A580" t="inlineStr">
        <is>
          <t>A 932-2024</t>
        </is>
      </c>
      <c r="B580" s="1" t="n">
        <v>45301</v>
      </c>
      <c r="C580" s="1" t="n">
        <v>45715</v>
      </c>
      <c r="D580" t="inlineStr">
        <is>
          <t>KALMAR LÄN</t>
        </is>
      </c>
      <c r="E580" t="inlineStr">
        <is>
          <t>VÄSTERVIK</t>
        </is>
      </c>
      <c r="G580" t="n">
        <v>3.7</v>
      </c>
      <c r="H580" t="n">
        <v>1</v>
      </c>
      <c r="I580" t="n">
        <v>1</v>
      </c>
      <c r="J580" t="n">
        <v>1</v>
      </c>
      <c r="K580" t="n">
        <v>0</v>
      </c>
      <c r="L580" t="n">
        <v>0</v>
      </c>
      <c r="M580" t="n">
        <v>0</v>
      </c>
      <c r="N580" t="n">
        <v>0</v>
      </c>
      <c r="O580" t="n">
        <v>1</v>
      </c>
      <c r="P580" t="n">
        <v>0</v>
      </c>
      <c r="Q580" t="n">
        <v>2</v>
      </c>
      <c r="R580" s="2" t="inlineStr">
        <is>
          <t>Spillkråka
Grovticka</t>
        </is>
      </c>
      <c r="S580">
        <f>HYPERLINK("https://klasma.github.io/Logging_0883/artfynd/A 932-2024 artfynd.xlsx", "A 932-2024")</f>
        <v/>
      </c>
      <c r="T580">
        <f>HYPERLINK("https://klasma.github.io/Logging_0883/kartor/A 932-2024 karta.png", "A 932-2024")</f>
        <v/>
      </c>
      <c r="V580">
        <f>HYPERLINK("https://klasma.github.io/Logging_0883/klagomål/A 932-2024 FSC-klagomål.docx", "A 932-2024")</f>
        <v/>
      </c>
      <c r="W580">
        <f>HYPERLINK("https://klasma.github.io/Logging_0883/klagomålsmail/A 932-2024 FSC-klagomål mail.docx", "A 932-2024")</f>
        <v/>
      </c>
      <c r="X580">
        <f>HYPERLINK("https://klasma.github.io/Logging_0883/tillsyn/A 932-2024 tillsynsbegäran.docx", "A 932-2024")</f>
        <v/>
      </c>
      <c r="Y580">
        <f>HYPERLINK("https://klasma.github.io/Logging_0883/tillsynsmail/A 932-2024 tillsynsbegäran mail.docx", "A 932-2024")</f>
        <v/>
      </c>
      <c r="Z580">
        <f>HYPERLINK("https://klasma.github.io/Logging_0883/fåglar/A 932-2024 prioriterade fågelarter.docx", "A 932-2024")</f>
        <v/>
      </c>
    </row>
    <row r="581" ht="15" customHeight="1">
      <c r="A581" t="inlineStr">
        <is>
          <t>A 948-2024</t>
        </is>
      </c>
      <c r="B581" s="1" t="n">
        <v>45301</v>
      </c>
      <c r="C581" s="1" t="n">
        <v>45715</v>
      </c>
      <c r="D581" t="inlineStr">
        <is>
          <t>KALMAR LÄN</t>
        </is>
      </c>
      <c r="E581" t="inlineStr">
        <is>
          <t>VÄSTERVIK</t>
        </is>
      </c>
      <c r="G581" t="n">
        <v>4.5</v>
      </c>
      <c r="H581" t="n">
        <v>1</v>
      </c>
      <c r="I581" t="n">
        <v>1</v>
      </c>
      <c r="J581" t="n">
        <v>0</v>
      </c>
      <c r="K581" t="n">
        <v>0</v>
      </c>
      <c r="L581" t="n">
        <v>0</v>
      </c>
      <c r="M581" t="n">
        <v>0</v>
      </c>
      <c r="N581" t="n">
        <v>0</v>
      </c>
      <c r="O581" t="n">
        <v>0</v>
      </c>
      <c r="P581" t="n">
        <v>0</v>
      </c>
      <c r="Q581" t="n">
        <v>2</v>
      </c>
      <c r="R581" s="2" t="inlineStr">
        <is>
          <t>Dropptaggsvamp
Tjäder</t>
        </is>
      </c>
      <c r="S581">
        <f>HYPERLINK("https://klasma.github.io/Logging_0883/artfynd/A 948-2024 artfynd.xlsx", "A 948-2024")</f>
        <v/>
      </c>
      <c r="T581">
        <f>HYPERLINK("https://klasma.github.io/Logging_0883/kartor/A 948-2024 karta.png", "A 948-2024")</f>
        <v/>
      </c>
      <c r="V581">
        <f>HYPERLINK("https://klasma.github.io/Logging_0883/klagomål/A 948-2024 FSC-klagomål.docx", "A 948-2024")</f>
        <v/>
      </c>
      <c r="W581">
        <f>HYPERLINK("https://klasma.github.io/Logging_0883/klagomålsmail/A 948-2024 FSC-klagomål mail.docx", "A 948-2024")</f>
        <v/>
      </c>
      <c r="X581">
        <f>HYPERLINK("https://klasma.github.io/Logging_0883/tillsyn/A 948-2024 tillsynsbegäran.docx", "A 948-2024")</f>
        <v/>
      </c>
      <c r="Y581">
        <f>HYPERLINK("https://klasma.github.io/Logging_0883/tillsynsmail/A 948-2024 tillsynsbegäran mail.docx", "A 948-2024")</f>
        <v/>
      </c>
      <c r="Z581">
        <f>HYPERLINK("https://klasma.github.io/Logging_0883/fåglar/A 948-2024 prioriterade fågelarter.docx", "A 948-2024")</f>
        <v/>
      </c>
    </row>
    <row r="582" ht="15" customHeight="1">
      <c r="A582" t="inlineStr">
        <is>
          <t>A 911-2024</t>
        </is>
      </c>
      <c r="B582" s="1" t="n">
        <v>45301</v>
      </c>
      <c r="C582" s="1" t="n">
        <v>45715</v>
      </c>
      <c r="D582" t="inlineStr">
        <is>
          <t>KALMAR LÄN</t>
        </is>
      </c>
      <c r="E582" t="inlineStr">
        <is>
          <t>VÄSTERVIK</t>
        </is>
      </c>
      <c r="G582" t="n">
        <v>5.6</v>
      </c>
      <c r="H582" t="n">
        <v>1</v>
      </c>
      <c r="I582" t="n">
        <v>1</v>
      </c>
      <c r="J582" t="n">
        <v>1</v>
      </c>
      <c r="K582" t="n">
        <v>0</v>
      </c>
      <c r="L582" t="n">
        <v>0</v>
      </c>
      <c r="M582" t="n">
        <v>0</v>
      </c>
      <c r="N582" t="n">
        <v>0</v>
      </c>
      <c r="O582" t="n">
        <v>1</v>
      </c>
      <c r="P582" t="n">
        <v>0</v>
      </c>
      <c r="Q582" t="n">
        <v>2</v>
      </c>
      <c r="R582" s="2" t="inlineStr">
        <is>
          <t>Talltita
Blodticka</t>
        </is>
      </c>
      <c r="S582">
        <f>HYPERLINK("https://klasma.github.io/Logging_0883/artfynd/A 911-2024 artfynd.xlsx", "A 911-2024")</f>
        <v/>
      </c>
      <c r="T582">
        <f>HYPERLINK("https://klasma.github.io/Logging_0883/kartor/A 911-2024 karta.png", "A 911-2024")</f>
        <v/>
      </c>
      <c r="V582">
        <f>HYPERLINK("https://klasma.github.io/Logging_0883/klagomål/A 911-2024 FSC-klagomål.docx", "A 911-2024")</f>
        <v/>
      </c>
      <c r="W582">
        <f>HYPERLINK("https://klasma.github.io/Logging_0883/klagomålsmail/A 911-2024 FSC-klagomål mail.docx", "A 911-2024")</f>
        <v/>
      </c>
      <c r="X582">
        <f>HYPERLINK("https://klasma.github.io/Logging_0883/tillsyn/A 911-2024 tillsynsbegäran.docx", "A 911-2024")</f>
        <v/>
      </c>
      <c r="Y582">
        <f>HYPERLINK("https://klasma.github.io/Logging_0883/tillsynsmail/A 911-2024 tillsynsbegäran mail.docx", "A 911-2024")</f>
        <v/>
      </c>
      <c r="Z582">
        <f>HYPERLINK("https://klasma.github.io/Logging_0883/fåglar/A 911-2024 prioriterade fågelarter.docx", "A 911-2024")</f>
        <v/>
      </c>
    </row>
    <row r="583" ht="15" customHeight="1">
      <c r="A583" t="inlineStr">
        <is>
          <t>A 941-2024</t>
        </is>
      </c>
      <c r="B583" s="1" t="n">
        <v>45301</v>
      </c>
      <c r="C583" s="1" t="n">
        <v>45715</v>
      </c>
      <c r="D583" t="inlineStr">
        <is>
          <t>KALMAR LÄN</t>
        </is>
      </c>
      <c r="E583" t="inlineStr">
        <is>
          <t>VÄSTERVIK</t>
        </is>
      </c>
      <c r="G583" t="n">
        <v>2.7</v>
      </c>
      <c r="H583" t="n">
        <v>1</v>
      </c>
      <c r="I583" t="n">
        <v>0</v>
      </c>
      <c r="J583" t="n">
        <v>1</v>
      </c>
      <c r="K583" t="n">
        <v>1</v>
      </c>
      <c r="L583" t="n">
        <v>0</v>
      </c>
      <c r="M583" t="n">
        <v>0</v>
      </c>
      <c r="N583" t="n">
        <v>0</v>
      </c>
      <c r="O583" t="n">
        <v>2</v>
      </c>
      <c r="P583" t="n">
        <v>1</v>
      </c>
      <c r="Q583" t="n">
        <v>2</v>
      </c>
      <c r="R583" s="2" t="inlineStr">
        <is>
          <t>Knärot
Svinrot</t>
        </is>
      </c>
      <c r="S583">
        <f>HYPERLINK("https://klasma.github.io/Logging_0883/artfynd/A 941-2024 artfynd.xlsx", "A 941-2024")</f>
        <v/>
      </c>
      <c r="T583">
        <f>HYPERLINK("https://klasma.github.io/Logging_0883/kartor/A 941-2024 karta.png", "A 941-2024")</f>
        <v/>
      </c>
      <c r="U583">
        <f>HYPERLINK("https://klasma.github.io/Logging_0883/knärot/A 941-2024 karta knärot.png", "A 941-2024")</f>
        <v/>
      </c>
      <c r="V583">
        <f>HYPERLINK("https://klasma.github.io/Logging_0883/klagomål/A 941-2024 FSC-klagomål.docx", "A 941-2024")</f>
        <v/>
      </c>
      <c r="W583">
        <f>HYPERLINK("https://klasma.github.io/Logging_0883/klagomålsmail/A 941-2024 FSC-klagomål mail.docx", "A 941-2024")</f>
        <v/>
      </c>
      <c r="X583">
        <f>HYPERLINK("https://klasma.github.io/Logging_0883/tillsyn/A 941-2024 tillsynsbegäran.docx", "A 941-2024")</f>
        <v/>
      </c>
      <c r="Y583">
        <f>HYPERLINK("https://klasma.github.io/Logging_0883/tillsynsmail/A 941-2024 tillsynsbegäran mail.docx", "A 941-2024")</f>
        <v/>
      </c>
    </row>
    <row r="584" ht="15" customHeight="1">
      <c r="A584" t="inlineStr">
        <is>
          <t>A 1373-2024</t>
        </is>
      </c>
      <c r="B584" s="1" t="n">
        <v>45303</v>
      </c>
      <c r="C584" s="1" t="n">
        <v>45715</v>
      </c>
      <c r="D584" t="inlineStr">
        <is>
          <t>KALMAR LÄN</t>
        </is>
      </c>
      <c r="E584" t="inlineStr">
        <is>
          <t>VÄSTERVIK</t>
        </is>
      </c>
      <c r="G584" t="n">
        <v>3.7</v>
      </c>
      <c r="H584" t="n">
        <v>1</v>
      </c>
      <c r="I584" t="n">
        <v>0</v>
      </c>
      <c r="J584" t="n">
        <v>2</v>
      </c>
      <c r="K584" t="n">
        <v>0</v>
      </c>
      <c r="L584" t="n">
        <v>0</v>
      </c>
      <c r="M584" t="n">
        <v>0</v>
      </c>
      <c r="N584" t="n">
        <v>0</v>
      </c>
      <c r="O584" t="n">
        <v>2</v>
      </c>
      <c r="P584" t="n">
        <v>0</v>
      </c>
      <c r="Q584" t="n">
        <v>2</v>
      </c>
      <c r="R584" s="2" t="inlineStr">
        <is>
          <t>Tallticka
Talltita</t>
        </is>
      </c>
      <c r="S584">
        <f>HYPERLINK("https://klasma.github.io/Logging_0883/artfynd/A 1373-2024 artfynd.xlsx", "A 1373-2024")</f>
        <v/>
      </c>
      <c r="T584">
        <f>HYPERLINK("https://klasma.github.io/Logging_0883/kartor/A 1373-2024 karta.png", "A 1373-2024")</f>
        <v/>
      </c>
      <c r="U584">
        <f>HYPERLINK("https://klasma.github.io/Logging_0883/knärot/A 1373-2024 karta knärot.png", "A 1373-2024")</f>
        <v/>
      </c>
      <c r="V584">
        <f>HYPERLINK("https://klasma.github.io/Logging_0883/klagomål/A 1373-2024 FSC-klagomål.docx", "A 1373-2024")</f>
        <v/>
      </c>
      <c r="W584">
        <f>HYPERLINK("https://klasma.github.io/Logging_0883/klagomålsmail/A 1373-2024 FSC-klagomål mail.docx", "A 1373-2024")</f>
        <v/>
      </c>
      <c r="X584">
        <f>HYPERLINK("https://klasma.github.io/Logging_0883/tillsyn/A 1373-2024 tillsynsbegäran.docx", "A 1373-2024")</f>
        <v/>
      </c>
      <c r="Y584">
        <f>HYPERLINK("https://klasma.github.io/Logging_0883/tillsynsmail/A 1373-2024 tillsynsbegäran mail.docx", "A 1373-2024")</f>
        <v/>
      </c>
      <c r="Z584">
        <f>HYPERLINK("https://klasma.github.io/Logging_0883/fåglar/A 1373-2024 prioriterade fågelarter.docx", "A 1373-2024")</f>
        <v/>
      </c>
    </row>
    <row r="585" ht="15" customHeight="1">
      <c r="A585" t="inlineStr">
        <is>
          <t>A 2126-2024</t>
        </is>
      </c>
      <c r="B585" s="1" t="n">
        <v>45309</v>
      </c>
      <c r="C585" s="1" t="n">
        <v>45715</v>
      </c>
      <c r="D585" t="inlineStr">
        <is>
          <t>KALMAR LÄN</t>
        </is>
      </c>
      <c r="E585" t="inlineStr">
        <is>
          <t>VÄSTERVIK</t>
        </is>
      </c>
      <c r="G585" t="n">
        <v>3.8</v>
      </c>
      <c r="H585" t="n">
        <v>2</v>
      </c>
      <c r="I585" t="n">
        <v>0</v>
      </c>
      <c r="J585" t="n">
        <v>1</v>
      </c>
      <c r="K585" t="n">
        <v>1</v>
      </c>
      <c r="L585" t="n">
        <v>0</v>
      </c>
      <c r="M585" t="n">
        <v>0</v>
      </c>
      <c r="N585" t="n">
        <v>0</v>
      </c>
      <c r="O585" t="n">
        <v>2</v>
      </c>
      <c r="P585" t="n">
        <v>1</v>
      </c>
      <c r="Q585" t="n">
        <v>2</v>
      </c>
      <c r="R585" s="2" t="inlineStr">
        <is>
          <t>Knärot
Talltita</t>
        </is>
      </c>
      <c r="S585">
        <f>HYPERLINK("https://klasma.github.io/Logging_0883/artfynd/A 2126-2024 artfynd.xlsx", "A 2126-2024")</f>
        <v/>
      </c>
      <c r="T585">
        <f>HYPERLINK("https://klasma.github.io/Logging_0883/kartor/A 2126-2024 karta.png", "A 2126-2024")</f>
        <v/>
      </c>
      <c r="U585">
        <f>HYPERLINK("https://klasma.github.io/Logging_0883/knärot/A 2126-2024 karta knärot.png", "A 2126-2024")</f>
        <v/>
      </c>
      <c r="V585">
        <f>HYPERLINK("https://klasma.github.io/Logging_0883/klagomål/A 2126-2024 FSC-klagomål.docx", "A 2126-2024")</f>
        <v/>
      </c>
      <c r="W585">
        <f>HYPERLINK("https://klasma.github.io/Logging_0883/klagomålsmail/A 2126-2024 FSC-klagomål mail.docx", "A 2126-2024")</f>
        <v/>
      </c>
      <c r="X585">
        <f>HYPERLINK("https://klasma.github.io/Logging_0883/tillsyn/A 2126-2024 tillsynsbegäran.docx", "A 2126-2024")</f>
        <v/>
      </c>
      <c r="Y585">
        <f>HYPERLINK("https://klasma.github.io/Logging_0883/tillsynsmail/A 2126-2024 tillsynsbegäran mail.docx", "A 2126-2024")</f>
        <v/>
      </c>
      <c r="Z585">
        <f>HYPERLINK("https://klasma.github.io/Logging_0883/fåglar/A 2126-2024 prioriterade fågelarter.docx", "A 2126-2024")</f>
        <v/>
      </c>
    </row>
    <row r="586" ht="15" customHeight="1">
      <c r="A586" t="inlineStr">
        <is>
          <t>A 2809-2024</t>
        </is>
      </c>
      <c r="B586" s="1" t="n">
        <v>45314</v>
      </c>
      <c r="C586" s="1" t="n">
        <v>45715</v>
      </c>
      <c r="D586" t="inlineStr">
        <is>
          <t>KALMAR LÄN</t>
        </is>
      </c>
      <c r="E586" t="inlineStr">
        <is>
          <t>VÄSTERVIK</t>
        </is>
      </c>
      <c r="G586" t="n">
        <v>4.7</v>
      </c>
      <c r="H586" t="n">
        <v>1</v>
      </c>
      <c r="I586" t="n">
        <v>0</v>
      </c>
      <c r="J586" t="n">
        <v>1</v>
      </c>
      <c r="K586" t="n">
        <v>0</v>
      </c>
      <c r="L586" t="n">
        <v>0</v>
      </c>
      <c r="M586" t="n">
        <v>0</v>
      </c>
      <c r="N586" t="n">
        <v>0</v>
      </c>
      <c r="O586" t="n">
        <v>1</v>
      </c>
      <c r="P586" t="n">
        <v>0</v>
      </c>
      <c r="Q586" t="n">
        <v>2</v>
      </c>
      <c r="R586" s="2" t="inlineStr">
        <is>
          <t>Tallticka
Tjäder</t>
        </is>
      </c>
      <c r="S586">
        <f>HYPERLINK("https://klasma.github.io/Logging_0883/artfynd/A 2809-2024 artfynd.xlsx", "A 2809-2024")</f>
        <v/>
      </c>
      <c r="T586">
        <f>HYPERLINK("https://klasma.github.io/Logging_0883/kartor/A 2809-2024 karta.png", "A 2809-2024")</f>
        <v/>
      </c>
      <c r="U586">
        <f>HYPERLINK("https://klasma.github.io/Logging_0883/knärot/A 2809-2024 karta knärot.png", "A 2809-2024")</f>
        <v/>
      </c>
      <c r="V586">
        <f>HYPERLINK("https://klasma.github.io/Logging_0883/klagomål/A 2809-2024 FSC-klagomål.docx", "A 2809-2024")</f>
        <v/>
      </c>
      <c r="W586">
        <f>HYPERLINK("https://klasma.github.io/Logging_0883/klagomålsmail/A 2809-2024 FSC-klagomål mail.docx", "A 2809-2024")</f>
        <v/>
      </c>
      <c r="X586">
        <f>HYPERLINK("https://klasma.github.io/Logging_0883/tillsyn/A 2809-2024 tillsynsbegäran.docx", "A 2809-2024")</f>
        <v/>
      </c>
      <c r="Y586">
        <f>HYPERLINK("https://klasma.github.io/Logging_0883/tillsynsmail/A 2809-2024 tillsynsbegäran mail.docx", "A 2809-2024")</f>
        <v/>
      </c>
      <c r="Z586">
        <f>HYPERLINK("https://klasma.github.io/Logging_0883/fåglar/A 2809-2024 prioriterade fågelarter.docx", "A 2809-2024")</f>
        <v/>
      </c>
    </row>
    <row r="587" ht="15" customHeight="1">
      <c r="A587" t="inlineStr">
        <is>
          <t>A 3264-2024</t>
        </is>
      </c>
      <c r="B587" s="1" t="n">
        <v>45317</v>
      </c>
      <c r="C587" s="1" t="n">
        <v>45715</v>
      </c>
      <c r="D587" t="inlineStr">
        <is>
          <t>KALMAR LÄN</t>
        </is>
      </c>
      <c r="E587" t="inlineStr">
        <is>
          <t>VÄSTERVIK</t>
        </is>
      </c>
      <c r="G587" t="n">
        <v>6.5</v>
      </c>
      <c r="H587" t="n">
        <v>1</v>
      </c>
      <c r="I587" t="n">
        <v>1</v>
      </c>
      <c r="J587" t="n">
        <v>1</v>
      </c>
      <c r="K587" t="n">
        <v>0</v>
      </c>
      <c r="L587" t="n">
        <v>0</v>
      </c>
      <c r="M587" t="n">
        <v>0</v>
      </c>
      <c r="N587" t="n">
        <v>0</v>
      </c>
      <c r="O587" t="n">
        <v>1</v>
      </c>
      <c r="P587" t="n">
        <v>0</v>
      </c>
      <c r="Q587" t="n">
        <v>2</v>
      </c>
      <c r="R587" s="2" t="inlineStr">
        <is>
          <t>Spillkråka
Blåmossa</t>
        </is>
      </c>
      <c r="S587">
        <f>HYPERLINK("https://klasma.github.io/Logging_0883/artfynd/A 3264-2024 artfynd.xlsx", "A 3264-2024")</f>
        <v/>
      </c>
      <c r="T587">
        <f>HYPERLINK("https://klasma.github.io/Logging_0883/kartor/A 3264-2024 karta.png", "A 3264-2024")</f>
        <v/>
      </c>
      <c r="V587">
        <f>HYPERLINK("https://klasma.github.io/Logging_0883/klagomål/A 3264-2024 FSC-klagomål.docx", "A 3264-2024")</f>
        <v/>
      </c>
      <c r="W587">
        <f>HYPERLINK("https://klasma.github.io/Logging_0883/klagomålsmail/A 3264-2024 FSC-klagomål mail.docx", "A 3264-2024")</f>
        <v/>
      </c>
      <c r="X587">
        <f>HYPERLINK("https://klasma.github.io/Logging_0883/tillsyn/A 3264-2024 tillsynsbegäran.docx", "A 3264-2024")</f>
        <v/>
      </c>
      <c r="Y587">
        <f>HYPERLINK("https://klasma.github.io/Logging_0883/tillsynsmail/A 3264-2024 tillsynsbegäran mail.docx", "A 3264-2024")</f>
        <v/>
      </c>
      <c r="Z587">
        <f>HYPERLINK("https://klasma.github.io/Logging_0883/fåglar/A 3264-2024 prioriterade fågelarter.docx", "A 3264-2024")</f>
        <v/>
      </c>
    </row>
    <row r="588" ht="15" customHeight="1">
      <c r="A588" t="inlineStr">
        <is>
          <t>A 3658-2024</t>
        </is>
      </c>
      <c r="B588" s="1" t="n">
        <v>45321</v>
      </c>
      <c r="C588" s="1" t="n">
        <v>45715</v>
      </c>
      <c r="D588" t="inlineStr">
        <is>
          <t>KALMAR LÄN</t>
        </is>
      </c>
      <c r="E588" t="inlineStr">
        <is>
          <t>VÄSTERVIK</t>
        </is>
      </c>
      <c r="G588" t="n">
        <v>2.6</v>
      </c>
      <c r="H588" t="n">
        <v>1</v>
      </c>
      <c r="I588" t="n">
        <v>0</v>
      </c>
      <c r="J588" t="n">
        <v>1</v>
      </c>
      <c r="K588" t="n">
        <v>1</v>
      </c>
      <c r="L588" t="n">
        <v>0</v>
      </c>
      <c r="M588" t="n">
        <v>0</v>
      </c>
      <c r="N588" t="n">
        <v>0</v>
      </c>
      <c r="O588" t="n">
        <v>2</v>
      </c>
      <c r="P588" t="n">
        <v>1</v>
      </c>
      <c r="Q588" t="n">
        <v>2</v>
      </c>
      <c r="R588" s="2" t="inlineStr">
        <is>
          <t>Knärot
Tallticka</t>
        </is>
      </c>
      <c r="S588">
        <f>HYPERLINK("https://klasma.github.io/Logging_0883/artfynd/A 3658-2024 artfynd.xlsx", "A 3658-2024")</f>
        <v/>
      </c>
      <c r="T588">
        <f>HYPERLINK("https://klasma.github.io/Logging_0883/kartor/A 3658-2024 karta.png", "A 3658-2024")</f>
        <v/>
      </c>
      <c r="U588">
        <f>HYPERLINK("https://klasma.github.io/Logging_0883/knärot/A 3658-2024 karta knärot.png", "A 3658-2024")</f>
        <v/>
      </c>
      <c r="V588">
        <f>HYPERLINK("https://klasma.github.io/Logging_0883/klagomål/A 3658-2024 FSC-klagomål.docx", "A 3658-2024")</f>
        <v/>
      </c>
      <c r="W588">
        <f>HYPERLINK("https://klasma.github.io/Logging_0883/klagomålsmail/A 3658-2024 FSC-klagomål mail.docx", "A 3658-2024")</f>
        <v/>
      </c>
      <c r="X588">
        <f>HYPERLINK("https://klasma.github.io/Logging_0883/tillsyn/A 3658-2024 tillsynsbegäran.docx", "A 3658-2024")</f>
        <v/>
      </c>
      <c r="Y588">
        <f>HYPERLINK("https://klasma.github.io/Logging_0883/tillsynsmail/A 3658-2024 tillsynsbegäran mail.docx", "A 3658-2024")</f>
        <v/>
      </c>
    </row>
    <row r="589" ht="15" customHeight="1">
      <c r="A589" t="inlineStr">
        <is>
          <t>A 4864-2024</t>
        </is>
      </c>
      <c r="B589" s="1" t="n">
        <v>45329</v>
      </c>
      <c r="C589" s="1" t="n">
        <v>45715</v>
      </c>
      <c r="D589" t="inlineStr">
        <is>
          <t>KALMAR LÄN</t>
        </is>
      </c>
      <c r="E589" t="inlineStr">
        <is>
          <t>VIMMERBY</t>
        </is>
      </c>
      <c r="G589" t="n">
        <v>2.1</v>
      </c>
      <c r="H589" t="n">
        <v>2</v>
      </c>
      <c r="I589" t="n">
        <v>0</v>
      </c>
      <c r="J589" t="n">
        <v>1</v>
      </c>
      <c r="K589" t="n">
        <v>1</v>
      </c>
      <c r="L589" t="n">
        <v>0</v>
      </c>
      <c r="M589" t="n">
        <v>0</v>
      </c>
      <c r="N589" t="n">
        <v>0</v>
      </c>
      <c r="O589" t="n">
        <v>2</v>
      </c>
      <c r="P589" t="n">
        <v>1</v>
      </c>
      <c r="Q589" t="n">
        <v>2</v>
      </c>
      <c r="R589" s="2" t="inlineStr">
        <is>
          <t>Knärot
Talltita</t>
        </is>
      </c>
      <c r="S589">
        <f>HYPERLINK("https://klasma.github.io/Logging_0884/artfynd/A 4864-2024 artfynd.xlsx", "A 4864-2024")</f>
        <v/>
      </c>
      <c r="T589">
        <f>HYPERLINK("https://klasma.github.io/Logging_0884/kartor/A 4864-2024 karta.png", "A 4864-2024")</f>
        <v/>
      </c>
      <c r="U589">
        <f>HYPERLINK("https://klasma.github.io/Logging_0884/knärot/A 4864-2024 karta knärot.png", "A 4864-2024")</f>
        <v/>
      </c>
      <c r="V589">
        <f>HYPERLINK("https://klasma.github.io/Logging_0884/klagomål/A 4864-2024 FSC-klagomål.docx", "A 4864-2024")</f>
        <v/>
      </c>
      <c r="W589">
        <f>HYPERLINK("https://klasma.github.io/Logging_0884/klagomålsmail/A 4864-2024 FSC-klagomål mail.docx", "A 4864-2024")</f>
        <v/>
      </c>
      <c r="X589">
        <f>HYPERLINK("https://klasma.github.io/Logging_0884/tillsyn/A 4864-2024 tillsynsbegäran.docx", "A 4864-2024")</f>
        <v/>
      </c>
      <c r="Y589">
        <f>HYPERLINK("https://klasma.github.io/Logging_0884/tillsynsmail/A 4864-2024 tillsynsbegäran mail.docx", "A 4864-2024")</f>
        <v/>
      </c>
      <c r="Z589">
        <f>HYPERLINK("https://klasma.github.io/Logging_0884/fåglar/A 4864-2024 prioriterade fågelarter.docx", "A 4864-2024")</f>
        <v/>
      </c>
    </row>
    <row r="590" ht="15" customHeight="1">
      <c r="A590" t="inlineStr">
        <is>
          <t>A 7410-2024</t>
        </is>
      </c>
      <c r="B590" s="1" t="n">
        <v>45345</v>
      </c>
      <c r="C590" s="1" t="n">
        <v>45715</v>
      </c>
      <c r="D590" t="inlineStr">
        <is>
          <t>KALMAR LÄN</t>
        </is>
      </c>
      <c r="E590" t="inlineStr">
        <is>
          <t>HÖGSBY</t>
        </is>
      </c>
      <c r="G590" t="n">
        <v>2.7</v>
      </c>
      <c r="H590" t="n">
        <v>2</v>
      </c>
      <c r="I590" t="n">
        <v>0</v>
      </c>
      <c r="J590" t="n">
        <v>0</v>
      </c>
      <c r="K590" t="n">
        <v>1</v>
      </c>
      <c r="L590" t="n">
        <v>0</v>
      </c>
      <c r="M590" t="n">
        <v>0</v>
      </c>
      <c r="N590" t="n">
        <v>0</v>
      </c>
      <c r="O590" t="n">
        <v>1</v>
      </c>
      <c r="P590" t="n">
        <v>1</v>
      </c>
      <c r="Q590" t="n">
        <v>2</v>
      </c>
      <c r="R590" s="2" t="inlineStr">
        <is>
          <t>Knärot
Blåsippa</t>
        </is>
      </c>
      <c r="S590">
        <f>HYPERLINK("https://klasma.github.io/Logging_0821/artfynd/A 7410-2024 artfynd.xlsx", "A 7410-2024")</f>
        <v/>
      </c>
      <c r="T590">
        <f>HYPERLINK("https://klasma.github.io/Logging_0821/kartor/A 7410-2024 karta.png", "A 7410-2024")</f>
        <v/>
      </c>
      <c r="U590">
        <f>HYPERLINK("https://klasma.github.io/Logging_0821/knärot/A 7410-2024 karta knärot.png", "A 7410-2024")</f>
        <v/>
      </c>
      <c r="V590">
        <f>HYPERLINK("https://klasma.github.io/Logging_0821/klagomål/A 7410-2024 FSC-klagomål.docx", "A 7410-2024")</f>
        <v/>
      </c>
      <c r="W590">
        <f>HYPERLINK("https://klasma.github.io/Logging_0821/klagomålsmail/A 7410-2024 FSC-klagomål mail.docx", "A 7410-2024")</f>
        <v/>
      </c>
      <c r="X590">
        <f>HYPERLINK("https://klasma.github.io/Logging_0821/tillsyn/A 7410-2024 tillsynsbegäran.docx", "A 7410-2024")</f>
        <v/>
      </c>
      <c r="Y590">
        <f>HYPERLINK("https://klasma.github.io/Logging_0821/tillsynsmail/A 7410-2024 tillsynsbegäran mail.docx", "A 7410-2024")</f>
        <v/>
      </c>
    </row>
    <row r="591" ht="15" customHeight="1">
      <c r="A591" t="inlineStr">
        <is>
          <t>A 7667-2024</t>
        </is>
      </c>
      <c r="B591" s="1" t="n">
        <v>45348</v>
      </c>
      <c r="C591" s="1" t="n">
        <v>45715</v>
      </c>
      <c r="D591" t="inlineStr">
        <is>
          <t>KALMAR LÄN</t>
        </is>
      </c>
      <c r="E591" t="inlineStr">
        <is>
          <t>MÖRBYLÅNGA</t>
        </is>
      </c>
      <c r="G591" t="n">
        <v>3.8</v>
      </c>
      <c r="H591" t="n">
        <v>0</v>
      </c>
      <c r="I591" t="n">
        <v>1</v>
      </c>
      <c r="J591" t="n">
        <v>0</v>
      </c>
      <c r="K591" t="n">
        <v>0</v>
      </c>
      <c r="L591" t="n">
        <v>0</v>
      </c>
      <c r="M591" t="n">
        <v>1</v>
      </c>
      <c r="N591" t="n">
        <v>0</v>
      </c>
      <c r="O591" t="n">
        <v>1</v>
      </c>
      <c r="P591" t="n">
        <v>1</v>
      </c>
      <c r="Q591" t="n">
        <v>2</v>
      </c>
      <c r="R591" s="2" t="inlineStr">
        <is>
          <t>Järnek
Murgröna</t>
        </is>
      </c>
      <c r="S591">
        <f>HYPERLINK("https://klasma.github.io/Logging_0840/artfynd/A 7667-2024 artfynd.xlsx", "A 7667-2024")</f>
        <v/>
      </c>
      <c r="T591">
        <f>HYPERLINK("https://klasma.github.io/Logging_0840/kartor/A 7667-2024 karta.png", "A 7667-2024")</f>
        <v/>
      </c>
      <c r="V591">
        <f>HYPERLINK("https://klasma.github.io/Logging_0840/klagomål/A 7667-2024 FSC-klagomål.docx", "A 7667-2024")</f>
        <v/>
      </c>
      <c r="W591">
        <f>HYPERLINK("https://klasma.github.io/Logging_0840/klagomålsmail/A 7667-2024 FSC-klagomål mail.docx", "A 7667-2024")</f>
        <v/>
      </c>
      <c r="X591">
        <f>HYPERLINK("https://klasma.github.io/Logging_0840/tillsyn/A 7667-2024 tillsynsbegäran.docx", "A 7667-2024")</f>
        <v/>
      </c>
      <c r="Y591">
        <f>HYPERLINK("https://klasma.github.io/Logging_0840/tillsynsmail/A 7667-2024 tillsynsbegäran mail.docx", "A 7667-2024")</f>
        <v/>
      </c>
    </row>
    <row r="592" ht="15" customHeight="1">
      <c r="A592" t="inlineStr">
        <is>
          <t>A 8618-2024</t>
        </is>
      </c>
      <c r="B592" s="1" t="n">
        <v>45355</v>
      </c>
      <c r="C592" s="1" t="n">
        <v>45715</v>
      </c>
      <c r="D592" t="inlineStr">
        <is>
          <t>KALMAR LÄN</t>
        </is>
      </c>
      <c r="E592" t="inlineStr">
        <is>
          <t>VÄSTERVIK</t>
        </is>
      </c>
      <c r="G592" t="n">
        <v>4.3</v>
      </c>
      <c r="H592" t="n">
        <v>1</v>
      </c>
      <c r="I592" t="n">
        <v>0</v>
      </c>
      <c r="J592" t="n">
        <v>1</v>
      </c>
      <c r="K592" t="n">
        <v>1</v>
      </c>
      <c r="L592" t="n">
        <v>0</v>
      </c>
      <c r="M592" t="n">
        <v>0</v>
      </c>
      <c r="N592" t="n">
        <v>0</v>
      </c>
      <c r="O592" t="n">
        <v>2</v>
      </c>
      <c r="P592" t="n">
        <v>1</v>
      </c>
      <c r="Q592" t="n">
        <v>2</v>
      </c>
      <c r="R592" s="2" t="inlineStr">
        <is>
          <t>Knärot
Tallticka</t>
        </is>
      </c>
      <c r="S592">
        <f>HYPERLINK("https://klasma.github.io/Logging_0883/artfynd/A 8618-2024 artfynd.xlsx", "A 8618-2024")</f>
        <v/>
      </c>
      <c r="T592">
        <f>HYPERLINK("https://klasma.github.io/Logging_0883/kartor/A 8618-2024 karta.png", "A 8618-2024")</f>
        <v/>
      </c>
      <c r="U592">
        <f>HYPERLINK("https://klasma.github.io/Logging_0883/knärot/A 8618-2024 karta knärot.png", "A 8618-2024")</f>
        <v/>
      </c>
      <c r="V592">
        <f>HYPERLINK("https://klasma.github.io/Logging_0883/klagomål/A 8618-2024 FSC-klagomål.docx", "A 8618-2024")</f>
        <v/>
      </c>
      <c r="W592">
        <f>HYPERLINK("https://klasma.github.io/Logging_0883/klagomålsmail/A 8618-2024 FSC-klagomål mail.docx", "A 8618-2024")</f>
        <v/>
      </c>
      <c r="X592">
        <f>HYPERLINK("https://klasma.github.io/Logging_0883/tillsyn/A 8618-2024 tillsynsbegäran.docx", "A 8618-2024")</f>
        <v/>
      </c>
      <c r="Y592">
        <f>HYPERLINK("https://klasma.github.io/Logging_0883/tillsynsmail/A 8618-2024 tillsynsbegäran mail.docx", "A 8618-2024")</f>
        <v/>
      </c>
    </row>
    <row r="593" ht="15" customHeight="1">
      <c r="A593" t="inlineStr">
        <is>
          <t>A 9186-2024</t>
        </is>
      </c>
      <c r="B593" s="1" t="n">
        <v>45358</v>
      </c>
      <c r="C593" s="1" t="n">
        <v>45715</v>
      </c>
      <c r="D593" t="inlineStr">
        <is>
          <t>KALMAR LÄN</t>
        </is>
      </c>
      <c r="E593" t="inlineStr">
        <is>
          <t>NYBRO</t>
        </is>
      </c>
      <c r="G593" t="n">
        <v>3.8</v>
      </c>
      <c r="H593" t="n">
        <v>0</v>
      </c>
      <c r="I593" t="n">
        <v>2</v>
      </c>
      <c r="J593" t="n">
        <v>0</v>
      </c>
      <c r="K593" t="n">
        <v>0</v>
      </c>
      <c r="L593" t="n">
        <v>0</v>
      </c>
      <c r="M593" t="n">
        <v>0</v>
      </c>
      <c r="N593" t="n">
        <v>0</v>
      </c>
      <c r="O593" t="n">
        <v>0</v>
      </c>
      <c r="P593" t="n">
        <v>0</v>
      </c>
      <c r="Q593" t="n">
        <v>2</v>
      </c>
      <c r="R593" s="2" t="inlineStr">
        <is>
          <t>Blåmossa
Dropptaggsvamp</t>
        </is>
      </c>
      <c r="S593">
        <f>HYPERLINK("https://klasma.github.io/Logging_0881/artfynd/A 9186-2024 artfynd.xlsx", "A 9186-2024")</f>
        <v/>
      </c>
      <c r="T593">
        <f>HYPERLINK("https://klasma.github.io/Logging_0881/kartor/A 9186-2024 karta.png", "A 9186-2024")</f>
        <v/>
      </c>
      <c r="V593">
        <f>HYPERLINK("https://klasma.github.io/Logging_0881/klagomål/A 9186-2024 FSC-klagomål.docx", "A 9186-2024")</f>
        <v/>
      </c>
      <c r="W593">
        <f>HYPERLINK("https://klasma.github.io/Logging_0881/klagomålsmail/A 9186-2024 FSC-klagomål mail.docx", "A 9186-2024")</f>
        <v/>
      </c>
      <c r="X593">
        <f>HYPERLINK("https://klasma.github.io/Logging_0881/tillsyn/A 9186-2024 tillsynsbegäran.docx", "A 9186-2024")</f>
        <v/>
      </c>
      <c r="Y593">
        <f>HYPERLINK("https://klasma.github.io/Logging_0881/tillsynsmail/A 9186-2024 tillsynsbegäran mail.docx", "A 9186-2024")</f>
        <v/>
      </c>
    </row>
    <row r="594" ht="15" customHeight="1">
      <c r="A594" t="inlineStr">
        <is>
          <t>A 9237-2024</t>
        </is>
      </c>
      <c r="B594" s="1" t="n">
        <v>45358</v>
      </c>
      <c r="C594" s="1" t="n">
        <v>45715</v>
      </c>
      <c r="D594" t="inlineStr">
        <is>
          <t>KALMAR LÄN</t>
        </is>
      </c>
      <c r="E594" t="inlineStr">
        <is>
          <t>MÖNSTERÅS</t>
        </is>
      </c>
      <c r="G594" t="n">
        <v>1.5</v>
      </c>
      <c r="H594" t="n">
        <v>2</v>
      </c>
      <c r="I594" t="n">
        <v>0</v>
      </c>
      <c r="J594" t="n">
        <v>1</v>
      </c>
      <c r="K594" t="n">
        <v>0</v>
      </c>
      <c r="L594" t="n">
        <v>0</v>
      </c>
      <c r="M594" t="n">
        <v>0</v>
      </c>
      <c r="N594" t="n">
        <v>0</v>
      </c>
      <c r="O594" t="n">
        <v>1</v>
      </c>
      <c r="P594" t="n">
        <v>0</v>
      </c>
      <c r="Q594" t="n">
        <v>2</v>
      </c>
      <c r="R594" s="2" t="inlineStr">
        <is>
          <t>Nordfladdermus
Dvärgpipistrell</t>
        </is>
      </c>
      <c r="S594">
        <f>HYPERLINK("https://klasma.github.io/Logging_0861/artfynd/A 9237-2024 artfynd.xlsx", "A 9237-2024")</f>
        <v/>
      </c>
      <c r="T594">
        <f>HYPERLINK("https://klasma.github.io/Logging_0861/kartor/A 9237-2024 karta.png", "A 9237-2024")</f>
        <v/>
      </c>
      <c r="V594">
        <f>HYPERLINK("https://klasma.github.io/Logging_0861/klagomål/A 9237-2024 FSC-klagomål.docx", "A 9237-2024")</f>
        <v/>
      </c>
      <c r="W594">
        <f>HYPERLINK("https://klasma.github.io/Logging_0861/klagomålsmail/A 9237-2024 FSC-klagomål mail.docx", "A 9237-2024")</f>
        <v/>
      </c>
      <c r="X594">
        <f>HYPERLINK("https://klasma.github.io/Logging_0861/tillsyn/A 9237-2024 tillsynsbegäran.docx", "A 9237-2024")</f>
        <v/>
      </c>
      <c r="Y594">
        <f>HYPERLINK("https://klasma.github.io/Logging_0861/tillsynsmail/A 9237-2024 tillsynsbegäran mail.docx", "A 9237-2024")</f>
        <v/>
      </c>
    </row>
    <row r="595" ht="15" customHeight="1">
      <c r="A595" t="inlineStr">
        <is>
          <t>A 9770-2024</t>
        </is>
      </c>
      <c r="B595" s="1" t="n">
        <v>45362</v>
      </c>
      <c r="C595" s="1" t="n">
        <v>45715</v>
      </c>
      <c r="D595" t="inlineStr">
        <is>
          <t>KALMAR LÄN</t>
        </is>
      </c>
      <c r="E595" t="inlineStr">
        <is>
          <t>VÄSTERVIK</t>
        </is>
      </c>
      <c r="G595" t="n">
        <v>2.6</v>
      </c>
      <c r="H595" t="n">
        <v>2</v>
      </c>
      <c r="I595" t="n">
        <v>0</v>
      </c>
      <c r="J595" t="n">
        <v>1</v>
      </c>
      <c r="K595" t="n">
        <v>0</v>
      </c>
      <c r="L595" t="n">
        <v>0</v>
      </c>
      <c r="M595" t="n">
        <v>0</v>
      </c>
      <c r="N595" t="n">
        <v>0</v>
      </c>
      <c r="O595" t="n">
        <v>1</v>
      </c>
      <c r="P595" t="n">
        <v>0</v>
      </c>
      <c r="Q595" t="n">
        <v>2</v>
      </c>
      <c r="R595" s="2" t="inlineStr">
        <is>
          <t>Talltita
Tjäder</t>
        </is>
      </c>
      <c r="S595">
        <f>HYPERLINK("https://klasma.github.io/Logging_0883/artfynd/A 9770-2024 artfynd.xlsx", "A 9770-2024")</f>
        <v/>
      </c>
      <c r="T595">
        <f>HYPERLINK("https://klasma.github.io/Logging_0883/kartor/A 9770-2024 karta.png", "A 9770-2024")</f>
        <v/>
      </c>
      <c r="V595">
        <f>HYPERLINK("https://klasma.github.io/Logging_0883/klagomål/A 9770-2024 FSC-klagomål.docx", "A 9770-2024")</f>
        <v/>
      </c>
      <c r="W595">
        <f>HYPERLINK("https://klasma.github.io/Logging_0883/klagomålsmail/A 9770-2024 FSC-klagomål mail.docx", "A 9770-2024")</f>
        <v/>
      </c>
      <c r="X595">
        <f>HYPERLINK("https://klasma.github.io/Logging_0883/tillsyn/A 9770-2024 tillsynsbegäran.docx", "A 9770-2024")</f>
        <v/>
      </c>
      <c r="Y595">
        <f>HYPERLINK("https://klasma.github.io/Logging_0883/tillsynsmail/A 9770-2024 tillsynsbegäran mail.docx", "A 9770-2024")</f>
        <v/>
      </c>
      <c r="Z595">
        <f>HYPERLINK("https://klasma.github.io/Logging_0883/fåglar/A 9770-2024 prioriterade fågelarter.docx", "A 9770-2024")</f>
        <v/>
      </c>
    </row>
    <row r="596" ht="15" customHeight="1">
      <c r="A596" t="inlineStr">
        <is>
          <t>A 10694-2024</t>
        </is>
      </c>
      <c r="B596" s="1" t="n">
        <v>45369</v>
      </c>
      <c r="C596" s="1" t="n">
        <v>45715</v>
      </c>
      <c r="D596" t="inlineStr">
        <is>
          <t>KALMAR LÄN</t>
        </is>
      </c>
      <c r="E596" t="inlineStr">
        <is>
          <t>EMMABODA</t>
        </is>
      </c>
      <c r="G596" t="n">
        <v>2.8</v>
      </c>
      <c r="H596" t="n">
        <v>2</v>
      </c>
      <c r="I596" t="n">
        <v>0</v>
      </c>
      <c r="J596" t="n">
        <v>1</v>
      </c>
      <c r="K596" t="n">
        <v>1</v>
      </c>
      <c r="L596" t="n">
        <v>0</v>
      </c>
      <c r="M596" t="n">
        <v>0</v>
      </c>
      <c r="N596" t="n">
        <v>0</v>
      </c>
      <c r="O596" t="n">
        <v>2</v>
      </c>
      <c r="P596" t="n">
        <v>1</v>
      </c>
      <c r="Q596" t="n">
        <v>2</v>
      </c>
      <c r="R596" s="2" t="inlineStr">
        <is>
          <t>Knärot
Spillkråka</t>
        </is>
      </c>
      <c r="S596">
        <f>HYPERLINK("https://klasma.github.io/Logging_0862/artfynd/A 10694-2024 artfynd.xlsx", "A 10694-2024")</f>
        <v/>
      </c>
      <c r="T596">
        <f>HYPERLINK("https://klasma.github.io/Logging_0862/kartor/A 10694-2024 karta.png", "A 10694-2024")</f>
        <v/>
      </c>
      <c r="U596">
        <f>HYPERLINK("https://klasma.github.io/Logging_0862/knärot/A 10694-2024 karta knärot.png", "A 10694-2024")</f>
        <v/>
      </c>
      <c r="V596">
        <f>HYPERLINK("https://klasma.github.io/Logging_0862/klagomål/A 10694-2024 FSC-klagomål.docx", "A 10694-2024")</f>
        <v/>
      </c>
      <c r="W596">
        <f>HYPERLINK("https://klasma.github.io/Logging_0862/klagomålsmail/A 10694-2024 FSC-klagomål mail.docx", "A 10694-2024")</f>
        <v/>
      </c>
      <c r="X596">
        <f>HYPERLINK("https://klasma.github.io/Logging_0862/tillsyn/A 10694-2024 tillsynsbegäran.docx", "A 10694-2024")</f>
        <v/>
      </c>
      <c r="Y596">
        <f>HYPERLINK("https://klasma.github.io/Logging_0862/tillsynsmail/A 10694-2024 tillsynsbegäran mail.docx", "A 10694-2024")</f>
        <v/>
      </c>
      <c r="Z596">
        <f>HYPERLINK("https://klasma.github.io/Logging_0862/fåglar/A 10694-2024 prioriterade fågelarter.docx", "A 10694-2024")</f>
        <v/>
      </c>
    </row>
    <row r="597" ht="15" customHeight="1">
      <c r="A597" t="inlineStr">
        <is>
          <t>A 11026-2024</t>
        </is>
      </c>
      <c r="B597" s="1" t="n">
        <v>45370</v>
      </c>
      <c r="C597" s="1" t="n">
        <v>45715</v>
      </c>
      <c r="D597" t="inlineStr">
        <is>
          <t>KALMAR LÄN</t>
        </is>
      </c>
      <c r="E597" t="inlineStr">
        <is>
          <t>NYBRO</t>
        </is>
      </c>
      <c r="G597" t="n">
        <v>5.9</v>
      </c>
      <c r="H597" t="n">
        <v>1</v>
      </c>
      <c r="I597" t="n">
        <v>0</v>
      </c>
      <c r="J597" t="n">
        <v>2</v>
      </c>
      <c r="K597" t="n">
        <v>0</v>
      </c>
      <c r="L597" t="n">
        <v>0</v>
      </c>
      <c r="M597" t="n">
        <v>0</v>
      </c>
      <c r="N597" t="n">
        <v>0</v>
      </c>
      <c r="O597" t="n">
        <v>2</v>
      </c>
      <c r="P597" t="n">
        <v>0</v>
      </c>
      <c r="Q597" t="n">
        <v>2</v>
      </c>
      <c r="R597" s="2" t="inlineStr">
        <is>
          <t>Tallticka
Talltita</t>
        </is>
      </c>
      <c r="S597">
        <f>HYPERLINK("https://klasma.github.io/Logging_0881/artfynd/A 11026-2024 artfynd.xlsx", "A 11026-2024")</f>
        <v/>
      </c>
      <c r="T597">
        <f>HYPERLINK("https://klasma.github.io/Logging_0881/kartor/A 11026-2024 karta.png", "A 11026-2024")</f>
        <v/>
      </c>
      <c r="V597">
        <f>HYPERLINK("https://klasma.github.io/Logging_0881/klagomål/A 11026-2024 FSC-klagomål.docx", "A 11026-2024")</f>
        <v/>
      </c>
      <c r="W597">
        <f>HYPERLINK("https://klasma.github.io/Logging_0881/klagomålsmail/A 11026-2024 FSC-klagomål mail.docx", "A 11026-2024")</f>
        <v/>
      </c>
      <c r="X597">
        <f>HYPERLINK("https://klasma.github.io/Logging_0881/tillsyn/A 11026-2024 tillsynsbegäran.docx", "A 11026-2024")</f>
        <v/>
      </c>
      <c r="Y597">
        <f>HYPERLINK("https://klasma.github.io/Logging_0881/tillsynsmail/A 11026-2024 tillsynsbegäran mail.docx", "A 11026-2024")</f>
        <v/>
      </c>
      <c r="Z597">
        <f>HYPERLINK("https://klasma.github.io/Logging_0881/fåglar/A 11026-2024 prioriterade fågelarter.docx", "A 11026-2024")</f>
        <v/>
      </c>
    </row>
    <row r="598" ht="15" customHeight="1">
      <c r="A598" t="inlineStr">
        <is>
          <t>A 11849-2024</t>
        </is>
      </c>
      <c r="B598" s="1" t="n">
        <v>45376</v>
      </c>
      <c r="C598" s="1" t="n">
        <v>45715</v>
      </c>
      <c r="D598" t="inlineStr">
        <is>
          <t>KALMAR LÄN</t>
        </is>
      </c>
      <c r="E598" t="inlineStr">
        <is>
          <t>VÄSTERVIK</t>
        </is>
      </c>
      <c r="F598" t="inlineStr">
        <is>
          <t>Sveaskog</t>
        </is>
      </c>
      <c r="G598" t="n">
        <v>5.3</v>
      </c>
      <c r="H598" t="n">
        <v>2</v>
      </c>
      <c r="I598" t="n">
        <v>0</v>
      </c>
      <c r="J598" t="n">
        <v>0</v>
      </c>
      <c r="K598" t="n">
        <v>0</v>
      </c>
      <c r="L598" t="n">
        <v>0</v>
      </c>
      <c r="M598" t="n">
        <v>0</v>
      </c>
      <c r="N598" t="n">
        <v>0</v>
      </c>
      <c r="O598" t="n">
        <v>0</v>
      </c>
      <c r="P598" t="n">
        <v>0</v>
      </c>
      <c r="Q598" t="n">
        <v>2</v>
      </c>
      <c r="R598" s="2" t="inlineStr">
        <is>
          <t>Mattlummer
Revlummer</t>
        </is>
      </c>
      <c r="S598">
        <f>HYPERLINK("https://klasma.github.io/Logging_0883/artfynd/A 11849-2024 artfynd.xlsx", "A 11849-2024")</f>
        <v/>
      </c>
      <c r="T598">
        <f>HYPERLINK("https://klasma.github.io/Logging_0883/kartor/A 11849-2024 karta.png", "A 11849-2024")</f>
        <v/>
      </c>
      <c r="V598">
        <f>HYPERLINK("https://klasma.github.io/Logging_0883/klagomål/A 11849-2024 FSC-klagomål.docx", "A 11849-2024")</f>
        <v/>
      </c>
      <c r="W598">
        <f>HYPERLINK("https://klasma.github.io/Logging_0883/klagomålsmail/A 11849-2024 FSC-klagomål mail.docx", "A 11849-2024")</f>
        <v/>
      </c>
      <c r="X598">
        <f>HYPERLINK("https://klasma.github.io/Logging_0883/tillsyn/A 11849-2024 tillsynsbegäran.docx", "A 11849-2024")</f>
        <v/>
      </c>
      <c r="Y598">
        <f>HYPERLINK("https://klasma.github.io/Logging_0883/tillsynsmail/A 11849-2024 tillsynsbegäran mail.docx", "A 11849-2024")</f>
        <v/>
      </c>
    </row>
    <row r="599" ht="15" customHeight="1">
      <c r="A599" t="inlineStr">
        <is>
          <t>A 12086-2024</t>
        </is>
      </c>
      <c r="B599" s="1" t="n">
        <v>45377</v>
      </c>
      <c r="C599" s="1" t="n">
        <v>45715</v>
      </c>
      <c r="D599" t="inlineStr">
        <is>
          <t>KALMAR LÄN</t>
        </is>
      </c>
      <c r="E599" t="inlineStr">
        <is>
          <t>EMMABODA</t>
        </is>
      </c>
      <c r="G599" t="n">
        <v>2.2</v>
      </c>
      <c r="H599" t="n">
        <v>1</v>
      </c>
      <c r="I599" t="n">
        <v>0</v>
      </c>
      <c r="J599" t="n">
        <v>0</v>
      </c>
      <c r="K599" t="n">
        <v>0</v>
      </c>
      <c r="L599" t="n">
        <v>1</v>
      </c>
      <c r="M599" t="n">
        <v>0</v>
      </c>
      <c r="N599" t="n">
        <v>0</v>
      </c>
      <c r="O599" t="n">
        <v>1</v>
      </c>
      <c r="P599" t="n">
        <v>1</v>
      </c>
      <c r="Q599" t="n">
        <v>2</v>
      </c>
      <c r="R599" s="2" t="inlineStr">
        <is>
          <t>Ask
Gullviva</t>
        </is>
      </c>
      <c r="S599">
        <f>HYPERLINK("https://klasma.github.io/Logging_0862/artfynd/A 12086-2024 artfynd.xlsx", "A 12086-2024")</f>
        <v/>
      </c>
      <c r="T599">
        <f>HYPERLINK("https://klasma.github.io/Logging_0862/kartor/A 12086-2024 karta.png", "A 12086-2024")</f>
        <v/>
      </c>
      <c r="V599">
        <f>HYPERLINK("https://klasma.github.io/Logging_0862/klagomål/A 12086-2024 FSC-klagomål.docx", "A 12086-2024")</f>
        <v/>
      </c>
      <c r="W599">
        <f>HYPERLINK("https://klasma.github.io/Logging_0862/klagomålsmail/A 12086-2024 FSC-klagomål mail.docx", "A 12086-2024")</f>
        <v/>
      </c>
      <c r="X599">
        <f>HYPERLINK("https://klasma.github.io/Logging_0862/tillsyn/A 12086-2024 tillsynsbegäran.docx", "A 12086-2024")</f>
        <v/>
      </c>
      <c r="Y599">
        <f>HYPERLINK("https://klasma.github.io/Logging_0862/tillsynsmail/A 12086-2024 tillsynsbegäran mail.docx", "A 12086-2024")</f>
        <v/>
      </c>
    </row>
    <row r="600" ht="15" customHeight="1">
      <c r="A600" t="inlineStr">
        <is>
          <t>A 12212-2024</t>
        </is>
      </c>
      <c r="B600" s="1" t="n">
        <v>45378</v>
      </c>
      <c r="C600" s="1" t="n">
        <v>45715</v>
      </c>
      <c r="D600" t="inlineStr">
        <is>
          <t>KALMAR LÄN</t>
        </is>
      </c>
      <c r="E600" t="inlineStr">
        <is>
          <t>VÄSTERVIK</t>
        </is>
      </c>
      <c r="G600" t="n">
        <v>0.8</v>
      </c>
      <c r="H600" t="n">
        <v>2</v>
      </c>
      <c r="I600" t="n">
        <v>0</v>
      </c>
      <c r="J600" t="n">
        <v>2</v>
      </c>
      <c r="K600" t="n">
        <v>0</v>
      </c>
      <c r="L600" t="n">
        <v>0</v>
      </c>
      <c r="M600" t="n">
        <v>0</v>
      </c>
      <c r="N600" t="n">
        <v>0</v>
      </c>
      <c r="O600" t="n">
        <v>2</v>
      </c>
      <c r="P600" t="n">
        <v>0</v>
      </c>
      <c r="Q600" t="n">
        <v>2</v>
      </c>
      <c r="R600" s="2" t="inlineStr">
        <is>
          <t>Spillkråka
Talltita</t>
        </is>
      </c>
      <c r="S600">
        <f>HYPERLINK("https://klasma.github.io/Logging_0883/artfynd/A 12212-2024 artfynd.xlsx", "A 12212-2024")</f>
        <v/>
      </c>
      <c r="T600">
        <f>HYPERLINK("https://klasma.github.io/Logging_0883/kartor/A 12212-2024 karta.png", "A 12212-2024")</f>
        <v/>
      </c>
      <c r="V600">
        <f>HYPERLINK("https://klasma.github.io/Logging_0883/klagomål/A 12212-2024 FSC-klagomål.docx", "A 12212-2024")</f>
        <v/>
      </c>
      <c r="W600">
        <f>HYPERLINK("https://klasma.github.io/Logging_0883/klagomålsmail/A 12212-2024 FSC-klagomål mail.docx", "A 12212-2024")</f>
        <v/>
      </c>
      <c r="X600">
        <f>HYPERLINK("https://klasma.github.io/Logging_0883/tillsyn/A 12212-2024 tillsynsbegäran.docx", "A 12212-2024")</f>
        <v/>
      </c>
      <c r="Y600">
        <f>HYPERLINK("https://klasma.github.io/Logging_0883/tillsynsmail/A 12212-2024 tillsynsbegäran mail.docx", "A 12212-2024")</f>
        <v/>
      </c>
      <c r="Z600">
        <f>HYPERLINK("https://klasma.github.io/Logging_0883/fåglar/A 12212-2024 prioriterade fågelarter.docx", "A 12212-2024")</f>
        <v/>
      </c>
    </row>
    <row r="601" ht="15" customHeight="1">
      <c r="A601" t="inlineStr">
        <is>
          <t>A 12598-2024</t>
        </is>
      </c>
      <c r="B601" s="1" t="n">
        <v>45380</v>
      </c>
      <c r="C601" s="1" t="n">
        <v>45715</v>
      </c>
      <c r="D601" t="inlineStr">
        <is>
          <t>KALMAR LÄN</t>
        </is>
      </c>
      <c r="E601" t="inlineStr">
        <is>
          <t>VÄSTERVIK</t>
        </is>
      </c>
      <c r="F601" t="inlineStr">
        <is>
          <t>Holmen skog AB</t>
        </is>
      </c>
      <c r="G601" t="n">
        <v>5</v>
      </c>
      <c r="H601" t="n">
        <v>1</v>
      </c>
      <c r="I601" t="n">
        <v>1</v>
      </c>
      <c r="J601" t="n">
        <v>0</v>
      </c>
      <c r="K601" t="n">
        <v>1</v>
      </c>
      <c r="L601" t="n">
        <v>0</v>
      </c>
      <c r="M601" t="n">
        <v>0</v>
      </c>
      <c r="N601" t="n">
        <v>0</v>
      </c>
      <c r="O601" t="n">
        <v>1</v>
      </c>
      <c r="P601" t="n">
        <v>1</v>
      </c>
      <c r="Q601" t="n">
        <v>2</v>
      </c>
      <c r="R601" s="2" t="inlineStr">
        <is>
          <t>Knärot
Grönpyrola</t>
        </is>
      </c>
      <c r="S601">
        <f>HYPERLINK("https://klasma.github.io/Logging_0883/artfynd/A 12598-2024 artfynd.xlsx", "A 12598-2024")</f>
        <v/>
      </c>
      <c r="T601">
        <f>HYPERLINK("https://klasma.github.io/Logging_0883/kartor/A 12598-2024 karta.png", "A 12598-2024")</f>
        <v/>
      </c>
      <c r="U601">
        <f>HYPERLINK("https://klasma.github.io/Logging_0883/knärot/A 12598-2024 karta knärot.png", "A 12598-2024")</f>
        <v/>
      </c>
      <c r="V601">
        <f>HYPERLINK("https://klasma.github.io/Logging_0883/klagomål/A 12598-2024 FSC-klagomål.docx", "A 12598-2024")</f>
        <v/>
      </c>
      <c r="W601">
        <f>HYPERLINK("https://klasma.github.io/Logging_0883/klagomålsmail/A 12598-2024 FSC-klagomål mail.docx", "A 12598-2024")</f>
        <v/>
      </c>
      <c r="X601">
        <f>HYPERLINK("https://klasma.github.io/Logging_0883/tillsyn/A 12598-2024 tillsynsbegäran.docx", "A 12598-2024")</f>
        <v/>
      </c>
      <c r="Y601">
        <f>HYPERLINK("https://klasma.github.io/Logging_0883/tillsynsmail/A 12598-2024 tillsynsbegäran mail.docx", "A 12598-2024")</f>
        <v/>
      </c>
    </row>
    <row r="602" ht="15" customHeight="1">
      <c r="A602" t="inlineStr">
        <is>
          <t>A 13006-2024</t>
        </is>
      </c>
      <c r="B602" s="1" t="n">
        <v>45385</v>
      </c>
      <c r="C602" s="1" t="n">
        <v>45715</v>
      </c>
      <c r="D602" t="inlineStr">
        <is>
          <t>KALMAR LÄN</t>
        </is>
      </c>
      <c r="E602" t="inlineStr">
        <is>
          <t>HULTSFRED</t>
        </is>
      </c>
      <c r="G602" t="n">
        <v>1.6</v>
      </c>
      <c r="H602" t="n">
        <v>1</v>
      </c>
      <c r="I602" t="n">
        <v>1</v>
      </c>
      <c r="J602" t="n">
        <v>0</v>
      </c>
      <c r="K602" t="n">
        <v>1</v>
      </c>
      <c r="L602" t="n">
        <v>0</v>
      </c>
      <c r="M602" t="n">
        <v>0</v>
      </c>
      <c r="N602" t="n">
        <v>0</v>
      </c>
      <c r="O602" t="n">
        <v>1</v>
      </c>
      <c r="P602" t="n">
        <v>1</v>
      </c>
      <c r="Q602" t="n">
        <v>2</v>
      </c>
      <c r="R602" s="2" t="inlineStr">
        <is>
          <t>Knärot
Skarp dropptaggsvamp</t>
        </is>
      </c>
      <c r="S602">
        <f>HYPERLINK("https://klasma.github.io/Logging_0860/artfynd/A 13006-2024 artfynd.xlsx", "A 13006-2024")</f>
        <v/>
      </c>
      <c r="T602">
        <f>HYPERLINK("https://klasma.github.io/Logging_0860/kartor/A 13006-2024 karta.png", "A 13006-2024")</f>
        <v/>
      </c>
      <c r="U602">
        <f>HYPERLINK("https://klasma.github.io/Logging_0860/knärot/A 13006-2024 karta knärot.png", "A 13006-2024")</f>
        <v/>
      </c>
      <c r="V602">
        <f>HYPERLINK("https://klasma.github.io/Logging_0860/klagomål/A 13006-2024 FSC-klagomål.docx", "A 13006-2024")</f>
        <v/>
      </c>
      <c r="W602">
        <f>HYPERLINK("https://klasma.github.io/Logging_0860/klagomålsmail/A 13006-2024 FSC-klagomål mail.docx", "A 13006-2024")</f>
        <v/>
      </c>
      <c r="X602">
        <f>HYPERLINK("https://klasma.github.io/Logging_0860/tillsyn/A 13006-2024 tillsynsbegäran.docx", "A 13006-2024")</f>
        <v/>
      </c>
      <c r="Y602">
        <f>HYPERLINK("https://klasma.github.io/Logging_0860/tillsynsmail/A 13006-2024 tillsynsbegäran mail.docx", "A 13006-2024")</f>
        <v/>
      </c>
    </row>
    <row r="603" ht="15" customHeight="1">
      <c r="A603" t="inlineStr">
        <is>
          <t>A 13520-2024</t>
        </is>
      </c>
      <c r="B603" s="1" t="n">
        <v>45387</v>
      </c>
      <c r="C603" s="1" t="n">
        <v>45715</v>
      </c>
      <c r="D603" t="inlineStr">
        <is>
          <t>KALMAR LÄN</t>
        </is>
      </c>
      <c r="E603" t="inlineStr">
        <is>
          <t>HULTSFRED</t>
        </is>
      </c>
      <c r="G603" t="n">
        <v>2.7</v>
      </c>
      <c r="H603" t="n">
        <v>1</v>
      </c>
      <c r="I603" t="n">
        <v>0</v>
      </c>
      <c r="J603" t="n">
        <v>1</v>
      </c>
      <c r="K603" t="n">
        <v>0</v>
      </c>
      <c r="L603" t="n">
        <v>1</v>
      </c>
      <c r="M603" t="n">
        <v>0</v>
      </c>
      <c r="N603" t="n">
        <v>0</v>
      </c>
      <c r="O603" t="n">
        <v>2</v>
      </c>
      <c r="P603" t="n">
        <v>1</v>
      </c>
      <c r="Q603" t="n">
        <v>2</v>
      </c>
      <c r="R603" s="2" t="inlineStr">
        <is>
          <t>Ask
Entita</t>
        </is>
      </c>
      <c r="S603">
        <f>HYPERLINK("https://klasma.github.io/Logging_0860/artfynd/A 13520-2024 artfynd.xlsx", "A 13520-2024")</f>
        <v/>
      </c>
      <c r="T603">
        <f>HYPERLINK("https://klasma.github.io/Logging_0860/kartor/A 13520-2024 karta.png", "A 13520-2024")</f>
        <v/>
      </c>
      <c r="V603">
        <f>HYPERLINK("https://klasma.github.io/Logging_0860/klagomål/A 13520-2024 FSC-klagomål.docx", "A 13520-2024")</f>
        <v/>
      </c>
      <c r="W603">
        <f>HYPERLINK("https://klasma.github.io/Logging_0860/klagomålsmail/A 13520-2024 FSC-klagomål mail.docx", "A 13520-2024")</f>
        <v/>
      </c>
      <c r="X603">
        <f>HYPERLINK("https://klasma.github.io/Logging_0860/tillsyn/A 13520-2024 tillsynsbegäran.docx", "A 13520-2024")</f>
        <v/>
      </c>
      <c r="Y603">
        <f>HYPERLINK("https://klasma.github.io/Logging_0860/tillsynsmail/A 13520-2024 tillsynsbegäran mail.docx", "A 13520-2024")</f>
        <v/>
      </c>
      <c r="Z603">
        <f>HYPERLINK("https://klasma.github.io/Logging_0860/fåglar/A 13520-2024 prioriterade fågelarter.docx", "A 13520-2024")</f>
        <v/>
      </c>
    </row>
    <row r="604" ht="15" customHeight="1">
      <c r="A604" t="inlineStr">
        <is>
          <t>A 15534-2024</t>
        </is>
      </c>
      <c r="B604" s="1" t="n">
        <v>45401</v>
      </c>
      <c r="C604" s="1" t="n">
        <v>45715</v>
      </c>
      <c r="D604" t="inlineStr">
        <is>
          <t>KALMAR LÄN</t>
        </is>
      </c>
      <c r="E604" t="inlineStr">
        <is>
          <t>VÄSTERVIK</t>
        </is>
      </c>
      <c r="F604" t="inlineStr">
        <is>
          <t>Holmen skog AB</t>
        </is>
      </c>
      <c r="G604" t="n">
        <v>5.1</v>
      </c>
      <c r="H604" t="n">
        <v>1</v>
      </c>
      <c r="I604" t="n">
        <v>0</v>
      </c>
      <c r="J604" t="n">
        <v>1</v>
      </c>
      <c r="K604" t="n">
        <v>1</v>
      </c>
      <c r="L604" t="n">
        <v>0</v>
      </c>
      <c r="M604" t="n">
        <v>0</v>
      </c>
      <c r="N604" t="n">
        <v>0</v>
      </c>
      <c r="O604" t="n">
        <v>2</v>
      </c>
      <c r="P604" t="n">
        <v>1</v>
      </c>
      <c r="Q604" t="n">
        <v>2</v>
      </c>
      <c r="R604" s="2" t="inlineStr">
        <is>
          <t>Knärot
Tallticka</t>
        </is>
      </c>
      <c r="S604">
        <f>HYPERLINK("https://klasma.github.io/Logging_0883/artfynd/A 15534-2024 artfynd.xlsx", "A 15534-2024")</f>
        <v/>
      </c>
      <c r="T604">
        <f>HYPERLINK("https://klasma.github.io/Logging_0883/kartor/A 15534-2024 karta.png", "A 15534-2024")</f>
        <v/>
      </c>
      <c r="U604">
        <f>HYPERLINK("https://klasma.github.io/Logging_0883/knärot/A 15534-2024 karta knärot.png", "A 15534-2024")</f>
        <v/>
      </c>
      <c r="V604">
        <f>HYPERLINK("https://klasma.github.io/Logging_0883/klagomål/A 15534-2024 FSC-klagomål.docx", "A 15534-2024")</f>
        <v/>
      </c>
      <c r="W604">
        <f>HYPERLINK("https://klasma.github.io/Logging_0883/klagomålsmail/A 15534-2024 FSC-klagomål mail.docx", "A 15534-2024")</f>
        <v/>
      </c>
      <c r="X604">
        <f>HYPERLINK("https://klasma.github.io/Logging_0883/tillsyn/A 15534-2024 tillsynsbegäran.docx", "A 15534-2024")</f>
        <v/>
      </c>
      <c r="Y604">
        <f>HYPERLINK("https://klasma.github.io/Logging_0883/tillsynsmail/A 15534-2024 tillsynsbegäran mail.docx", "A 15534-2024")</f>
        <v/>
      </c>
    </row>
    <row r="605" ht="15" customHeight="1">
      <c r="A605" t="inlineStr">
        <is>
          <t>A 15941-2024</t>
        </is>
      </c>
      <c r="B605" s="1" t="n">
        <v>45405</v>
      </c>
      <c r="C605" s="1" t="n">
        <v>45715</v>
      </c>
      <c r="D605" t="inlineStr">
        <is>
          <t>KALMAR LÄN</t>
        </is>
      </c>
      <c r="E605" t="inlineStr">
        <is>
          <t>MÖNSTERÅS</t>
        </is>
      </c>
      <c r="G605" t="n">
        <v>5.9</v>
      </c>
      <c r="H605" t="n">
        <v>2</v>
      </c>
      <c r="I605" t="n">
        <v>0</v>
      </c>
      <c r="J605" t="n">
        <v>1</v>
      </c>
      <c r="K605" t="n">
        <v>1</v>
      </c>
      <c r="L605" t="n">
        <v>0</v>
      </c>
      <c r="M605" t="n">
        <v>0</v>
      </c>
      <c r="N605" t="n">
        <v>0</v>
      </c>
      <c r="O605" t="n">
        <v>2</v>
      </c>
      <c r="P605" t="n">
        <v>1</v>
      </c>
      <c r="Q605" t="n">
        <v>2</v>
      </c>
      <c r="R605" s="2" t="inlineStr">
        <is>
          <t>Knärot
Spillkråka</t>
        </is>
      </c>
      <c r="S605">
        <f>HYPERLINK("https://klasma.github.io/Logging_0861/artfynd/A 15941-2024 artfynd.xlsx", "A 15941-2024")</f>
        <v/>
      </c>
      <c r="T605">
        <f>HYPERLINK("https://klasma.github.io/Logging_0861/kartor/A 15941-2024 karta.png", "A 15941-2024")</f>
        <v/>
      </c>
      <c r="U605">
        <f>HYPERLINK("https://klasma.github.io/Logging_0861/knärot/A 15941-2024 karta knärot.png", "A 15941-2024")</f>
        <v/>
      </c>
      <c r="V605">
        <f>HYPERLINK("https://klasma.github.io/Logging_0861/klagomål/A 15941-2024 FSC-klagomål.docx", "A 15941-2024")</f>
        <v/>
      </c>
      <c r="W605">
        <f>HYPERLINK("https://klasma.github.io/Logging_0861/klagomålsmail/A 15941-2024 FSC-klagomål mail.docx", "A 15941-2024")</f>
        <v/>
      </c>
      <c r="X605">
        <f>HYPERLINK("https://klasma.github.io/Logging_0861/tillsyn/A 15941-2024 tillsynsbegäran.docx", "A 15941-2024")</f>
        <v/>
      </c>
      <c r="Y605">
        <f>HYPERLINK("https://klasma.github.io/Logging_0861/tillsynsmail/A 15941-2024 tillsynsbegäran mail.docx", "A 15941-2024")</f>
        <v/>
      </c>
      <c r="Z605">
        <f>HYPERLINK("https://klasma.github.io/Logging_0861/fåglar/A 15941-2024 prioriterade fågelarter.docx", "A 15941-2024")</f>
        <v/>
      </c>
    </row>
    <row r="606" ht="15" customHeight="1">
      <c r="A606" t="inlineStr">
        <is>
          <t>A 16419-2024</t>
        </is>
      </c>
      <c r="B606" s="1" t="n">
        <v>45407</v>
      </c>
      <c r="C606" s="1" t="n">
        <v>45715</v>
      </c>
      <c r="D606" t="inlineStr">
        <is>
          <t>KALMAR LÄN</t>
        </is>
      </c>
      <c r="E606" t="inlineStr">
        <is>
          <t>VÄSTERVIK</t>
        </is>
      </c>
      <c r="F606" t="inlineStr">
        <is>
          <t>Holmen skog AB</t>
        </is>
      </c>
      <c r="G606" t="n">
        <v>1.8</v>
      </c>
      <c r="H606" t="n">
        <v>2</v>
      </c>
      <c r="I606" t="n">
        <v>0</v>
      </c>
      <c r="J606" t="n">
        <v>1</v>
      </c>
      <c r="K606" t="n">
        <v>1</v>
      </c>
      <c r="L606" t="n">
        <v>0</v>
      </c>
      <c r="M606" t="n">
        <v>0</v>
      </c>
      <c r="N606" t="n">
        <v>0</v>
      </c>
      <c r="O606" t="n">
        <v>2</v>
      </c>
      <c r="P606" t="n">
        <v>1</v>
      </c>
      <c r="Q606" t="n">
        <v>2</v>
      </c>
      <c r="R606" s="2" t="inlineStr">
        <is>
          <t>Knärot
Spillkråka</t>
        </is>
      </c>
      <c r="S606">
        <f>HYPERLINK("https://klasma.github.io/Logging_0883/artfynd/A 16419-2024 artfynd.xlsx", "A 16419-2024")</f>
        <v/>
      </c>
      <c r="T606">
        <f>HYPERLINK("https://klasma.github.io/Logging_0883/kartor/A 16419-2024 karta.png", "A 16419-2024")</f>
        <v/>
      </c>
      <c r="U606">
        <f>HYPERLINK("https://klasma.github.io/Logging_0883/knärot/A 16419-2024 karta knärot.png", "A 16419-2024")</f>
        <v/>
      </c>
      <c r="V606">
        <f>HYPERLINK("https://klasma.github.io/Logging_0883/klagomål/A 16419-2024 FSC-klagomål.docx", "A 16419-2024")</f>
        <v/>
      </c>
      <c r="W606">
        <f>HYPERLINK("https://klasma.github.io/Logging_0883/klagomålsmail/A 16419-2024 FSC-klagomål mail.docx", "A 16419-2024")</f>
        <v/>
      </c>
      <c r="X606">
        <f>HYPERLINK("https://klasma.github.io/Logging_0883/tillsyn/A 16419-2024 tillsynsbegäran.docx", "A 16419-2024")</f>
        <v/>
      </c>
      <c r="Y606">
        <f>HYPERLINK("https://klasma.github.io/Logging_0883/tillsynsmail/A 16419-2024 tillsynsbegäran mail.docx", "A 16419-2024")</f>
        <v/>
      </c>
      <c r="Z606">
        <f>HYPERLINK("https://klasma.github.io/Logging_0883/fåglar/A 16419-2024 prioriterade fågelarter.docx", "A 16419-2024")</f>
        <v/>
      </c>
    </row>
    <row r="607" ht="15" customHeight="1">
      <c r="A607" t="inlineStr">
        <is>
          <t>A 17438-2024</t>
        </is>
      </c>
      <c r="B607" s="1" t="n">
        <v>45415</v>
      </c>
      <c r="C607" s="1" t="n">
        <v>45715</v>
      </c>
      <c r="D607" t="inlineStr">
        <is>
          <t>KALMAR LÄN</t>
        </is>
      </c>
      <c r="E607" t="inlineStr">
        <is>
          <t>VÄSTERVIK</t>
        </is>
      </c>
      <c r="G607" t="n">
        <v>3.8</v>
      </c>
      <c r="H607" t="n">
        <v>2</v>
      </c>
      <c r="I607" t="n">
        <v>0</v>
      </c>
      <c r="J607" t="n">
        <v>1</v>
      </c>
      <c r="K607" t="n">
        <v>1</v>
      </c>
      <c r="L607" t="n">
        <v>0</v>
      </c>
      <c r="M607" t="n">
        <v>0</v>
      </c>
      <c r="N607" t="n">
        <v>0</v>
      </c>
      <c r="O607" t="n">
        <v>2</v>
      </c>
      <c r="P607" t="n">
        <v>1</v>
      </c>
      <c r="Q607" t="n">
        <v>2</v>
      </c>
      <c r="R607" s="2" t="inlineStr">
        <is>
          <t>Knärot
Spillkråka</t>
        </is>
      </c>
      <c r="S607">
        <f>HYPERLINK("https://klasma.github.io/Logging_0883/artfynd/A 17438-2024 artfynd.xlsx", "A 17438-2024")</f>
        <v/>
      </c>
      <c r="T607">
        <f>HYPERLINK("https://klasma.github.io/Logging_0883/kartor/A 17438-2024 karta.png", "A 17438-2024")</f>
        <v/>
      </c>
      <c r="U607">
        <f>HYPERLINK("https://klasma.github.io/Logging_0883/knärot/A 17438-2024 karta knärot.png", "A 17438-2024")</f>
        <v/>
      </c>
      <c r="V607">
        <f>HYPERLINK("https://klasma.github.io/Logging_0883/klagomål/A 17438-2024 FSC-klagomål.docx", "A 17438-2024")</f>
        <v/>
      </c>
      <c r="W607">
        <f>HYPERLINK("https://klasma.github.io/Logging_0883/klagomålsmail/A 17438-2024 FSC-klagomål mail.docx", "A 17438-2024")</f>
        <v/>
      </c>
      <c r="X607">
        <f>HYPERLINK("https://klasma.github.io/Logging_0883/tillsyn/A 17438-2024 tillsynsbegäran.docx", "A 17438-2024")</f>
        <v/>
      </c>
      <c r="Y607">
        <f>HYPERLINK("https://klasma.github.io/Logging_0883/tillsynsmail/A 17438-2024 tillsynsbegäran mail.docx", "A 17438-2024")</f>
        <v/>
      </c>
      <c r="Z607">
        <f>HYPERLINK("https://klasma.github.io/Logging_0883/fåglar/A 17438-2024 prioriterade fågelarter.docx", "A 17438-2024")</f>
        <v/>
      </c>
    </row>
    <row r="608" ht="15" customHeight="1">
      <c r="A608" t="inlineStr">
        <is>
          <t>A 19145-2024</t>
        </is>
      </c>
      <c r="B608" s="1" t="n">
        <v>45428</v>
      </c>
      <c r="C608" s="1" t="n">
        <v>45715</v>
      </c>
      <c r="D608" t="inlineStr">
        <is>
          <t>KALMAR LÄN</t>
        </is>
      </c>
      <c r="E608" t="inlineStr">
        <is>
          <t>NYBRO</t>
        </is>
      </c>
      <c r="G608" t="n">
        <v>3.5</v>
      </c>
      <c r="H608" t="n">
        <v>2</v>
      </c>
      <c r="I608" t="n">
        <v>0</v>
      </c>
      <c r="J608" t="n">
        <v>0</v>
      </c>
      <c r="K608" t="n">
        <v>0</v>
      </c>
      <c r="L608" t="n">
        <v>0</v>
      </c>
      <c r="M608" t="n">
        <v>0</v>
      </c>
      <c r="N608" t="n">
        <v>0</v>
      </c>
      <c r="O608" t="n">
        <v>0</v>
      </c>
      <c r="P608" t="n">
        <v>0</v>
      </c>
      <c r="Q608" t="n">
        <v>2</v>
      </c>
      <c r="R608" s="2" t="inlineStr">
        <is>
          <t>Grönsiska
Kungsfågel</t>
        </is>
      </c>
      <c r="S608">
        <f>HYPERLINK("https://klasma.github.io/Logging_0881/artfynd/A 19145-2024 artfynd.xlsx", "A 19145-2024")</f>
        <v/>
      </c>
      <c r="T608">
        <f>HYPERLINK("https://klasma.github.io/Logging_0881/kartor/A 19145-2024 karta.png", "A 19145-2024")</f>
        <v/>
      </c>
      <c r="V608">
        <f>HYPERLINK("https://klasma.github.io/Logging_0881/klagomål/A 19145-2024 FSC-klagomål.docx", "A 19145-2024")</f>
        <v/>
      </c>
      <c r="W608">
        <f>HYPERLINK("https://klasma.github.io/Logging_0881/klagomålsmail/A 19145-2024 FSC-klagomål mail.docx", "A 19145-2024")</f>
        <v/>
      </c>
      <c r="X608">
        <f>HYPERLINK("https://klasma.github.io/Logging_0881/tillsyn/A 19145-2024 tillsynsbegäran.docx", "A 19145-2024")</f>
        <v/>
      </c>
      <c r="Y608">
        <f>HYPERLINK("https://klasma.github.io/Logging_0881/tillsynsmail/A 19145-2024 tillsynsbegäran mail.docx", "A 19145-2024")</f>
        <v/>
      </c>
      <c r="Z608">
        <f>HYPERLINK("https://klasma.github.io/Logging_0881/fåglar/A 19145-2024 prioriterade fågelarter.docx", "A 19145-2024")</f>
        <v/>
      </c>
    </row>
    <row r="609" ht="15" customHeight="1">
      <c r="A609" t="inlineStr">
        <is>
          <t>A 21748-2024</t>
        </is>
      </c>
      <c r="B609" s="1" t="n">
        <v>45442</v>
      </c>
      <c r="C609" s="1" t="n">
        <v>45715</v>
      </c>
      <c r="D609" t="inlineStr">
        <is>
          <t>KALMAR LÄN</t>
        </is>
      </c>
      <c r="E609" t="inlineStr">
        <is>
          <t>NYBRO</t>
        </is>
      </c>
      <c r="F609" t="inlineStr">
        <is>
          <t>Sveaskog</t>
        </is>
      </c>
      <c r="G609" t="n">
        <v>1.4</v>
      </c>
      <c r="H609" t="n">
        <v>0</v>
      </c>
      <c r="I609" t="n">
        <v>2</v>
      </c>
      <c r="J609" t="n">
        <v>0</v>
      </c>
      <c r="K609" t="n">
        <v>0</v>
      </c>
      <c r="L609" t="n">
        <v>0</v>
      </c>
      <c r="M609" t="n">
        <v>0</v>
      </c>
      <c r="N609" t="n">
        <v>0</v>
      </c>
      <c r="O609" t="n">
        <v>0</v>
      </c>
      <c r="P609" t="n">
        <v>0</v>
      </c>
      <c r="Q609" t="n">
        <v>2</v>
      </c>
      <c r="R609" s="2" t="inlineStr">
        <is>
          <t>Blomskägglav
Guldlockmossa</t>
        </is>
      </c>
      <c r="S609">
        <f>HYPERLINK("https://klasma.github.io/Logging_0881/artfynd/A 21748-2024 artfynd.xlsx", "A 21748-2024")</f>
        <v/>
      </c>
      <c r="T609">
        <f>HYPERLINK("https://klasma.github.io/Logging_0881/kartor/A 21748-2024 karta.png", "A 21748-2024")</f>
        <v/>
      </c>
      <c r="V609">
        <f>HYPERLINK("https://klasma.github.io/Logging_0881/klagomål/A 21748-2024 FSC-klagomål.docx", "A 21748-2024")</f>
        <v/>
      </c>
      <c r="W609">
        <f>HYPERLINK("https://klasma.github.io/Logging_0881/klagomålsmail/A 21748-2024 FSC-klagomål mail.docx", "A 21748-2024")</f>
        <v/>
      </c>
      <c r="X609">
        <f>HYPERLINK("https://klasma.github.io/Logging_0881/tillsyn/A 21748-2024 tillsynsbegäran.docx", "A 21748-2024")</f>
        <v/>
      </c>
      <c r="Y609">
        <f>HYPERLINK("https://klasma.github.io/Logging_0881/tillsynsmail/A 21748-2024 tillsynsbegäran mail.docx", "A 21748-2024")</f>
        <v/>
      </c>
    </row>
    <row r="610" ht="15" customHeight="1">
      <c r="A610" t="inlineStr">
        <is>
          <t>A 22297-2024</t>
        </is>
      </c>
      <c r="B610" s="1" t="n">
        <v>45446</v>
      </c>
      <c r="C610" s="1" t="n">
        <v>45715</v>
      </c>
      <c r="D610" t="inlineStr">
        <is>
          <t>KALMAR LÄN</t>
        </is>
      </c>
      <c r="E610" t="inlineStr">
        <is>
          <t>OSKARSHAMN</t>
        </is>
      </c>
      <c r="G610" t="n">
        <v>3.4</v>
      </c>
      <c r="H610" t="n">
        <v>0</v>
      </c>
      <c r="I610" t="n">
        <v>1</v>
      </c>
      <c r="J610" t="n">
        <v>1</v>
      </c>
      <c r="K610" t="n">
        <v>0</v>
      </c>
      <c r="L610" t="n">
        <v>0</v>
      </c>
      <c r="M610" t="n">
        <v>0</v>
      </c>
      <c r="N610" t="n">
        <v>0</v>
      </c>
      <c r="O610" t="n">
        <v>1</v>
      </c>
      <c r="P610" t="n">
        <v>0</v>
      </c>
      <c r="Q610" t="n">
        <v>2</v>
      </c>
      <c r="R610" s="2" t="inlineStr">
        <is>
          <t>Ekticka
Blomskägglav</t>
        </is>
      </c>
      <c r="S610">
        <f>HYPERLINK("https://klasma.github.io/Logging_0882/artfynd/A 22297-2024 artfynd.xlsx", "A 22297-2024")</f>
        <v/>
      </c>
      <c r="T610">
        <f>HYPERLINK("https://klasma.github.io/Logging_0882/kartor/A 22297-2024 karta.png", "A 22297-2024")</f>
        <v/>
      </c>
      <c r="V610">
        <f>HYPERLINK("https://klasma.github.io/Logging_0882/klagomål/A 22297-2024 FSC-klagomål.docx", "A 22297-2024")</f>
        <v/>
      </c>
      <c r="W610">
        <f>HYPERLINK("https://klasma.github.io/Logging_0882/klagomålsmail/A 22297-2024 FSC-klagomål mail.docx", "A 22297-2024")</f>
        <v/>
      </c>
      <c r="X610">
        <f>HYPERLINK("https://klasma.github.io/Logging_0882/tillsyn/A 22297-2024 tillsynsbegäran.docx", "A 22297-2024")</f>
        <v/>
      </c>
      <c r="Y610">
        <f>HYPERLINK("https://klasma.github.io/Logging_0882/tillsynsmail/A 22297-2024 tillsynsbegäran mail.docx", "A 22297-2024")</f>
        <v/>
      </c>
    </row>
    <row r="611" ht="15" customHeight="1">
      <c r="A611" t="inlineStr">
        <is>
          <t>A 22683-2024</t>
        </is>
      </c>
      <c r="B611" s="1" t="n">
        <v>45447</v>
      </c>
      <c r="C611" s="1" t="n">
        <v>45715</v>
      </c>
      <c r="D611" t="inlineStr">
        <is>
          <t>KALMAR LÄN</t>
        </is>
      </c>
      <c r="E611" t="inlineStr">
        <is>
          <t>NYBRO</t>
        </is>
      </c>
      <c r="G611" t="n">
        <v>6.7</v>
      </c>
      <c r="H611" t="n">
        <v>2</v>
      </c>
      <c r="I611" t="n">
        <v>2</v>
      </c>
      <c r="J611" t="n">
        <v>0</v>
      </c>
      <c r="K611" t="n">
        <v>0</v>
      </c>
      <c r="L611" t="n">
        <v>0</v>
      </c>
      <c r="M611" t="n">
        <v>0</v>
      </c>
      <c r="N611" t="n">
        <v>0</v>
      </c>
      <c r="O611" t="n">
        <v>0</v>
      </c>
      <c r="P611" t="n">
        <v>0</v>
      </c>
      <c r="Q611" t="n">
        <v>2</v>
      </c>
      <c r="R611" s="2" t="inlineStr">
        <is>
          <t>Purpurknipprot
Skogsknipprot</t>
        </is>
      </c>
      <c r="S611">
        <f>HYPERLINK("https://klasma.github.io/Logging_0881/artfynd/A 22683-2024 artfynd.xlsx", "A 22683-2024")</f>
        <v/>
      </c>
      <c r="T611">
        <f>HYPERLINK("https://klasma.github.io/Logging_0881/kartor/A 22683-2024 karta.png", "A 22683-2024")</f>
        <v/>
      </c>
      <c r="V611">
        <f>HYPERLINK("https://klasma.github.io/Logging_0881/klagomål/A 22683-2024 FSC-klagomål.docx", "A 22683-2024")</f>
        <v/>
      </c>
      <c r="W611">
        <f>HYPERLINK("https://klasma.github.io/Logging_0881/klagomålsmail/A 22683-2024 FSC-klagomål mail.docx", "A 22683-2024")</f>
        <v/>
      </c>
      <c r="X611">
        <f>HYPERLINK("https://klasma.github.io/Logging_0881/tillsyn/A 22683-2024 tillsynsbegäran.docx", "A 22683-2024")</f>
        <v/>
      </c>
      <c r="Y611">
        <f>HYPERLINK("https://klasma.github.io/Logging_0881/tillsynsmail/A 22683-2024 tillsynsbegäran mail.docx", "A 22683-2024")</f>
        <v/>
      </c>
    </row>
    <row r="612" ht="15" customHeight="1">
      <c r="A612" t="inlineStr">
        <is>
          <t>A 23220-2024</t>
        </is>
      </c>
      <c r="B612" s="1" t="n">
        <v>45452</v>
      </c>
      <c r="C612" s="1" t="n">
        <v>45715</v>
      </c>
      <c r="D612" t="inlineStr">
        <is>
          <t>KALMAR LÄN</t>
        </is>
      </c>
      <c r="E612" t="inlineStr">
        <is>
          <t>VÄSTERVIK</t>
        </is>
      </c>
      <c r="G612" t="n">
        <v>0.9</v>
      </c>
      <c r="H612" t="n">
        <v>0</v>
      </c>
      <c r="I612" t="n">
        <v>2</v>
      </c>
      <c r="J612" t="n">
        <v>0</v>
      </c>
      <c r="K612" t="n">
        <v>0</v>
      </c>
      <c r="L612" t="n">
        <v>0</v>
      </c>
      <c r="M612" t="n">
        <v>0</v>
      </c>
      <c r="N612" t="n">
        <v>0</v>
      </c>
      <c r="O612" t="n">
        <v>0</v>
      </c>
      <c r="P612" t="n">
        <v>0</v>
      </c>
      <c r="Q612" t="n">
        <v>2</v>
      </c>
      <c r="R612" s="2" t="inlineStr">
        <is>
          <t>Blåmossa
Grönpyrola</t>
        </is>
      </c>
      <c r="S612">
        <f>HYPERLINK("https://klasma.github.io/Logging_0883/artfynd/A 23220-2024 artfynd.xlsx", "A 23220-2024")</f>
        <v/>
      </c>
      <c r="T612">
        <f>HYPERLINK("https://klasma.github.io/Logging_0883/kartor/A 23220-2024 karta.png", "A 23220-2024")</f>
        <v/>
      </c>
      <c r="V612">
        <f>HYPERLINK("https://klasma.github.io/Logging_0883/klagomål/A 23220-2024 FSC-klagomål.docx", "A 23220-2024")</f>
        <v/>
      </c>
      <c r="W612">
        <f>HYPERLINK("https://klasma.github.io/Logging_0883/klagomålsmail/A 23220-2024 FSC-klagomål mail.docx", "A 23220-2024")</f>
        <v/>
      </c>
      <c r="X612">
        <f>HYPERLINK("https://klasma.github.io/Logging_0883/tillsyn/A 23220-2024 tillsynsbegäran.docx", "A 23220-2024")</f>
        <v/>
      </c>
      <c r="Y612">
        <f>HYPERLINK("https://klasma.github.io/Logging_0883/tillsynsmail/A 23220-2024 tillsynsbegäran mail.docx", "A 23220-2024")</f>
        <v/>
      </c>
    </row>
    <row r="613" ht="15" customHeight="1">
      <c r="A613" t="inlineStr">
        <is>
          <t>A 23791-2024</t>
        </is>
      </c>
      <c r="B613" s="1" t="n">
        <v>45455</v>
      </c>
      <c r="C613" s="1" t="n">
        <v>45715</v>
      </c>
      <c r="D613" t="inlineStr">
        <is>
          <t>KALMAR LÄN</t>
        </is>
      </c>
      <c r="E613" t="inlineStr">
        <is>
          <t>VÄSTERVIK</t>
        </is>
      </c>
      <c r="G613" t="n">
        <v>1.1</v>
      </c>
      <c r="H613" t="n">
        <v>1</v>
      </c>
      <c r="I613" t="n">
        <v>1</v>
      </c>
      <c r="J613" t="n">
        <v>0</v>
      </c>
      <c r="K613" t="n">
        <v>1</v>
      </c>
      <c r="L613" t="n">
        <v>0</v>
      </c>
      <c r="M613" t="n">
        <v>0</v>
      </c>
      <c r="N613" t="n">
        <v>0</v>
      </c>
      <c r="O613" t="n">
        <v>1</v>
      </c>
      <c r="P613" t="n">
        <v>1</v>
      </c>
      <c r="Q613" t="n">
        <v>2</v>
      </c>
      <c r="R613" s="2" t="inlineStr">
        <is>
          <t>Knärot
Tjockfotad fingersvamp</t>
        </is>
      </c>
      <c r="S613">
        <f>HYPERLINK("https://klasma.github.io/Logging_0883/artfynd/A 23791-2024 artfynd.xlsx", "A 23791-2024")</f>
        <v/>
      </c>
      <c r="T613">
        <f>HYPERLINK("https://klasma.github.io/Logging_0883/kartor/A 23791-2024 karta.png", "A 23791-2024")</f>
        <v/>
      </c>
      <c r="U613">
        <f>HYPERLINK("https://klasma.github.io/Logging_0883/knärot/A 23791-2024 karta knärot.png", "A 23791-2024")</f>
        <v/>
      </c>
      <c r="V613">
        <f>HYPERLINK("https://klasma.github.io/Logging_0883/klagomål/A 23791-2024 FSC-klagomål.docx", "A 23791-2024")</f>
        <v/>
      </c>
      <c r="W613">
        <f>HYPERLINK("https://klasma.github.io/Logging_0883/klagomålsmail/A 23791-2024 FSC-klagomål mail.docx", "A 23791-2024")</f>
        <v/>
      </c>
      <c r="X613">
        <f>HYPERLINK("https://klasma.github.io/Logging_0883/tillsyn/A 23791-2024 tillsynsbegäran.docx", "A 23791-2024")</f>
        <v/>
      </c>
      <c r="Y613">
        <f>HYPERLINK("https://klasma.github.io/Logging_0883/tillsynsmail/A 23791-2024 tillsynsbegäran mail.docx", "A 23791-2024")</f>
        <v/>
      </c>
    </row>
    <row r="614" ht="15" customHeight="1">
      <c r="A614" t="inlineStr">
        <is>
          <t>A 26465-2024</t>
        </is>
      </c>
      <c r="B614" s="1" t="n">
        <v>45469</v>
      </c>
      <c r="C614" s="1" t="n">
        <v>45715</v>
      </c>
      <c r="D614" t="inlineStr">
        <is>
          <t>KALMAR LÄN</t>
        </is>
      </c>
      <c r="E614" t="inlineStr">
        <is>
          <t>VIMMERBY</t>
        </is>
      </c>
      <c r="F614" t="inlineStr">
        <is>
          <t>Kyrkan</t>
        </is>
      </c>
      <c r="G614" t="n">
        <v>8.199999999999999</v>
      </c>
      <c r="H614" t="n">
        <v>2</v>
      </c>
      <c r="I614" t="n">
        <v>0</v>
      </c>
      <c r="J614" t="n">
        <v>2</v>
      </c>
      <c r="K614" t="n">
        <v>0</v>
      </c>
      <c r="L614" t="n">
        <v>0</v>
      </c>
      <c r="M614" t="n">
        <v>0</v>
      </c>
      <c r="N614" t="n">
        <v>0</v>
      </c>
      <c r="O614" t="n">
        <v>2</v>
      </c>
      <c r="P614" t="n">
        <v>0</v>
      </c>
      <c r="Q614" t="n">
        <v>2</v>
      </c>
      <c r="R614" s="2" t="inlineStr">
        <is>
          <t>Mindre hackspett
Talltita</t>
        </is>
      </c>
      <c r="S614">
        <f>HYPERLINK("https://klasma.github.io/Logging_0884/artfynd/A 26465-2024 artfynd.xlsx", "A 26465-2024")</f>
        <v/>
      </c>
      <c r="T614">
        <f>HYPERLINK("https://klasma.github.io/Logging_0884/kartor/A 26465-2024 karta.png", "A 26465-2024")</f>
        <v/>
      </c>
      <c r="V614">
        <f>HYPERLINK("https://klasma.github.io/Logging_0884/klagomål/A 26465-2024 FSC-klagomål.docx", "A 26465-2024")</f>
        <v/>
      </c>
      <c r="W614">
        <f>HYPERLINK("https://klasma.github.io/Logging_0884/klagomålsmail/A 26465-2024 FSC-klagomål mail.docx", "A 26465-2024")</f>
        <v/>
      </c>
      <c r="X614">
        <f>HYPERLINK("https://klasma.github.io/Logging_0884/tillsyn/A 26465-2024 tillsynsbegäran.docx", "A 26465-2024")</f>
        <v/>
      </c>
      <c r="Y614">
        <f>HYPERLINK("https://klasma.github.io/Logging_0884/tillsynsmail/A 26465-2024 tillsynsbegäran mail.docx", "A 26465-2024")</f>
        <v/>
      </c>
      <c r="Z614">
        <f>HYPERLINK("https://klasma.github.io/Logging_0884/fåglar/A 26465-2024 prioriterade fågelarter.docx", "A 26465-2024")</f>
        <v/>
      </c>
    </row>
    <row r="615" ht="15" customHeight="1">
      <c r="A615" t="inlineStr">
        <is>
          <t>A 26992-2024</t>
        </is>
      </c>
      <c r="B615" s="1" t="n">
        <v>45471</v>
      </c>
      <c r="C615" s="1" t="n">
        <v>45715</v>
      </c>
      <c r="D615" t="inlineStr">
        <is>
          <t>KALMAR LÄN</t>
        </is>
      </c>
      <c r="E615" t="inlineStr">
        <is>
          <t>VÄSTERVIK</t>
        </is>
      </c>
      <c r="F615" t="inlineStr">
        <is>
          <t>Holmen skog AB</t>
        </is>
      </c>
      <c r="G615" t="n">
        <v>4.6</v>
      </c>
      <c r="H615" t="n">
        <v>2</v>
      </c>
      <c r="I615" t="n">
        <v>0</v>
      </c>
      <c r="J615" t="n">
        <v>2</v>
      </c>
      <c r="K615" t="n">
        <v>0</v>
      </c>
      <c r="L615" t="n">
        <v>0</v>
      </c>
      <c r="M615" t="n">
        <v>0</v>
      </c>
      <c r="N615" t="n">
        <v>0</v>
      </c>
      <c r="O615" t="n">
        <v>2</v>
      </c>
      <c r="P615" t="n">
        <v>0</v>
      </c>
      <c r="Q615" t="n">
        <v>2</v>
      </c>
      <c r="R615" s="2" t="inlineStr">
        <is>
          <t>Mindre hackspett
Talltita</t>
        </is>
      </c>
      <c r="S615">
        <f>HYPERLINK("https://klasma.github.io/Logging_0883/artfynd/A 26992-2024 artfynd.xlsx", "A 26992-2024")</f>
        <v/>
      </c>
      <c r="T615">
        <f>HYPERLINK("https://klasma.github.io/Logging_0883/kartor/A 26992-2024 karta.png", "A 26992-2024")</f>
        <v/>
      </c>
      <c r="V615">
        <f>HYPERLINK("https://klasma.github.io/Logging_0883/klagomål/A 26992-2024 FSC-klagomål.docx", "A 26992-2024")</f>
        <v/>
      </c>
      <c r="W615">
        <f>HYPERLINK("https://klasma.github.io/Logging_0883/klagomålsmail/A 26992-2024 FSC-klagomål mail.docx", "A 26992-2024")</f>
        <v/>
      </c>
      <c r="X615">
        <f>HYPERLINK("https://klasma.github.io/Logging_0883/tillsyn/A 26992-2024 tillsynsbegäran.docx", "A 26992-2024")</f>
        <v/>
      </c>
      <c r="Y615">
        <f>HYPERLINK("https://klasma.github.io/Logging_0883/tillsynsmail/A 26992-2024 tillsynsbegäran mail.docx", "A 26992-2024")</f>
        <v/>
      </c>
      <c r="Z615">
        <f>HYPERLINK("https://klasma.github.io/Logging_0883/fåglar/A 26992-2024 prioriterade fågelarter.docx", "A 26992-2024")</f>
        <v/>
      </c>
    </row>
    <row r="616" ht="15" customHeight="1">
      <c r="A616" t="inlineStr">
        <is>
          <t>A 28468-2024</t>
        </is>
      </c>
      <c r="B616" s="1" t="n">
        <v>45477</v>
      </c>
      <c r="C616" s="1" t="n">
        <v>45715</v>
      </c>
      <c r="D616" t="inlineStr">
        <is>
          <t>KALMAR LÄN</t>
        </is>
      </c>
      <c r="E616" t="inlineStr">
        <is>
          <t>HULTSFRED</t>
        </is>
      </c>
      <c r="F616" t="inlineStr">
        <is>
          <t>Sveaskog</t>
        </is>
      </c>
      <c r="G616" t="n">
        <v>4.2</v>
      </c>
      <c r="H616" t="n">
        <v>2</v>
      </c>
      <c r="I616" t="n">
        <v>0</v>
      </c>
      <c r="J616" t="n">
        <v>0</v>
      </c>
      <c r="K616" t="n">
        <v>0</v>
      </c>
      <c r="L616" t="n">
        <v>0</v>
      </c>
      <c r="M616" t="n">
        <v>0</v>
      </c>
      <c r="N616" t="n">
        <v>0</v>
      </c>
      <c r="O616" t="n">
        <v>0</v>
      </c>
      <c r="P616" t="n">
        <v>0</v>
      </c>
      <c r="Q616" t="n">
        <v>2</v>
      </c>
      <c r="R616" s="2" t="inlineStr">
        <is>
          <t>Bred kärrtrollslända
Pudrad kärrtrollslända</t>
        </is>
      </c>
      <c r="S616">
        <f>HYPERLINK("https://klasma.github.io/Logging_0860/artfynd/A 28468-2024 artfynd.xlsx", "A 28468-2024")</f>
        <v/>
      </c>
      <c r="T616">
        <f>HYPERLINK("https://klasma.github.io/Logging_0860/kartor/A 28468-2024 karta.png", "A 28468-2024")</f>
        <v/>
      </c>
      <c r="V616">
        <f>HYPERLINK("https://klasma.github.io/Logging_0860/klagomål/A 28468-2024 FSC-klagomål.docx", "A 28468-2024")</f>
        <v/>
      </c>
      <c r="W616">
        <f>HYPERLINK("https://klasma.github.io/Logging_0860/klagomålsmail/A 28468-2024 FSC-klagomål mail.docx", "A 28468-2024")</f>
        <v/>
      </c>
      <c r="X616">
        <f>HYPERLINK("https://klasma.github.io/Logging_0860/tillsyn/A 28468-2024 tillsynsbegäran.docx", "A 28468-2024")</f>
        <v/>
      </c>
      <c r="Y616">
        <f>HYPERLINK("https://klasma.github.io/Logging_0860/tillsynsmail/A 28468-2024 tillsynsbegäran mail.docx", "A 28468-2024")</f>
        <v/>
      </c>
    </row>
    <row r="617" ht="15" customHeight="1">
      <c r="A617" t="inlineStr">
        <is>
          <t>A 28401-2024</t>
        </is>
      </c>
      <c r="B617" s="1" t="n">
        <v>45477</v>
      </c>
      <c r="C617" s="1" t="n">
        <v>45715</v>
      </c>
      <c r="D617" t="inlineStr">
        <is>
          <t>KALMAR LÄN</t>
        </is>
      </c>
      <c r="E617" t="inlineStr">
        <is>
          <t>VÄSTERVIK</t>
        </is>
      </c>
      <c r="F617" t="inlineStr">
        <is>
          <t>Holmen skog AB</t>
        </is>
      </c>
      <c r="G617" t="n">
        <v>2.4</v>
      </c>
      <c r="H617" t="n">
        <v>2</v>
      </c>
      <c r="I617" t="n">
        <v>0</v>
      </c>
      <c r="J617" t="n">
        <v>1</v>
      </c>
      <c r="K617" t="n">
        <v>0</v>
      </c>
      <c r="L617" t="n">
        <v>0</v>
      </c>
      <c r="M617" t="n">
        <v>0</v>
      </c>
      <c r="N617" t="n">
        <v>0</v>
      </c>
      <c r="O617" t="n">
        <v>1</v>
      </c>
      <c r="P617" t="n">
        <v>0</v>
      </c>
      <c r="Q617" t="n">
        <v>2</v>
      </c>
      <c r="R617" s="2" t="inlineStr">
        <is>
          <t>Talltita
Revlummer</t>
        </is>
      </c>
      <c r="S617">
        <f>HYPERLINK("https://klasma.github.io/Logging_0883/artfynd/A 28401-2024 artfynd.xlsx", "A 28401-2024")</f>
        <v/>
      </c>
      <c r="T617">
        <f>HYPERLINK("https://klasma.github.io/Logging_0883/kartor/A 28401-2024 karta.png", "A 28401-2024")</f>
        <v/>
      </c>
      <c r="V617">
        <f>HYPERLINK("https://klasma.github.io/Logging_0883/klagomål/A 28401-2024 FSC-klagomål.docx", "A 28401-2024")</f>
        <v/>
      </c>
      <c r="W617">
        <f>HYPERLINK("https://klasma.github.io/Logging_0883/klagomålsmail/A 28401-2024 FSC-klagomål mail.docx", "A 28401-2024")</f>
        <v/>
      </c>
      <c r="X617">
        <f>HYPERLINK("https://klasma.github.io/Logging_0883/tillsyn/A 28401-2024 tillsynsbegäran.docx", "A 28401-2024")</f>
        <v/>
      </c>
      <c r="Y617">
        <f>HYPERLINK("https://klasma.github.io/Logging_0883/tillsynsmail/A 28401-2024 tillsynsbegäran mail.docx", "A 28401-2024")</f>
        <v/>
      </c>
      <c r="Z617">
        <f>HYPERLINK("https://klasma.github.io/Logging_0883/fåglar/A 28401-2024 prioriterade fågelarter.docx", "A 28401-2024")</f>
        <v/>
      </c>
    </row>
    <row r="618" ht="15" customHeight="1">
      <c r="A618" t="inlineStr">
        <is>
          <t>A 31435-2024</t>
        </is>
      </c>
      <c r="B618" s="1" t="n">
        <v>45505</v>
      </c>
      <c r="C618" s="1" t="n">
        <v>45715</v>
      </c>
      <c r="D618" t="inlineStr">
        <is>
          <t>KALMAR LÄN</t>
        </is>
      </c>
      <c r="E618" t="inlineStr">
        <is>
          <t>VÄSTERVIK</t>
        </is>
      </c>
      <c r="G618" t="n">
        <v>1.3</v>
      </c>
      <c r="H618" t="n">
        <v>0</v>
      </c>
      <c r="I618" t="n">
        <v>1</v>
      </c>
      <c r="J618" t="n">
        <v>1</v>
      </c>
      <c r="K618" t="n">
        <v>0</v>
      </c>
      <c r="L618" t="n">
        <v>0</v>
      </c>
      <c r="M618" t="n">
        <v>0</v>
      </c>
      <c r="N618" t="n">
        <v>0</v>
      </c>
      <c r="O618" t="n">
        <v>1</v>
      </c>
      <c r="P618" t="n">
        <v>0</v>
      </c>
      <c r="Q618" t="n">
        <v>2</v>
      </c>
      <c r="R618" s="2" t="inlineStr">
        <is>
          <t>Oxtungssvamp
Blomkålssvamp</t>
        </is>
      </c>
      <c r="S618">
        <f>HYPERLINK("https://klasma.github.io/Logging_0883/artfynd/A 31435-2024 artfynd.xlsx", "A 31435-2024")</f>
        <v/>
      </c>
      <c r="T618">
        <f>HYPERLINK("https://klasma.github.io/Logging_0883/kartor/A 31435-2024 karta.png", "A 31435-2024")</f>
        <v/>
      </c>
      <c r="V618">
        <f>HYPERLINK("https://klasma.github.io/Logging_0883/klagomål/A 31435-2024 FSC-klagomål.docx", "A 31435-2024")</f>
        <v/>
      </c>
      <c r="W618">
        <f>HYPERLINK("https://klasma.github.io/Logging_0883/klagomålsmail/A 31435-2024 FSC-klagomål mail.docx", "A 31435-2024")</f>
        <v/>
      </c>
      <c r="X618">
        <f>HYPERLINK("https://klasma.github.io/Logging_0883/tillsyn/A 31435-2024 tillsynsbegäran.docx", "A 31435-2024")</f>
        <v/>
      </c>
      <c r="Y618">
        <f>HYPERLINK("https://klasma.github.io/Logging_0883/tillsynsmail/A 31435-2024 tillsynsbegäran mail.docx", "A 31435-2024")</f>
        <v/>
      </c>
    </row>
    <row r="619" ht="15" customHeight="1">
      <c r="A619" t="inlineStr">
        <is>
          <t>A 34834-2024</t>
        </is>
      </c>
      <c r="B619" s="1" t="n">
        <v>45526</v>
      </c>
      <c r="C619" s="1" t="n">
        <v>45715</v>
      </c>
      <c r="D619" t="inlineStr">
        <is>
          <t>KALMAR LÄN</t>
        </is>
      </c>
      <c r="E619" t="inlineStr">
        <is>
          <t>VÄSTERVIK</t>
        </is>
      </c>
      <c r="F619" t="inlineStr">
        <is>
          <t>Sveaskog</t>
        </is>
      </c>
      <c r="G619" t="n">
        <v>4.2</v>
      </c>
      <c r="H619" t="n">
        <v>1</v>
      </c>
      <c r="I619" t="n">
        <v>1</v>
      </c>
      <c r="J619" t="n">
        <v>1</v>
      </c>
      <c r="K619" t="n">
        <v>0</v>
      </c>
      <c r="L619" t="n">
        <v>0</v>
      </c>
      <c r="M619" t="n">
        <v>0</v>
      </c>
      <c r="N619" t="n">
        <v>0</v>
      </c>
      <c r="O619" t="n">
        <v>1</v>
      </c>
      <c r="P619" t="n">
        <v>0</v>
      </c>
      <c r="Q619" t="n">
        <v>2</v>
      </c>
      <c r="R619" s="2" t="inlineStr">
        <is>
          <t>Brunag
Tvåblad</t>
        </is>
      </c>
      <c r="S619">
        <f>HYPERLINK("https://klasma.github.io/Logging_0883/artfynd/A 34834-2024 artfynd.xlsx", "A 34834-2024")</f>
        <v/>
      </c>
      <c r="T619">
        <f>HYPERLINK("https://klasma.github.io/Logging_0883/kartor/A 34834-2024 karta.png", "A 34834-2024")</f>
        <v/>
      </c>
      <c r="V619">
        <f>HYPERLINK("https://klasma.github.io/Logging_0883/klagomål/A 34834-2024 FSC-klagomål.docx", "A 34834-2024")</f>
        <v/>
      </c>
      <c r="W619">
        <f>HYPERLINK("https://klasma.github.io/Logging_0883/klagomålsmail/A 34834-2024 FSC-klagomål mail.docx", "A 34834-2024")</f>
        <v/>
      </c>
      <c r="X619">
        <f>HYPERLINK("https://klasma.github.io/Logging_0883/tillsyn/A 34834-2024 tillsynsbegäran.docx", "A 34834-2024")</f>
        <v/>
      </c>
      <c r="Y619">
        <f>HYPERLINK("https://klasma.github.io/Logging_0883/tillsynsmail/A 34834-2024 tillsynsbegäran mail.docx", "A 34834-2024")</f>
        <v/>
      </c>
    </row>
    <row r="620" ht="15" customHeight="1">
      <c r="A620" t="inlineStr">
        <is>
          <t>A 35236-2024</t>
        </is>
      </c>
      <c r="B620" s="1" t="n">
        <v>45530</v>
      </c>
      <c r="C620" s="1" t="n">
        <v>45715</v>
      </c>
      <c r="D620" t="inlineStr">
        <is>
          <t>KALMAR LÄN</t>
        </is>
      </c>
      <c r="E620" t="inlineStr">
        <is>
          <t>VÄSTERVIK</t>
        </is>
      </c>
      <c r="G620" t="n">
        <v>0.9</v>
      </c>
      <c r="H620" t="n">
        <v>1</v>
      </c>
      <c r="I620" t="n">
        <v>1</v>
      </c>
      <c r="J620" t="n">
        <v>0</v>
      </c>
      <c r="K620" t="n">
        <v>1</v>
      </c>
      <c r="L620" t="n">
        <v>0</v>
      </c>
      <c r="M620" t="n">
        <v>0</v>
      </c>
      <c r="N620" t="n">
        <v>0</v>
      </c>
      <c r="O620" t="n">
        <v>1</v>
      </c>
      <c r="P620" t="n">
        <v>1</v>
      </c>
      <c r="Q620" t="n">
        <v>2</v>
      </c>
      <c r="R620" s="2" t="inlineStr">
        <is>
          <t>Knärot
Blåmossa</t>
        </is>
      </c>
      <c r="S620">
        <f>HYPERLINK("https://klasma.github.io/Logging_0883/artfynd/A 35236-2024 artfynd.xlsx", "A 35236-2024")</f>
        <v/>
      </c>
      <c r="T620">
        <f>HYPERLINK("https://klasma.github.io/Logging_0883/kartor/A 35236-2024 karta.png", "A 35236-2024")</f>
        <v/>
      </c>
      <c r="U620">
        <f>HYPERLINK("https://klasma.github.io/Logging_0883/knärot/A 35236-2024 karta knärot.png", "A 35236-2024")</f>
        <v/>
      </c>
      <c r="V620">
        <f>HYPERLINK("https://klasma.github.io/Logging_0883/klagomål/A 35236-2024 FSC-klagomål.docx", "A 35236-2024")</f>
        <v/>
      </c>
      <c r="W620">
        <f>HYPERLINK("https://klasma.github.io/Logging_0883/klagomålsmail/A 35236-2024 FSC-klagomål mail.docx", "A 35236-2024")</f>
        <v/>
      </c>
      <c r="X620">
        <f>HYPERLINK("https://klasma.github.io/Logging_0883/tillsyn/A 35236-2024 tillsynsbegäran.docx", "A 35236-2024")</f>
        <v/>
      </c>
      <c r="Y620">
        <f>HYPERLINK("https://klasma.github.io/Logging_0883/tillsynsmail/A 35236-2024 tillsynsbegäran mail.docx", "A 35236-2024")</f>
        <v/>
      </c>
    </row>
    <row r="621" ht="15" customHeight="1">
      <c r="A621" t="inlineStr">
        <is>
          <t>A 35930-2024</t>
        </is>
      </c>
      <c r="B621" s="1" t="n">
        <v>45533</v>
      </c>
      <c r="C621" s="1" t="n">
        <v>45715</v>
      </c>
      <c r="D621" t="inlineStr">
        <is>
          <t>KALMAR LÄN</t>
        </is>
      </c>
      <c r="E621" t="inlineStr">
        <is>
          <t>VÄSTERVIK</t>
        </is>
      </c>
      <c r="G621" t="n">
        <v>2.1</v>
      </c>
      <c r="H621" t="n">
        <v>1</v>
      </c>
      <c r="I621" t="n">
        <v>0</v>
      </c>
      <c r="J621" t="n">
        <v>2</v>
      </c>
      <c r="K621" t="n">
        <v>0</v>
      </c>
      <c r="L621" t="n">
        <v>0</v>
      </c>
      <c r="M621" t="n">
        <v>0</v>
      </c>
      <c r="N621" t="n">
        <v>0</v>
      </c>
      <c r="O621" t="n">
        <v>2</v>
      </c>
      <c r="P621" t="n">
        <v>0</v>
      </c>
      <c r="Q621" t="n">
        <v>2</v>
      </c>
      <c r="R621" s="2" t="inlineStr">
        <is>
          <t>Tallticka
Talltita</t>
        </is>
      </c>
      <c r="S621">
        <f>HYPERLINK("https://klasma.github.io/Logging_0883/artfynd/A 35930-2024 artfynd.xlsx", "A 35930-2024")</f>
        <v/>
      </c>
      <c r="T621">
        <f>HYPERLINK("https://klasma.github.io/Logging_0883/kartor/A 35930-2024 karta.png", "A 35930-2024")</f>
        <v/>
      </c>
      <c r="V621">
        <f>HYPERLINK("https://klasma.github.io/Logging_0883/klagomål/A 35930-2024 FSC-klagomål.docx", "A 35930-2024")</f>
        <v/>
      </c>
      <c r="W621">
        <f>HYPERLINK("https://klasma.github.io/Logging_0883/klagomålsmail/A 35930-2024 FSC-klagomål mail.docx", "A 35930-2024")</f>
        <v/>
      </c>
      <c r="X621">
        <f>HYPERLINK("https://klasma.github.io/Logging_0883/tillsyn/A 35930-2024 tillsynsbegäran.docx", "A 35930-2024")</f>
        <v/>
      </c>
      <c r="Y621">
        <f>HYPERLINK("https://klasma.github.io/Logging_0883/tillsynsmail/A 35930-2024 tillsynsbegäran mail.docx", "A 35930-2024")</f>
        <v/>
      </c>
      <c r="Z621">
        <f>HYPERLINK("https://klasma.github.io/Logging_0883/fåglar/A 35930-2024 prioriterade fågelarter.docx", "A 35930-2024")</f>
        <v/>
      </c>
    </row>
    <row r="622" ht="15" customHeight="1">
      <c r="A622" t="inlineStr">
        <is>
          <t>A 37106-2024</t>
        </is>
      </c>
      <c r="B622" s="1" t="n">
        <v>45539</v>
      </c>
      <c r="C622" s="1" t="n">
        <v>45715</v>
      </c>
      <c r="D622" t="inlineStr">
        <is>
          <t>KALMAR LÄN</t>
        </is>
      </c>
      <c r="E622" t="inlineStr">
        <is>
          <t>VÄSTERVIK</t>
        </is>
      </c>
      <c r="F622" t="inlineStr">
        <is>
          <t>Holmen skog AB</t>
        </is>
      </c>
      <c r="G622" t="n">
        <v>8.5</v>
      </c>
      <c r="H622" t="n">
        <v>2</v>
      </c>
      <c r="I622" t="n">
        <v>0</v>
      </c>
      <c r="J622" t="n">
        <v>1</v>
      </c>
      <c r="K622" t="n">
        <v>1</v>
      </c>
      <c r="L622" t="n">
        <v>0</v>
      </c>
      <c r="M622" t="n">
        <v>0</v>
      </c>
      <c r="N622" t="n">
        <v>0</v>
      </c>
      <c r="O622" t="n">
        <v>2</v>
      </c>
      <c r="P622" t="n">
        <v>1</v>
      </c>
      <c r="Q622" t="n">
        <v>2</v>
      </c>
      <c r="R622" s="2" t="inlineStr">
        <is>
          <t>Knärot
Mindre hackspett</t>
        </is>
      </c>
      <c r="S622">
        <f>HYPERLINK("https://klasma.github.io/Logging_0883/artfynd/A 37106-2024 artfynd.xlsx", "A 37106-2024")</f>
        <v/>
      </c>
      <c r="T622">
        <f>HYPERLINK("https://klasma.github.io/Logging_0883/kartor/A 37106-2024 karta.png", "A 37106-2024")</f>
        <v/>
      </c>
      <c r="U622">
        <f>HYPERLINK("https://klasma.github.io/Logging_0883/knärot/A 37106-2024 karta knärot.png", "A 37106-2024")</f>
        <v/>
      </c>
      <c r="V622">
        <f>HYPERLINK("https://klasma.github.io/Logging_0883/klagomål/A 37106-2024 FSC-klagomål.docx", "A 37106-2024")</f>
        <v/>
      </c>
      <c r="W622">
        <f>HYPERLINK("https://klasma.github.io/Logging_0883/klagomålsmail/A 37106-2024 FSC-klagomål mail.docx", "A 37106-2024")</f>
        <v/>
      </c>
      <c r="X622">
        <f>HYPERLINK("https://klasma.github.io/Logging_0883/tillsyn/A 37106-2024 tillsynsbegäran.docx", "A 37106-2024")</f>
        <v/>
      </c>
      <c r="Y622">
        <f>HYPERLINK("https://klasma.github.io/Logging_0883/tillsynsmail/A 37106-2024 tillsynsbegäran mail.docx", "A 37106-2024")</f>
        <v/>
      </c>
      <c r="Z622">
        <f>HYPERLINK("https://klasma.github.io/Logging_0883/fåglar/A 37106-2024 prioriterade fågelarter.docx", "A 37106-2024")</f>
        <v/>
      </c>
    </row>
    <row r="623" ht="15" customHeight="1">
      <c r="A623" t="inlineStr">
        <is>
          <t>A 37626-2024</t>
        </is>
      </c>
      <c r="B623" s="1" t="n">
        <v>45541</v>
      </c>
      <c r="C623" s="1" t="n">
        <v>45715</v>
      </c>
      <c r="D623" t="inlineStr">
        <is>
          <t>KALMAR LÄN</t>
        </is>
      </c>
      <c r="E623" t="inlineStr">
        <is>
          <t>HULTSFRED</t>
        </is>
      </c>
      <c r="F623" t="inlineStr">
        <is>
          <t>Övriga Aktiebolag</t>
        </is>
      </c>
      <c r="G623" t="n">
        <v>5.7</v>
      </c>
      <c r="H623" t="n">
        <v>2</v>
      </c>
      <c r="I623" t="n">
        <v>0</v>
      </c>
      <c r="J623" t="n">
        <v>1</v>
      </c>
      <c r="K623" t="n">
        <v>0</v>
      </c>
      <c r="L623" t="n">
        <v>0</v>
      </c>
      <c r="M623" t="n">
        <v>0</v>
      </c>
      <c r="N623" t="n">
        <v>0</v>
      </c>
      <c r="O623" t="n">
        <v>1</v>
      </c>
      <c r="P623" t="n">
        <v>0</v>
      </c>
      <c r="Q623" t="n">
        <v>2</v>
      </c>
      <c r="R623" s="2" t="inlineStr">
        <is>
          <t>Talltita
Blåsippa</t>
        </is>
      </c>
      <c r="S623">
        <f>HYPERLINK("https://klasma.github.io/Logging_0860/artfynd/A 37626-2024 artfynd.xlsx", "A 37626-2024")</f>
        <v/>
      </c>
      <c r="T623">
        <f>HYPERLINK("https://klasma.github.io/Logging_0860/kartor/A 37626-2024 karta.png", "A 37626-2024")</f>
        <v/>
      </c>
      <c r="U623">
        <f>HYPERLINK("https://klasma.github.io/Logging_0860/knärot/A 37626-2024 karta knärot.png", "A 37626-2024")</f>
        <v/>
      </c>
      <c r="V623">
        <f>HYPERLINK("https://klasma.github.io/Logging_0860/klagomål/A 37626-2024 FSC-klagomål.docx", "A 37626-2024")</f>
        <v/>
      </c>
      <c r="W623">
        <f>HYPERLINK("https://klasma.github.io/Logging_0860/klagomålsmail/A 37626-2024 FSC-klagomål mail.docx", "A 37626-2024")</f>
        <v/>
      </c>
      <c r="X623">
        <f>HYPERLINK("https://klasma.github.io/Logging_0860/tillsyn/A 37626-2024 tillsynsbegäran.docx", "A 37626-2024")</f>
        <v/>
      </c>
      <c r="Y623">
        <f>HYPERLINK("https://klasma.github.io/Logging_0860/tillsynsmail/A 37626-2024 tillsynsbegäran mail.docx", "A 37626-2024")</f>
        <v/>
      </c>
      <c r="Z623">
        <f>HYPERLINK("https://klasma.github.io/Logging_0860/fåglar/A 37626-2024 prioriterade fågelarter.docx", "A 37626-2024")</f>
        <v/>
      </c>
    </row>
    <row r="624" ht="15" customHeight="1">
      <c r="A624" t="inlineStr">
        <is>
          <t>A 38293-2024</t>
        </is>
      </c>
      <c r="B624" s="1" t="n">
        <v>45545</v>
      </c>
      <c r="C624" s="1" t="n">
        <v>45715</v>
      </c>
      <c r="D624" t="inlineStr">
        <is>
          <t>KALMAR LÄN</t>
        </is>
      </c>
      <c r="E624" t="inlineStr">
        <is>
          <t>KALMAR</t>
        </is>
      </c>
      <c r="G624" t="n">
        <v>3.4</v>
      </c>
      <c r="H624" t="n">
        <v>0</v>
      </c>
      <c r="I624" t="n">
        <v>0</v>
      </c>
      <c r="J624" t="n">
        <v>2</v>
      </c>
      <c r="K624" t="n">
        <v>0</v>
      </c>
      <c r="L624" t="n">
        <v>0</v>
      </c>
      <c r="M624" t="n">
        <v>0</v>
      </c>
      <c r="N624" t="n">
        <v>0</v>
      </c>
      <c r="O624" t="n">
        <v>2</v>
      </c>
      <c r="P624" t="n">
        <v>0</v>
      </c>
      <c r="Q624" t="n">
        <v>2</v>
      </c>
      <c r="R624" s="2" t="inlineStr">
        <is>
          <t>Bredbrämad bastardsvärmare
Mindre bastardsvärmare</t>
        </is>
      </c>
      <c r="S624">
        <f>HYPERLINK("https://klasma.github.io/Logging_0880/artfynd/A 38293-2024 artfynd.xlsx", "A 38293-2024")</f>
        <v/>
      </c>
      <c r="T624">
        <f>HYPERLINK("https://klasma.github.io/Logging_0880/kartor/A 38293-2024 karta.png", "A 38293-2024")</f>
        <v/>
      </c>
      <c r="V624">
        <f>HYPERLINK("https://klasma.github.io/Logging_0880/klagomål/A 38293-2024 FSC-klagomål.docx", "A 38293-2024")</f>
        <v/>
      </c>
      <c r="W624">
        <f>HYPERLINK("https://klasma.github.io/Logging_0880/klagomålsmail/A 38293-2024 FSC-klagomål mail.docx", "A 38293-2024")</f>
        <v/>
      </c>
      <c r="X624">
        <f>HYPERLINK("https://klasma.github.io/Logging_0880/tillsyn/A 38293-2024 tillsynsbegäran.docx", "A 38293-2024")</f>
        <v/>
      </c>
      <c r="Y624">
        <f>HYPERLINK("https://klasma.github.io/Logging_0880/tillsynsmail/A 38293-2024 tillsynsbegäran mail.docx", "A 38293-2024")</f>
        <v/>
      </c>
    </row>
    <row r="625" ht="15" customHeight="1">
      <c r="A625" t="inlineStr">
        <is>
          <t>A 39256-2024</t>
        </is>
      </c>
      <c r="B625" s="1" t="n">
        <v>45551</v>
      </c>
      <c r="C625" s="1" t="n">
        <v>45715</v>
      </c>
      <c r="D625" t="inlineStr">
        <is>
          <t>KALMAR LÄN</t>
        </is>
      </c>
      <c r="E625" t="inlineStr">
        <is>
          <t>VÄSTERVIK</t>
        </is>
      </c>
      <c r="G625" t="n">
        <v>1.9</v>
      </c>
      <c r="H625" t="n">
        <v>2</v>
      </c>
      <c r="I625" t="n">
        <v>0</v>
      </c>
      <c r="J625" t="n">
        <v>1</v>
      </c>
      <c r="K625" t="n">
        <v>1</v>
      </c>
      <c r="L625" t="n">
        <v>0</v>
      </c>
      <c r="M625" t="n">
        <v>0</v>
      </c>
      <c r="N625" t="n">
        <v>0</v>
      </c>
      <c r="O625" t="n">
        <v>2</v>
      </c>
      <c r="P625" t="n">
        <v>1</v>
      </c>
      <c r="Q625" t="n">
        <v>2</v>
      </c>
      <c r="R625" s="2" t="inlineStr">
        <is>
          <t>Knärot
Talltita</t>
        </is>
      </c>
      <c r="S625">
        <f>HYPERLINK("https://klasma.github.io/Logging_0883/artfynd/A 39256-2024 artfynd.xlsx", "A 39256-2024")</f>
        <v/>
      </c>
      <c r="T625">
        <f>HYPERLINK("https://klasma.github.io/Logging_0883/kartor/A 39256-2024 karta.png", "A 39256-2024")</f>
        <v/>
      </c>
      <c r="U625">
        <f>HYPERLINK("https://klasma.github.io/Logging_0883/knärot/A 39256-2024 karta knärot.png", "A 39256-2024")</f>
        <v/>
      </c>
      <c r="V625">
        <f>HYPERLINK("https://klasma.github.io/Logging_0883/klagomål/A 39256-2024 FSC-klagomål.docx", "A 39256-2024")</f>
        <v/>
      </c>
      <c r="W625">
        <f>HYPERLINK("https://klasma.github.io/Logging_0883/klagomålsmail/A 39256-2024 FSC-klagomål mail.docx", "A 39256-2024")</f>
        <v/>
      </c>
      <c r="X625">
        <f>HYPERLINK("https://klasma.github.io/Logging_0883/tillsyn/A 39256-2024 tillsynsbegäran.docx", "A 39256-2024")</f>
        <v/>
      </c>
      <c r="Y625">
        <f>HYPERLINK("https://klasma.github.io/Logging_0883/tillsynsmail/A 39256-2024 tillsynsbegäran mail.docx", "A 39256-2024")</f>
        <v/>
      </c>
      <c r="Z625">
        <f>HYPERLINK("https://klasma.github.io/Logging_0883/fåglar/A 39256-2024 prioriterade fågelarter.docx", "A 39256-2024")</f>
        <v/>
      </c>
    </row>
    <row r="626" ht="15" customHeight="1">
      <c r="A626" t="inlineStr">
        <is>
          <t>A 39297-2024</t>
        </is>
      </c>
      <c r="B626" s="1" t="n">
        <v>45551</v>
      </c>
      <c r="C626" s="1" t="n">
        <v>45715</v>
      </c>
      <c r="D626" t="inlineStr">
        <is>
          <t>KALMAR LÄN</t>
        </is>
      </c>
      <c r="E626" t="inlineStr">
        <is>
          <t>TORSÅS</t>
        </is>
      </c>
      <c r="G626" t="n">
        <v>3.3</v>
      </c>
      <c r="H626" t="n">
        <v>2</v>
      </c>
      <c r="I626" t="n">
        <v>0</v>
      </c>
      <c r="J626" t="n">
        <v>0</v>
      </c>
      <c r="K626" t="n">
        <v>0</v>
      </c>
      <c r="L626" t="n">
        <v>0</v>
      </c>
      <c r="M626" t="n">
        <v>0</v>
      </c>
      <c r="N626" t="n">
        <v>0</v>
      </c>
      <c r="O626" t="n">
        <v>0</v>
      </c>
      <c r="P626" t="n">
        <v>0</v>
      </c>
      <c r="Q626" t="n">
        <v>2</v>
      </c>
      <c r="R626" s="2" t="inlineStr">
        <is>
          <t>Större brunfladdermus
Vattenfladdermus</t>
        </is>
      </c>
      <c r="S626">
        <f>HYPERLINK("https://klasma.github.io/Logging_0834/artfynd/A 39297-2024 artfynd.xlsx", "A 39297-2024")</f>
        <v/>
      </c>
      <c r="T626">
        <f>HYPERLINK("https://klasma.github.io/Logging_0834/kartor/A 39297-2024 karta.png", "A 39297-2024")</f>
        <v/>
      </c>
      <c r="V626">
        <f>HYPERLINK("https://klasma.github.io/Logging_0834/klagomål/A 39297-2024 FSC-klagomål.docx", "A 39297-2024")</f>
        <v/>
      </c>
      <c r="W626">
        <f>HYPERLINK("https://klasma.github.io/Logging_0834/klagomålsmail/A 39297-2024 FSC-klagomål mail.docx", "A 39297-2024")</f>
        <v/>
      </c>
      <c r="X626">
        <f>HYPERLINK("https://klasma.github.io/Logging_0834/tillsyn/A 39297-2024 tillsynsbegäran.docx", "A 39297-2024")</f>
        <v/>
      </c>
      <c r="Y626">
        <f>HYPERLINK("https://klasma.github.io/Logging_0834/tillsynsmail/A 39297-2024 tillsynsbegäran mail.docx", "A 39297-2024")</f>
        <v/>
      </c>
    </row>
    <row r="627" ht="15" customHeight="1">
      <c r="A627" t="inlineStr">
        <is>
          <t>A 40331-2024</t>
        </is>
      </c>
      <c r="B627" s="1" t="n">
        <v>45555</v>
      </c>
      <c r="C627" s="1" t="n">
        <v>45715</v>
      </c>
      <c r="D627" t="inlineStr">
        <is>
          <t>KALMAR LÄN</t>
        </is>
      </c>
      <c r="E627" t="inlineStr">
        <is>
          <t>VÄSTERVIK</t>
        </is>
      </c>
      <c r="G627" t="n">
        <v>1.5</v>
      </c>
      <c r="H627" t="n">
        <v>1</v>
      </c>
      <c r="I627" t="n">
        <v>1</v>
      </c>
      <c r="J627" t="n">
        <v>0</v>
      </c>
      <c r="K627" t="n">
        <v>0</v>
      </c>
      <c r="L627" t="n">
        <v>0</v>
      </c>
      <c r="M627" t="n">
        <v>0</v>
      </c>
      <c r="N627" t="n">
        <v>0</v>
      </c>
      <c r="O627" t="n">
        <v>0</v>
      </c>
      <c r="P627" t="n">
        <v>0</v>
      </c>
      <c r="Q627" t="n">
        <v>2</v>
      </c>
      <c r="R627" s="2" t="inlineStr">
        <is>
          <t>Murgröna
Blåsippa</t>
        </is>
      </c>
      <c r="S627">
        <f>HYPERLINK("https://klasma.github.io/Logging_0883/artfynd/A 40331-2024 artfynd.xlsx", "A 40331-2024")</f>
        <v/>
      </c>
      <c r="T627">
        <f>HYPERLINK("https://klasma.github.io/Logging_0883/kartor/A 40331-2024 karta.png", "A 40331-2024")</f>
        <v/>
      </c>
      <c r="V627">
        <f>HYPERLINK("https://klasma.github.io/Logging_0883/klagomål/A 40331-2024 FSC-klagomål.docx", "A 40331-2024")</f>
        <v/>
      </c>
      <c r="W627">
        <f>HYPERLINK("https://klasma.github.io/Logging_0883/klagomålsmail/A 40331-2024 FSC-klagomål mail.docx", "A 40331-2024")</f>
        <v/>
      </c>
      <c r="X627">
        <f>HYPERLINK("https://klasma.github.io/Logging_0883/tillsyn/A 40331-2024 tillsynsbegäran.docx", "A 40331-2024")</f>
        <v/>
      </c>
      <c r="Y627">
        <f>HYPERLINK("https://klasma.github.io/Logging_0883/tillsynsmail/A 40331-2024 tillsynsbegäran mail.docx", "A 40331-2024")</f>
        <v/>
      </c>
    </row>
    <row r="628" ht="15" customHeight="1">
      <c r="A628" t="inlineStr">
        <is>
          <t>A 40995-2024</t>
        </is>
      </c>
      <c r="B628" s="1" t="n">
        <v>45558</v>
      </c>
      <c r="C628" s="1" t="n">
        <v>45715</v>
      </c>
      <c r="D628" t="inlineStr">
        <is>
          <t>KALMAR LÄN</t>
        </is>
      </c>
      <c r="E628" t="inlineStr">
        <is>
          <t>MÖNSTERÅS</t>
        </is>
      </c>
      <c r="G628" t="n">
        <v>1.8</v>
      </c>
      <c r="H628" t="n">
        <v>1</v>
      </c>
      <c r="I628" t="n">
        <v>0</v>
      </c>
      <c r="J628" t="n">
        <v>1</v>
      </c>
      <c r="K628" t="n">
        <v>0</v>
      </c>
      <c r="L628" t="n">
        <v>0</v>
      </c>
      <c r="M628" t="n">
        <v>0</v>
      </c>
      <c r="N628" t="n">
        <v>0</v>
      </c>
      <c r="O628" t="n">
        <v>1</v>
      </c>
      <c r="P628" t="n">
        <v>0</v>
      </c>
      <c r="Q628" t="n">
        <v>2</v>
      </c>
      <c r="R628" s="2" t="inlineStr">
        <is>
          <t>Åkerkulla
Mattlummer</t>
        </is>
      </c>
      <c r="S628">
        <f>HYPERLINK("https://klasma.github.io/Logging_0861/artfynd/A 40995-2024 artfynd.xlsx", "A 40995-2024")</f>
        <v/>
      </c>
      <c r="T628">
        <f>HYPERLINK("https://klasma.github.io/Logging_0861/kartor/A 40995-2024 karta.png", "A 40995-2024")</f>
        <v/>
      </c>
      <c r="V628">
        <f>HYPERLINK("https://klasma.github.io/Logging_0861/klagomål/A 40995-2024 FSC-klagomål.docx", "A 40995-2024")</f>
        <v/>
      </c>
      <c r="W628">
        <f>HYPERLINK("https://klasma.github.io/Logging_0861/klagomålsmail/A 40995-2024 FSC-klagomål mail.docx", "A 40995-2024")</f>
        <v/>
      </c>
      <c r="X628">
        <f>HYPERLINK("https://klasma.github.io/Logging_0861/tillsyn/A 40995-2024 tillsynsbegäran.docx", "A 40995-2024")</f>
        <v/>
      </c>
      <c r="Y628">
        <f>HYPERLINK("https://klasma.github.io/Logging_0861/tillsynsmail/A 40995-2024 tillsynsbegäran mail.docx", "A 40995-2024")</f>
        <v/>
      </c>
    </row>
    <row r="629" ht="15" customHeight="1">
      <c r="A629" t="inlineStr">
        <is>
          <t>A 43442-2024</t>
        </is>
      </c>
      <c r="B629" s="1" t="n">
        <v>45568</v>
      </c>
      <c r="C629" s="1" t="n">
        <v>45715</v>
      </c>
      <c r="D629" t="inlineStr">
        <is>
          <t>KALMAR LÄN</t>
        </is>
      </c>
      <c r="E629" t="inlineStr">
        <is>
          <t>OSKARSHAMN</t>
        </is>
      </c>
      <c r="F629" t="inlineStr">
        <is>
          <t>Kommuner</t>
        </is>
      </c>
      <c r="G629" t="n">
        <v>1.7</v>
      </c>
      <c r="H629" t="n">
        <v>0</v>
      </c>
      <c r="I629" t="n">
        <v>2</v>
      </c>
      <c r="J629" t="n">
        <v>0</v>
      </c>
      <c r="K629" t="n">
        <v>0</v>
      </c>
      <c r="L629" t="n">
        <v>0</v>
      </c>
      <c r="M629" t="n">
        <v>0</v>
      </c>
      <c r="N629" t="n">
        <v>0</v>
      </c>
      <c r="O629" t="n">
        <v>0</v>
      </c>
      <c r="P629" t="n">
        <v>0</v>
      </c>
      <c r="Q629" t="n">
        <v>2</v>
      </c>
      <c r="R629" s="2" t="inlineStr">
        <is>
          <t>Blåmossa
Vanlig flatbagge</t>
        </is>
      </c>
      <c r="S629">
        <f>HYPERLINK("https://klasma.github.io/Logging_0882/artfynd/A 43442-2024 artfynd.xlsx", "A 43442-2024")</f>
        <v/>
      </c>
      <c r="T629">
        <f>HYPERLINK("https://klasma.github.io/Logging_0882/kartor/A 43442-2024 karta.png", "A 43442-2024")</f>
        <v/>
      </c>
      <c r="V629">
        <f>HYPERLINK("https://klasma.github.io/Logging_0882/klagomål/A 43442-2024 FSC-klagomål.docx", "A 43442-2024")</f>
        <v/>
      </c>
      <c r="W629">
        <f>HYPERLINK("https://klasma.github.io/Logging_0882/klagomålsmail/A 43442-2024 FSC-klagomål mail.docx", "A 43442-2024")</f>
        <v/>
      </c>
      <c r="X629">
        <f>HYPERLINK("https://klasma.github.io/Logging_0882/tillsyn/A 43442-2024 tillsynsbegäran.docx", "A 43442-2024")</f>
        <v/>
      </c>
      <c r="Y629">
        <f>HYPERLINK("https://klasma.github.io/Logging_0882/tillsynsmail/A 43442-2024 tillsynsbegäran mail.docx", "A 43442-2024")</f>
        <v/>
      </c>
    </row>
    <row r="630" ht="15" customHeight="1">
      <c r="A630" t="inlineStr">
        <is>
          <t>A 43684-2024</t>
        </is>
      </c>
      <c r="B630" s="1" t="n">
        <v>45569</v>
      </c>
      <c r="C630" s="1" t="n">
        <v>45715</v>
      </c>
      <c r="D630" t="inlineStr">
        <is>
          <t>KALMAR LÄN</t>
        </is>
      </c>
      <c r="E630" t="inlineStr">
        <is>
          <t>HULTSFRED</t>
        </is>
      </c>
      <c r="G630" t="n">
        <v>8.800000000000001</v>
      </c>
      <c r="H630" t="n">
        <v>2</v>
      </c>
      <c r="I630" t="n">
        <v>0</v>
      </c>
      <c r="J630" t="n">
        <v>1</v>
      </c>
      <c r="K630" t="n">
        <v>1</v>
      </c>
      <c r="L630" t="n">
        <v>0</v>
      </c>
      <c r="M630" t="n">
        <v>0</v>
      </c>
      <c r="N630" t="n">
        <v>0</v>
      </c>
      <c r="O630" t="n">
        <v>2</v>
      </c>
      <c r="P630" t="n">
        <v>1</v>
      </c>
      <c r="Q630" t="n">
        <v>2</v>
      </c>
      <c r="R630" s="2" t="inlineStr">
        <is>
          <t>Knärot
Spillkråka</t>
        </is>
      </c>
      <c r="S630">
        <f>HYPERLINK("https://klasma.github.io/Logging_0860/artfynd/A 43684-2024 artfynd.xlsx", "A 43684-2024")</f>
        <v/>
      </c>
      <c r="T630">
        <f>HYPERLINK("https://klasma.github.io/Logging_0860/kartor/A 43684-2024 karta.png", "A 43684-2024")</f>
        <v/>
      </c>
      <c r="U630">
        <f>HYPERLINK("https://klasma.github.io/Logging_0860/knärot/A 43684-2024 karta knärot.png", "A 43684-2024")</f>
        <v/>
      </c>
      <c r="V630">
        <f>HYPERLINK("https://klasma.github.io/Logging_0860/klagomål/A 43684-2024 FSC-klagomål.docx", "A 43684-2024")</f>
        <v/>
      </c>
      <c r="W630">
        <f>HYPERLINK("https://klasma.github.io/Logging_0860/klagomålsmail/A 43684-2024 FSC-klagomål mail.docx", "A 43684-2024")</f>
        <v/>
      </c>
      <c r="X630">
        <f>HYPERLINK("https://klasma.github.io/Logging_0860/tillsyn/A 43684-2024 tillsynsbegäran.docx", "A 43684-2024")</f>
        <v/>
      </c>
      <c r="Y630">
        <f>HYPERLINK("https://klasma.github.io/Logging_0860/tillsynsmail/A 43684-2024 tillsynsbegäran mail.docx", "A 43684-2024")</f>
        <v/>
      </c>
      <c r="Z630">
        <f>HYPERLINK("https://klasma.github.io/Logging_0860/fåglar/A 43684-2024 prioriterade fågelarter.docx", "A 43684-2024")</f>
        <v/>
      </c>
    </row>
    <row r="631" ht="15" customHeight="1">
      <c r="A631" t="inlineStr">
        <is>
          <t>A 44916-2024</t>
        </is>
      </c>
      <c r="B631" s="1" t="n">
        <v>45575</v>
      </c>
      <c r="C631" s="1" t="n">
        <v>45715</v>
      </c>
      <c r="D631" t="inlineStr">
        <is>
          <t>KALMAR LÄN</t>
        </is>
      </c>
      <c r="E631" t="inlineStr">
        <is>
          <t>KALMAR</t>
        </is>
      </c>
      <c r="G631" t="n">
        <v>2.4</v>
      </c>
      <c r="H631" t="n">
        <v>1</v>
      </c>
      <c r="I631" t="n">
        <v>1</v>
      </c>
      <c r="J631" t="n">
        <v>0</v>
      </c>
      <c r="K631" t="n">
        <v>0</v>
      </c>
      <c r="L631" t="n">
        <v>1</v>
      </c>
      <c r="M631" t="n">
        <v>0</v>
      </c>
      <c r="N631" t="n">
        <v>0</v>
      </c>
      <c r="O631" t="n">
        <v>1</v>
      </c>
      <c r="P631" t="n">
        <v>1</v>
      </c>
      <c r="Q631" t="n">
        <v>2</v>
      </c>
      <c r="R631" s="2" t="inlineStr">
        <is>
          <t>Mosippa
Blomkålssvamp</t>
        </is>
      </c>
      <c r="S631">
        <f>HYPERLINK("https://klasma.github.io/Logging_0880/artfynd/A 44916-2024 artfynd.xlsx", "A 44916-2024")</f>
        <v/>
      </c>
      <c r="T631">
        <f>HYPERLINK("https://klasma.github.io/Logging_0880/kartor/A 44916-2024 karta.png", "A 44916-2024")</f>
        <v/>
      </c>
      <c r="V631">
        <f>HYPERLINK("https://klasma.github.io/Logging_0880/klagomål/A 44916-2024 FSC-klagomål.docx", "A 44916-2024")</f>
        <v/>
      </c>
      <c r="W631">
        <f>HYPERLINK("https://klasma.github.io/Logging_0880/klagomålsmail/A 44916-2024 FSC-klagomål mail.docx", "A 44916-2024")</f>
        <v/>
      </c>
      <c r="X631">
        <f>HYPERLINK("https://klasma.github.io/Logging_0880/tillsyn/A 44916-2024 tillsynsbegäran.docx", "A 44916-2024")</f>
        <v/>
      </c>
      <c r="Y631">
        <f>HYPERLINK("https://klasma.github.io/Logging_0880/tillsynsmail/A 44916-2024 tillsynsbegäran mail.docx", "A 44916-2024")</f>
        <v/>
      </c>
    </row>
    <row r="632" ht="15" customHeight="1">
      <c r="A632" t="inlineStr">
        <is>
          <t>A 45531-2024</t>
        </is>
      </c>
      <c r="B632" s="1" t="n">
        <v>45579</v>
      </c>
      <c r="C632" s="1" t="n">
        <v>45715</v>
      </c>
      <c r="D632" t="inlineStr">
        <is>
          <t>KALMAR LÄN</t>
        </is>
      </c>
      <c r="E632" t="inlineStr">
        <is>
          <t>HÖGSBY</t>
        </is>
      </c>
      <c r="G632" t="n">
        <v>2.5</v>
      </c>
      <c r="H632" t="n">
        <v>0</v>
      </c>
      <c r="I632" t="n">
        <v>2</v>
      </c>
      <c r="J632" t="n">
        <v>0</v>
      </c>
      <c r="K632" t="n">
        <v>0</v>
      </c>
      <c r="L632" t="n">
        <v>0</v>
      </c>
      <c r="M632" t="n">
        <v>0</v>
      </c>
      <c r="N632" t="n">
        <v>0</v>
      </c>
      <c r="O632" t="n">
        <v>0</v>
      </c>
      <c r="P632" t="n">
        <v>0</v>
      </c>
      <c r="Q632" t="n">
        <v>2</v>
      </c>
      <c r="R632" s="2" t="inlineStr">
        <is>
          <t>Blåmossa
Bronshjon</t>
        </is>
      </c>
      <c r="S632">
        <f>HYPERLINK("https://klasma.github.io/Logging_0821/artfynd/A 45531-2024 artfynd.xlsx", "A 45531-2024")</f>
        <v/>
      </c>
      <c r="T632">
        <f>HYPERLINK("https://klasma.github.io/Logging_0821/kartor/A 45531-2024 karta.png", "A 45531-2024")</f>
        <v/>
      </c>
      <c r="V632">
        <f>HYPERLINK("https://klasma.github.io/Logging_0821/klagomål/A 45531-2024 FSC-klagomål.docx", "A 45531-2024")</f>
        <v/>
      </c>
      <c r="W632">
        <f>HYPERLINK("https://klasma.github.io/Logging_0821/klagomålsmail/A 45531-2024 FSC-klagomål mail.docx", "A 45531-2024")</f>
        <v/>
      </c>
      <c r="X632">
        <f>HYPERLINK("https://klasma.github.io/Logging_0821/tillsyn/A 45531-2024 tillsynsbegäran.docx", "A 45531-2024")</f>
        <v/>
      </c>
      <c r="Y632">
        <f>HYPERLINK("https://klasma.github.io/Logging_0821/tillsynsmail/A 45531-2024 tillsynsbegäran mail.docx", "A 45531-2024")</f>
        <v/>
      </c>
    </row>
    <row r="633" ht="15" customHeight="1">
      <c r="A633" t="inlineStr">
        <is>
          <t>A 47256-2024</t>
        </is>
      </c>
      <c r="B633" s="1" t="n">
        <v>45586</v>
      </c>
      <c r="C633" s="1" t="n">
        <v>45715</v>
      </c>
      <c r="D633" t="inlineStr">
        <is>
          <t>KALMAR LÄN</t>
        </is>
      </c>
      <c r="E633" t="inlineStr">
        <is>
          <t>HÖGSBY</t>
        </is>
      </c>
      <c r="G633" t="n">
        <v>3.9</v>
      </c>
      <c r="H633" t="n">
        <v>0</v>
      </c>
      <c r="I633" t="n">
        <v>2</v>
      </c>
      <c r="J633" t="n">
        <v>0</v>
      </c>
      <c r="K633" t="n">
        <v>0</v>
      </c>
      <c r="L633" t="n">
        <v>0</v>
      </c>
      <c r="M633" t="n">
        <v>0</v>
      </c>
      <c r="N633" t="n">
        <v>0</v>
      </c>
      <c r="O633" t="n">
        <v>0</v>
      </c>
      <c r="P633" t="n">
        <v>0</v>
      </c>
      <c r="Q633" t="n">
        <v>2</v>
      </c>
      <c r="R633" s="2" t="inlineStr">
        <is>
          <t>Fjällig taggsvamp s.str.
Skarp dropptaggsvamp</t>
        </is>
      </c>
      <c r="S633">
        <f>HYPERLINK("https://klasma.github.io/Logging_0821/artfynd/A 47256-2024 artfynd.xlsx", "A 47256-2024")</f>
        <v/>
      </c>
      <c r="T633">
        <f>HYPERLINK("https://klasma.github.io/Logging_0821/kartor/A 47256-2024 karta.png", "A 47256-2024")</f>
        <v/>
      </c>
      <c r="V633">
        <f>HYPERLINK("https://klasma.github.io/Logging_0821/klagomål/A 47256-2024 FSC-klagomål.docx", "A 47256-2024")</f>
        <v/>
      </c>
      <c r="W633">
        <f>HYPERLINK("https://klasma.github.io/Logging_0821/klagomålsmail/A 47256-2024 FSC-klagomål mail.docx", "A 47256-2024")</f>
        <v/>
      </c>
      <c r="X633">
        <f>HYPERLINK("https://klasma.github.io/Logging_0821/tillsyn/A 47256-2024 tillsynsbegäran.docx", "A 47256-2024")</f>
        <v/>
      </c>
      <c r="Y633">
        <f>HYPERLINK("https://klasma.github.io/Logging_0821/tillsynsmail/A 47256-2024 tillsynsbegäran mail.docx", "A 47256-2024")</f>
        <v/>
      </c>
    </row>
    <row r="634" ht="15" customHeight="1">
      <c r="A634" t="inlineStr">
        <is>
          <t>A 48727-2024</t>
        </is>
      </c>
      <c r="B634" s="1" t="n">
        <v>45593</v>
      </c>
      <c r="C634" s="1" t="n">
        <v>45715</v>
      </c>
      <c r="D634" t="inlineStr">
        <is>
          <t>KALMAR LÄN</t>
        </is>
      </c>
      <c r="E634" t="inlineStr">
        <is>
          <t>VÄSTERVIK</t>
        </is>
      </c>
      <c r="G634" t="n">
        <v>2.1</v>
      </c>
      <c r="H634" t="n">
        <v>2</v>
      </c>
      <c r="I634" t="n">
        <v>0</v>
      </c>
      <c r="J634" t="n">
        <v>1</v>
      </c>
      <c r="K634" t="n">
        <v>1</v>
      </c>
      <c r="L634" t="n">
        <v>0</v>
      </c>
      <c r="M634" t="n">
        <v>0</v>
      </c>
      <c r="N634" t="n">
        <v>0</v>
      </c>
      <c r="O634" t="n">
        <v>2</v>
      </c>
      <c r="P634" t="n">
        <v>1</v>
      </c>
      <c r="Q634" t="n">
        <v>2</v>
      </c>
      <c r="R634" s="2" t="inlineStr">
        <is>
          <t>Knärot
Talltita</t>
        </is>
      </c>
      <c r="S634">
        <f>HYPERLINK("https://klasma.github.io/Logging_0883/artfynd/A 48727-2024 artfynd.xlsx", "A 48727-2024")</f>
        <v/>
      </c>
      <c r="T634">
        <f>HYPERLINK("https://klasma.github.io/Logging_0883/kartor/A 48727-2024 karta.png", "A 48727-2024")</f>
        <v/>
      </c>
      <c r="U634">
        <f>HYPERLINK("https://klasma.github.io/Logging_0883/knärot/A 48727-2024 karta knärot.png", "A 48727-2024")</f>
        <v/>
      </c>
      <c r="V634">
        <f>HYPERLINK("https://klasma.github.io/Logging_0883/klagomål/A 48727-2024 FSC-klagomål.docx", "A 48727-2024")</f>
        <v/>
      </c>
      <c r="W634">
        <f>HYPERLINK("https://klasma.github.io/Logging_0883/klagomålsmail/A 48727-2024 FSC-klagomål mail.docx", "A 48727-2024")</f>
        <v/>
      </c>
      <c r="X634">
        <f>HYPERLINK("https://klasma.github.io/Logging_0883/tillsyn/A 48727-2024 tillsynsbegäran.docx", "A 48727-2024")</f>
        <v/>
      </c>
      <c r="Y634">
        <f>HYPERLINK("https://klasma.github.io/Logging_0883/tillsynsmail/A 48727-2024 tillsynsbegäran mail.docx", "A 48727-2024")</f>
        <v/>
      </c>
      <c r="Z634">
        <f>HYPERLINK("https://klasma.github.io/Logging_0883/fåglar/A 48727-2024 prioriterade fågelarter.docx", "A 48727-2024")</f>
        <v/>
      </c>
    </row>
    <row r="635" ht="15" customHeight="1">
      <c r="A635" t="inlineStr">
        <is>
          <t>A 52723-2024</t>
        </is>
      </c>
      <c r="B635" s="1" t="n">
        <v>45610</v>
      </c>
      <c r="C635" s="1" t="n">
        <v>45715</v>
      </c>
      <c r="D635" t="inlineStr">
        <is>
          <t>KALMAR LÄN</t>
        </is>
      </c>
      <c r="E635" t="inlineStr">
        <is>
          <t>VÄSTERVIK</t>
        </is>
      </c>
      <c r="F635" t="inlineStr">
        <is>
          <t>Holmen skog AB</t>
        </is>
      </c>
      <c r="G635" t="n">
        <v>6.5</v>
      </c>
      <c r="H635" t="n">
        <v>2</v>
      </c>
      <c r="I635" t="n">
        <v>1</v>
      </c>
      <c r="J635" t="n">
        <v>1</v>
      </c>
      <c r="K635" t="n">
        <v>0</v>
      </c>
      <c r="L635" t="n">
        <v>0</v>
      </c>
      <c r="M635" t="n">
        <v>0</v>
      </c>
      <c r="N635" t="n">
        <v>0</v>
      </c>
      <c r="O635" t="n">
        <v>1</v>
      </c>
      <c r="P635" t="n">
        <v>0</v>
      </c>
      <c r="Q635" t="n">
        <v>2</v>
      </c>
      <c r="R635" s="2" t="inlineStr">
        <is>
          <t>Talltita
Ekoxe</t>
        </is>
      </c>
      <c r="S635">
        <f>HYPERLINK("https://klasma.github.io/Logging_0883/artfynd/A 52723-2024 artfynd.xlsx", "A 52723-2024")</f>
        <v/>
      </c>
      <c r="T635">
        <f>HYPERLINK("https://klasma.github.io/Logging_0883/kartor/A 52723-2024 karta.png", "A 52723-2024")</f>
        <v/>
      </c>
      <c r="V635">
        <f>HYPERLINK("https://klasma.github.io/Logging_0883/klagomål/A 52723-2024 FSC-klagomål.docx", "A 52723-2024")</f>
        <v/>
      </c>
      <c r="W635">
        <f>HYPERLINK("https://klasma.github.io/Logging_0883/klagomålsmail/A 52723-2024 FSC-klagomål mail.docx", "A 52723-2024")</f>
        <v/>
      </c>
      <c r="X635">
        <f>HYPERLINK("https://klasma.github.io/Logging_0883/tillsyn/A 52723-2024 tillsynsbegäran.docx", "A 52723-2024")</f>
        <v/>
      </c>
      <c r="Y635">
        <f>HYPERLINK("https://klasma.github.io/Logging_0883/tillsynsmail/A 52723-2024 tillsynsbegäran mail.docx", "A 52723-2024")</f>
        <v/>
      </c>
      <c r="Z635">
        <f>HYPERLINK("https://klasma.github.io/Logging_0883/fåglar/A 52723-2024 prioriterade fågelarter.docx", "A 52723-2024")</f>
        <v/>
      </c>
    </row>
    <row r="636" ht="15" customHeight="1">
      <c r="A636" t="inlineStr">
        <is>
          <t>A 53367-2024</t>
        </is>
      </c>
      <c r="B636" s="1" t="n">
        <v>45614</v>
      </c>
      <c r="C636" s="1" t="n">
        <v>45715</v>
      </c>
      <c r="D636" t="inlineStr">
        <is>
          <t>KALMAR LÄN</t>
        </is>
      </c>
      <c r="E636" t="inlineStr">
        <is>
          <t>MÖNSTERÅS</t>
        </is>
      </c>
      <c r="G636" t="n">
        <v>7.1</v>
      </c>
      <c r="H636" t="n">
        <v>2</v>
      </c>
      <c r="I636" t="n">
        <v>0</v>
      </c>
      <c r="J636" t="n">
        <v>0</v>
      </c>
      <c r="K636" t="n">
        <v>0</v>
      </c>
      <c r="L636" t="n">
        <v>0</v>
      </c>
      <c r="M636" t="n">
        <v>0</v>
      </c>
      <c r="N636" t="n">
        <v>0</v>
      </c>
      <c r="O636" t="n">
        <v>0</v>
      </c>
      <c r="P636" t="n">
        <v>0</v>
      </c>
      <c r="Q636" t="n">
        <v>2</v>
      </c>
      <c r="R636" s="2" t="inlineStr">
        <is>
          <t>Citronfläckad kärrtrollslända
Vanlig snok</t>
        </is>
      </c>
      <c r="S636">
        <f>HYPERLINK("https://klasma.github.io/Logging_0861/artfynd/A 53367-2024 artfynd.xlsx", "A 53367-2024")</f>
        <v/>
      </c>
      <c r="T636">
        <f>HYPERLINK("https://klasma.github.io/Logging_0861/kartor/A 53367-2024 karta.png", "A 53367-2024")</f>
        <v/>
      </c>
      <c r="V636">
        <f>HYPERLINK("https://klasma.github.io/Logging_0861/klagomål/A 53367-2024 FSC-klagomål.docx", "A 53367-2024")</f>
        <v/>
      </c>
      <c r="W636">
        <f>HYPERLINK("https://klasma.github.io/Logging_0861/klagomålsmail/A 53367-2024 FSC-klagomål mail.docx", "A 53367-2024")</f>
        <v/>
      </c>
      <c r="X636">
        <f>HYPERLINK("https://klasma.github.io/Logging_0861/tillsyn/A 53367-2024 tillsynsbegäran.docx", "A 53367-2024")</f>
        <v/>
      </c>
      <c r="Y636">
        <f>HYPERLINK("https://klasma.github.io/Logging_0861/tillsynsmail/A 53367-2024 tillsynsbegäran mail.docx", "A 53367-2024")</f>
        <v/>
      </c>
    </row>
    <row r="637" ht="15" customHeight="1">
      <c r="A637" t="inlineStr">
        <is>
          <t>A 54036-2024</t>
        </is>
      </c>
      <c r="B637" s="1" t="n">
        <v>45616</v>
      </c>
      <c r="C637" s="1" t="n">
        <v>45715</v>
      </c>
      <c r="D637" t="inlineStr">
        <is>
          <t>KALMAR LÄN</t>
        </is>
      </c>
      <c r="E637" t="inlineStr">
        <is>
          <t>OSKARSHAMN</t>
        </is>
      </c>
      <c r="F637" t="inlineStr">
        <is>
          <t>Kyrkan</t>
        </is>
      </c>
      <c r="G637" t="n">
        <v>1.5</v>
      </c>
      <c r="H637" t="n">
        <v>1</v>
      </c>
      <c r="I637" t="n">
        <v>1</v>
      </c>
      <c r="J637" t="n">
        <v>1</v>
      </c>
      <c r="K637" t="n">
        <v>0</v>
      </c>
      <c r="L637" t="n">
        <v>0</v>
      </c>
      <c r="M637" t="n">
        <v>0</v>
      </c>
      <c r="N637" t="n">
        <v>0</v>
      </c>
      <c r="O637" t="n">
        <v>1</v>
      </c>
      <c r="P637" t="n">
        <v>0</v>
      </c>
      <c r="Q637" t="n">
        <v>2</v>
      </c>
      <c r="R637" s="2" t="inlineStr">
        <is>
          <t>Havsörn
Guldlockmossa</t>
        </is>
      </c>
      <c r="S637">
        <f>HYPERLINK("https://klasma.github.io/Logging_0882/artfynd/A 54036-2024 artfynd.xlsx", "A 54036-2024")</f>
        <v/>
      </c>
      <c r="T637">
        <f>HYPERLINK("https://klasma.github.io/Logging_0882/kartor/A 54036-2024 karta.png", "A 54036-2024")</f>
        <v/>
      </c>
      <c r="V637">
        <f>HYPERLINK("https://klasma.github.io/Logging_0882/klagomål/A 54036-2024 FSC-klagomål.docx", "A 54036-2024")</f>
        <v/>
      </c>
      <c r="W637">
        <f>HYPERLINK("https://klasma.github.io/Logging_0882/klagomålsmail/A 54036-2024 FSC-klagomål mail.docx", "A 54036-2024")</f>
        <v/>
      </c>
      <c r="X637">
        <f>HYPERLINK("https://klasma.github.io/Logging_0882/tillsyn/A 54036-2024 tillsynsbegäran.docx", "A 54036-2024")</f>
        <v/>
      </c>
      <c r="Y637">
        <f>HYPERLINK("https://klasma.github.io/Logging_0882/tillsynsmail/A 54036-2024 tillsynsbegäran mail.docx", "A 54036-2024")</f>
        <v/>
      </c>
      <c r="Z637">
        <f>HYPERLINK("https://klasma.github.io/Logging_0882/fåglar/A 54036-2024 prioriterade fågelarter.docx", "A 54036-2024")</f>
        <v/>
      </c>
    </row>
    <row r="638" ht="15" customHeight="1">
      <c r="A638" t="inlineStr">
        <is>
          <t>A 54346-2024</t>
        </is>
      </c>
      <c r="B638" s="1" t="n">
        <v>45617</v>
      </c>
      <c r="C638" s="1" t="n">
        <v>45715</v>
      </c>
      <c r="D638" t="inlineStr">
        <is>
          <t>KALMAR LÄN</t>
        </is>
      </c>
      <c r="E638" t="inlineStr">
        <is>
          <t>VÄSTERVIK</t>
        </is>
      </c>
      <c r="F638" t="inlineStr">
        <is>
          <t>Kyrkan</t>
        </is>
      </c>
      <c r="G638" t="n">
        <v>2.4</v>
      </c>
      <c r="H638" t="n">
        <v>0</v>
      </c>
      <c r="I638" t="n">
        <v>1</v>
      </c>
      <c r="J638" t="n">
        <v>1</v>
      </c>
      <c r="K638" t="n">
        <v>0</v>
      </c>
      <c r="L638" t="n">
        <v>0</v>
      </c>
      <c r="M638" t="n">
        <v>0</v>
      </c>
      <c r="N638" t="n">
        <v>0</v>
      </c>
      <c r="O638" t="n">
        <v>1</v>
      </c>
      <c r="P638" t="n">
        <v>0</v>
      </c>
      <c r="Q638" t="n">
        <v>2</v>
      </c>
      <c r="R638" s="2" t="inlineStr">
        <is>
          <t>Tallticka
Dropptaggsvamp</t>
        </is>
      </c>
      <c r="S638">
        <f>HYPERLINK("https://klasma.github.io/Logging_0883/artfynd/A 54346-2024 artfynd.xlsx", "A 54346-2024")</f>
        <v/>
      </c>
      <c r="T638">
        <f>HYPERLINK("https://klasma.github.io/Logging_0883/kartor/A 54346-2024 karta.png", "A 54346-2024")</f>
        <v/>
      </c>
      <c r="V638">
        <f>HYPERLINK("https://klasma.github.io/Logging_0883/klagomål/A 54346-2024 FSC-klagomål.docx", "A 54346-2024")</f>
        <v/>
      </c>
      <c r="W638">
        <f>HYPERLINK("https://klasma.github.io/Logging_0883/klagomålsmail/A 54346-2024 FSC-klagomål mail.docx", "A 54346-2024")</f>
        <v/>
      </c>
      <c r="X638">
        <f>HYPERLINK("https://klasma.github.io/Logging_0883/tillsyn/A 54346-2024 tillsynsbegäran.docx", "A 54346-2024")</f>
        <v/>
      </c>
      <c r="Y638">
        <f>HYPERLINK("https://klasma.github.io/Logging_0883/tillsynsmail/A 54346-2024 tillsynsbegäran mail.docx", "A 54346-2024")</f>
        <v/>
      </c>
    </row>
    <row r="639" ht="15" customHeight="1">
      <c r="A639" t="inlineStr">
        <is>
          <t>A 56036-2024</t>
        </is>
      </c>
      <c r="B639" s="1" t="n">
        <v>45624</v>
      </c>
      <c r="C639" s="1" t="n">
        <v>45715</v>
      </c>
      <c r="D639" t="inlineStr">
        <is>
          <t>KALMAR LÄN</t>
        </is>
      </c>
      <c r="E639" t="inlineStr">
        <is>
          <t>VÄSTERVIK</t>
        </is>
      </c>
      <c r="F639" t="inlineStr">
        <is>
          <t>Kyrkan</t>
        </is>
      </c>
      <c r="G639" t="n">
        <v>5.5</v>
      </c>
      <c r="H639" t="n">
        <v>2</v>
      </c>
      <c r="I639" t="n">
        <v>0</v>
      </c>
      <c r="J639" t="n">
        <v>1</v>
      </c>
      <c r="K639" t="n">
        <v>1</v>
      </c>
      <c r="L639" t="n">
        <v>0</v>
      </c>
      <c r="M639" t="n">
        <v>0</v>
      </c>
      <c r="N639" t="n">
        <v>0</v>
      </c>
      <c r="O639" t="n">
        <v>2</v>
      </c>
      <c r="P639" t="n">
        <v>1</v>
      </c>
      <c r="Q639" t="n">
        <v>2</v>
      </c>
      <c r="R639" s="2" t="inlineStr">
        <is>
          <t>Knärot
Spillkråka</t>
        </is>
      </c>
      <c r="S639">
        <f>HYPERLINK("https://klasma.github.io/Logging_0883/artfynd/A 56036-2024 artfynd.xlsx", "A 56036-2024")</f>
        <v/>
      </c>
      <c r="T639">
        <f>HYPERLINK("https://klasma.github.io/Logging_0883/kartor/A 56036-2024 karta.png", "A 56036-2024")</f>
        <v/>
      </c>
      <c r="U639">
        <f>HYPERLINK("https://klasma.github.io/Logging_0883/knärot/A 56036-2024 karta knärot.png", "A 56036-2024")</f>
        <v/>
      </c>
      <c r="V639">
        <f>HYPERLINK("https://klasma.github.io/Logging_0883/klagomål/A 56036-2024 FSC-klagomål.docx", "A 56036-2024")</f>
        <v/>
      </c>
      <c r="W639">
        <f>HYPERLINK("https://klasma.github.io/Logging_0883/klagomålsmail/A 56036-2024 FSC-klagomål mail.docx", "A 56036-2024")</f>
        <v/>
      </c>
      <c r="X639">
        <f>HYPERLINK("https://klasma.github.io/Logging_0883/tillsyn/A 56036-2024 tillsynsbegäran.docx", "A 56036-2024")</f>
        <v/>
      </c>
      <c r="Y639">
        <f>HYPERLINK("https://klasma.github.io/Logging_0883/tillsynsmail/A 56036-2024 tillsynsbegäran mail.docx", "A 56036-2024")</f>
        <v/>
      </c>
      <c r="Z639">
        <f>HYPERLINK("https://klasma.github.io/Logging_0883/fåglar/A 56036-2024 prioriterade fågelarter.docx", "A 56036-2024")</f>
        <v/>
      </c>
    </row>
    <row r="640" ht="15" customHeight="1">
      <c r="A640" t="inlineStr">
        <is>
          <t>A 58350-2024</t>
        </is>
      </c>
      <c r="B640" s="1" t="n">
        <v>45631</v>
      </c>
      <c r="C640" s="1" t="n">
        <v>45715</v>
      </c>
      <c r="D640" t="inlineStr">
        <is>
          <t>KALMAR LÄN</t>
        </is>
      </c>
      <c r="E640" t="inlineStr">
        <is>
          <t>NYBRO</t>
        </is>
      </c>
      <c r="F640" t="inlineStr">
        <is>
          <t>Kyrkan</t>
        </is>
      </c>
      <c r="G640" t="n">
        <v>2.7</v>
      </c>
      <c r="H640" t="n">
        <v>0</v>
      </c>
      <c r="I640" t="n">
        <v>1</v>
      </c>
      <c r="J640" t="n">
        <v>0</v>
      </c>
      <c r="K640" t="n">
        <v>1</v>
      </c>
      <c r="L640" t="n">
        <v>0</v>
      </c>
      <c r="M640" t="n">
        <v>0</v>
      </c>
      <c r="N640" t="n">
        <v>0</v>
      </c>
      <c r="O640" t="n">
        <v>1</v>
      </c>
      <c r="P640" t="n">
        <v>1</v>
      </c>
      <c r="Q640" t="n">
        <v>2</v>
      </c>
      <c r="R640" s="2" t="inlineStr">
        <is>
          <t>Revig blodrot
Blåmossa</t>
        </is>
      </c>
      <c r="S640">
        <f>HYPERLINK("https://klasma.github.io/Logging_0881/artfynd/A 58350-2024 artfynd.xlsx", "A 58350-2024")</f>
        <v/>
      </c>
      <c r="T640">
        <f>HYPERLINK("https://klasma.github.io/Logging_0881/kartor/A 58350-2024 karta.png", "A 58350-2024")</f>
        <v/>
      </c>
      <c r="V640">
        <f>HYPERLINK("https://klasma.github.io/Logging_0881/klagomål/A 58350-2024 FSC-klagomål.docx", "A 58350-2024")</f>
        <v/>
      </c>
      <c r="W640">
        <f>HYPERLINK("https://klasma.github.io/Logging_0881/klagomålsmail/A 58350-2024 FSC-klagomål mail.docx", "A 58350-2024")</f>
        <v/>
      </c>
      <c r="X640">
        <f>HYPERLINK("https://klasma.github.io/Logging_0881/tillsyn/A 58350-2024 tillsynsbegäran.docx", "A 58350-2024")</f>
        <v/>
      </c>
      <c r="Y640">
        <f>HYPERLINK("https://klasma.github.io/Logging_0881/tillsynsmail/A 58350-2024 tillsynsbegäran mail.docx", "A 58350-2024")</f>
        <v/>
      </c>
    </row>
    <row r="641" ht="15" customHeight="1">
      <c r="A641" t="inlineStr">
        <is>
          <t>A 58430-2024</t>
        </is>
      </c>
      <c r="B641" s="1" t="n">
        <v>45634</v>
      </c>
      <c r="C641" s="1" t="n">
        <v>45715</v>
      </c>
      <c r="D641" t="inlineStr">
        <is>
          <t>KALMAR LÄN</t>
        </is>
      </c>
      <c r="E641" t="inlineStr">
        <is>
          <t>VÄSTERVIK</t>
        </is>
      </c>
      <c r="F641" t="inlineStr">
        <is>
          <t>Sveaskog</t>
        </is>
      </c>
      <c r="G641" t="n">
        <v>5.6</v>
      </c>
      <c r="H641" t="n">
        <v>2</v>
      </c>
      <c r="I641" t="n">
        <v>0</v>
      </c>
      <c r="J641" t="n">
        <v>2</v>
      </c>
      <c r="K641" t="n">
        <v>0</v>
      </c>
      <c r="L641" t="n">
        <v>0</v>
      </c>
      <c r="M641" t="n">
        <v>0</v>
      </c>
      <c r="N641" t="n">
        <v>0</v>
      </c>
      <c r="O641" t="n">
        <v>2</v>
      </c>
      <c r="P641" t="n">
        <v>0</v>
      </c>
      <c r="Q641" t="n">
        <v>2</v>
      </c>
      <c r="R641" s="2" t="inlineStr">
        <is>
          <t>Spillkråka
Talltita</t>
        </is>
      </c>
      <c r="S641">
        <f>HYPERLINK("https://klasma.github.io/Logging_0883/artfynd/A 58430-2024 artfynd.xlsx", "A 58430-2024")</f>
        <v/>
      </c>
      <c r="T641">
        <f>HYPERLINK("https://klasma.github.io/Logging_0883/kartor/A 58430-2024 karta.png", "A 58430-2024")</f>
        <v/>
      </c>
      <c r="V641">
        <f>HYPERLINK("https://klasma.github.io/Logging_0883/klagomål/A 58430-2024 FSC-klagomål.docx", "A 58430-2024")</f>
        <v/>
      </c>
      <c r="W641">
        <f>HYPERLINK("https://klasma.github.io/Logging_0883/klagomålsmail/A 58430-2024 FSC-klagomål mail.docx", "A 58430-2024")</f>
        <v/>
      </c>
      <c r="X641">
        <f>HYPERLINK("https://klasma.github.io/Logging_0883/tillsyn/A 58430-2024 tillsynsbegäran.docx", "A 58430-2024")</f>
        <v/>
      </c>
      <c r="Y641">
        <f>HYPERLINK("https://klasma.github.io/Logging_0883/tillsynsmail/A 58430-2024 tillsynsbegäran mail.docx", "A 58430-2024")</f>
        <v/>
      </c>
      <c r="Z641">
        <f>HYPERLINK("https://klasma.github.io/Logging_0883/fåglar/A 58430-2024 prioriterade fågelarter.docx", "A 58430-2024")</f>
        <v/>
      </c>
    </row>
    <row r="642" ht="15" customHeight="1">
      <c r="A642" t="inlineStr">
        <is>
          <t>A 58727-2024</t>
        </is>
      </c>
      <c r="B642" s="1" t="n">
        <v>45635</v>
      </c>
      <c r="C642" s="1" t="n">
        <v>45715</v>
      </c>
      <c r="D642" t="inlineStr">
        <is>
          <t>KALMAR LÄN</t>
        </is>
      </c>
      <c r="E642" t="inlineStr">
        <is>
          <t>VÄSTERVIK</t>
        </is>
      </c>
      <c r="F642" t="inlineStr">
        <is>
          <t>Holmen skog AB</t>
        </is>
      </c>
      <c r="G642" t="n">
        <v>2.8</v>
      </c>
      <c r="H642" t="n">
        <v>1</v>
      </c>
      <c r="I642" t="n">
        <v>1</v>
      </c>
      <c r="J642" t="n">
        <v>1</v>
      </c>
      <c r="K642" t="n">
        <v>0</v>
      </c>
      <c r="L642" t="n">
        <v>0</v>
      </c>
      <c r="M642" t="n">
        <v>0</v>
      </c>
      <c r="N642" t="n">
        <v>0</v>
      </c>
      <c r="O642" t="n">
        <v>1</v>
      </c>
      <c r="P642" t="n">
        <v>0</v>
      </c>
      <c r="Q642" t="n">
        <v>2</v>
      </c>
      <c r="R642" s="2" t="inlineStr">
        <is>
          <t>Talltita
Blåmossa</t>
        </is>
      </c>
      <c r="S642">
        <f>HYPERLINK("https://klasma.github.io/Logging_0883/artfynd/A 58727-2024 artfynd.xlsx", "A 58727-2024")</f>
        <v/>
      </c>
      <c r="T642">
        <f>HYPERLINK("https://klasma.github.io/Logging_0883/kartor/A 58727-2024 karta.png", "A 58727-2024")</f>
        <v/>
      </c>
      <c r="V642">
        <f>HYPERLINK("https://klasma.github.io/Logging_0883/klagomål/A 58727-2024 FSC-klagomål.docx", "A 58727-2024")</f>
        <v/>
      </c>
      <c r="W642">
        <f>HYPERLINK("https://klasma.github.io/Logging_0883/klagomålsmail/A 58727-2024 FSC-klagomål mail.docx", "A 58727-2024")</f>
        <v/>
      </c>
      <c r="X642">
        <f>HYPERLINK("https://klasma.github.io/Logging_0883/tillsyn/A 58727-2024 tillsynsbegäran.docx", "A 58727-2024")</f>
        <v/>
      </c>
      <c r="Y642">
        <f>HYPERLINK("https://klasma.github.io/Logging_0883/tillsynsmail/A 58727-2024 tillsynsbegäran mail.docx", "A 58727-2024")</f>
        <v/>
      </c>
      <c r="Z642">
        <f>HYPERLINK("https://klasma.github.io/Logging_0883/fåglar/A 58727-2024 prioriterade fågelarter.docx", "A 58727-2024")</f>
        <v/>
      </c>
    </row>
    <row r="643" ht="15" customHeight="1">
      <c r="A643" t="inlineStr">
        <is>
          <t>A 60471-2024</t>
        </is>
      </c>
      <c r="B643" s="1" t="n">
        <v>45643</v>
      </c>
      <c r="C643" s="1" t="n">
        <v>45715</v>
      </c>
      <c r="D643" t="inlineStr">
        <is>
          <t>KALMAR LÄN</t>
        </is>
      </c>
      <c r="E643" t="inlineStr">
        <is>
          <t>MÖNSTERÅS</t>
        </is>
      </c>
      <c r="G643" t="n">
        <v>4.2</v>
      </c>
      <c r="H643" t="n">
        <v>1</v>
      </c>
      <c r="I643" t="n">
        <v>0</v>
      </c>
      <c r="J643" t="n">
        <v>2</v>
      </c>
      <c r="K643" t="n">
        <v>0</v>
      </c>
      <c r="L643" t="n">
        <v>0</v>
      </c>
      <c r="M643" t="n">
        <v>0</v>
      </c>
      <c r="N643" t="n">
        <v>0</v>
      </c>
      <c r="O643" t="n">
        <v>2</v>
      </c>
      <c r="P643" t="n">
        <v>0</v>
      </c>
      <c r="Q643" t="n">
        <v>2</v>
      </c>
      <c r="R643" s="2" t="inlineStr">
        <is>
          <t>Tallticka
Talltita</t>
        </is>
      </c>
      <c r="S643">
        <f>HYPERLINK("https://klasma.github.io/Logging_0861/artfynd/A 60471-2024 artfynd.xlsx", "A 60471-2024")</f>
        <v/>
      </c>
      <c r="T643">
        <f>HYPERLINK("https://klasma.github.io/Logging_0861/kartor/A 60471-2024 karta.png", "A 60471-2024")</f>
        <v/>
      </c>
      <c r="V643">
        <f>HYPERLINK("https://klasma.github.io/Logging_0861/klagomål/A 60471-2024 FSC-klagomål.docx", "A 60471-2024")</f>
        <v/>
      </c>
      <c r="W643">
        <f>HYPERLINK("https://klasma.github.io/Logging_0861/klagomålsmail/A 60471-2024 FSC-klagomål mail.docx", "A 60471-2024")</f>
        <v/>
      </c>
      <c r="X643">
        <f>HYPERLINK("https://klasma.github.io/Logging_0861/tillsyn/A 60471-2024 tillsynsbegäran.docx", "A 60471-2024")</f>
        <v/>
      </c>
      <c r="Y643">
        <f>HYPERLINK("https://klasma.github.io/Logging_0861/tillsynsmail/A 60471-2024 tillsynsbegäran mail.docx", "A 60471-2024")</f>
        <v/>
      </c>
      <c r="Z643">
        <f>HYPERLINK("https://klasma.github.io/Logging_0861/fåglar/A 60471-2024 prioriterade fågelarter.docx", "A 60471-2024")</f>
        <v/>
      </c>
    </row>
    <row r="644" ht="15" customHeight="1">
      <c r="A644" t="inlineStr">
        <is>
          <t>A 61116-2024</t>
        </is>
      </c>
      <c r="B644" s="1" t="n">
        <v>45645</v>
      </c>
      <c r="C644" s="1" t="n">
        <v>45715</v>
      </c>
      <c r="D644" t="inlineStr">
        <is>
          <t>KALMAR LÄN</t>
        </is>
      </c>
      <c r="E644" t="inlineStr">
        <is>
          <t>OSKARSHAMN</t>
        </is>
      </c>
      <c r="G644" t="n">
        <v>1.7</v>
      </c>
      <c r="H644" t="n">
        <v>0</v>
      </c>
      <c r="I644" t="n">
        <v>0</v>
      </c>
      <c r="J644" t="n">
        <v>2</v>
      </c>
      <c r="K644" t="n">
        <v>0</v>
      </c>
      <c r="L644" t="n">
        <v>0</v>
      </c>
      <c r="M644" t="n">
        <v>0</v>
      </c>
      <c r="N644" t="n">
        <v>0</v>
      </c>
      <c r="O644" t="n">
        <v>2</v>
      </c>
      <c r="P644" t="n">
        <v>0</v>
      </c>
      <c r="Q644" t="n">
        <v>2</v>
      </c>
      <c r="R644" s="2" t="inlineStr">
        <is>
          <t>Klofibbla
Spindelört</t>
        </is>
      </c>
      <c r="S644">
        <f>HYPERLINK("https://klasma.github.io/Logging_0882/artfynd/A 61116-2024 artfynd.xlsx", "A 61116-2024")</f>
        <v/>
      </c>
      <c r="T644">
        <f>HYPERLINK("https://klasma.github.io/Logging_0882/kartor/A 61116-2024 karta.png", "A 61116-2024")</f>
        <v/>
      </c>
      <c r="V644">
        <f>HYPERLINK("https://klasma.github.io/Logging_0882/klagomål/A 61116-2024 FSC-klagomål.docx", "A 61116-2024")</f>
        <v/>
      </c>
      <c r="W644">
        <f>HYPERLINK("https://klasma.github.io/Logging_0882/klagomålsmail/A 61116-2024 FSC-klagomål mail.docx", "A 61116-2024")</f>
        <v/>
      </c>
      <c r="X644">
        <f>HYPERLINK("https://klasma.github.io/Logging_0882/tillsyn/A 61116-2024 tillsynsbegäran.docx", "A 61116-2024")</f>
        <v/>
      </c>
      <c r="Y644">
        <f>HYPERLINK("https://klasma.github.io/Logging_0882/tillsynsmail/A 61116-2024 tillsynsbegäran mail.docx", "A 61116-2024")</f>
        <v/>
      </c>
    </row>
    <row r="645" ht="15" customHeight="1">
      <c r="A645" t="inlineStr">
        <is>
          <t>A 61561-2024</t>
        </is>
      </c>
      <c r="B645" s="1" t="n">
        <v>45646</v>
      </c>
      <c r="C645" s="1" t="n">
        <v>45715</v>
      </c>
      <c r="D645" t="inlineStr">
        <is>
          <t>KALMAR LÄN</t>
        </is>
      </c>
      <c r="E645" t="inlineStr">
        <is>
          <t>MÖNSTERÅS</t>
        </is>
      </c>
      <c r="G645" t="n">
        <v>2.7</v>
      </c>
      <c r="H645" t="n">
        <v>1</v>
      </c>
      <c r="I645" t="n">
        <v>1</v>
      </c>
      <c r="J645" t="n">
        <v>1</v>
      </c>
      <c r="K645" t="n">
        <v>0</v>
      </c>
      <c r="L645" t="n">
        <v>0</v>
      </c>
      <c r="M645" t="n">
        <v>0</v>
      </c>
      <c r="N645" t="n">
        <v>0</v>
      </c>
      <c r="O645" t="n">
        <v>1</v>
      </c>
      <c r="P645" t="n">
        <v>0</v>
      </c>
      <c r="Q645" t="n">
        <v>2</v>
      </c>
      <c r="R645" s="2" t="inlineStr">
        <is>
          <t>Mindre bastardsvärmare
Ekoxe</t>
        </is>
      </c>
      <c r="S645">
        <f>HYPERLINK("https://klasma.github.io/Logging_0861/artfynd/A 61561-2024 artfynd.xlsx", "A 61561-2024")</f>
        <v/>
      </c>
      <c r="T645">
        <f>HYPERLINK("https://klasma.github.io/Logging_0861/kartor/A 61561-2024 karta.png", "A 61561-2024")</f>
        <v/>
      </c>
      <c r="V645">
        <f>HYPERLINK("https://klasma.github.io/Logging_0861/klagomål/A 61561-2024 FSC-klagomål.docx", "A 61561-2024")</f>
        <v/>
      </c>
      <c r="W645">
        <f>HYPERLINK("https://klasma.github.io/Logging_0861/klagomålsmail/A 61561-2024 FSC-klagomål mail.docx", "A 61561-2024")</f>
        <v/>
      </c>
      <c r="X645">
        <f>HYPERLINK("https://klasma.github.io/Logging_0861/tillsyn/A 61561-2024 tillsynsbegäran.docx", "A 61561-2024")</f>
        <v/>
      </c>
      <c r="Y645">
        <f>HYPERLINK("https://klasma.github.io/Logging_0861/tillsynsmail/A 61561-2024 tillsynsbegäran mail.docx", "A 61561-2024")</f>
        <v/>
      </c>
    </row>
    <row r="646" ht="15" customHeight="1">
      <c r="A646" t="inlineStr">
        <is>
          <t>A 61894-2024</t>
        </is>
      </c>
      <c r="B646" s="1" t="n">
        <v>45652</v>
      </c>
      <c r="C646" s="1" t="n">
        <v>45715</v>
      </c>
      <c r="D646" t="inlineStr">
        <is>
          <t>KALMAR LÄN</t>
        </is>
      </c>
      <c r="E646" t="inlineStr">
        <is>
          <t>NYBRO</t>
        </is>
      </c>
      <c r="G646" t="n">
        <v>2.3</v>
      </c>
      <c r="H646" t="n">
        <v>1</v>
      </c>
      <c r="I646" t="n">
        <v>1</v>
      </c>
      <c r="J646" t="n">
        <v>1</v>
      </c>
      <c r="K646" t="n">
        <v>0</v>
      </c>
      <c r="L646" t="n">
        <v>0</v>
      </c>
      <c r="M646" t="n">
        <v>0</v>
      </c>
      <c r="N646" t="n">
        <v>0</v>
      </c>
      <c r="O646" t="n">
        <v>1</v>
      </c>
      <c r="P646" t="n">
        <v>0</v>
      </c>
      <c r="Q646" t="n">
        <v>2</v>
      </c>
      <c r="R646" s="2" t="inlineStr">
        <is>
          <t>Spillkråka
Blåmossa</t>
        </is>
      </c>
      <c r="S646">
        <f>HYPERLINK("https://klasma.github.io/Logging_0881/artfynd/A 61894-2024 artfynd.xlsx", "A 61894-2024")</f>
        <v/>
      </c>
      <c r="T646">
        <f>HYPERLINK("https://klasma.github.io/Logging_0881/kartor/A 61894-2024 karta.png", "A 61894-2024")</f>
        <v/>
      </c>
      <c r="V646">
        <f>HYPERLINK("https://klasma.github.io/Logging_0881/klagomål/A 61894-2024 FSC-klagomål.docx", "A 61894-2024")</f>
        <v/>
      </c>
      <c r="W646">
        <f>HYPERLINK("https://klasma.github.io/Logging_0881/klagomålsmail/A 61894-2024 FSC-klagomål mail.docx", "A 61894-2024")</f>
        <v/>
      </c>
      <c r="X646">
        <f>HYPERLINK("https://klasma.github.io/Logging_0881/tillsyn/A 61894-2024 tillsynsbegäran.docx", "A 61894-2024")</f>
        <v/>
      </c>
      <c r="Y646">
        <f>HYPERLINK("https://klasma.github.io/Logging_0881/tillsynsmail/A 61894-2024 tillsynsbegäran mail.docx", "A 61894-2024")</f>
        <v/>
      </c>
      <c r="Z646">
        <f>HYPERLINK("https://klasma.github.io/Logging_0881/fåglar/A 61894-2024 prioriterade fågelarter.docx", "A 61894-2024")</f>
        <v/>
      </c>
    </row>
    <row r="647" ht="15" customHeight="1">
      <c r="A647" t="inlineStr">
        <is>
          <t>A 958-2025</t>
        </is>
      </c>
      <c r="B647" s="1" t="n">
        <v>45666</v>
      </c>
      <c r="C647" s="1" t="n">
        <v>45715</v>
      </c>
      <c r="D647" t="inlineStr">
        <is>
          <t>KALMAR LÄN</t>
        </is>
      </c>
      <c r="E647" t="inlineStr">
        <is>
          <t>VÄSTERVIK</t>
        </is>
      </c>
      <c r="G647" t="n">
        <v>2.8</v>
      </c>
      <c r="H647" t="n">
        <v>1</v>
      </c>
      <c r="I647" t="n">
        <v>0</v>
      </c>
      <c r="J647" t="n">
        <v>2</v>
      </c>
      <c r="K647" t="n">
        <v>0</v>
      </c>
      <c r="L647" t="n">
        <v>0</v>
      </c>
      <c r="M647" t="n">
        <v>0</v>
      </c>
      <c r="N647" t="n">
        <v>0</v>
      </c>
      <c r="O647" t="n">
        <v>2</v>
      </c>
      <c r="P647" t="n">
        <v>0</v>
      </c>
      <c r="Q647" t="n">
        <v>2</v>
      </c>
      <c r="R647" s="2" t="inlineStr">
        <is>
          <t>Orange taggsvamp
Spillkråka</t>
        </is>
      </c>
      <c r="S647">
        <f>HYPERLINK("https://klasma.github.io/Logging_0883/artfynd/A 958-2025 artfynd.xlsx", "A 958-2025")</f>
        <v/>
      </c>
      <c r="T647">
        <f>HYPERLINK("https://klasma.github.io/Logging_0883/kartor/A 958-2025 karta.png", "A 958-2025")</f>
        <v/>
      </c>
      <c r="V647">
        <f>HYPERLINK("https://klasma.github.io/Logging_0883/klagomål/A 958-2025 FSC-klagomål.docx", "A 958-2025")</f>
        <v/>
      </c>
      <c r="W647">
        <f>HYPERLINK("https://klasma.github.io/Logging_0883/klagomålsmail/A 958-2025 FSC-klagomål mail.docx", "A 958-2025")</f>
        <v/>
      </c>
      <c r="X647">
        <f>HYPERLINK("https://klasma.github.io/Logging_0883/tillsyn/A 958-2025 tillsynsbegäran.docx", "A 958-2025")</f>
        <v/>
      </c>
      <c r="Y647">
        <f>HYPERLINK("https://klasma.github.io/Logging_0883/tillsynsmail/A 958-2025 tillsynsbegäran mail.docx", "A 958-2025")</f>
        <v/>
      </c>
      <c r="Z647">
        <f>HYPERLINK("https://klasma.github.io/Logging_0883/fåglar/A 958-2025 prioriterade fågelarter.docx", "A 958-2025")</f>
        <v/>
      </c>
    </row>
    <row r="648" ht="15" customHeight="1">
      <c r="A648" t="inlineStr">
        <is>
          <t>A 1767-2025</t>
        </is>
      </c>
      <c r="B648" s="1" t="n">
        <v>45671</v>
      </c>
      <c r="C648" s="1" t="n">
        <v>45715</v>
      </c>
      <c r="D648" t="inlineStr">
        <is>
          <t>KALMAR LÄN</t>
        </is>
      </c>
      <c r="E648" t="inlineStr">
        <is>
          <t>VÄSTERVIK</t>
        </is>
      </c>
      <c r="G648" t="n">
        <v>1.4</v>
      </c>
      <c r="H648" t="n">
        <v>1</v>
      </c>
      <c r="I648" t="n">
        <v>0</v>
      </c>
      <c r="J648" t="n">
        <v>2</v>
      </c>
      <c r="K648" t="n">
        <v>0</v>
      </c>
      <c r="L648" t="n">
        <v>0</v>
      </c>
      <c r="M648" t="n">
        <v>0</v>
      </c>
      <c r="N648" t="n">
        <v>0</v>
      </c>
      <c r="O648" t="n">
        <v>2</v>
      </c>
      <c r="P648" t="n">
        <v>0</v>
      </c>
      <c r="Q648" t="n">
        <v>2</v>
      </c>
      <c r="R648" s="2" t="inlineStr">
        <is>
          <t>Garnlav
Spillkråka</t>
        </is>
      </c>
      <c r="S648">
        <f>HYPERLINK("https://klasma.github.io/Logging_0883/artfynd/A 1767-2025 artfynd.xlsx", "A 1767-2025")</f>
        <v/>
      </c>
      <c r="T648">
        <f>HYPERLINK("https://klasma.github.io/Logging_0883/kartor/A 1767-2025 karta.png", "A 1767-2025")</f>
        <v/>
      </c>
      <c r="U648">
        <f>HYPERLINK("https://klasma.github.io/Logging_0883/knärot/A 1767-2025 karta knärot.png", "A 1767-2025")</f>
        <v/>
      </c>
      <c r="V648">
        <f>HYPERLINK("https://klasma.github.io/Logging_0883/klagomål/A 1767-2025 FSC-klagomål.docx", "A 1767-2025")</f>
        <v/>
      </c>
      <c r="W648">
        <f>HYPERLINK("https://klasma.github.io/Logging_0883/klagomålsmail/A 1767-2025 FSC-klagomål mail.docx", "A 1767-2025")</f>
        <v/>
      </c>
      <c r="X648">
        <f>HYPERLINK("https://klasma.github.io/Logging_0883/tillsyn/A 1767-2025 tillsynsbegäran.docx", "A 1767-2025")</f>
        <v/>
      </c>
      <c r="Y648">
        <f>HYPERLINK("https://klasma.github.io/Logging_0883/tillsynsmail/A 1767-2025 tillsynsbegäran mail.docx", "A 1767-2025")</f>
        <v/>
      </c>
      <c r="Z648">
        <f>HYPERLINK("https://klasma.github.io/Logging_0883/fåglar/A 1767-2025 prioriterade fågelarter.docx", "A 1767-2025")</f>
        <v/>
      </c>
    </row>
    <row r="649" ht="15" customHeight="1">
      <c r="A649" t="inlineStr">
        <is>
          <t>A 2324-2025</t>
        </is>
      </c>
      <c r="B649" s="1" t="n">
        <v>45673</v>
      </c>
      <c r="C649" s="1" t="n">
        <v>45715</v>
      </c>
      <c r="D649" t="inlineStr">
        <is>
          <t>KALMAR LÄN</t>
        </is>
      </c>
      <c r="E649" t="inlineStr">
        <is>
          <t>VÄSTERVIK</t>
        </is>
      </c>
      <c r="F649" t="inlineStr">
        <is>
          <t>Sveaskog</t>
        </is>
      </c>
      <c r="G649" t="n">
        <v>5.7</v>
      </c>
      <c r="H649" t="n">
        <v>2</v>
      </c>
      <c r="I649" t="n">
        <v>0</v>
      </c>
      <c r="J649" t="n">
        <v>0</v>
      </c>
      <c r="K649" t="n">
        <v>0</v>
      </c>
      <c r="L649" t="n">
        <v>0</v>
      </c>
      <c r="M649" t="n">
        <v>0</v>
      </c>
      <c r="N649" t="n">
        <v>0</v>
      </c>
      <c r="O649" t="n">
        <v>0</v>
      </c>
      <c r="P649" t="n">
        <v>0</v>
      </c>
      <c r="Q649" t="n">
        <v>2</v>
      </c>
      <c r="R649" s="2" t="inlineStr">
        <is>
          <t>Kungsfågel
Mattlummer</t>
        </is>
      </c>
      <c r="S649">
        <f>HYPERLINK("https://klasma.github.io/Logging_0883/artfynd/A 2324-2025 artfynd.xlsx", "A 2324-2025")</f>
        <v/>
      </c>
      <c r="T649">
        <f>HYPERLINK("https://klasma.github.io/Logging_0883/kartor/A 2324-2025 karta.png", "A 2324-2025")</f>
        <v/>
      </c>
      <c r="V649">
        <f>HYPERLINK("https://klasma.github.io/Logging_0883/klagomål/A 2324-2025 FSC-klagomål.docx", "A 2324-2025")</f>
        <v/>
      </c>
      <c r="W649">
        <f>HYPERLINK("https://klasma.github.io/Logging_0883/klagomålsmail/A 2324-2025 FSC-klagomål mail.docx", "A 2324-2025")</f>
        <v/>
      </c>
      <c r="X649">
        <f>HYPERLINK("https://klasma.github.io/Logging_0883/tillsyn/A 2324-2025 tillsynsbegäran.docx", "A 2324-2025")</f>
        <v/>
      </c>
      <c r="Y649">
        <f>HYPERLINK("https://klasma.github.io/Logging_0883/tillsynsmail/A 2324-2025 tillsynsbegäran mail.docx", "A 2324-2025")</f>
        <v/>
      </c>
      <c r="Z649">
        <f>HYPERLINK("https://klasma.github.io/Logging_0883/fåglar/A 2324-2025 prioriterade fågelarter.docx", "A 2324-2025")</f>
        <v/>
      </c>
    </row>
    <row r="650" ht="15" customHeight="1">
      <c r="A650" t="inlineStr">
        <is>
          <t>A 2876-2025</t>
        </is>
      </c>
      <c r="B650" s="1" t="n">
        <v>45677</v>
      </c>
      <c r="C650" s="1" t="n">
        <v>45715</v>
      </c>
      <c r="D650" t="inlineStr">
        <is>
          <t>KALMAR LÄN</t>
        </is>
      </c>
      <c r="E650" t="inlineStr">
        <is>
          <t>HÖGSBY</t>
        </is>
      </c>
      <c r="G650" t="n">
        <v>7.4</v>
      </c>
      <c r="H650" t="n">
        <v>0</v>
      </c>
      <c r="I650" t="n">
        <v>0</v>
      </c>
      <c r="J650" t="n">
        <v>0</v>
      </c>
      <c r="K650" t="n">
        <v>2</v>
      </c>
      <c r="L650" t="n">
        <v>0</v>
      </c>
      <c r="M650" t="n">
        <v>0</v>
      </c>
      <c r="N650" t="n">
        <v>0</v>
      </c>
      <c r="O650" t="n">
        <v>2</v>
      </c>
      <c r="P650" t="n">
        <v>2</v>
      </c>
      <c r="Q650" t="n">
        <v>2</v>
      </c>
      <c r="R650" s="2" t="inlineStr">
        <is>
          <t>Slåttergubbe
Slåttergubbemal</t>
        </is>
      </c>
      <c r="S650">
        <f>HYPERLINK("https://klasma.github.io/Logging_0821/artfynd/A 2876-2025 artfynd.xlsx", "A 2876-2025")</f>
        <v/>
      </c>
      <c r="T650">
        <f>HYPERLINK("https://klasma.github.io/Logging_0821/kartor/A 2876-2025 karta.png", "A 2876-2025")</f>
        <v/>
      </c>
      <c r="V650">
        <f>HYPERLINK("https://klasma.github.io/Logging_0821/klagomål/A 2876-2025 FSC-klagomål.docx", "A 2876-2025")</f>
        <v/>
      </c>
      <c r="W650">
        <f>HYPERLINK("https://klasma.github.io/Logging_0821/klagomålsmail/A 2876-2025 FSC-klagomål mail.docx", "A 2876-2025")</f>
        <v/>
      </c>
      <c r="X650">
        <f>HYPERLINK("https://klasma.github.io/Logging_0821/tillsyn/A 2876-2025 tillsynsbegäran.docx", "A 2876-2025")</f>
        <v/>
      </c>
      <c r="Y650">
        <f>HYPERLINK("https://klasma.github.io/Logging_0821/tillsynsmail/A 2876-2025 tillsynsbegäran mail.docx", "A 2876-2025")</f>
        <v/>
      </c>
    </row>
    <row r="651" ht="15" customHeight="1">
      <c r="A651" t="inlineStr">
        <is>
          <t>A 2950-2025</t>
        </is>
      </c>
      <c r="B651" s="1" t="n">
        <v>45678</v>
      </c>
      <c r="C651" s="1" t="n">
        <v>45715</v>
      </c>
      <c r="D651" t="inlineStr">
        <is>
          <t>KALMAR LÄN</t>
        </is>
      </c>
      <c r="E651" t="inlineStr">
        <is>
          <t>VÄSTERVIK</t>
        </is>
      </c>
      <c r="G651" t="n">
        <v>6.1</v>
      </c>
      <c r="H651" t="n">
        <v>1</v>
      </c>
      <c r="I651" t="n">
        <v>1</v>
      </c>
      <c r="J651" t="n">
        <v>0</v>
      </c>
      <c r="K651" t="n">
        <v>1</v>
      </c>
      <c r="L651" t="n">
        <v>0</v>
      </c>
      <c r="M651" t="n">
        <v>0</v>
      </c>
      <c r="N651" t="n">
        <v>0</v>
      </c>
      <c r="O651" t="n">
        <v>1</v>
      </c>
      <c r="P651" t="n">
        <v>1</v>
      </c>
      <c r="Q651" t="n">
        <v>2</v>
      </c>
      <c r="R651" s="2" t="inlineStr">
        <is>
          <t>Knärot
Grovticka</t>
        </is>
      </c>
      <c r="S651">
        <f>HYPERLINK("https://klasma.github.io/Logging_0883/artfynd/A 2950-2025 artfynd.xlsx", "A 2950-2025")</f>
        <v/>
      </c>
      <c r="T651">
        <f>HYPERLINK("https://klasma.github.io/Logging_0883/kartor/A 2950-2025 karta.png", "A 2950-2025")</f>
        <v/>
      </c>
      <c r="U651">
        <f>HYPERLINK("https://klasma.github.io/Logging_0883/knärot/A 2950-2025 karta knärot.png", "A 2950-2025")</f>
        <v/>
      </c>
      <c r="V651">
        <f>HYPERLINK("https://klasma.github.io/Logging_0883/klagomål/A 2950-2025 FSC-klagomål.docx", "A 2950-2025")</f>
        <v/>
      </c>
      <c r="W651">
        <f>HYPERLINK("https://klasma.github.io/Logging_0883/klagomålsmail/A 2950-2025 FSC-klagomål mail.docx", "A 2950-2025")</f>
        <v/>
      </c>
      <c r="X651">
        <f>HYPERLINK("https://klasma.github.io/Logging_0883/tillsyn/A 2950-2025 tillsynsbegäran.docx", "A 2950-2025")</f>
        <v/>
      </c>
      <c r="Y651">
        <f>HYPERLINK("https://klasma.github.io/Logging_0883/tillsynsmail/A 2950-2025 tillsynsbegäran mail.docx", "A 2950-2025")</f>
        <v/>
      </c>
    </row>
    <row r="652" ht="15" customHeight="1">
      <c r="A652" t="inlineStr">
        <is>
          <t>A 3091-2025</t>
        </is>
      </c>
      <c r="B652" s="1" t="n">
        <v>45678</v>
      </c>
      <c r="C652" s="1" t="n">
        <v>45715</v>
      </c>
      <c r="D652" t="inlineStr">
        <is>
          <t>KALMAR LÄN</t>
        </is>
      </c>
      <c r="E652" t="inlineStr">
        <is>
          <t>VÄSTERVIK</t>
        </is>
      </c>
      <c r="G652" t="n">
        <v>3.7</v>
      </c>
      <c r="H652" t="n">
        <v>2</v>
      </c>
      <c r="I652" t="n">
        <v>0</v>
      </c>
      <c r="J652" t="n">
        <v>1</v>
      </c>
      <c r="K652" t="n">
        <v>1</v>
      </c>
      <c r="L652" t="n">
        <v>0</v>
      </c>
      <c r="M652" t="n">
        <v>0</v>
      </c>
      <c r="N652" t="n">
        <v>0</v>
      </c>
      <c r="O652" t="n">
        <v>2</v>
      </c>
      <c r="P652" t="n">
        <v>1</v>
      </c>
      <c r="Q652" t="n">
        <v>2</v>
      </c>
      <c r="R652" s="2" t="inlineStr">
        <is>
          <t>Knärot
Talltita</t>
        </is>
      </c>
      <c r="S652">
        <f>HYPERLINK("https://klasma.github.io/Logging_0883/artfynd/A 3091-2025 artfynd.xlsx", "A 3091-2025")</f>
        <v/>
      </c>
      <c r="T652">
        <f>HYPERLINK("https://klasma.github.io/Logging_0883/kartor/A 3091-2025 karta.png", "A 3091-2025")</f>
        <v/>
      </c>
      <c r="U652">
        <f>HYPERLINK("https://klasma.github.io/Logging_0883/knärot/A 3091-2025 karta knärot.png", "A 3091-2025")</f>
        <v/>
      </c>
      <c r="V652">
        <f>HYPERLINK("https://klasma.github.io/Logging_0883/klagomål/A 3091-2025 FSC-klagomål.docx", "A 3091-2025")</f>
        <v/>
      </c>
      <c r="W652">
        <f>HYPERLINK("https://klasma.github.io/Logging_0883/klagomålsmail/A 3091-2025 FSC-klagomål mail.docx", "A 3091-2025")</f>
        <v/>
      </c>
      <c r="X652">
        <f>HYPERLINK("https://klasma.github.io/Logging_0883/tillsyn/A 3091-2025 tillsynsbegäran.docx", "A 3091-2025")</f>
        <v/>
      </c>
      <c r="Y652">
        <f>HYPERLINK("https://klasma.github.io/Logging_0883/tillsynsmail/A 3091-2025 tillsynsbegäran mail.docx", "A 3091-2025")</f>
        <v/>
      </c>
      <c r="Z652">
        <f>HYPERLINK("https://klasma.github.io/Logging_0883/fåglar/A 3091-2025 prioriterade fågelarter.docx", "A 3091-2025")</f>
        <v/>
      </c>
    </row>
    <row r="653" ht="15" customHeight="1">
      <c r="A653" t="inlineStr">
        <is>
          <t>A 3182-2025</t>
        </is>
      </c>
      <c r="B653" s="1" t="n">
        <v>45679</v>
      </c>
      <c r="C653" s="1" t="n">
        <v>45715</v>
      </c>
      <c r="D653" t="inlineStr">
        <is>
          <t>KALMAR LÄN</t>
        </is>
      </c>
      <c r="E653" t="inlineStr">
        <is>
          <t>VÄSTERVIK</t>
        </is>
      </c>
      <c r="G653" t="n">
        <v>1.2</v>
      </c>
      <c r="H653" t="n">
        <v>2</v>
      </c>
      <c r="I653" t="n">
        <v>0</v>
      </c>
      <c r="J653" t="n">
        <v>1</v>
      </c>
      <c r="K653" t="n">
        <v>1</v>
      </c>
      <c r="L653" t="n">
        <v>0</v>
      </c>
      <c r="M653" t="n">
        <v>0</v>
      </c>
      <c r="N653" t="n">
        <v>0</v>
      </c>
      <c r="O653" t="n">
        <v>2</v>
      </c>
      <c r="P653" t="n">
        <v>1</v>
      </c>
      <c r="Q653" t="n">
        <v>2</v>
      </c>
      <c r="R653" s="2" t="inlineStr">
        <is>
          <t>Knärot
Spillkråka</t>
        </is>
      </c>
      <c r="S653">
        <f>HYPERLINK("https://klasma.github.io/Logging_0883/artfynd/A 3182-2025 artfynd.xlsx", "A 3182-2025")</f>
        <v/>
      </c>
      <c r="T653">
        <f>HYPERLINK("https://klasma.github.io/Logging_0883/kartor/A 3182-2025 karta.png", "A 3182-2025")</f>
        <v/>
      </c>
      <c r="U653">
        <f>HYPERLINK("https://klasma.github.io/Logging_0883/knärot/A 3182-2025 karta knärot.png", "A 3182-2025")</f>
        <v/>
      </c>
      <c r="V653">
        <f>HYPERLINK("https://klasma.github.io/Logging_0883/klagomål/A 3182-2025 FSC-klagomål.docx", "A 3182-2025")</f>
        <v/>
      </c>
      <c r="W653">
        <f>HYPERLINK("https://klasma.github.io/Logging_0883/klagomålsmail/A 3182-2025 FSC-klagomål mail.docx", "A 3182-2025")</f>
        <v/>
      </c>
      <c r="X653">
        <f>HYPERLINK("https://klasma.github.io/Logging_0883/tillsyn/A 3182-2025 tillsynsbegäran.docx", "A 3182-2025")</f>
        <v/>
      </c>
      <c r="Y653">
        <f>HYPERLINK("https://klasma.github.io/Logging_0883/tillsynsmail/A 3182-2025 tillsynsbegäran mail.docx", "A 3182-2025")</f>
        <v/>
      </c>
      <c r="Z653">
        <f>HYPERLINK("https://klasma.github.io/Logging_0883/fåglar/A 3182-2025 prioriterade fågelarter.docx", "A 3182-2025")</f>
        <v/>
      </c>
    </row>
    <row r="654" ht="15" customHeight="1">
      <c r="A654" t="inlineStr">
        <is>
          <t>A 5114-2025</t>
        </is>
      </c>
      <c r="B654" s="1" t="n">
        <v>45691</v>
      </c>
      <c r="C654" s="1" t="n">
        <v>45715</v>
      </c>
      <c r="D654" t="inlineStr">
        <is>
          <t>KALMAR LÄN</t>
        </is>
      </c>
      <c r="E654" t="inlineStr">
        <is>
          <t>VÄSTERVIK</t>
        </is>
      </c>
      <c r="G654" t="n">
        <v>3.6</v>
      </c>
      <c r="H654" t="n">
        <v>2</v>
      </c>
      <c r="I654" t="n">
        <v>0</v>
      </c>
      <c r="J654" t="n">
        <v>2</v>
      </c>
      <c r="K654" t="n">
        <v>0</v>
      </c>
      <c r="L654" t="n">
        <v>0</v>
      </c>
      <c r="M654" t="n">
        <v>0</v>
      </c>
      <c r="N654" t="n">
        <v>0</v>
      </c>
      <c r="O654" t="n">
        <v>2</v>
      </c>
      <c r="P654" t="n">
        <v>0</v>
      </c>
      <c r="Q654" t="n">
        <v>2</v>
      </c>
      <c r="R654" s="2" t="inlineStr">
        <is>
          <t>Spillkråka
Talltita</t>
        </is>
      </c>
      <c r="S654">
        <f>HYPERLINK("https://klasma.github.io/Logging_0883/artfynd/A 5114-2025 artfynd.xlsx", "A 5114-2025")</f>
        <v/>
      </c>
      <c r="T654">
        <f>HYPERLINK("https://klasma.github.io/Logging_0883/kartor/A 5114-2025 karta.png", "A 5114-2025")</f>
        <v/>
      </c>
      <c r="U654">
        <f>HYPERLINK("https://klasma.github.io/Logging_0883/knärot/A 5114-2025 karta knärot.png", "A 5114-2025")</f>
        <v/>
      </c>
      <c r="V654">
        <f>HYPERLINK("https://klasma.github.io/Logging_0883/klagomål/A 5114-2025 FSC-klagomål.docx", "A 5114-2025")</f>
        <v/>
      </c>
      <c r="W654">
        <f>HYPERLINK("https://klasma.github.io/Logging_0883/klagomålsmail/A 5114-2025 FSC-klagomål mail.docx", "A 5114-2025")</f>
        <v/>
      </c>
      <c r="X654">
        <f>HYPERLINK("https://klasma.github.io/Logging_0883/tillsyn/A 5114-2025 tillsynsbegäran.docx", "A 5114-2025")</f>
        <v/>
      </c>
      <c r="Y654">
        <f>HYPERLINK("https://klasma.github.io/Logging_0883/tillsynsmail/A 5114-2025 tillsynsbegäran mail.docx", "A 5114-2025")</f>
        <v/>
      </c>
      <c r="Z654">
        <f>HYPERLINK("https://klasma.github.io/Logging_0883/fåglar/A 5114-2025 prioriterade fågelarter.docx", "A 5114-2025")</f>
        <v/>
      </c>
    </row>
    <row r="655" ht="15" customHeight="1">
      <c r="A655" t="inlineStr">
        <is>
          <t>A 5668-2025</t>
        </is>
      </c>
      <c r="B655" s="1" t="n">
        <v>45693</v>
      </c>
      <c r="C655" s="1" t="n">
        <v>45715</v>
      </c>
      <c r="D655" t="inlineStr">
        <is>
          <t>KALMAR LÄN</t>
        </is>
      </c>
      <c r="E655" t="inlineStr">
        <is>
          <t>VÄSTERVIK</t>
        </is>
      </c>
      <c r="G655" t="n">
        <v>1.2</v>
      </c>
      <c r="H655" t="n">
        <v>2</v>
      </c>
      <c r="I655" t="n">
        <v>0</v>
      </c>
      <c r="J655" t="n">
        <v>1</v>
      </c>
      <c r="K655" t="n">
        <v>0</v>
      </c>
      <c r="L655" t="n">
        <v>0</v>
      </c>
      <c r="M655" t="n">
        <v>0</v>
      </c>
      <c r="N655" t="n">
        <v>0</v>
      </c>
      <c r="O655" t="n">
        <v>1</v>
      </c>
      <c r="P655" t="n">
        <v>0</v>
      </c>
      <c r="Q655" t="n">
        <v>2</v>
      </c>
      <c r="R655" s="2" t="inlineStr">
        <is>
          <t>Talltita
Kungsfågel</t>
        </is>
      </c>
      <c r="S655">
        <f>HYPERLINK("https://klasma.github.io/Logging_0883/artfynd/A 5668-2025 artfynd.xlsx", "A 5668-2025")</f>
        <v/>
      </c>
      <c r="T655">
        <f>HYPERLINK("https://klasma.github.io/Logging_0883/kartor/A 5668-2025 karta.png", "A 5668-2025")</f>
        <v/>
      </c>
      <c r="V655">
        <f>HYPERLINK("https://klasma.github.io/Logging_0883/klagomål/A 5668-2025 FSC-klagomål.docx", "A 5668-2025")</f>
        <v/>
      </c>
      <c r="W655">
        <f>HYPERLINK("https://klasma.github.io/Logging_0883/klagomålsmail/A 5668-2025 FSC-klagomål mail.docx", "A 5668-2025")</f>
        <v/>
      </c>
      <c r="X655">
        <f>HYPERLINK("https://klasma.github.io/Logging_0883/tillsyn/A 5668-2025 tillsynsbegäran.docx", "A 5668-2025")</f>
        <v/>
      </c>
      <c r="Y655">
        <f>HYPERLINK("https://klasma.github.io/Logging_0883/tillsynsmail/A 5668-2025 tillsynsbegäran mail.docx", "A 5668-2025")</f>
        <v/>
      </c>
      <c r="Z655">
        <f>HYPERLINK("https://klasma.github.io/Logging_0883/fåglar/A 5668-2025 prioriterade fågelarter.docx", "A 5668-2025")</f>
        <v/>
      </c>
    </row>
    <row r="656" ht="15" customHeight="1">
      <c r="A656" t="inlineStr">
        <is>
          <t>A 6062-2025</t>
        </is>
      </c>
      <c r="B656" s="1" t="n">
        <v>45695</v>
      </c>
      <c r="C656" s="1" t="n">
        <v>45715</v>
      </c>
      <c r="D656" t="inlineStr">
        <is>
          <t>KALMAR LÄN</t>
        </is>
      </c>
      <c r="E656" t="inlineStr">
        <is>
          <t>NYBRO</t>
        </is>
      </c>
      <c r="G656" t="n">
        <v>5.1</v>
      </c>
      <c r="H656" t="n">
        <v>1</v>
      </c>
      <c r="I656" t="n">
        <v>1</v>
      </c>
      <c r="J656" t="n">
        <v>0</v>
      </c>
      <c r="K656" t="n">
        <v>0</v>
      </c>
      <c r="L656" t="n">
        <v>0</v>
      </c>
      <c r="M656" t="n">
        <v>0</v>
      </c>
      <c r="N656" t="n">
        <v>0</v>
      </c>
      <c r="O656" t="n">
        <v>0</v>
      </c>
      <c r="P656" t="n">
        <v>0</v>
      </c>
      <c r="Q656" t="n">
        <v>2</v>
      </c>
      <c r="R656" s="2" t="inlineStr">
        <is>
          <t>Skarp dropptaggsvamp
Blåsippa</t>
        </is>
      </c>
      <c r="S656">
        <f>HYPERLINK("https://klasma.github.io/Logging_0881/artfynd/A 6062-2025 artfynd.xlsx", "A 6062-2025")</f>
        <v/>
      </c>
      <c r="T656">
        <f>HYPERLINK("https://klasma.github.io/Logging_0881/kartor/A 6062-2025 karta.png", "A 6062-2025")</f>
        <v/>
      </c>
      <c r="U656">
        <f>HYPERLINK("https://klasma.github.io/Logging_0881/knärot/A 6062-2025 karta knärot.png", "A 6062-2025")</f>
        <v/>
      </c>
      <c r="V656">
        <f>HYPERLINK("https://klasma.github.io/Logging_0881/klagomål/A 6062-2025 FSC-klagomål.docx", "A 6062-2025")</f>
        <v/>
      </c>
      <c r="W656">
        <f>HYPERLINK("https://klasma.github.io/Logging_0881/klagomålsmail/A 6062-2025 FSC-klagomål mail.docx", "A 6062-2025")</f>
        <v/>
      </c>
      <c r="X656">
        <f>HYPERLINK("https://klasma.github.io/Logging_0881/tillsyn/A 6062-2025 tillsynsbegäran.docx", "A 6062-2025")</f>
        <v/>
      </c>
      <c r="Y656">
        <f>HYPERLINK("https://klasma.github.io/Logging_0881/tillsynsmail/A 6062-2025 tillsynsbegäran mail.docx", "A 6062-2025")</f>
        <v/>
      </c>
    </row>
    <row r="657" ht="15" customHeight="1">
      <c r="A657" t="inlineStr">
        <is>
          <t>A 6993-2025</t>
        </is>
      </c>
      <c r="B657" s="1" t="n">
        <v>45701</v>
      </c>
      <c r="C657" s="1" t="n">
        <v>45715</v>
      </c>
      <c r="D657" t="inlineStr">
        <is>
          <t>KALMAR LÄN</t>
        </is>
      </c>
      <c r="E657" t="inlineStr">
        <is>
          <t>OSKARSHAMN</t>
        </is>
      </c>
      <c r="G657" t="n">
        <v>5.8</v>
      </c>
      <c r="H657" t="n">
        <v>0</v>
      </c>
      <c r="I657" t="n">
        <v>1</v>
      </c>
      <c r="J657" t="n">
        <v>1</v>
      </c>
      <c r="K657" t="n">
        <v>0</v>
      </c>
      <c r="L657" t="n">
        <v>0</v>
      </c>
      <c r="M657" t="n">
        <v>0</v>
      </c>
      <c r="N657" t="n">
        <v>0</v>
      </c>
      <c r="O657" t="n">
        <v>1</v>
      </c>
      <c r="P657" t="n">
        <v>0</v>
      </c>
      <c r="Q657" t="n">
        <v>2</v>
      </c>
      <c r="R657" s="2" t="inlineStr">
        <is>
          <t>Tallticka
Blåmossa</t>
        </is>
      </c>
      <c r="S657">
        <f>HYPERLINK("https://klasma.github.io/Logging_0882/artfynd/A 6993-2025 artfynd.xlsx", "A 6993-2025")</f>
        <v/>
      </c>
      <c r="T657">
        <f>HYPERLINK("https://klasma.github.io/Logging_0882/kartor/A 6993-2025 karta.png", "A 6993-2025")</f>
        <v/>
      </c>
      <c r="V657">
        <f>HYPERLINK("https://klasma.github.io/Logging_0882/klagomål/A 6993-2025 FSC-klagomål.docx", "A 6993-2025")</f>
        <v/>
      </c>
      <c r="W657">
        <f>HYPERLINK("https://klasma.github.io/Logging_0882/klagomålsmail/A 6993-2025 FSC-klagomål mail.docx", "A 6993-2025")</f>
        <v/>
      </c>
      <c r="X657">
        <f>HYPERLINK("https://klasma.github.io/Logging_0882/tillsyn/A 6993-2025 tillsynsbegäran.docx", "A 6993-2025")</f>
        <v/>
      </c>
      <c r="Y657">
        <f>HYPERLINK("https://klasma.github.io/Logging_0882/tillsynsmail/A 6993-2025 tillsynsbegäran mail.docx", "A 6993-2025")</f>
        <v/>
      </c>
    </row>
    <row r="658" ht="15" customHeight="1">
      <c r="A658" t="inlineStr">
        <is>
          <t>A 7344-2025</t>
        </is>
      </c>
      <c r="B658" s="1" t="n">
        <v>45703</v>
      </c>
      <c r="C658" s="1" t="n">
        <v>45715</v>
      </c>
      <c r="D658" t="inlineStr">
        <is>
          <t>KALMAR LÄN</t>
        </is>
      </c>
      <c r="E658" t="inlineStr">
        <is>
          <t>KALMAR</t>
        </is>
      </c>
      <c r="G658" t="n">
        <v>1.7</v>
      </c>
      <c r="H658" t="n">
        <v>1</v>
      </c>
      <c r="I658" t="n">
        <v>1</v>
      </c>
      <c r="J658" t="n">
        <v>0</v>
      </c>
      <c r="K658" t="n">
        <v>0</v>
      </c>
      <c r="L658" t="n">
        <v>0</v>
      </c>
      <c r="M658" t="n">
        <v>0</v>
      </c>
      <c r="N658" t="n">
        <v>0</v>
      </c>
      <c r="O658" t="n">
        <v>0</v>
      </c>
      <c r="P658" t="n">
        <v>0</v>
      </c>
      <c r="Q658" t="n">
        <v>2</v>
      </c>
      <c r="R658" s="2" t="inlineStr">
        <is>
          <t>Fällmossa
Blåsippa</t>
        </is>
      </c>
      <c r="S658">
        <f>HYPERLINK("https://klasma.github.io/Logging_0880/artfynd/A 7344-2025 artfynd.xlsx", "A 7344-2025")</f>
        <v/>
      </c>
      <c r="T658">
        <f>HYPERLINK("https://klasma.github.io/Logging_0880/kartor/A 7344-2025 karta.png", "A 7344-2025")</f>
        <v/>
      </c>
      <c r="V658">
        <f>HYPERLINK("https://klasma.github.io/Logging_0880/klagomål/A 7344-2025 FSC-klagomål.docx", "A 7344-2025")</f>
        <v/>
      </c>
      <c r="W658">
        <f>HYPERLINK("https://klasma.github.io/Logging_0880/klagomålsmail/A 7344-2025 FSC-klagomål mail.docx", "A 7344-2025")</f>
        <v/>
      </c>
      <c r="X658">
        <f>HYPERLINK("https://klasma.github.io/Logging_0880/tillsyn/A 7344-2025 tillsynsbegäran.docx", "A 7344-2025")</f>
        <v/>
      </c>
      <c r="Y658">
        <f>HYPERLINK("https://klasma.github.io/Logging_0880/tillsynsmail/A 7344-2025 tillsynsbegäran mail.docx", "A 7344-2025")</f>
        <v/>
      </c>
    </row>
    <row r="659" ht="15" customHeight="1">
      <c r="A659" t="inlineStr">
        <is>
          <t>A 7615-2025</t>
        </is>
      </c>
      <c r="B659" s="1" t="n">
        <v>45705</v>
      </c>
      <c r="C659" s="1" t="n">
        <v>45715</v>
      </c>
      <c r="D659" t="inlineStr">
        <is>
          <t>KALMAR LÄN</t>
        </is>
      </c>
      <c r="E659" t="inlineStr">
        <is>
          <t>BORGHOLM</t>
        </is>
      </c>
      <c r="G659" t="n">
        <v>0.6</v>
      </c>
      <c r="H659" t="n">
        <v>2</v>
      </c>
      <c r="I659" t="n">
        <v>0</v>
      </c>
      <c r="J659" t="n">
        <v>1</v>
      </c>
      <c r="K659" t="n">
        <v>0</v>
      </c>
      <c r="L659" t="n">
        <v>0</v>
      </c>
      <c r="M659" t="n">
        <v>0</v>
      </c>
      <c r="N659" t="n">
        <v>0</v>
      </c>
      <c r="O659" t="n">
        <v>1</v>
      </c>
      <c r="P659" t="n">
        <v>0</v>
      </c>
      <c r="Q659" t="n">
        <v>2</v>
      </c>
      <c r="R659" s="2" t="inlineStr">
        <is>
          <t>Bredarun
Kopparödla</t>
        </is>
      </c>
      <c r="S659">
        <f>HYPERLINK("https://klasma.github.io/Logging_0885/artfynd/A 7615-2025 artfynd.xlsx", "A 7615-2025")</f>
        <v/>
      </c>
      <c r="T659">
        <f>HYPERLINK("https://klasma.github.io/Logging_0885/kartor/A 7615-2025 karta.png", "A 7615-2025")</f>
        <v/>
      </c>
      <c r="V659">
        <f>HYPERLINK("https://klasma.github.io/Logging_0885/klagomål/A 7615-2025 FSC-klagomål.docx", "A 7615-2025")</f>
        <v/>
      </c>
      <c r="W659">
        <f>HYPERLINK("https://klasma.github.io/Logging_0885/klagomålsmail/A 7615-2025 FSC-klagomål mail.docx", "A 7615-2025")</f>
        <v/>
      </c>
      <c r="X659">
        <f>HYPERLINK("https://klasma.github.io/Logging_0885/tillsyn/A 7615-2025 tillsynsbegäran.docx", "A 7615-2025")</f>
        <v/>
      </c>
      <c r="Y659">
        <f>HYPERLINK("https://klasma.github.io/Logging_0885/tillsynsmail/A 7615-2025 tillsynsbegäran mail.docx", "A 7615-2025")</f>
        <v/>
      </c>
    </row>
    <row r="660" ht="15" customHeight="1">
      <c r="A660" t="inlineStr">
        <is>
          <t>A 17819-2019</t>
        </is>
      </c>
      <c r="B660" s="1" t="n">
        <v>43556</v>
      </c>
      <c r="C660" s="1" t="n">
        <v>45715</v>
      </c>
      <c r="D660" t="inlineStr">
        <is>
          <t>KALMAR LÄN</t>
        </is>
      </c>
      <c r="E660" t="inlineStr">
        <is>
          <t>NYBRO</t>
        </is>
      </c>
      <c r="G660" t="n">
        <v>3.8</v>
      </c>
      <c r="H660" t="n">
        <v>0</v>
      </c>
      <c r="I660" t="n">
        <v>1</v>
      </c>
      <c r="J660" t="n">
        <v>0</v>
      </c>
      <c r="K660" t="n">
        <v>0</v>
      </c>
      <c r="L660" t="n">
        <v>0</v>
      </c>
      <c r="M660" t="n">
        <v>0</v>
      </c>
      <c r="N660" t="n">
        <v>0</v>
      </c>
      <c r="O660" t="n">
        <v>0</v>
      </c>
      <c r="P660" t="n">
        <v>0</v>
      </c>
      <c r="Q660" t="n">
        <v>1</v>
      </c>
      <c r="R660" s="2" t="inlineStr">
        <is>
          <t>Sårläka</t>
        </is>
      </c>
      <c r="S660">
        <f>HYPERLINK("https://klasma.github.io/Logging_0881/artfynd/A 17819-2019 artfynd.xlsx", "A 17819-2019")</f>
        <v/>
      </c>
      <c r="T660">
        <f>HYPERLINK("https://klasma.github.io/Logging_0881/kartor/A 17819-2019 karta.png", "A 17819-2019")</f>
        <v/>
      </c>
      <c r="V660">
        <f>HYPERLINK("https://klasma.github.io/Logging_0881/klagomål/A 17819-2019 FSC-klagomål.docx", "A 17819-2019")</f>
        <v/>
      </c>
      <c r="W660">
        <f>HYPERLINK("https://klasma.github.io/Logging_0881/klagomålsmail/A 17819-2019 FSC-klagomål mail.docx", "A 17819-2019")</f>
        <v/>
      </c>
      <c r="X660">
        <f>HYPERLINK("https://klasma.github.io/Logging_0881/tillsyn/A 17819-2019 tillsynsbegäran.docx", "A 17819-2019")</f>
        <v/>
      </c>
      <c r="Y660">
        <f>HYPERLINK("https://klasma.github.io/Logging_0881/tillsynsmail/A 17819-2019 tillsynsbegäran mail.docx", "A 17819-2019")</f>
        <v/>
      </c>
    </row>
    <row r="661" ht="15" customHeight="1">
      <c r="A661" t="inlineStr">
        <is>
          <t>A 19055-2019</t>
        </is>
      </c>
      <c r="B661" s="1" t="n">
        <v>43563</v>
      </c>
      <c r="C661" s="1" t="n">
        <v>45715</v>
      </c>
      <c r="D661" t="inlineStr">
        <is>
          <t>KALMAR LÄN</t>
        </is>
      </c>
      <c r="E661" t="inlineStr">
        <is>
          <t>VIMMERBY</t>
        </is>
      </c>
      <c r="G661" t="n">
        <v>1</v>
      </c>
      <c r="H661" t="n">
        <v>1</v>
      </c>
      <c r="I661" t="n">
        <v>1</v>
      </c>
      <c r="J661" t="n">
        <v>0</v>
      </c>
      <c r="K661" t="n">
        <v>0</v>
      </c>
      <c r="L661" t="n">
        <v>0</v>
      </c>
      <c r="M661" t="n">
        <v>0</v>
      </c>
      <c r="N661" t="n">
        <v>0</v>
      </c>
      <c r="O661" t="n">
        <v>0</v>
      </c>
      <c r="P661" t="n">
        <v>0</v>
      </c>
      <c r="Q661" t="n">
        <v>1</v>
      </c>
      <c r="R661" s="2" t="inlineStr">
        <is>
          <t>Korallrot</t>
        </is>
      </c>
      <c r="S661">
        <f>HYPERLINK("https://klasma.github.io/Logging_0884/artfynd/A 19055-2019 artfynd.xlsx", "A 19055-2019")</f>
        <v/>
      </c>
      <c r="T661">
        <f>HYPERLINK("https://klasma.github.io/Logging_0884/kartor/A 19055-2019 karta.png", "A 19055-2019")</f>
        <v/>
      </c>
      <c r="V661">
        <f>HYPERLINK("https://klasma.github.io/Logging_0884/klagomål/A 19055-2019 FSC-klagomål.docx", "A 19055-2019")</f>
        <v/>
      </c>
      <c r="W661">
        <f>HYPERLINK("https://klasma.github.io/Logging_0884/klagomålsmail/A 19055-2019 FSC-klagomål mail.docx", "A 19055-2019")</f>
        <v/>
      </c>
      <c r="X661">
        <f>HYPERLINK("https://klasma.github.io/Logging_0884/tillsyn/A 19055-2019 tillsynsbegäran.docx", "A 19055-2019")</f>
        <v/>
      </c>
      <c r="Y661">
        <f>HYPERLINK("https://klasma.github.io/Logging_0884/tillsynsmail/A 19055-2019 tillsynsbegäran mail.docx", "A 19055-2019")</f>
        <v/>
      </c>
    </row>
    <row r="662" ht="15" customHeight="1">
      <c r="A662" t="inlineStr">
        <is>
          <t>A 20056-2019</t>
        </is>
      </c>
      <c r="B662" s="1" t="n">
        <v>43570</v>
      </c>
      <c r="C662" s="1" t="n">
        <v>45715</v>
      </c>
      <c r="D662" t="inlineStr">
        <is>
          <t>KALMAR LÄN</t>
        </is>
      </c>
      <c r="E662" t="inlineStr">
        <is>
          <t>MÖNSTERÅS</t>
        </is>
      </c>
      <c r="G662" t="n">
        <v>3.6</v>
      </c>
      <c r="H662" t="n">
        <v>1</v>
      </c>
      <c r="I662" t="n">
        <v>0</v>
      </c>
      <c r="J662" t="n">
        <v>0</v>
      </c>
      <c r="K662" t="n">
        <v>0</v>
      </c>
      <c r="L662" t="n">
        <v>0</v>
      </c>
      <c r="M662" t="n">
        <v>0</v>
      </c>
      <c r="N662" t="n">
        <v>0</v>
      </c>
      <c r="O662" t="n">
        <v>0</v>
      </c>
      <c r="P662" t="n">
        <v>0</v>
      </c>
      <c r="Q662" t="n">
        <v>1</v>
      </c>
      <c r="R662" s="2" t="inlineStr">
        <is>
          <t>Fiskgjuse</t>
        </is>
      </c>
      <c r="S662">
        <f>HYPERLINK("https://klasma.github.io/Logging_0861/artfynd/A 20056-2019 artfynd.xlsx", "A 20056-2019")</f>
        <v/>
      </c>
      <c r="T662">
        <f>HYPERLINK("https://klasma.github.io/Logging_0861/kartor/A 20056-2019 karta.png", "A 20056-2019")</f>
        <v/>
      </c>
      <c r="V662">
        <f>HYPERLINK("https://klasma.github.io/Logging_0861/klagomål/A 20056-2019 FSC-klagomål.docx", "A 20056-2019")</f>
        <v/>
      </c>
      <c r="W662">
        <f>HYPERLINK("https://klasma.github.io/Logging_0861/klagomålsmail/A 20056-2019 FSC-klagomål mail.docx", "A 20056-2019")</f>
        <v/>
      </c>
      <c r="X662">
        <f>HYPERLINK("https://klasma.github.io/Logging_0861/tillsyn/A 20056-2019 tillsynsbegäran.docx", "A 20056-2019")</f>
        <v/>
      </c>
      <c r="Y662">
        <f>HYPERLINK("https://klasma.github.io/Logging_0861/tillsynsmail/A 20056-2019 tillsynsbegäran mail.docx", "A 20056-2019")</f>
        <v/>
      </c>
      <c r="Z662">
        <f>HYPERLINK("https://klasma.github.io/Logging_0861/fåglar/A 20056-2019 prioriterade fågelarter.docx", "A 20056-2019")</f>
        <v/>
      </c>
    </row>
    <row r="663" ht="15" customHeight="1">
      <c r="A663" t="inlineStr">
        <is>
          <t>A 20046-2019</t>
        </is>
      </c>
      <c r="B663" s="1" t="n">
        <v>43570</v>
      </c>
      <c r="C663" s="1" t="n">
        <v>45715</v>
      </c>
      <c r="D663" t="inlineStr">
        <is>
          <t>KALMAR LÄN</t>
        </is>
      </c>
      <c r="E663" t="inlineStr">
        <is>
          <t>NYBRO</t>
        </is>
      </c>
      <c r="G663" t="n">
        <v>3.3</v>
      </c>
      <c r="H663" t="n">
        <v>0</v>
      </c>
      <c r="I663" t="n">
        <v>0</v>
      </c>
      <c r="J663" t="n">
        <v>1</v>
      </c>
      <c r="K663" t="n">
        <v>0</v>
      </c>
      <c r="L663" t="n">
        <v>0</v>
      </c>
      <c r="M663" t="n">
        <v>0</v>
      </c>
      <c r="N663" t="n">
        <v>0</v>
      </c>
      <c r="O663" t="n">
        <v>1</v>
      </c>
      <c r="P663" t="n">
        <v>0</v>
      </c>
      <c r="Q663" t="n">
        <v>1</v>
      </c>
      <c r="R663" s="2" t="inlineStr">
        <is>
          <t>Solvända</t>
        </is>
      </c>
      <c r="S663">
        <f>HYPERLINK("https://klasma.github.io/Logging_0881/artfynd/A 20046-2019 artfynd.xlsx", "A 20046-2019")</f>
        <v/>
      </c>
      <c r="T663">
        <f>HYPERLINK("https://klasma.github.io/Logging_0881/kartor/A 20046-2019 karta.png", "A 20046-2019")</f>
        <v/>
      </c>
      <c r="V663">
        <f>HYPERLINK("https://klasma.github.io/Logging_0881/klagomål/A 20046-2019 FSC-klagomål.docx", "A 20046-2019")</f>
        <v/>
      </c>
      <c r="W663">
        <f>HYPERLINK("https://klasma.github.io/Logging_0881/klagomålsmail/A 20046-2019 FSC-klagomål mail.docx", "A 20046-2019")</f>
        <v/>
      </c>
      <c r="X663">
        <f>HYPERLINK("https://klasma.github.io/Logging_0881/tillsyn/A 20046-2019 tillsynsbegäran.docx", "A 20046-2019")</f>
        <v/>
      </c>
      <c r="Y663">
        <f>HYPERLINK("https://klasma.github.io/Logging_0881/tillsynsmail/A 20046-2019 tillsynsbegäran mail.docx", "A 20046-2019")</f>
        <v/>
      </c>
    </row>
    <row r="664" ht="15" customHeight="1">
      <c r="A664" t="inlineStr">
        <is>
          <t>A 21100-2019</t>
        </is>
      </c>
      <c r="B664" s="1" t="n">
        <v>43578</v>
      </c>
      <c r="C664" s="1" t="n">
        <v>45715</v>
      </c>
      <c r="D664" t="inlineStr">
        <is>
          <t>KALMAR LÄN</t>
        </is>
      </c>
      <c r="E664" t="inlineStr">
        <is>
          <t>HÖGSBY</t>
        </is>
      </c>
      <c r="G664" t="n">
        <v>7.3</v>
      </c>
      <c r="H664" t="n">
        <v>1</v>
      </c>
      <c r="I664" t="n">
        <v>0</v>
      </c>
      <c r="J664" t="n">
        <v>0</v>
      </c>
      <c r="K664" t="n">
        <v>0</v>
      </c>
      <c r="L664" t="n">
        <v>0</v>
      </c>
      <c r="M664" t="n">
        <v>0</v>
      </c>
      <c r="N664" t="n">
        <v>0</v>
      </c>
      <c r="O664" t="n">
        <v>0</v>
      </c>
      <c r="P664" t="n">
        <v>0</v>
      </c>
      <c r="Q664" t="n">
        <v>1</v>
      </c>
      <c r="R664" s="2" t="inlineStr">
        <is>
          <t>Blåsippa</t>
        </is>
      </c>
      <c r="S664">
        <f>HYPERLINK("https://klasma.github.io/Logging_0821/artfynd/A 21100-2019 artfynd.xlsx", "A 21100-2019")</f>
        <v/>
      </c>
      <c r="T664">
        <f>HYPERLINK("https://klasma.github.io/Logging_0821/kartor/A 21100-2019 karta.png", "A 21100-2019")</f>
        <v/>
      </c>
      <c r="V664">
        <f>HYPERLINK("https://klasma.github.io/Logging_0821/klagomål/A 21100-2019 FSC-klagomål.docx", "A 21100-2019")</f>
        <v/>
      </c>
      <c r="W664">
        <f>HYPERLINK("https://klasma.github.io/Logging_0821/klagomålsmail/A 21100-2019 FSC-klagomål mail.docx", "A 21100-2019")</f>
        <v/>
      </c>
      <c r="X664">
        <f>HYPERLINK("https://klasma.github.io/Logging_0821/tillsyn/A 21100-2019 tillsynsbegäran.docx", "A 21100-2019")</f>
        <v/>
      </c>
      <c r="Y664">
        <f>HYPERLINK("https://klasma.github.io/Logging_0821/tillsynsmail/A 21100-2019 tillsynsbegäran mail.docx", "A 21100-2019")</f>
        <v/>
      </c>
    </row>
    <row r="665" ht="15" customHeight="1">
      <c r="A665" t="inlineStr">
        <is>
          <t>A 21143-2019</t>
        </is>
      </c>
      <c r="B665" s="1" t="n">
        <v>43579</v>
      </c>
      <c r="C665" s="1" t="n">
        <v>45715</v>
      </c>
      <c r="D665" t="inlineStr">
        <is>
          <t>KALMAR LÄN</t>
        </is>
      </c>
      <c r="E665" t="inlineStr">
        <is>
          <t>TORSÅS</t>
        </is>
      </c>
      <c r="G665" t="n">
        <v>2</v>
      </c>
      <c r="H665" t="n">
        <v>1</v>
      </c>
      <c r="I665" t="n">
        <v>0</v>
      </c>
      <c r="J665" t="n">
        <v>0</v>
      </c>
      <c r="K665" t="n">
        <v>0</v>
      </c>
      <c r="L665" t="n">
        <v>0</v>
      </c>
      <c r="M665" t="n">
        <v>0</v>
      </c>
      <c r="N665" t="n">
        <v>0</v>
      </c>
      <c r="O665" t="n">
        <v>0</v>
      </c>
      <c r="P665" t="n">
        <v>0</v>
      </c>
      <c r="Q665" t="n">
        <v>1</v>
      </c>
      <c r="R665" s="2" t="inlineStr">
        <is>
          <t>Mattlummer</t>
        </is>
      </c>
      <c r="S665">
        <f>HYPERLINK("https://klasma.github.io/Logging_0834/artfynd/A 21143-2019 artfynd.xlsx", "A 21143-2019")</f>
        <v/>
      </c>
      <c r="T665">
        <f>HYPERLINK("https://klasma.github.io/Logging_0834/kartor/A 21143-2019 karta.png", "A 21143-2019")</f>
        <v/>
      </c>
      <c r="V665">
        <f>HYPERLINK("https://klasma.github.io/Logging_0834/klagomål/A 21143-2019 FSC-klagomål.docx", "A 21143-2019")</f>
        <v/>
      </c>
      <c r="W665">
        <f>HYPERLINK("https://klasma.github.io/Logging_0834/klagomålsmail/A 21143-2019 FSC-klagomål mail.docx", "A 21143-2019")</f>
        <v/>
      </c>
      <c r="X665">
        <f>HYPERLINK("https://klasma.github.io/Logging_0834/tillsyn/A 21143-2019 tillsynsbegäran.docx", "A 21143-2019")</f>
        <v/>
      </c>
      <c r="Y665">
        <f>HYPERLINK("https://klasma.github.io/Logging_0834/tillsynsmail/A 21143-2019 tillsynsbegäran mail.docx", "A 21143-2019")</f>
        <v/>
      </c>
    </row>
    <row r="666" ht="15" customHeight="1">
      <c r="A666" t="inlineStr">
        <is>
          <t>A 21406-2019</t>
        </is>
      </c>
      <c r="B666" s="1" t="n">
        <v>43580</v>
      </c>
      <c r="C666" s="1" t="n">
        <v>45715</v>
      </c>
      <c r="D666" t="inlineStr">
        <is>
          <t>KALMAR LÄN</t>
        </is>
      </c>
      <c r="E666" t="inlineStr">
        <is>
          <t>NYBRO</t>
        </is>
      </c>
      <c r="G666" t="n">
        <v>0.7</v>
      </c>
      <c r="H666" t="n">
        <v>0</v>
      </c>
      <c r="I666" t="n">
        <v>0</v>
      </c>
      <c r="J666" t="n">
        <v>1</v>
      </c>
      <c r="K666" t="n">
        <v>0</v>
      </c>
      <c r="L666" t="n">
        <v>0</v>
      </c>
      <c r="M666" t="n">
        <v>0</v>
      </c>
      <c r="N666" t="n">
        <v>0</v>
      </c>
      <c r="O666" t="n">
        <v>1</v>
      </c>
      <c r="P666" t="n">
        <v>0</v>
      </c>
      <c r="Q666" t="n">
        <v>1</v>
      </c>
      <c r="R666" s="2" t="inlineStr">
        <is>
          <t>Slåtterfibbla</t>
        </is>
      </c>
      <c r="S666">
        <f>HYPERLINK("https://klasma.github.io/Logging_0881/artfynd/A 21406-2019 artfynd.xlsx", "A 21406-2019")</f>
        <v/>
      </c>
      <c r="T666">
        <f>HYPERLINK("https://klasma.github.io/Logging_0881/kartor/A 21406-2019 karta.png", "A 21406-2019")</f>
        <v/>
      </c>
      <c r="V666">
        <f>HYPERLINK("https://klasma.github.io/Logging_0881/klagomål/A 21406-2019 FSC-klagomål.docx", "A 21406-2019")</f>
        <v/>
      </c>
      <c r="W666">
        <f>HYPERLINK("https://klasma.github.io/Logging_0881/klagomålsmail/A 21406-2019 FSC-klagomål mail.docx", "A 21406-2019")</f>
        <v/>
      </c>
      <c r="X666">
        <f>HYPERLINK("https://klasma.github.io/Logging_0881/tillsyn/A 21406-2019 tillsynsbegäran.docx", "A 21406-2019")</f>
        <v/>
      </c>
      <c r="Y666">
        <f>HYPERLINK("https://klasma.github.io/Logging_0881/tillsynsmail/A 21406-2019 tillsynsbegäran mail.docx", "A 21406-2019")</f>
        <v/>
      </c>
    </row>
    <row r="667" ht="15" customHeight="1">
      <c r="A667" t="inlineStr">
        <is>
          <t>A 22903-2019</t>
        </is>
      </c>
      <c r="B667" s="1" t="n">
        <v>43591</v>
      </c>
      <c r="C667" s="1" t="n">
        <v>45715</v>
      </c>
      <c r="D667" t="inlineStr">
        <is>
          <t>KALMAR LÄN</t>
        </is>
      </c>
      <c r="E667" t="inlineStr">
        <is>
          <t>HULTSFRED</t>
        </is>
      </c>
      <c r="G667" t="n">
        <v>3.5</v>
      </c>
      <c r="H667" t="n">
        <v>1</v>
      </c>
      <c r="I667" t="n">
        <v>0</v>
      </c>
      <c r="J667" t="n">
        <v>0</v>
      </c>
      <c r="K667" t="n">
        <v>1</v>
      </c>
      <c r="L667" t="n">
        <v>0</v>
      </c>
      <c r="M667" t="n">
        <v>0</v>
      </c>
      <c r="N667" t="n">
        <v>0</v>
      </c>
      <c r="O667" t="n">
        <v>1</v>
      </c>
      <c r="P667" t="n">
        <v>1</v>
      </c>
      <c r="Q667" t="n">
        <v>1</v>
      </c>
      <c r="R667" s="2" t="inlineStr">
        <is>
          <t>Knärot</t>
        </is>
      </c>
      <c r="S667">
        <f>HYPERLINK("https://klasma.github.io/Logging_0860/artfynd/A 22903-2019 artfynd.xlsx", "A 22903-2019")</f>
        <v/>
      </c>
      <c r="T667">
        <f>HYPERLINK("https://klasma.github.io/Logging_0860/kartor/A 22903-2019 karta.png", "A 22903-2019")</f>
        <v/>
      </c>
      <c r="U667">
        <f>HYPERLINK("https://klasma.github.io/Logging_0860/knärot/A 22903-2019 karta knärot.png", "A 22903-2019")</f>
        <v/>
      </c>
      <c r="V667">
        <f>HYPERLINK("https://klasma.github.io/Logging_0860/klagomål/A 22903-2019 FSC-klagomål.docx", "A 22903-2019")</f>
        <v/>
      </c>
      <c r="W667">
        <f>HYPERLINK("https://klasma.github.io/Logging_0860/klagomålsmail/A 22903-2019 FSC-klagomål mail.docx", "A 22903-2019")</f>
        <v/>
      </c>
      <c r="X667">
        <f>HYPERLINK("https://klasma.github.io/Logging_0860/tillsyn/A 22903-2019 tillsynsbegäran.docx", "A 22903-2019")</f>
        <v/>
      </c>
      <c r="Y667">
        <f>HYPERLINK("https://klasma.github.io/Logging_0860/tillsynsmail/A 22903-2019 tillsynsbegäran mail.docx", "A 22903-2019")</f>
        <v/>
      </c>
    </row>
    <row r="668" ht="15" customHeight="1">
      <c r="A668" t="inlineStr">
        <is>
          <t>A 23194-2019</t>
        </is>
      </c>
      <c r="B668" s="1" t="n">
        <v>43592</v>
      </c>
      <c r="C668" s="1" t="n">
        <v>45715</v>
      </c>
      <c r="D668" t="inlineStr">
        <is>
          <t>KALMAR LÄN</t>
        </is>
      </c>
      <c r="E668" t="inlineStr">
        <is>
          <t>BORGHOLM</t>
        </is>
      </c>
      <c r="G668" t="n">
        <v>1.6</v>
      </c>
      <c r="H668" t="n">
        <v>1</v>
      </c>
      <c r="I668" t="n">
        <v>0</v>
      </c>
      <c r="J668" t="n">
        <v>0</v>
      </c>
      <c r="K668" t="n">
        <v>0</v>
      </c>
      <c r="L668" t="n">
        <v>0</v>
      </c>
      <c r="M668" t="n">
        <v>0</v>
      </c>
      <c r="N668" t="n">
        <v>0</v>
      </c>
      <c r="O668" t="n">
        <v>0</v>
      </c>
      <c r="P668" t="n">
        <v>0</v>
      </c>
      <c r="Q668" t="n">
        <v>1</v>
      </c>
      <c r="R668" s="2" t="inlineStr">
        <is>
          <t>Blåsippa</t>
        </is>
      </c>
      <c r="S668">
        <f>HYPERLINK("https://klasma.github.io/Logging_0885/artfynd/A 23194-2019 artfynd.xlsx", "A 23194-2019")</f>
        <v/>
      </c>
      <c r="T668">
        <f>HYPERLINK("https://klasma.github.io/Logging_0885/kartor/A 23194-2019 karta.png", "A 23194-2019")</f>
        <v/>
      </c>
      <c r="V668">
        <f>HYPERLINK("https://klasma.github.io/Logging_0885/klagomål/A 23194-2019 FSC-klagomål.docx", "A 23194-2019")</f>
        <v/>
      </c>
      <c r="W668">
        <f>HYPERLINK("https://klasma.github.io/Logging_0885/klagomålsmail/A 23194-2019 FSC-klagomål mail.docx", "A 23194-2019")</f>
        <v/>
      </c>
      <c r="X668">
        <f>HYPERLINK("https://klasma.github.io/Logging_0885/tillsyn/A 23194-2019 tillsynsbegäran.docx", "A 23194-2019")</f>
        <v/>
      </c>
      <c r="Y668">
        <f>HYPERLINK("https://klasma.github.io/Logging_0885/tillsynsmail/A 23194-2019 tillsynsbegäran mail.docx", "A 23194-2019")</f>
        <v/>
      </c>
    </row>
    <row r="669" ht="15" customHeight="1">
      <c r="A669" t="inlineStr">
        <is>
          <t>A 25190-2019</t>
        </is>
      </c>
      <c r="B669" s="1" t="n">
        <v>43605</v>
      </c>
      <c r="C669" s="1" t="n">
        <v>45715</v>
      </c>
      <c r="D669" t="inlineStr">
        <is>
          <t>KALMAR LÄN</t>
        </is>
      </c>
      <c r="E669" t="inlineStr">
        <is>
          <t>HÖGSBY</t>
        </is>
      </c>
      <c r="G669" t="n">
        <v>1.2</v>
      </c>
      <c r="H669" t="n">
        <v>1</v>
      </c>
      <c r="I669" t="n">
        <v>0</v>
      </c>
      <c r="J669" t="n">
        <v>0</v>
      </c>
      <c r="K669" t="n">
        <v>1</v>
      </c>
      <c r="L669" t="n">
        <v>0</v>
      </c>
      <c r="M669" t="n">
        <v>0</v>
      </c>
      <c r="N669" t="n">
        <v>0</v>
      </c>
      <c r="O669" t="n">
        <v>1</v>
      </c>
      <c r="P669" t="n">
        <v>1</v>
      </c>
      <c r="Q669" t="n">
        <v>1</v>
      </c>
      <c r="R669" s="2" t="inlineStr">
        <is>
          <t>Knärot</t>
        </is>
      </c>
      <c r="S669">
        <f>HYPERLINK("https://klasma.github.io/Logging_0821/artfynd/A 25190-2019 artfynd.xlsx", "A 25190-2019")</f>
        <v/>
      </c>
      <c r="T669">
        <f>HYPERLINK("https://klasma.github.io/Logging_0821/kartor/A 25190-2019 karta.png", "A 25190-2019")</f>
        <v/>
      </c>
      <c r="U669">
        <f>HYPERLINK("https://klasma.github.io/Logging_0821/knärot/A 25190-2019 karta knärot.png", "A 25190-2019")</f>
        <v/>
      </c>
      <c r="V669">
        <f>HYPERLINK("https://klasma.github.io/Logging_0821/klagomål/A 25190-2019 FSC-klagomål.docx", "A 25190-2019")</f>
        <v/>
      </c>
      <c r="W669">
        <f>HYPERLINK("https://klasma.github.io/Logging_0821/klagomålsmail/A 25190-2019 FSC-klagomål mail.docx", "A 25190-2019")</f>
        <v/>
      </c>
      <c r="X669">
        <f>HYPERLINK("https://klasma.github.io/Logging_0821/tillsyn/A 25190-2019 tillsynsbegäran.docx", "A 25190-2019")</f>
        <v/>
      </c>
      <c r="Y669">
        <f>HYPERLINK("https://klasma.github.io/Logging_0821/tillsynsmail/A 25190-2019 tillsynsbegäran mail.docx", "A 25190-2019")</f>
        <v/>
      </c>
    </row>
    <row r="670" ht="15" customHeight="1">
      <c r="A670" t="inlineStr">
        <is>
          <t>A 25168-2019</t>
        </is>
      </c>
      <c r="B670" s="1" t="n">
        <v>43605</v>
      </c>
      <c r="C670" s="1" t="n">
        <v>45715</v>
      </c>
      <c r="D670" t="inlineStr">
        <is>
          <t>KALMAR LÄN</t>
        </is>
      </c>
      <c r="E670" t="inlineStr">
        <is>
          <t>KALMAR</t>
        </is>
      </c>
      <c r="G670" t="n">
        <v>5.2</v>
      </c>
      <c r="H670" t="n">
        <v>1</v>
      </c>
      <c r="I670" t="n">
        <v>0</v>
      </c>
      <c r="J670" t="n">
        <v>0</v>
      </c>
      <c r="K670" t="n">
        <v>0</v>
      </c>
      <c r="L670" t="n">
        <v>0</v>
      </c>
      <c r="M670" t="n">
        <v>0</v>
      </c>
      <c r="N670" t="n">
        <v>0</v>
      </c>
      <c r="O670" t="n">
        <v>0</v>
      </c>
      <c r="P670" t="n">
        <v>0</v>
      </c>
      <c r="Q670" t="n">
        <v>1</v>
      </c>
      <c r="R670" s="2" t="inlineStr">
        <is>
          <t>Större vattensalamander</t>
        </is>
      </c>
      <c r="S670">
        <f>HYPERLINK("https://klasma.github.io/Logging_0880/artfynd/A 25168-2019 artfynd.xlsx", "A 25168-2019")</f>
        <v/>
      </c>
      <c r="T670">
        <f>HYPERLINK("https://klasma.github.io/Logging_0880/kartor/A 25168-2019 karta.png", "A 25168-2019")</f>
        <v/>
      </c>
      <c r="V670">
        <f>HYPERLINK("https://klasma.github.io/Logging_0880/klagomål/A 25168-2019 FSC-klagomål.docx", "A 25168-2019")</f>
        <v/>
      </c>
      <c r="W670">
        <f>HYPERLINK("https://klasma.github.io/Logging_0880/klagomålsmail/A 25168-2019 FSC-klagomål mail.docx", "A 25168-2019")</f>
        <v/>
      </c>
      <c r="X670">
        <f>HYPERLINK("https://klasma.github.io/Logging_0880/tillsyn/A 25168-2019 tillsynsbegäran.docx", "A 25168-2019")</f>
        <v/>
      </c>
      <c r="Y670">
        <f>HYPERLINK("https://klasma.github.io/Logging_0880/tillsynsmail/A 25168-2019 tillsynsbegäran mail.docx", "A 25168-2019")</f>
        <v/>
      </c>
    </row>
    <row r="671" ht="15" customHeight="1">
      <c r="A671" t="inlineStr">
        <is>
          <t>A 25676-2019</t>
        </is>
      </c>
      <c r="B671" s="1" t="n">
        <v>43607</v>
      </c>
      <c r="C671" s="1" t="n">
        <v>45715</v>
      </c>
      <c r="D671" t="inlineStr">
        <is>
          <t>KALMAR LÄN</t>
        </is>
      </c>
      <c r="E671" t="inlineStr">
        <is>
          <t>NYBRO</t>
        </is>
      </c>
      <c r="G671" t="n">
        <v>7.6</v>
      </c>
      <c r="H671" t="n">
        <v>1</v>
      </c>
      <c r="I671" t="n">
        <v>0</v>
      </c>
      <c r="J671" t="n">
        <v>0</v>
      </c>
      <c r="K671" t="n">
        <v>0</v>
      </c>
      <c r="L671" t="n">
        <v>0</v>
      </c>
      <c r="M671" t="n">
        <v>0</v>
      </c>
      <c r="N671" t="n">
        <v>0</v>
      </c>
      <c r="O671" t="n">
        <v>0</v>
      </c>
      <c r="P671" t="n">
        <v>0</v>
      </c>
      <c r="Q671" t="n">
        <v>1</v>
      </c>
      <c r="R671" s="2" t="inlineStr">
        <is>
          <t>Nattskärra</t>
        </is>
      </c>
      <c r="S671">
        <f>HYPERLINK("https://klasma.github.io/Logging_0881/artfynd/A 25676-2019 artfynd.xlsx", "A 25676-2019")</f>
        <v/>
      </c>
      <c r="T671">
        <f>HYPERLINK("https://klasma.github.io/Logging_0881/kartor/A 25676-2019 karta.png", "A 25676-2019")</f>
        <v/>
      </c>
      <c r="V671">
        <f>HYPERLINK("https://klasma.github.io/Logging_0881/klagomål/A 25676-2019 FSC-klagomål.docx", "A 25676-2019")</f>
        <v/>
      </c>
      <c r="W671">
        <f>HYPERLINK("https://klasma.github.io/Logging_0881/klagomålsmail/A 25676-2019 FSC-klagomål mail.docx", "A 25676-2019")</f>
        <v/>
      </c>
      <c r="X671">
        <f>HYPERLINK("https://klasma.github.io/Logging_0881/tillsyn/A 25676-2019 tillsynsbegäran.docx", "A 25676-2019")</f>
        <v/>
      </c>
      <c r="Y671">
        <f>HYPERLINK("https://klasma.github.io/Logging_0881/tillsynsmail/A 25676-2019 tillsynsbegäran mail.docx", "A 25676-2019")</f>
        <v/>
      </c>
      <c r="Z671">
        <f>HYPERLINK("https://klasma.github.io/Logging_0881/fåglar/A 25676-2019 prioriterade fågelarter.docx", "A 25676-2019")</f>
        <v/>
      </c>
    </row>
    <row r="672" ht="15" customHeight="1">
      <c r="A672" t="inlineStr">
        <is>
          <t>A 26389-2019</t>
        </is>
      </c>
      <c r="B672" s="1" t="n">
        <v>43612</v>
      </c>
      <c r="C672" s="1" t="n">
        <v>45715</v>
      </c>
      <c r="D672" t="inlineStr">
        <is>
          <t>KALMAR LÄN</t>
        </is>
      </c>
      <c r="E672" t="inlineStr">
        <is>
          <t>KALMAR</t>
        </is>
      </c>
      <c r="G672" t="n">
        <v>10.9</v>
      </c>
      <c r="H672" t="n">
        <v>1</v>
      </c>
      <c r="I672" t="n">
        <v>0</v>
      </c>
      <c r="J672" t="n">
        <v>1</v>
      </c>
      <c r="K672" t="n">
        <v>0</v>
      </c>
      <c r="L672" t="n">
        <v>0</v>
      </c>
      <c r="M672" t="n">
        <v>0</v>
      </c>
      <c r="N672" t="n">
        <v>0</v>
      </c>
      <c r="O672" t="n">
        <v>1</v>
      </c>
      <c r="P672" t="n">
        <v>0</v>
      </c>
      <c r="Q672" t="n">
        <v>1</v>
      </c>
      <c r="R672" s="2" t="inlineStr">
        <is>
          <t>Långbensgroda</t>
        </is>
      </c>
      <c r="S672">
        <f>HYPERLINK("https://klasma.github.io/Logging_0880/artfynd/A 26389-2019 artfynd.xlsx", "A 26389-2019")</f>
        <v/>
      </c>
      <c r="T672">
        <f>HYPERLINK("https://klasma.github.io/Logging_0880/kartor/A 26389-2019 karta.png", "A 26389-2019")</f>
        <v/>
      </c>
      <c r="V672">
        <f>HYPERLINK("https://klasma.github.io/Logging_0880/klagomål/A 26389-2019 FSC-klagomål.docx", "A 26389-2019")</f>
        <v/>
      </c>
      <c r="W672">
        <f>HYPERLINK("https://klasma.github.io/Logging_0880/klagomålsmail/A 26389-2019 FSC-klagomål mail.docx", "A 26389-2019")</f>
        <v/>
      </c>
      <c r="X672">
        <f>HYPERLINK("https://klasma.github.io/Logging_0880/tillsyn/A 26389-2019 tillsynsbegäran.docx", "A 26389-2019")</f>
        <v/>
      </c>
      <c r="Y672">
        <f>HYPERLINK("https://klasma.github.io/Logging_0880/tillsynsmail/A 26389-2019 tillsynsbegäran mail.docx", "A 26389-2019")</f>
        <v/>
      </c>
    </row>
    <row r="673" ht="15" customHeight="1">
      <c r="A673" t="inlineStr">
        <is>
          <t>A 26448-2019</t>
        </is>
      </c>
      <c r="B673" s="1" t="n">
        <v>43612</v>
      </c>
      <c r="C673" s="1" t="n">
        <v>45715</v>
      </c>
      <c r="D673" t="inlineStr">
        <is>
          <t>KALMAR LÄN</t>
        </is>
      </c>
      <c r="E673" t="inlineStr">
        <is>
          <t>HÖGSBY</t>
        </is>
      </c>
      <c r="G673" t="n">
        <v>0.9</v>
      </c>
      <c r="H673" t="n">
        <v>1</v>
      </c>
      <c r="I673" t="n">
        <v>0</v>
      </c>
      <c r="J673" t="n">
        <v>0</v>
      </c>
      <c r="K673" t="n">
        <v>0</v>
      </c>
      <c r="L673" t="n">
        <v>1</v>
      </c>
      <c r="M673" t="n">
        <v>0</v>
      </c>
      <c r="N673" t="n">
        <v>0</v>
      </c>
      <c r="O673" t="n">
        <v>1</v>
      </c>
      <c r="P673" t="n">
        <v>1</v>
      </c>
      <c r="Q673" t="n">
        <v>1</v>
      </c>
      <c r="R673" s="2" t="inlineStr">
        <is>
          <t>Mosippa</t>
        </is>
      </c>
      <c r="S673">
        <f>HYPERLINK("https://klasma.github.io/Logging_0821/artfynd/A 26448-2019 artfynd.xlsx", "A 26448-2019")</f>
        <v/>
      </c>
      <c r="T673">
        <f>HYPERLINK("https://klasma.github.io/Logging_0821/kartor/A 26448-2019 karta.png", "A 26448-2019")</f>
        <v/>
      </c>
      <c r="V673">
        <f>HYPERLINK("https://klasma.github.io/Logging_0821/klagomål/A 26448-2019 FSC-klagomål.docx", "A 26448-2019")</f>
        <v/>
      </c>
      <c r="W673">
        <f>HYPERLINK("https://klasma.github.io/Logging_0821/klagomålsmail/A 26448-2019 FSC-klagomål mail.docx", "A 26448-2019")</f>
        <v/>
      </c>
      <c r="X673">
        <f>HYPERLINK("https://klasma.github.io/Logging_0821/tillsyn/A 26448-2019 tillsynsbegäran.docx", "A 26448-2019")</f>
        <v/>
      </c>
      <c r="Y673">
        <f>HYPERLINK("https://klasma.github.io/Logging_0821/tillsynsmail/A 26448-2019 tillsynsbegäran mail.docx", "A 26448-2019")</f>
        <v/>
      </c>
    </row>
    <row r="674" ht="15" customHeight="1">
      <c r="A674" t="inlineStr">
        <is>
          <t>A 27200-2019</t>
        </is>
      </c>
      <c r="B674" s="1" t="n">
        <v>43614</v>
      </c>
      <c r="C674" s="1" t="n">
        <v>45715</v>
      </c>
      <c r="D674" t="inlineStr">
        <is>
          <t>KALMAR LÄN</t>
        </is>
      </c>
      <c r="E674" t="inlineStr">
        <is>
          <t>VÄSTERVIK</t>
        </is>
      </c>
      <c r="F674" t="inlineStr">
        <is>
          <t>Sveaskog</t>
        </is>
      </c>
      <c r="G674" t="n">
        <v>8.5</v>
      </c>
      <c r="H674" t="n">
        <v>0</v>
      </c>
      <c r="I674" t="n">
        <v>1</v>
      </c>
      <c r="J674" t="n">
        <v>0</v>
      </c>
      <c r="K674" t="n">
        <v>0</v>
      </c>
      <c r="L674" t="n">
        <v>0</v>
      </c>
      <c r="M674" t="n">
        <v>0</v>
      </c>
      <c r="N674" t="n">
        <v>0</v>
      </c>
      <c r="O674" t="n">
        <v>0</v>
      </c>
      <c r="P674" t="n">
        <v>0</v>
      </c>
      <c r="Q674" t="n">
        <v>1</v>
      </c>
      <c r="R674" s="2" t="inlineStr">
        <is>
          <t>Myskmadra</t>
        </is>
      </c>
      <c r="S674">
        <f>HYPERLINK("https://klasma.github.io/Logging_0883/artfynd/A 27200-2019 artfynd.xlsx", "A 27200-2019")</f>
        <v/>
      </c>
      <c r="T674">
        <f>HYPERLINK("https://klasma.github.io/Logging_0883/kartor/A 27200-2019 karta.png", "A 27200-2019")</f>
        <v/>
      </c>
      <c r="V674">
        <f>HYPERLINK("https://klasma.github.io/Logging_0883/klagomål/A 27200-2019 FSC-klagomål.docx", "A 27200-2019")</f>
        <v/>
      </c>
      <c r="W674">
        <f>HYPERLINK("https://klasma.github.io/Logging_0883/klagomålsmail/A 27200-2019 FSC-klagomål mail.docx", "A 27200-2019")</f>
        <v/>
      </c>
      <c r="X674">
        <f>HYPERLINK("https://klasma.github.io/Logging_0883/tillsyn/A 27200-2019 tillsynsbegäran.docx", "A 27200-2019")</f>
        <v/>
      </c>
      <c r="Y674">
        <f>HYPERLINK("https://klasma.github.io/Logging_0883/tillsynsmail/A 27200-2019 tillsynsbegäran mail.docx", "A 27200-2019")</f>
        <v/>
      </c>
    </row>
    <row r="675" ht="15" customHeight="1">
      <c r="A675" t="inlineStr">
        <is>
          <t>A 27204-2019</t>
        </is>
      </c>
      <c r="B675" s="1" t="n">
        <v>43614</v>
      </c>
      <c r="C675" s="1" t="n">
        <v>45715</v>
      </c>
      <c r="D675" t="inlineStr">
        <is>
          <t>KALMAR LÄN</t>
        </is>
      </c>
      <c r="E675" t="inlineStr">
        <is>
          <t>VÄSTERVIK</t>
        </is>
      </c>
      <c r="F675" t="inlineStr">
        <is>
          <t>Sveaskog</t>
        </is>
      </c>
      <c r="G675" t="n">
        <v>12.9</v>
      </c>
      <c r="H675" t="n">
        <v>0</v>
      </c>
      <c r="I675" t="n">
        <v>1</v>
      </c>
      <c r="J675" t="n">
        <v>0</v>
      </c>
      <c r="K675" t="n">
        <v>0</v>
      </c>
      <c r="L675" t="n">
        <v>0</v>
      </c>
      <c r="M675" t="n">
        <v>0</v>
      </c>
      <c r="N675" t="n">
        <v>0</v>
      </c>
      <c r="O675" t="n">
        <v>0</v>
      </c>
      <c r="P675" t="n">
        <v>0</v>
      </c>
      <c r="Q675" t="n">
        <v>1</v>
      </c>
      <c r="R675" s="2" t="inlineStr">
        <is>
          <t>Platt fjädermossa</t>
        </is>
      </c>
      <c r="S675">
        <f>HYPERLINK("https://klasma.github.io/Logging_0883/artfynd/A 27204-2019 artfynd.xlsx", "A 27204-2019")</f>
        <v/>
      </c>
      <c r="T675">
        <f>HYPERLINK("https://klasma.github.io/Logging_0883/kartor/A 27204-2019 karta.png", "A 27204-2019")</f>
        <v/>
      </c>
      <c r="V675">
        <f>HYPERLINK("https://klasma.github.io/Logging_0883/klagomål/A 27204-2019 FSC-klagomål.docx", "A 27204-2019")</f>
        <v/>
      </c>
      <c r="W675">
        <f>HYPERLINK("https://klasma.github.io/Logging_0883/klagomålsmail/A 27204-2019 FSC-klagomål mail.docx", "A 27204-2019")</f>
        <v/>
      </c>
      <c r="X675">
        <f>HYPERLINK("https://klasma.github.io/Logging_0883/tillsyn/A 27204-2019 tillsynsbegäran.docx", "A 27204-2019")</f>
        <v/>
      </c>
      <c r="Y675">
        <f>HYPERLINK("https://klasma.github.io/Logging_0883/tillsynsmail/A 27204-2019 tillsynsbegäran mail.docx", "A 27204-2019")</f>
        <v/>
      </c>
    </row>
    <row r="676" ht="15" customHeight="1">
      <c r="A676" t="inlineStr">
        <is>
          <t>A 27203-2019</t>
        </is>
      </c>
      <c r="B676" s="1" t="n">
        <v>43614</v>
      </c>
      <c r="C676" s="1" t="n">
        <v>45715</v>
      </c>
      <c r="D676" t="inlineStr">
        <is>
          <t>KALMAR LÄN</t>
        </is>
      </c>
      <c r="E676" t="inlineStr">
        <is>
          <t>VÄSTERVIK</t>
        </is>
      </c>
      <c r="F676" t="inlineStr">
        <is>
          <t>Sveaskog</t>
        </is>
      </c>
      <c r="G676" t="n">
        <v>4.8</v>
      </c>
      <c r="H676" t="n">
        <v>0</v>
      </c>
      <c r="I676" t="n">
        <v>1</v>
      </c>
      <c r="J676" t="n">
        <v>0</v>
      </c>
      <c r="K676" t="n">
        <v>0</v>
      </c>
      <c r="L676" t="n">
        <v>0</v>
      </c>
      <c r="M676" t="n">
        <v>0</v>
      </c>
      <c r="N676" t="n">
        <v>0</v>
      </c>
      <c r="O676" t="n">
        <v>0</v>
      </c>
      <c r="P676" t="n">
        <v>0</v>
      </c>
      <c r="Q676" t="n">
        <v>1</v>
      </c>
      <c r="R676" s="2" t="inlineStr">
        <is>
          <t>Blomskägglav</t>
        </is>
      </c>
      <c r="S676">
        <f>HYPERLINK("https://klasma.github.io/Logging_0883/artfynd/A 27203-2019 artfynd.xlsx", "A 27203-2019")</f>
        <v/>
      </c>
      <c r="T676">
        <f>HYPERLINK("https://klasma.github.io/Logging_0883/kartor/A 27203-2019 karta.png", "A 27203-2019")</f>
        <v/>
      </c>
      <c r="V676">
        <f>HYPERLINK("https://klasma.github.io/Logging_0883/klagomål/A 27203-2019 FSC-klagomål.docx", "A 27203-2019")</f>
        <v/>
      </c>
      <c r="W676">
        <f>HYPERLINK("https://klasma.github.io/Logging_0883/klagomålsmail/A 27203-2019 FSC-klagomål mail.docx", "A 27203-2019")</f>
        <v/>
      </c>
      <c r="X676">
        <f>HYPERLINK("https://klasma.github.io/Logging_0883/tillsyn/A 27203-2019 tillsynsbegäran.docx", "A 27203-2019")</f>
        <v/>
      </c>
      <c r="Y676">
        <f>HYPERLINK("https://klasma.github.io/Logging_0883/tillsynsmail/A 27203-2019 tillsynsbegäran mail.docx", "A 27203-2019")</f>
        <v/>
      </c>
    </row>
    <row r="677" ht="15" customHeight="1">
      <c r="A677" t="inlineStr">
        <is>
          <t>A 26976-2019</t>
        </is>
      </c>
      <c r="B677" s="1" t="n">
        <v>43614</v>
      </c>
      <c r="C677" s="1" t="n">
        <v>45715</v>
      </c>
      <c r="D677" t="inlineStr">
        <is>
          <t>KALMAR LÄN</t>
        </is>
      </c>
      <c r="E677" t="inlineStr">
        <is>
          <t>KALMAR</t>
        </is>
      </c>
      <c r="G677" t="n">
        <v>1.7</v>
      </c>
      <c r="H677" t="n">
        <v>0</v>
      </c>
      <c r="I677" t="n">
        <v>1</v>
      </c>
      <c r="J677" t="n">
        <v>0</v>
      </c>
      <c r="K677" t="n">
        <v>0</v>
      </c>
      <c r="L677" t="n">
        <v>0</v>
      </c>
      <c r="M677" t="n">
        <v>0</v>
      </c>
      <c r="N677" t="n">
        <v>0</v>
      </c>
      <c r="O677" t="n">
        <v>0</v>
      </c>
      <c r="P677" t="n">
        <v>0</v>
      </c>
      <c r="Q677" t="n">
        <v>1</v>
      </c>
      <c r="R677" s="2" t="inlineStr">
        <is>
          <t>Vätteros</t>
        </is>
      </c>
      <c r="S677">
        <f>HYPERLINK("https://klasma.github.io/Logging_0880/artfynd/A 26976-2019 artfynd.xlsx", "A 26976-2019")</f>
        <v/>
      </c>
      <c r="T677">
        <f>HYPERLINK("https://klasma.github.io/Logging_0880/kartor/A 26976-2019 karta.png", "A 26976-2019")</f>
        <v/>
      </c>
      <c r="V677">
        <f>HYPERLINK("https://klasma.github.io/Logging_0880/klagomål/A 26976-2019 FSC-klagomål.docx", "A 26976-2019")</f>
        <v/>
      </c>
      <c r="W677">
        <f>HYPERLINK("https://klasma.github.io/Logging_0880/klagomålsmail/A 26976-2019 FSC-klagomål mail.docx", "A 26976-2019")</f>
        <v/>
      </c>
      <c r="X677">
        <f>HYPERLINK("https://klasma.github.io/Logging_0880/tillsyn/A 26976-2019 tillsynsbegäran.docx", "A 26976-2019")</f>
        <v/>
      </c>
      <c r="Y677">
        <f>HYPERLINK("https://klasma.github.io/Logging_0880/tillsynsmail/A 26976-2019 tillsynsbegäran mail.docx", "A 26976-2019")</f>
        <v/>
      </c>
    </row>
    <row r="678" ht="15" customHeight="1">
      <c r="A678" t="inlineStr">
        <is>
          <t>A 27556-2019</t>
        </is>
      </c>
      <c r="B678" s="1" t="n">
        <v>43619</v>
      </c>
      <c r="C678" s="1" t="n">
        <v>45715</v>
      </c>
      <c r="D678" t="inlineStr">
        <is>
          <t>KALMAR LÄN</t>
        </is>
      </c>
      <c r="E678" t="inlineStr">
        <is>
          <t>MÖNSTERÅS</t>
        </is>
      </c>
      <c r="G678" t="n">
        <v>6.4</v>
      </c>
      <c r="H678" t="n">
        <v>1</v>
      </c>
      <c r="I678" t="n">
        <v>0</v>
      </c>
      <c r="J678" t="n">
        <v>1</v>
      </c>
      <c r="K678" t="n">
        <v>0</v>
      </c>
      <c r="L678" t="n">
        <v>0</v>
      </c>
      <c r="M678" t="n">
        <v>0</v>
      </c>
      <c r="N678" t="n">
        <v>0</v>
      </c>
      <c r="O678" t="n">
        <v>1</v>
      </c>
      <c r="P678" t="n">
        <v>0</v>
      </c>
      <c r="Q678" t="n">
        <v>1</v>
      </c>
      <c r="R678" s="2" t="inlineStr">
        <is>
          <t>Havsörn</t>
        </is>
      </c>
      <c r="S678">
        <f>HYPERLINK("https://klasma.github.io/Logging_0861/artfynd/A 27556-2019 artfynd.xlsx", "A 27556-2019")</f>
        <v/>
      </c>
      <c r="T678">
        <f>HYPERLINK("https://klasma.github.io/Logging_0861/kartor/A 27556-2019 karta.png", "A 27556-2019")</f>
        <v/>
      </c>
      <c r="V678">
        <f>HYPERLINK("https://klasma.github.io/Logging_0861/klagomål/A 27556-2019 FSC-klagomål.docx", "A 27556-2019")</f>
        <v/>
      </c>
      <c r="W678">
        <f>HYPERLINK("https://klasma.github.io/Logging_0861/klagomålsmail/A 27556-2019 FSC-klagomål mail.docx", "A 27556-2019")</f>
        <v/>
      </c>
      <c r="X678">
        <f>HYPERLINK("https://klasma.github.io/Logging_0861/tillsyn/A 27556-2019 tillsynsbegäran.docx", "A 27556-2019")</f>
        <v/>
      </c>
      <c r="Y678">
        <f>HYPERLINK("https://klasma.github.io/Logging_0861/tillsynsmail/A 27556-2019 tillsynsbegäran mail.docx", "A 27556-2019")</f>
        <v/>
      </c>
      <c r="Z678">
        <f>HYPERLINK("https://klasma.github.io/Logging_0861/fåglar/A 27556-2019 prioriterade fågelarter.docx", "A 27556-2019")</f>
        <v/>
      </c>
    </row>
    <row r="679" ht="15" customHeight="1">
      <c r="A679" t="inlineStr">
        <is>
          <t>A 32015-2019</t>
        </is>
      </c>
      <c r="B679" s="1" t="n">
        <v>43643</v>
      </c>
      <c r="C679" s="1" t="n">
        <v>45715</v>
      </c>
      <c r="D679" t="inlineStr">
        <is>
          <t>KALMAR LÄN</t>
        </is>
      </c>
      <c r="E679" t="inlineStr">
        <is>
          <t>HULTSFRED</t>
        </is>
      </c>
      <c r="G679" t="n">
        <v>6.7</v>
      </c>
      <c r="H679" t="n">
        <v>1</v>
      </c>
      <c r="I679" t="n">
        <v>0</v>
      </c>
      <c r="J679" t="n">
        <v>0</v>
      </c>
      <c r="K679" t="n">
        <v>0</v>
      </c>
      <c r="L679" t="n">
        <v>0</v>
      </c>
      <c r="M679" t="n">
        <v>0</v>
      </c>
      <c r="N679" t="n">
        <v>0</v>
      </c>
      <c r="O679" t="n">
        <v>0</v>
      </c>
      <c r="P679" t="n">
        <v>0</v>
      </c>
      <c r="Q679" t="n">
        <v>1</v>
      </c>
      <c r="R679" s="2" t="inlineStr">
        <is>
          <t>Blåsippa</t>
        </is>
      </c>
      <c r="S679">
        <f>HYPERLINK("https://klasma.github.io/Logging_0860/artfynd/A 32015-2019 artfynd.xlsx", "A 32015-2019")</f>
        <v/>
      </c>
      <c r="T679">
        <f>HYPERLINK("https://klasma.github.io/Logging_0860/kartor/A 32015-2019 karta.png", "A 32015-2019")</f>
        <v/>
      </c>
      <c r="V679">
        <f>HYPERLINK("https://klasma.github.io/Logging_0860/klagomål/A 32015-2019 FSC-klagomål.docx", "A 32015-2019")</f>
        <v/>
      </c>
      <c r="W679">
        <f>HYPERLINK("https://klasma.github.io/Logging_0860/klagomålsmail/A 32015-2019 FSC-klagomål mail.docx", "A 32015-2019")</f>
        <v/>
      </c>
      <c r="X679">
        <f>HYPERLINK("https://klasma.github.io/Logging_0860/tillsyn/A 32015-2019 tillsynsbegäran.docx", "A 32015-2019")</f>
        <v/>
      </c>
      <c r="Y679">
        <f>HYPERLINK("https://klasma.github.io/Logging_0860/tillsynsmail/A 32015-2019 tillsynsbegäran mail.docx", "A 32015-2019")</f>
        <v/>
      </c>
    </row>
    <row r="680" ht="15" customHeight="1">
      <c r="A680" t="inlineStr">
        <is>
          <t>A 32001-2019</t>
        </is>
      </c>
      <c r="B680" s="1" t="n">
        <v>43643</v>
      </c>
      <c r="C680" s="1" t="n">
        <v>45715</v>
      </c>
      <c r="D680" t="inlineStr">
        <is>
          <t>KALMAR LÄN</t>
        </is>
      </c>
      <c r="E680" t="inlineStr">
        <is>
          <t>HULTSFRED</t>
        </is>
      </c>
      <c r="G680" t="n">
        <v>9.1</v>
      </c>
      <c r="H680" t="n">
        <v>0</v>
      </c>
      <c r="I680" t="n">
        <v>1</v>
      </c>
      <c r="J680" t="n">
        <v>0</v>
      </c>
      <c r="K680" t="n">
        <v>0</v>
      </c>
      <c r="L680" t="n">
        <v>0</v>
      </c>
      <c r="M680" t="n">
        <v>0</v>
      </c>
      <c r="N680" t="n">
        <v>0</v>
      </c>
      <c r="O680" t="n">
        <v>0</v>
      </c>
      <c r="P680" t="n">
        <v>0</v>
      </c>
      <c r="Q680" t="n">
        <v>1</v>
      </c>
      <c r="R680" s="2" t="inlineStr">
        <is>
          <t>Fällmossa</t>
        </is>
      </c>
      <c r="S680">
        <f>HYPERLINK("https://klasma.github.io/Logging_0860/artfynd/A 32001-2019 artfynd.xlsx", "A 32001-2019")</f>
        <v/>
      </c>
      <c r="T680">
        <f>HYPERLINK("https://klasma.github.io/Logging_0860/kartor/A 32001-2019 karta.png", "A 32001-2019")</f>
        <v/>
      </c>
      <c r="V680">
        <f>HYPERLINK("https://klasma.github.io/Logging_0860/klagomål/A 32001-2019 FSC-klagomål.docx", "A 32001-2019")</f>
        <v/>
      </c>
      <c r="W680">
        <f>HYPERLINK("https://klasma.github.io/Logging_0860/klagomålsmail/A 32001-2019 FSC-klagomål mail.docx", "A 32001-2019")</f>
        <v/>
      </c>
      <c r="X680">
        <f>HYPERLINK("https://klasma.github.io/Logging_0860/tillsyn/A 32001-2019 tillsynsbegäran.docx", "A 32001-2019")</f>
        <v/>
      </c>
      <c r="Y680">
        <f>HYPERLINK("https://klasma.github.io/Logging_0860/tillsynsmail/A 32001-2019 tillsynsbegäran mail.docx", "A 32001-2019")</f>
        <v/>
      </c>
    </row>
    <row r="681" ht="15" customHeight="1">
      <c r="A681" t="inlineStr">
        <is>
          <t>A 34728-2019</t>
        </is>
      </c>
      <c r="B681" s="1" t="n">
        <v>43648</v>
      </c>
      <c r="C681" s="1" t="n">
        <v>45715</v>
      </c>
      <c r="D681" t="inlineStr">
        <is>
          <t>KALMAR LÄN</t>
        </is>
      </c>
      <c r="E681" t="inlineStr">
        <is>
          <t>MÖNSTERÅS</t>
        </is>
      </c>
      <c r="G681" t="n">
        <v>1</v>
      </c>
      <c r="H681" t="n">
        <v>0</v>
      </c>
      <c r="I681" t="n">
        <v>0</v>
      </c>
      <c r="J681" t="n">
        <v>1</v>
      </c>
      <c r="K681" t="n">
        <v>0</v>
      </c>
      <c r="L681" t="n">
        <v>0</v>
      </c>
      <c r="M681" t="n">
        <v>0</v>
      </c>
      <c r="N681" t="n">
        <v>0</v>
      </c>
      <c r="O681" t="n">
        <v>1</v>
      </c>
      <c r="P681" t="n">
        <v>0</v>
      </c>
      <c r="Q681" t="n">
        <v>1</v>
      </c>
      <c r="R681" s="2" t="inlineStr">
        <is>
          <t>Tallticka</t>
        </is>
      </c>
      <c r="S681">
        <f>HYPERLINK("https://klasma.github.io/Logging_0861/artfynd/A 34728-2019 artfynd.xlsx", "A 34728-2019")</f>
        <v/>
      </c>
      <c r="T681">
        <f>HYPERLINK("https://klasma.github.io/Logging_0861/kartor/A 34728-2019 karta.png", "A 34728-2019")</f>
        <v/>
      </c>
      <c r="V681">
        <f>HYPERLINK("https://klasma.github.io/Logging_0861/klagomål/A 34728-2019 FSC-klagomål.docx", "A 34728-2019")</f>
        <v/>
      </c>
      <c r="W681">
        <f>HYPERLINK("https://klasma.github.io/Logging_0861/klagomålsmail/A 34728-2019 FSC-klagomål mail.docx", "A 34728-2019")</f>
        <v/>
      </c>
      <c r="X681">
        <f>HYPERLINK("https://klasma.github.io/Logging_0861/tillsyn/A 34728-2019 tillsynsbegäran.docx", "A 34728-2019")</f>
        <v/>
      </c>
      <c r="Y681">
        <f>HYPERLINK("https://klasma.github.io/Logging_0861/tillsynsmail/A 34728-2019 tillsynsbegäran mail.docx", "A 34728-2019")</f>
        <v/>
      </c>
    </row>
    <row r="682" ht="15" customHeight="1">
      <c r="A682" t="inlineStr">
        <is>
          <t>A 34678-2019</t>
        </is>
      </c>
      <c r="B682" s="1" t="n">
        <v>43657</v>
      </c>
      <c r="C682" s="1" t="n">
        <v>45715</v>
      </c>
      <c r="D682" t="inlineStr">
        <is>
          <t>KALMAR LÄN</t>
        </is>
      </c>
      <c r="E682" t="inlineStr">
        <is>
          <t>OSKARSHAMN</t>
        </is>
      </c>
      <c r="G682" t="n">
        <v>4.1</v>
      </c>
      <c r="H682" t="n">
        <v>0</v>
      </c>
      <c r="I682" t="n">
        <v>1</v>
      </c>
      <c r="J682" t="n">
        <v>0</v>
      </c>
      <c r="K682" t="n">
        <v>0</v>
      </c>
      <c r="L682" t="n">
        <v>0</v>
      </c>
      <c r="M682" t="n">
        <v>0</v>
      </c>
      <c r="N682" t="n">
        <v>0</v>
      </c>
      <c r="O682" t="n">
        <v>0</v>
      </c>
      <c r="P682" t="n">
        <v>0</v>
      </c>
      <c r="Q682" t="n">
        <v>1</v>
      </c>
      <c r="R682" s="2" t="inlineStr">
        <is>
          <t>Rävticka</t>
        </is>
      </c>
      <c r="S682">
        <f>HYPERLINK("https://klasma.github.io/Logging_0882/artfynd/A 34678-2019 artfynd.xlsx", "A 34678-2019")</f>
        <v/>
      </c>
      <c r="T682">
        <f>HYPERLINK("https://klasma.github.io/Logging_0882/kartor/A 34678-2019 karta.png", "A 34678-2019")</f>
        <v/>
      </c>
      <c r="V682">
        <f>HYPERLINK("https://klasma.github.io/Logging_0882/klagomål/A 34678-2019 FSC-klagomål.docx", "A 34678-2019")</f>
        <v/>
      </c>
      <c r="W682">
        <f>HYPERLINK("https://klasma.github.io/Logging_0882/klagomålsmail/A 34678-2019 FSC-klagomål mail.docx", "A 34678-2019")</f>
        <v/>
      </c>
      <c r="X682">
        <f>HYPERLINK("https://klasma.github.io/Logging_0882/tillsyn/A 34678-2019 tillsynsbegäran.docx", "A 34678-2019")</f>
        <v/>
      </c>
      <c r="Y682">
        <f>HYPERLINK("https://klasma.github.io/Logging_0882/tillsynsmail/A 34678-2019 tillsynsbegäran mail.docx", "A 34678-2019")</f>
        <v/>
      </c>
    </row>
    <row r="683" ht="15" customHeight="1">
      <c r="A683" t="inlineStr">
        <is>
          <t>A 36218-2019</t>
        </is>
      </c>
      <c r="B683" s="1" t="n">
        <v>43669</v>
      </c>
      <c r="C683" s="1" t="n">
        <v>45715</v>
      </c>
      <c r="D683" t="inlineStr">
        <is>
          <t>KALMAR LÄN</t>
        </is>
      </c>
      <c r="E683" t="inlineStr">
        <is>
          <t>TORSÅS</t>
        </is>
      </c>
      <c r="G683" t="n">
        <v>15.5</v>
      </c>
      <c r="H683" t="n">
        <v>0</v>
      </c>
      <c r="I683" t="n">
        <v>0</v>
      </c>
      <c r="J683" t="n">
        <v>1</v>
      </c>
      <c r="K683" t="n">
        <v>0</v>
      </c>
      <c r="L683" t="n">
        <v>0</v>
      </c>
      <c r="M683" t="n">
        <v>0</v>
      </c>
      <c r="N683" t="n">
        <v>0</v>
      </c>
      <c r="O683" t="n">
        <v>1</v>
      </c>
      <c r="P683" t="n">
        <v>0</v>
      </c>
      <c r="Q683" t="n">
        <v>1</v>
      </c>
      <c r="R683" s="2" t="inlineStr">
        <is>
          <t>Rödlånke</t>
        </is>
      </c>
      <c r="S683">
        <f>HYPERLINK("https://klasma.github.io/Logging_0834/artfynd/A 36218-2019 artfynd.xlsx", "A 36218-2019")</f>
        <v/>
      </c>
      <c r="T683">
        <f>HYPERLINK("https://klasma.github.io/Logging_0834/kartor/A 36218-2019 karta.png", "A 36218-2019")</f>
        <v/>
      </c>
      <c r="V683">
        <f>HYPERLINK("https://klasma.github.io/Logging_0834/klagomål/A 36218-2019 FSC-klagomål.docx", "A 36218-2019")</f>
        <v/>
      </c>
      <c r="W683">
        <f>HYPERLINK("https://klasma.github.io/Logging_0834/klagomålsmail/A 36218-2019 FSC-klagomål mail.docx", "A 36218-2019")</f>
        <v/>
      </c>
      <c r="X683">
        <f>HYPERLINK("https://klasma.github.io/Logging_0834/tillsyn/A 36218-2019 tillsynsbegäran.docx", "A 36218-2019")</f>
        <v/>
      </c>
      <c r="Y683">
        <f>HYPERLINK("https://klasma.github.io/Logging_0834/tillsynsmail/A 36218-2019 tillsynsbegäran mail.docx", "A 36218-2019")</f>
        <v/>
      </c>
    </row>
    <row r="684" ht="15" customHeight="1">
      <c r="A684" t="inlineStr">
        <is>
          <t>A 36540-2019</t>
        </is>
      </c>
      <c r="B684" s="1" t="n">
        <v>43671</v>
      </c>
      <c r="C684" s="1" t="n">
        <v>45715</v>
      </c>
      <c r="D684" t="inlineStr">
        <is>
          <t>KALMAR LÄN</t>
        </is>
      </c>
      <c r="E684" t="inlineStr">
        <is>
          <t>OSKARSHAMN</t>
        </is>
      </c>
      <c r="F684" t="inlineStr">
        <is>
          <t>Sveaskog</t>
        </is>
      </c>
      <c r="G684" t="n">
        <v>3.3</v>
      </c>
      <c r="H684" t="n">
        <v>1</v>
      </c>
      <c r="I684" t="n">
        <v>0</v>
      </c>
      <c r="J684" t="n">
        <v>0</v>
      </c>
      <c r="K684" t="n">
        <v>0</v>
      </c>
      <c r="L684" t="n">
        <v>0</v>
      </c>
      <c r="M684" t="n">
        <v>0</v>
      </c>
      <c r="N684" t="n">
        <v>0</v>
      </c>
      <c r="O684" t="n">
        <v>0</v>
      </c>
      <c r="P684" t="n">
        <v>0</v>
      </c>
      <c r="Q684" t="n">
        <v>1</v>
      </c>
      <c r="R684" s="2" t="inlineStr">
        <is>
          <t>Fläcknycklar</t>
        </is>
      </c>
      <c r="S684">
        <f>HYPERLINK("https://klasma.github.io/Logging_0882/artfynd/A 36540-2019 artfynd.xlsx", "A 36540-2019")</f>
        <v/>
      </c>
      <c r="T684">
        <f>HYPERLINK("https://klasma.github.io/Logging_0882/kartor/A 36540-2019 karta.png", "A 36540-2019")</f>
        <v/>
      </c>
      <c r="V684">
        <f>HYPERLINK("https://klasma.github.io/Logging_0882/klagomål/A 36540-2019 FSC-klagomål.docx", "A 36540-2019")</f>
        <v/>
      </c>
      <c r="W684">
        <f>HYPERLINK("https://klasma.github.io/Logging_0882/klagomålsmail/A 36540-2019 FSC-klagomål mail.docx", "A 36540-2019")</f>
        <v/>
      </c>
      <c r="X684">
        <f>HYPERLINK("https://klasma.github.io/Logging_0882/tillsyn/A 36540-2019 tillsynsbegäran.docx", "A 36540-2019")</f>
        <v/>
      </c>
      <c r="Y684">
        <f>HYPERLINK("https://klasma.github.io/Logging_0882/tillsynsmail/A 36540-2019 tillsynsbegäran mail.docx", "A 36540-2019")</f>
        <v/>
      </c>
    </row>
    <row r="685" ht="15" customHeight="1">
      <c r="A685" t="inlineStr">
        <is>
          <t>A 36542-2019</t>
        </is>
      </c>
      <c r="B685" s="1" t="n">
        <v>43671</v>
      </c>
      <c r="C685" s="1" t="n">
        <v>45715</v>
      </c>
      <c r="D685" t="inlineStr">
        <is>
          <t>KALMAR LÄN</t>
        </is>
      </c>
      <c r="E685" t="inlineStr">
        <is>
          <t>OSKARSHAMN</t>
        </is>
      </c>
      <c r="F685" t="inlineStr">
        <is>
          <t>Sveaskog</t>
        </is>
      </c>
      <c r="G685" t="n">
        <v>0.8</v>
      </c>
      <c r="H685" t="n">
        <v>1</v>
      </c>
      <c r="I685" t="n">
        <v>0</v>
      </c>
      <c r="J685" t="n">
        <v>0</v>
      </c>
      <c r="K685" t="n">
        <v>0</v>
      </c>
      <c r="L685" t="n">
        <v>0</v>
      </c>
      <c r="M685" t="n">
        <v>0</v>
      </c>
      <c r="N685" t="n">
        <v>0</v>
      </c>
      <c r="O685" t="n">
        <v>0</v>
      </c>
      <c r="P685" t="n">
        <v>0</v>
      </c>
      <c r="Q685" t="n">
        <v>1</v>
      </c>
      <c r="R685" s="2" t="inlineStr">
        <is>
          <t>Mattlummer</t>
        </is>
      </c>
      <c r="S685">
        <f>HYPERLINK("https://klasma.github.io/Logging_0882/artfynd/A 36542-2019 artfynd.xlsx", "A 36542-2019")</f>
        <v/>
      </c>
      <c r="T685">
        <f>HYPERLINK("https://klasma.github.io/Logging_0882/kartor/A 36542-2019 karta.png", "A 36542-2019")</f>
        <v/>
      </c>
      <c r="V685">
        <f>HYPERLINK("https://klasma.github.io/Logging_0882/klagomål/A 36542-2019 FSC-klagomål.docx", "A 36542-2019")</f>
        <v/>
      </c>
      <c r="W685">
        <f>HYPERLINK("https://klasma.github.io/Logging_0882/klagomålsmail/A 36542-2019 FSC-klagomål mail.docx", "A 36542-2019")</f>
        <v/>
      </c>
      <c r="X685">
        <f>HYPERLINK("https://klasma.github.io/Logging_0882/tillsyn/A 36542-2019 tillsynsbegäran.docx", "A 36542-2019")</f>
        <v/>
      </c>
      <c r="Y685">
        <f>HYPERLINK("https://klasma.github.io/Logging_0882/tillsynsmail/A 36542-2019 tillsynsbegäran mail.docx", "A 36542-2019")</f>
        <v/>
      </c>
    </row>
    <row r="686" ht="15" customHeight="1">
      <c r="A686" t="inlineStr">
        <is>
          <t>A 37605-2019</t>
        </is>
      </c>
      <c r="B686" s="1" t="n">
        <v>43680</v>
      </c>
      <c r="C686" s="1" t="n">
        <v>45715</v>
      </c>
      <c r="D686" t="inlineStr">
        <is>
          <t>KALMAR LÄN</t>
        </is>
      </c>
      <c r="E686" t="inlineStr">
        <is>
          <t>KALMAR</t>
        </is>
      </c>
      <c r="G686" t="n">
        <v>0.9</v>
      </c>
      <c r="H686" t="n">
        <v>0</v>
      </c>
      <c r="I686" t="n">
        <v>1</v>
      </c>
      <c r="J686" t="n">
        <v>0</v>
      </c>
      <c r="K686" t="n">
        <v>0</v>
      </c>
      <c r="L686" t="n">
        <v>0</v>
      </c>
      <c r="M686" t="n">
        <v>0</v>
      </c>
      <c r="N686" t="n">
        <v>0</v>
      </c>
      <c r="O686" t="n">
        <v>0</v>
      </c>
      <c r="P686" t="n">
        <v>0</v>
      </c>
      <c r="Q686" t="n">
        <v>1</v>
      </c>
      <c r="R686" s="2" t="inlineStr">
        <is>
          <t>Vedticka</t>
        </is>
      </c>
      <c r="S686">
        <f>HYPERLINK("https://klasma.github.io/Logging_0880/artfynd/A 37605-2019 artfynd.xlsx", "A 37605-2019")</f>
        <v/>
      </c>
      <c r="T686">
        <f>HYPERLINK("https://klasma.github.io/Logging_0880/kartor/A 37605-2019 karta.png", "A 37605-2019")</f>
        <v/>
      </c>
      <c r="V686">
        <f>HYPERLINK("https://klasma.github.io/Logging_0880/klagomål/A 37605-2019 FSC-klagomål.docx", "A 37605-2019")</f>
        <v/>
      </c>
      <c r="W686">
        <f>HYPERLINK("https://klasma.github.io/Logging_0880/klagomålsmail/A 37605-2019 FSC-klagomål mail.docx", "A 37605-2019")</f>
        <v/>
      </c>
      <c r="X686">
        <f>HYPERLINK("https://klasma.github.io/Logging_0880/tillsyn/A 37605-2019 tillsynsbegäran.docx", "A 37605-2019")</f>
        <v/>
      </c>
      <c r="Y686">
        <f>HYPERLINK("https://klasma.github.io/Logging_0880/tillsynsmail/A 37605-2019 tillsynsbegäran mail.docx", "A 37605-2019")</f>
        <v/>
      </c>
    </row>
    <row r="687" ht="15" customHeight="1">
      <c r="A687" t="inlineStr">
        <is>
          <t>A 37689-2019</t>
        </is>
      </c>
      <c r="B687" s="1" t="n">
        <v>43682</v>
      </c>
      <c r="C687" s="1" t="n">
        <v>45715</v>
      </c>
      <c r="D687" t="inlineStr">
        <is>
          <t>KALMAR LÄN</t>
        </is>
      </c>
      <c r="E687" t="inlineStr">
        <is>
          <t>TORSÅS</t>
        </is>
      </c>
      <c r="G687" t="n">
        <v>7</v>
      </c>
      <c r="H687" t="n">
        <v>0</v>
      </c>
      <c r="I687" t="n">
        <v>0</v>
      </c>
      <c r="J687" t="n">
        <v>1</v>
      </c>
      <c r="K687" t="n">
        <v>0</v>
      </c>
      <c r="L687" t="n">
        <v>0</v>
      </c>
      <c r="M687" t="n">
        <v>0</v>
      </c>
      <c r="N687" t="n">
        <v>0</v>
      </c>
      <c r="O687" t="n">
        <v>1</v>
      </c>
      <c r="P687" t="n">
        <v>0</v>
      </c>
      <c r="Q687" t="n">
        <v>1</v>
      </c>
      <c r="R687" s="2" t="inlineStr">
        <is>
          <t>Sumpviol</t>
        </is>
      </c>
      <c r="S687">
        <f>HYPERLINK("https://klasma.github.io/Logging_0834/artfynd/A 37689-2019 artfynd.xlsx", "A 37689-2019")</f>
        <v/>
      </c>
      <c r="T687">
        <f>HYPERLINK("https://klasma.github.io/Logging_0834/kartor/A 37689-2019 karta.png", "A 37689-2019")</f>
        <v/>
      </c>
      <c r="V687">
        <f>HYPERLINK("https://klasma.github.io/Logging_0834/klagomål/A 37689-2019 FSC-klagomål.docx", "A 37689-2019")</f>
        <v/>
      </c>
      <c r="W687">
        <f>HYPERLINK("https://klasma.github.io/Logging_0834/klagomålsmail/A 37689-2019 FSC-klagomål mail.docx", "A 37689-2019")</f>
        <v/>
      </c>
      <c r="X687">
        <f>HYPERLINK("https://klasma.github.io/Logging_0834/tillsyn/A 37689-2019 tillsynsbegäran.docx", "A 37689-2019")</f>
        <v/>
      </c>
      <c r="Y687">
        <f>HYPERLINK("https://klasma.github.io/Logging_0834/tillsynsmail/A 37689-2019 tillsynsbegäran mail.docx", "A 37689-2019")</f>
        <v/>
      </c>
    </row>
    <row r="688" ht="15" customHeight="1">
      <c r="A688" t="inlineStr">
        <is>
          <t>A 38893-2019</t>
        </is>
      </c>
      <c r="B688" s="1" t="n">
        <v>43686</v>
      </c>
      <c r="C688" s="1" t="n">
        <v>45715</v>
      </c>
      <c r="D688" t="inlineStr">
        <is>
          <t>KALMAR LÄN</t>
        </is>
      </c>
      <c r="E688" t="inlineStr">
        <is>
          <t>HÖGSBY</t>
        </is>
      </c>
      <c r="G688" t="n">
        <v>8.699999999999999</v>
      </c>
      <c r="H688" t="n">
        <v>0</v>
      </c>
      <c r="I688" t="n">
        <v>0</v>
      </c>
      <c r="J688" t="n">
        <v>1</v>
      </c>
      <c r="K688" t="n">
        <v>0</v>
      </c>
      <c r="L688" t="n">
        <v>0</v>
      </c>
      <c r="M688" t="n">
        <v>0</v>
      </c>
      <c r="N688" t="n">
        <v>0</v>
      </c>
      <c r="O688" t="n">
        <v>1</v>
      </c>
      <c r="P688" t="n">
        <v>0</v>
      </c>
      <c r="Q688" t="n">
        <v>1</v>
      </c>
      <c r="R688" s="2" t="inlineStr">
        <is>
          <t>Bergjohannesört</t>
        </is>
      </c>
      <c r="S688">
        <f>HYPERLINK("https://klasma.github.io/Logging_0821/artfynd/A 38893-2019 artfynd.xlsx", "A 38893-2019")</f>
        <v/>
      </c>
      <c r="T688">
        <f>HYPERLINK("https://klasma.github.io/Logging_0821/kartor/A 38893-2019 karta.png", "A 38893-2019")</f>
        <v/>
      </c>
      <c r="V688">
        <f>HYPERLINK("https://klasma.github.io/Logging_0821/klagomål/A 38893-2019 FSC-klagomål.docx", "A 38893-2019")</f>
        <v/>
      </c>
      <c r="W688">
        <f>HYPERLINK("https://klasma.github.io/Logging_0821/klagomålsmail/A 38893-2019 FSC-klagomål mail.docx", "A 38893-2019")</f>
        <v/>
      </c>
      <c r="X688">
        <f>HYPERLINK("https://klasma.github.io/Logging_0821/tillsyn/A 38893-2019 tillsynsbegäran.docx", "A 38893-2019")</f>
        <v/>
      </c>
      <c r="Y688">
        <f>HYPERLINK("https://klasma.github.io/Logging_0821/tillsynsmail/A 38893-2019 tillsynsbegäran mail.docx", "A 38893-2019")</f>
        <v/>
      </c>
    </row>
    <row r="689" ht="15" customHeight="1">
      <c r="A689" t="inlineStr">
        <is>
          <t>A 39360-2019</t>
        </is>
      </c>
      <c r="B689" s="1" t="n">
        <v>43690</v>
      </c>
      <c r="C689" s="1" t="n">
        <v>45715</v>
      </c>
      <c r="D689" t="inlineStr">
        <is>
          <t>KALMAR LÄN</t>
        </is>
      </c>
      <c r="E689" t="inlineStr">
        <is>
          <t>NYBRO</t>
        </is>
      </c>
      <c r="G689" t="n">
        <v>0.6</v>
      </c>
      <c r="H689" t="n">
        <v>1</v>
      </c>
      <c r="I689" t="n">
        <v>0</v>
      </c>
      <c r="J689" t="n">
        <v>0</v>
      </c>
      <c r="K689" t="n">
        <v>0</v>
      </c>
      <c r="L689" t="n">
        <v>0</v>
      </c>
      <c r="M689" t="n">
        <v>0</v>
      </c>
      <c r="N689" t="n">
        <v>0</v>
      </c>
      <c r="O689" t="n">
        <v>0</v>
      </c>
      <c r="P689" t="n">
        <v>0</v>
      </c>
      <c r="Q689" t="n">
        <v>1</v>
      </c>
      <c r="R689" s="2" t="inlineStr">
        <is>
          <t>Revlummer</t>
        </is>
      </c>
      <c r="S689">
        <f>HYPERLINK("https://klasma.github.io/Logging_0881/artfynd/A 39360-2019 artfynd.xlsx", "A 39360-2019")</f>
        <v/>
      </c>
      <c r="T689">
        <f>HYPERLINK("https://klasma.github.io/Logging_0881/kartor/A 39360-2019 karta.png", "A 39360-2019")</f>
        <v/>
      </c>
      <c r="U689">
        <f>HYPERLINK("https://klasma.github.io/Logging_0881/knärot/A 39360-2019 karta knärot.png", "A 39360-2019")</f>
        <v/>
      </c>
      <c r="V689">
        <f>HYPERLINK("https://klasma.github.io/Logging_0881/klagomål/A 39360-2019 FSC-klagomål.docx", "A 39360-2019")</f>
        <v/>
      </c>
      <c r="W689">
        <f>HYPERLINK("https://klasma.github.io/Logging_0881/klagomålsmail/A 39360-2019 FSC-klagomål mail.docx", "A 39360-2019")</f>
        <v/>
      </c>
      <c r="X689">
        <f>HYPERLINK("https://klasma.github.io/Logging_0881/tillsyn/A 39360-2019 tillsynsbegäran.docx", "A 39360-2019")</f>
        <v/>
      </c>
      <c r="Y689">
        <f>HYPERLINK("https://klasma.github.io/Logging_0881/tillsynsmail/A 39360-2019 tillsynsbegäran mail.docx", "A 39360-2019")</f>
        <v/>
      </c>
    </row>
    <row r="690" ht="15" customHeight="1">
      <c r="A690" t="inlineStr">
        <is>
          <t>A 39367-2019</t>
        </is>
      </c>
      <c r="B690" s="1" t="n">
        <v>43690</v>
      </c>
      <c r="C690" s="1" t="n">
        <v>45715</v>
      </c>
      <c r="D690" t="inlineStr">
        <is>
          <t>KALMAR LÄN</t>
        </is>
      </c>
      <c r="E690" t="inlineStr">
        <is>
          <t>MÖRBYLÅNGA</t>
        </is>
      </c>
      <c r="G690" t="n">
        <v>1</v>
      </c>
      <c r="H690" t="n">
        <v>1</v>
      </c>
      <c r="I690" t="n">
        <v>0</v>
      </c>
      <c r="J690" t="n">
        <v>0</v>
      </c>
      <c r="K690" t="n">
        <v>0</v>
      </c>
      <c r="L690" t="n">
        <v>0</v>
      </c>
      <c r="M690" t="n">
        <v>0</v>
      </c>
      <c r="N690" t="n">
        <v>0</v>
      </c>
      <c r="O690" t="n">
        <v>0</v>
      </c>
      <c r="P690" t="n">
        <v>0</v>
      </c>
      <c r="Q690" t="n">
        <v>1</v>
      </c>
      <c r="R690" s="2" t="inlineStr">
        <is>
          <t>Blåsippa</t>
        </is>
      </c>
      <c r="S690">
        <f>HYPERLINK("https://klasma.github.io/Logging_0840/artfynd/A 39367-2019 artfynd.xlsx", "A 39367-2019")</f>
        <v/>
      </c>
      <c r="T690">
        <f>HYPERLINK("https://klasma.github.io/Logging_0840/kartor/A 39367-2019 karta.png", "A 39367-2019")</f>
        <v/>
      </c>
      <c r="V690">
        <f>HYPERLINK("https://klasma.github.io/Logging_0840/klagomål/A 39367-2019 FSC-klagomål.docx", "A 39367-2019")</f>
        <v/>
      </c>
      <c r="W690">
        <f>HYPERLINK("https://klasma.github.io/Logging_0840/klagomålsmail/A 39367-2019 FSC-klagomål mail.docx", "A 39367-2019")</f>
        <v/>
      </c>
      <c r="X690">
        <f>HYPERLINK("https://klasma.github.io/Logging_0840/tillsyn/A 39367-2019 tillsynsbegäran.docx", "A 39367-2019")</f>
        <v/>
      </c>
      <c r="Y690">
        <f>HYPERLINK("https://klasma.github.io/Logging_0840/tillsynsmail/A 39367-2019 tillsynsbegäran mail.docx", "A 39367-2019")</f>
        <v/>
      </c>
    </row>
    <row r="691" ht="15" customHeight="1">
      <c r="A691" t="inlineStr">
        <is>
          <t>A 39421-2019</t>
        </is>
      </c>
      <c r="B691" s="1" t="n">
        <v>43690</v>
      </c>
      <c r="C691" s="1" t="n">
        <v>45715</v>
      </c>
      <c r="D691" t="inlineStr">
        <is>
          <t>KALMAR LÄN</t>
        </is>
      </c>
      <c r="E691" t="inlineStr">
        <is>
          <t>HÖGSBY</t>
        </is>
      </c>
      <c r="G691" t="n">
        <v>10.7</v>
      </c>
      <c r="H691" t="n">
        <v>0</v>
      </c>
      <c r="I691" t="n">
        <v>0</v>
      </c>
      <c r="J691" t="n">
        <v>1</v>
      </c>
      <c r="K691" t="n">
        <v>0</v>
      </c>
      <c r="L691" t="n">
        <v>0</v>
      </c>
      <c r="M691" t="n">
        <v>0</v>
      </c>
      <c r="N691" t="n">
        <v>0</v>
      </c>
      <c r="O691" t="n">
        <v>1</v>
      </c>
      <c r="P691" t="n">
        <v>0</v>
      </c>
      <c r="Q691" t="n">
        <v>1</v>
      </c>
      <c r="R691" s="2" t="inlineStr">
        <is>
          <t>Sandviol</t>
        </is>
      </c>
      <c r="S691">
        <f>HYPERLINK("https://klasma.github.io/Logging_0821/artfynd/A 39421-2019 artfynd.xlsx", "A 39421-2019")</f>
        <v/>
      </c>
      <c r="T691">
        <f>HYPERLINK("https://klasma.github.io/Logging_0821/kartor/A 39421-2019 karta.png", "A 39421-2019")</f>
        <v/>
      </c>
      <c r="V691">
        <f>HYPERLINK("https://klasma.github.io/Logging_0821/klagomål/A 39421-2019 FSC-klagomål.docx", "A 39421-2019")</f>
        <v/>
      </c>
      <c r="W691">
        <f>HYPERLINK("https://klasma.github.io/Logging_0821/klagomålsmail/A 39421-2019 FSC-klagomål mail.docx", "A 39421-2019")</f>
        <v/>
      </c>
      <c r="X691">
        <f>HYPERLINK("https://klasma.github.io/Logging_0821/tillsyn/A 39421-2019 tillsynsbegäran.docx", "A 39421-2019")</f>
        <v/>
      </c>
      <c r="Y691">
        <f>HYPERLINK("https://klasma.github.io/Logging_0821/tillsynsmail/A 39421-2019 tillsynsbegäran mail.docx", "A 39421-2019")</f>
        <v/>
      </c>
    </row>
    <row r="692" ht="15" customHeight="1">
      <c r="A692" t="inlineStr">
        <is>
          <t>A 39728-2019</t>
        </is>
      </c>
      <c r="B692" s="1" t="n">
        <v>43691</v>
      </c>
      <c r="C692" s="1" t="n">
        <v>45715</v>
      </c>
      <c r="D692" t="inlineStr">
        <is>
          <t>KALMAR LÄN</t>
        </is>
      </c>
      <c r="E692" t="inlineStr">
        <is>
          <t>TORSÅS</t>
        </is>
      </c>
      <c r="G692" t="n">
        <v>4.6</v>
      </c>
      <c r="H692" t="n">
        <v>1</v>
      </c>
      <c r="I692" t="n">
        <v>0</v>
      </c>
      <c r="J692" t="n">
        <v>0</v>
      </c>
      <c r="K692" t="n">
        <v>0</v>
      </c>
      <c r="L692" t="n">
        <v>0</v>
      </c>
      <c r="M692" t="n">
        <v>0</v>
      </c>
      <c r="N692" t="n">
        <v>0</v>
      </c>
      <c r="O692" t="n">
        <v>0</v>
      </c>
      <c r="P692" t="n">
        <v>0</v>
      </c>
      <c r="Q692" t="n">
        <v>1</v>
      </c>
      <c r="R692" s="2" t="inlineStr">
        <is>
          <t>Gullviva</t>
        </is>
      </c>
      <c r="S692">
        <f>HYPERLINK("https://klasma.github.io/Logging_0834/artfynd/A 39728-2019 artfynd.xlsx", "A 39728-2019")</f>
        <v/>
      </c>
      <c r="T692">
        <f>HYPERLINK("https://klasma.github.io/Logging_0834/kartor/A 39728-2019 karta.png", "A 39728-2019")</f>
        <v/>
      </c>
      <c r="V692">
        <f>HYPERLINK("https://klasma.github.io/Logging_0834/klagomål/A 39728-2019 FSC-klagomål.docx", "A 39728-2019")</f>
        <v/>
      </c>
      <c r="W692">
        <f>HYPERLINK("https://klasma.github.io/Logging_0834/klagomålsmail/A 39728-2019 FSC-klagomål mail.docx", "A 39728-2019")</f>
        <v/>
      </c>
      <c r="X692">
        <f>HYPERLINK("https://klasma.github.io/Logging_0834/tillsyn/A 39728-2019 tillsynsbegäran.docx", "A 39728-2019")</f>
        <v/>
      </c>
      <c r="Y692">
        <f>HYPERLINK("https://klasma.github.io/Logging_0834/tillsynsmail/A 39728-2019 tillsynsbegäran mail.docx", "A 39728-2019")</f>
        <v/>
      </c>
    </row>
    <row r="693" ht="15" customHeight="1">
      <c r="A693" t="inlineStr">
        <is>
          <t>A 41664-2019</t>
        </is>
      </c>
      <c r="B693" s="1" t="n">
        <v>43699</v>
      </c>
      <c r="C693" s="1" t="n">
        <v>45715</v>
      </c>
      <c r="D693" t="inlineStr">
        <is>
          <t>KALMAR LÄN</t>
        </is>
      </c>
      <c r="E693" t="inlineStr">
        <is>
          <t>MÖNSTERÅS</t>
        </is>
      </c>
      <c r="G693" t="n">
        <v>10.2</v>
      </c>
      <c r="H693" t="n">
        <v>0</v>
      </c>
      <c r="I693" t="n">
        <v>1</v>
      </c>
      <c r="J693" t="n">
        <v>0</v>
      </c>
      <c r="K693" t="n">
        <v>0</v>
      </c>
      <c r="L693" t="n">
        <v>0</v>
      </c>
      <c r="M693" t="n">
        <v>0</v>
      </c>
      <c r="N693" t="n">
        <v>0</v>
      </c>
      <c r="O693" t="n">
        <v>0</v>
      </c>
      <c r="P693" t="n">
        <v>0</v>
      </c>
      <c r="Q693" t="n">
        <v>1</v>
      </c>
      <c r="R693" s="2" t="inlineStr">
        <is>
          <t>Underviol</t>
        </is>
      </c>
      <c r="S693">
        <f>HYPERLINK("https://klasma.github.io/Logging_0861/artfynd/A 41664-2019 artfynd.xlsx", "A 41664-2019")</f>
        <v/>
      </c>
      <c r="T693">
        <f>HYPERLINK("https://klasma.github.io/Logging_0861/kartor/A 41664-2019 karta.png", "A 41664-2019")</f>
        <v/>
      </c>
      <c r="V693">
        <f>HYPERLINK("https://klasma.github.io/Logging_0861/klagomål/A 41664-2019 FSC-klagomål.docx", "A 41664-2019")</f>
        <v/>
      </c>
      <c r="W693">
        <f>HYPERLINK("https://klasma.github.io/Logging_0861/klagomålsmail/A 41664-2019 FSC-klagomål mail.docx", "A 41664-2019")</f>
        <v/>
      </c>
      <c r="X693">
        <f>HYPERLINK("https://klasma.github.io/Logging_0861/tillsyn/A 41664-2019 tillsynsbegäran.docx", "A 41664-2019")</f>
        <v/>
      </c>
      <c r="Y693">
        <f>HYPERLINK("https://klasma.github.io/Logging_0861/tillsynsmail/A 41664-2019 tillsynsbegäran mail.docx", "A 41664-2019")</f>
        <v/>
      </c>
    </row>
    <row r="694" ht="15" customHeight="1">
      <c r="A694" t="inlineStr">
        <is>
          <t>A 42104-2019</t>
        </is>
      </c>
      <c r="B694" s="1" t="n">
        <v>43702</v>
      </c>
      <c r="C694" s="1" t="n">
        <v>45715</v>
      </c>
      <c r="D694" t="inlineStr">
        <is>
          <t>KALMAR LÄN</t>
        </is>
      </c>
      <c r="E694" t="inlineStr">
        <is>
          <t>HULTSFRED</t>
        </is>
      </c>
      <c r="G694" t="n">
        <v>29.4</v>
      </c>
      <c r="H694" t="n">
        <v>0</v>
      </c>
      <c r="I694" t="n">
        <v>1</v>
      </c>
      <c r="J694" t="n">
        <v>0</v>
      </c>
      <c r="K694" t="n">
        <v>0</v>
      </c>
      <c r="L694" t="n">
        <v>0</v>
      </c>
      <c r="M694" t="n">
        <v>0</v>
      </c>
      <c r="N694" t="n">
        <v>0</v>
      </c>
      <c r="O694" t="n">
        <v>0</v>
      </c>
      <c r="P694" t="n">
        <v>0</v>
      </c>
      <c r="Q694" t="n">
        <v>1</v>
      </c>
      <c r="R694" s="2" t="inlineStr">
        <is>
          <t>Murgröna</t>
        </is>
      </c>
      <c r="S694">
        <f>HYPERLINK("https://klasma.github.io/Logging_0860/artfynd/A 42104-2019 artfynd.xlsx", "A 42104-2019")</f>
        <v/>
      </c>
      <c r="T694">
        <f>HYPERLINK("https://klasma.github.io/Logging_0860/kartor/A 42104-2019 karta.png", "A 42104-2019")</f>
        <v/>
      </c>
      <c r="V694">
        <f>HYPERLINK("https://klasma.github.io/Logging_0860/klagomål/A 42104-2019 FSC-klagomål.docx", "A 42104-2019")</f>
        <v/>
      </c>
      <c r="W694">
        <f>HYPERLINK("https://klasma.github.io/Logging_0860/klagomålsmail/A 42104-2019 FSC-klagomål mail.docx", "A 42104-2019")</f>
        <v/>
      </c>
      <c r="X694">
        <f>HYPERLINK("https://klasma.github.io/Logging_0860/tillsyn/A 42104-2019 tillsynsbegäran.docx", "A 42104-2019")</f>
        <v/>
      </c>
      <c r="Y694">
        <f>HYPERLINK("https://klasma.github.io/Logging_0860/tillsynsmail/A 42104-2019 tillsynsbegäran mail.docx", "A 42104-2019")</f>
        <v/>
      </c>
    </row>
    <row r="695" ht="15" customHeight="1">
      <c r="A695" t="inlineStr">
        <is>
          <t>A 42211-2019</t>
        </is>
      </c>
      <c r="B695" s="1" t="n">
        <v>43703</v>
      </c>
      <c r="C695" s="1" t="n">
        <v>45715</v>
      </c>
      <c r="D695" t="inlineStr">
        <is>
          <t>KALMAR LÄN</t>
        </is>
      </c>
      <c r="E695" t="inlineStr">
        <is>
          <t>TORSÅS</t>
        </is>
      </c>
      <c r="G695" t="n">
        <v>2.3</v>
      </c>
      <c r="H695" t="n">
        <v>0</v>
      </c>
      <c r="I695" t="n">
        <v>0</v>
      </c>
      <c r="J695" t="n">
        <v>0</v>
      </c>
      <c r="K695" t="n">
        <v>0</v>
      </c>
      <c r="L695" t="n">
        <v>0</v>
      </c>
      <c r="M695" t="n">
        <v>0</v>
      </c>
      <c r="N695" t="n">
        <v>1</v>
      </c>
      <c r="O695" t="n">
        <v>1</v>
      </c>
      <c r="P695" t="n">
        <v>0</v>
      </c>
      <c r="Q695" t="n">
        <v>1</v>
      </c>
      <c r="R695" s="2" t="inlineStr">
        <is>
          <t>Pimpinellros</t>
        </is>
      </c>
      <c r="S695">
        <f>HYPERLINK("https://klasma.github.io/Logging_0834/artfynd/A 42211-2019 artfynd.xlsx", "A 42211-2019")</f>
        <v/>
      </c>
      <c r="T695">
        <f>HYPERLINK("https://klasma.github.io/Logging_0834/kartor/A 42211-2019 karta.png", "A 42211-2019")</f>
        <v/>
      </c>
      <c r="V695">
        <f>HYPERLINK("https://klasma.github.io/Logging_0834/klagomål/A 42211-2019 FSC-klagomål.docx", "A 42211-2019")</f>
        <v/>
      </c>
      <c r="W695">
        <f>HYPERLINK("https://klasma.github.io/Logging_0834/klagomålsmail/A 42211-2019 FSC-klagomål mail.docx", "A 42211-2019")</f>
        <v/>
      </c>
      <c r="X695">
        <f>HYPERLINK("https://klasma.github.io/Logging_0834/tillsyn/A 42211-2019 tillsynsbegäran.docx", "A 42211-2019")</f>
        <v/>
      </c>
      <c r="Y695">
        <f>HYPERLINK("https://klasma.github.io/Logging_0834/tillsynsmail/A 42211-2019 tillsynsbegäran mail.docx", "A 42211-2019")</f>
        <v/>
      </c>
    </row>
    <row r="696" ht="15" customHeight="1">
      <c r="A696" t="inlineStr">
        <is>
          <t>A 42206-2019</t>
        </is>
      </c>
      <c r="B696" s="1" t="n">
        <v>43703</v>
      </c>
      <c r="C696" s="1" t="n">
        <v>45715</v>
      </c>
      <c r="D696" t="inlineStr">
        <is>
          <t>KALMAR LÄN</t>
        </is>
      </c>
      <c r="E696" t="inlineStr">
        <is>
          <t>TORSÅS</t>
        </is>
      </c>
      <c r="G696" t="n">
        <v>13.3</v>
      </c>
      <c r="H696" t="n">
        <v>1</v>
      </c>
      <c r="I696" t="n">
        <v>0</v>
      </c>
      <c r="J696" t="n">
        <v>0</v>
      </c>
      <c r="K696" t="n">
        <v>0</v>
      </c>
      <c r="L696" t="n">
        <v>0</v>
      </c>
      <c r="M696" t="n">
        <v>0</v>
      </c>
      <c r="N696" t="n">
        <v>0</v>
      </c>
      <c r="O696" t="n">
        <v>0</v>
      </c>
      <c r="P696" t="n">
        <v>0</v>
      </c>
      <c r="Q696" t="n">
        <v>1</v>
      </c>
      <c r="R696" s="2" t="inlineStr">
        <is>
          <t>Hasselmus</t>
        </is>
      </c>
      <c r="S696">
        <f>HYPERLINK("https://klasma.github.io/Logging_0834/artfynd/A 42206-2019 artfynd.xlsx", "A 42206-2019")</f>
        <v/>
      </c>
      <c r="T696">
        <f>HYPERLINK("https://klasma.github.io/Logging_0834/kartor/A 42206-2019 karta.png", "A 42206-2019")</f>
        <v/>
      </c>
      <c r="V696">
        <f>HYPERLINK("https://klasma.github.io/Logging_0834/klagomål/A 42206-2019 FSC-klagomål.docx", "A 42206-2019")</f>
        <v/>
      </c>
      <c r="W696">
        <f>HYPERLINK("https://klasma.github.io/Logging_0834/klagomålsmail/A 42206-2019 FSC-klagomål mail.docx", "A 42206-2019")</f>
        <v/>
      </c>
      <c r="X696">
        <f>HYPERLINK("https://klasma.github.io/Logging_0834/tillsyn/A 42206-2019 tillsynsbegäran.docx", "A 42206-2019")</f>
        <v/>
      </c>
      <c r="Y696">
        <f>HYPERLINK("https://klasma.github.io/Logging_0834/tillsynsmail/A 42206-2019 tillsynsbegäran mail.docx", "A 42206-2019")</f>
        <v/>
      </c>
    </row>
    <row r="697" ht="15" customHeight="1">
      <c r="A697" t="inlineStr">
        <is>
          <t>A 43503-2019</t>
        </is>
      </c>
      <c r="B697" s="1" t="n">
        <v>43706</v>
      </c>
      <c r="C697" s="1" t="n">
        <v>45715</v>
      </c>
      <c r="D697" t="inlineStr">
        <is>
          <t>KALMAR LÄN</t>
        </is>
      </c>
      <c r="E697" t="inlineStr">
        <is>
          <t>MÖNSTERÅS</t>
        </is>
      </c>
      <c r="G697" t="n">
        <v>7.5</v>
      </c>
      <c r="H697" t="n">
        <v>0</v>
      </c>
      <c r="I697" t="n">
        <v>0</v>
      </c>
      <c r="J697" t="n">
        <v>1</v>
      </c>
      <c r="K697" t="n">
        <v>0</v>
      </c>
      <c r="L697" t="n">
        <v>0</v>
      </c>
      <c r="M697" t="n">
        <v>0</v>
      </c>
      <c r="N697" t="n">
        <v>0</v>
      </c>
      <c r="O697" t="n">
        <v>1</v>
      </c>
      <c r="P697" t="n">
        <v>0</v>
      </c>
      <c r="Q697" t="n">
        <v>1</v>
      </c>
      <c r="R697" s="2" t="inlineStr">
        <is>
          <t>Ekgetingbock</t>
        </is>
      </c>
      <c r="S697">
        <f>HYPERLINK("https://klasma.github.io/Logging_0861/artfynd/A 43503-2019 artfynd.xlsx", "A 43503-2019")</f>
        <v/>
      </c>
      <c r="T697">
        <f>HYPERLINK("https://klasma.github.io/Logging_0861/kartor/A 43503-2019 karta.png", "A 43503-2019")</f>
        <v/>
      </c>
      <c r="V697">
        <f>HYPERLINK("https://klasma.github.io/Logging_0861/klagomål/A 43503-2019 FSC-klagomål.docx", "A 43503-2019")</f>
        <v/>
      </c>
      <c r="W697">
        <f>HYPERLINK("https://klasma.github.io/Logging_0861/klagomålsmail/A 43503-2019 FSC-klagomål mail.docx", "A 43503-2019")</f>
        <v/>
      </c>
      <c r="X697">
        <f>HYPERLINK("https://klasma.github.io/Logging_0861/tillsyn/A 43503-2019 tillsynsbegäran.docx", "A 43503-2019")</f>
        <v/>
      </c>
      <c r="Y697">
        <f>HYPERLINK("https://klasma.github.io/Logging_0861/tillsynsmail/A 43503-2019 tillsynsbegäran mail.docx", "A 43503-2019")</f>
        <v/>
      </c>
    </row>
    <row r="698" ht="15" customHeight="1">
      <c r="A698" t="inlineStr">
        <is>
          <t>A 45720-2019</t>
        </is>
      </c>
      <c r="B698" s="1" t="n">
        <v>43717</v>
      </c>
      <c r="C698" s="1" t="n">
        <v>45715</v>
      </c>
      <c r="D698" t="inlineStr">
        <is>
          <t>KALMAR LÄN</t>
        </is>
      </c>
      <c r="E698" t="inlineStr">
        <is>
          <t>KALMAR</t>
        </is>
      </c>
      <c r="G698" t="n">
        <v>7.1</v>
      </c>
      <c r="H698" t="n">
        <v>1</v>
      </c>
      <c r="I698" t="n">
        <v>0</v>
      </c>
      <c r="J698" t="n">
        <v>0</v>
      </c>
      <c r="K698" t="n">
        <v>0</v>
      </c>
      <c r="L698" t="n">
        <v>0</v>
      </c>
      <c r="M698" t="n">
        <v>0</v>
      </c>
      <c r="N698" t="n">
        <v>0</v>
      </c>
      <c r="O698" t="n">
        <v>0</v>
      </c>
      <c r="P698" t="n">
        <v>0</v>
      </c>
      <c r="Q698" t="n">
        <v>1</v>
      </c>
      <c r="R698" s="2" t="inlineStr">
        <is>
          <t>Nattskärra</t>
        </is>
      </c>
      <c r="S698">
        <f>HYPERLINK("https://klasma.github.io/Logging_0880/artfynd/A 45720-2019 artfynd.xlsx", "A 45720-2019")</f>
        <v/>
      </c>
      <c r="T698">
        <f>HYPERLINK("https://klasma.github.io/Logging_0880/kartor/A 45720-2019 karta.png", "A 45720-2019")</f>
        <v/>
      </c>
      <c r="V698">
        <f>HYPERLINK("https://klasma.github.io/Logging_0880/klagomål/A 45720-2019 FSC-klagomål.docx", "A 45720-2019")</f>
        <v/>
      </c>
      <c r="W698">
        <f>HYPERLINK("https://klasma.github.io/Logging_0880/klagomålsmail/A 45720-2019 FSC-klagomål mail.docx", "A 45720-2019")</f>
        <v/>
      </c>
      <c r="X698">
        <f>HYPERLINK("https://klasma.github.io/Logging_0880/tillsyn/A 45720-2019 tillsynsbegäran.docx", "A 45720-2019")</f>
        <v/>
      </c>
      <c r="Y698">
        <f>HYPERLINK("https://klasma.github.io/Logging_0880/tillsynsmail/A 45720-2019 tillsynsbegäran mail.docx", "A 45720-2019")</f>
        <v/>
      </c>
      <c r="Z698">
        <f>HYPERLINK("https://klasma.github.io/Logging_0880/fåglar/A 45720-2019 prioriterade fågelarter.docx", "A 45720-2019")</f>
        <v/>
      </c>
    </row>
    <row r="699" ht="15" customHeight="1">
      <c r="A699" t="inlineStr">
        <is>
          <t>A 47710-2019</t>
        </is>
      </c>
      <c r="B699" s="1" t="n">
        <v>43724</v>
      </c>
      <c r="C699" s="1" t="n">
        <v>45715</v>
      </c>
      <c r="D699" t="inlineStr">
        <is>
          <t>KALMAR LÄN</t>
        </is>
      </c>
      <c r="E699" t="inlineStr">
        <is>
          <t>TORSÅS</t>
        </is>
      </c>
      <c r="G699" t="n">
        <v>8.9</v>
      </c>
      <c r="H699" t="n">
        <v>1</v>
      </c>
      <c r="I699" t="n">
        <v>0</v>
      </c>
      <c r="J699" t="n">
        <v>0</v>
      </c>
      <c r="K699" t="n">
        <v>0</v>
      </c>
      <c r="L699" t="n">
        <v>0</v>
      </c>
      <c r="M699" t="n">
        <v>0</v>
      </c>
      <c r="N699" t="n">
        <v>0</v>
      </c>
      <c r="O699" t="n">
        <v>0</v>
      </c>
      <c r="P699" t="n">
        <v>0</v>
      </c>
      <c r="Q699" t="n">
        <v>1</v>
      </c>
      <c r="R699" s="2" t="inlineStr">
        <is>
          <t>Gullviva</t>
        </is>
      </c>
      <c r="S699">
        <f>HYPERLINK("https://klasma.github.io/Logging_0834/artfynd/A 47710-2019 artfynd.xlsx", "A 47710-2019")</f>
        <v/>
      </c>
      <c r="T699">
        <f>HYPERLINK("https://klasma.github.io/Logging_0834/kartor/A 47710-2019 karta.png", "A 47710-2019")</f>
        <v/>
      </c>
      <c r="V699">
        <f>HYPERLINK("https://klasma.github.io/Logging_0834/klagomål/A 47710-2019 FSC-klagomål.docx", "A 47710-2019")</f>
        <v/>
      </c>
      <c r="W699">
        <f>HYPERLINK("https://klasma.github.io/Logging_0834/klagomålsmail/A 47710-2019 FSC-klagomål mail.docx", "A 47710-2019")</f>
        <v/>
      </c>
      <c r="X699">
        <f>HYPERLINK("https://klasma.github.io/Logging_0834/tillsyn/A 47710-2019 tillsynsbegäran.docx", "A 47710-2019")</f>
        <v/>
      </c>
      <c r="Y699">
        <f>HYPERLINK("https://klasma.github.io/Logging_0834/tillsynsmail/A 47710-2019 tillsynsbegäran mail.docx", "A 47710-2019")</f>
        <v/>
      </c>
    </row>
    <row r="700" ht="15" customHeight="1">
      <c r="A700" t="inlineStr">
        <is>
          <t>A 48001-2019</t>
        </is>
      </c>
      <c r="B700" s="1" t="n">
        <v>43725</v>
      </c>
      <c r="C700" s="1" t="n">
        <v>45715</v>
      </c>
      <c r="D700" t="inlineStr">
        <is>
          <t>KALMAR LÄN</t>
        </is>
      </c>
      <c r="E700" t="inlineStr">
        <is>
          <t>MÖRBYLÅNGA</t>
        </is>
      </c>
      <c r="G700" t="n">
        <v>2.6</v>
      </c>
      <c r="H700" t="n">
        <v>0</v>
      </c>
      <c r="I700" t="n">
        <v>1</v>
      </c>
      <c r="J700" t="n">
        <v>0</v>
      </c>
      <c r="K700" t="n">
        <v>0</v>
      </c>
      <c r="L700" t="n">
        <v>0</v>
      </c>
      <c r="M700" t="n">
        <v>0</v>
      </c>
      <c r="N700" t="n">
        <v>0</v>
      </c>
      <c r="O700" t="n">
        <v>0</v>
      </c>
      <c r="P700" t="n">
        <v>0</v>
      </c>
      <c r="Q700" t="n">
        <v>1</v>
      </c>
      <c r="R700" s="2" t="inlineStr">
        <is>
          <t>Murgröna</t>
        </is>
      </c>
      <c r="S700">
        <f>HYPERLINK("https://klasma.github.io/Logging_0840/artfynd/A 48001-2019 artfynd.xlsx", "A 48001-2019")</f>
        <v/>
      </c>
      <c r="T700">
        <f>HYPERLINK("https://klasma.github.io/Logging_0840/kartor/A 48001-2019 karta.png", "A 48001-2019")</f>
        <v/>
      </c>
      <c r="V700">
        <f>HYPERLINK("https://klasma.github.io/Logging_0840/klagomål/A 48001-2019 FSC-klagomål.docx", "A 48001-2019")</f>
        <v/>
      </c>
      <c r="W700">
        <f>HYPERLINK("https://klasma.github.io/Logging_0840/klagomålsmail/A 48001-2019 FSC-klagomål mail.docx", "A 48001-2019")</f>
        <v/>
      </c>
      <c r="X700">
        <f>HYPERLINK("https://klasma.github.io/Logging_0840/tillsyn/A 48001-2019 tillsynsbegäran.docx", "A 48001-2019")</f>
        <v/>
      </c>
      <c r="Y700">
        <f>HYPERLINK("https://klasma.github.io/Logging_0840/tillsynsmail/A 48001-2019 tillsynsbegäran mail.docx", "A 48001-2019")</f>
        <v/>
      </c>
    </row>
    <row r="701" ht="15" customHeight="1">
      <c r="A701" t="inlineStr">
        <is>
          <t>A 49015-2019</t>
        </is>
      </c>
      <c r="B701" s="1" t="n">
        <v>43731</v>
      </c>
      <c r="C701" s="1" t="n">
        <v>45715</v>
      </c>
      <c r="D701" t="inlineStr">
        <is>
          <t>KALMAR LÄN</t>
        </is>
      </c>
      <c r="E701" t="inlineStr">
        <is>
          <t>KALMAR</t>
        </is>
      </c>
      <c r="G701" t="n">
        <v>0.5</v>
      </c>
      <c r="H701" t="n">
        <v>1</v>
      </c>
      <c r="I701" t="n">
        <v>0</v>
      </c>
      <c r="J701" t="n">
        <v>0</v>
      </c>
      <c r="K701" t="n">
        <v>1</v>
      </c>
      <c r="L701" t="n">
        <v>0</v>
      </c>
      <c r="M701" t="n">
        <v>0</v>
      </c>
      <c r="N701" t="n">
        <v>0</v>
      </c>
      <c r="O701" t="n">
        <v>1</v>
      </c>
      <c r="P701" t="n">
        <v>1</v>
      </c>
      <c r="Q701" t="n">
        <v>1</v>
      </c>
      <c r="R701" s="2" t="inlineStr">
        <is>
          <t>Knärot</t>
        </is>
      </c>
      <c r="S701">
        <f>HYPERLINK("https://klasma.github.io/Logging_0880/artfynd/A 49015-2019 artfynd.xlsx", "A 49015-2019")</f>
        <v/>
      </c>
      <c r="T701">
        <f>HYPERLINK("https://klasma.github.io/Logging_0880/kartor/A 49015-2019 karta.png", "A 49015-2019")</f>
        <v/>
      </c>
      <c r="U701">
        <f>HYPERLINK("https://klasma.github.io/Logging_0880/knärot/A 49015-2019 karta knärot.png", "A 49015-2019")</f>
        <v/>
      </c>
      <c r="V701">
        <f>HYPERLINK("https://klasma.github.io/Logging_0880/klagomål/A 49015-2019 FSC-klagomål.docx", "A 49015-2019")</f>
        <v/>
      </c>
      <c r="W701">
        <f>HYPERLINK("https://klasma.github.io/Logging_0880/klagomålsmail/A 49015-2019 FSC-klagomål mail.docx", "A 49015-2019")</f>
        <v/>
      </c>
      <c r="X701">
        <f>HYPERLINK("https://klasma.github.io/Logging_0880/tillsyn/A 49015-2019 tillsynsbegäran.docx", "A 49015-2019")</f>
        <v/>
      </c>
      <c r="Y701">
        <f>HYPERLINK("https://klasma.github.io/Logging_0880/tillsynsmail/A 49015-2019 tillsynsbegäran mail.docx", "A 49015-2019")</f>
        <v/>
      </c>
    </row>
    <row r="702" ht="15" customHeight="1">
      <c r="A702" t="inlineStr">
        <is>
          <t>A 50067-2019</t>
        </is>
      </c>
      <c r="B702" s="1" t="n">
        <v>43734</v>
      </c>
      <c r="C702" s="1" t="n">
        <v>45715</v>
      </c>
      <c r="D702" t="inlineStr">
        <is>
          <t>KALMAR LÄN</t>
        </is>
      </c>
      <c r="E702" t="inlineStr">
        <is>
          <t>KALMAR</t>
        </is>
      </c>
      <c r="G702" t="n">
        <v>4</v>
      </c>
      <c r="H702" t="n">
        <v>0</v>
      </c>
      <c r="I702" t="n">
        <v>1</v>
      </c>
      <c r="J702" t="n">
        <v>0</v>
      </c>
      <c r="K702" t="n">
        <v>0</v>
      </c>
      <c r="L702" t="n">
        <v>0</v>
      </c>
      <c r="M702" t="n">
        <v>0</v>
      </c>
      <c r="N702" t="n">
        <v>0</v>
      </c>
      <c r="O702" t="n">
        <v>0</v>
      </c>
      <c r="P702" t="n">
        <v>0</v>
      </c>
      <c r="Q702" t="n">
        <v>1</v>
      </c>
      <c r="R702" s="2" t="inlineStr">
        <is>
          <t>Murgröna</t>
        </is>
      </c>
      <c r="S702">
        <f>HYPERLINK("https://klasma.github.io/Logging_0880/artfynd/A 50067-2019 artfynd.xlsx", "A 50067-2019")</f>
        <v/>
      </c>
      <c r="T702">
        <f>HYPERLINK("https://klasma.github.io/Logging_0880/kartor/A 50067-2019 karta.png", "A 50067-2019")</f>
        <v/>
      </c>
      <c r="V702">
        <f>HYPERLINK("https://klasma.github.io/Logging_0880/klagomål/A 50067-2019 FSC-klagomål.docx", "A 50067-2019")</f>
        <v/>
      </c>
      <c r="W702">
        <f>HYPERLINK("https://klasma.github.io/Logging_0880/klagomålsmail/A 50067-2019 FSC-klagomål mail.docx", "A 50067-2019")</f>
        <v/>
      </c>
      <c r="X702">
        <f>HYPERLINK("https://klasma.github.io/Logging_0880/tillsyn/A 50067-2019 tillsynsbegäran.docx", "A 50067-2019")</f>
        <v/>
      </c>
      <c r="Y702">
        <f>HYPERLINK("https://klasma.github.io/Logging_0880/tillsynsmail/A 50067-2019 tillsynsbegäran mail.docx", "A 50067-2019")</f>
        <v/>
      </c>
    </row>
    <row r="703" ht="15" customHeight="1">
      <c r="A703" t="inlineStr">
        <is>
          <t>A 50161-2019</t>
        </is>
      </c>
      <c r="B703" s="1" t="n">
        <v>43734</v>
      </c>
      <c r="C703" s="1" t="n">
        <v>45715</v>
      </c>
      <c r="D703" t="inlineStr">
        <is>
          <t>KALMAR LÄN</t>
        </is>
      </c>
      <c r="E703" t="inlineStr">
        <is>
          <t>NYBRO</t>
        </is>
      </c>
      <c r="G703" t="n">
        <v>1.6</v>
      </c>
      <c r="H703" t="n">
        <v>1</v>
      </c>
      <c r="I703" t="n">
        <v>1</v>
      </c>
      <c r="J703" t="n">
        <v>0</v>
      </c>
      <c r="K703" t="n">
        <v>0</v>
      </c>
      <c r="L703" t="n">
        <v>0</v>
      </c>
      <c r="M703" t="n">
        <v>0</v>
      </c>
      <c r="N703" t="n">
        <v>0</v>
      </c>
      <c r="O703" t="n">
        <v>0</v>
      </c>
      <c r="P703" t="n">
        <v>0</v>
      </c>
      <c r="Q703" t="n">
        <v>1</v>
      </c>
      <c r="R703" s="2" t="inlineStr">
        <is>
          <t>Korallrot</t>
        </is>
      </c>
      <c r="S703">
        <f>HYPERLINK("https://klasma.github.io/Logging_0881/artfynd/A 50161-2019 artfynd.xlsx", "A 50161-2019")</f>
        <v/>
      </c>
      <c r="T703">
        <f>HYPERLINK("https://klasma.github.io/Logging_0881/kartor/A 50161-2019 karta.png", "A 50161-2019")</f>
        <v/>
      </c>
      <c r="V703">
        <f>HYPERLINK("https://klasma.github.io/Logging_0881/klagomål/A 50161-2019 FSC-klagomål.docx", "A 50161-2019")</f>
        <v/>
      </c>
      <c r="W703">
        <f>HYPERLINK("https://klasma.github.io/Logging_0881/klagomålsmail/A 50161-2019 FSC-klagomål mail.docx", "A 50161-2019")</f>
        <v/>
      </c>
      <c r="X703">
        <f>HYPERLINK("https://klasma.github.io/Logging_0881/tillsyn/A 50161-2019 tillsynsbegäran.docx", "A 50161-2019")</f>
        <v/>
      </c>
      <c r="Y703">
        <f>HYPERLINK("https://klasma.github.io/Logging_0881/tillsynsmail/A 50161-2019 tillsynsbegäran mail.docx", "A 50161-2019")</f>
        <v/>
      </c>
    </row>
    <row r="704" ht="15" customHeight="1">
      <c r="A704" t="inlineStr">
        <is>
          <t>A 50457-2019</t>
        </is>
      </c>
      <c r="B704" s="1" t="n">
        <v>43735</v>
      </c>
      <c r="C704" s="1" t="n">
        <v>45715</v>
      </c>
      <c r="D704" t="inlineStr">
        <is>
          <t>KALMAR LÄN</t>
        </is>
      </c>
      <c r="E704" t="inlineStr">
        <is>
          <t>HÖGSBY</t>
        </is>
      </c>
      <c r="G704" t="n">
        <v>11.9</v>
      </c>
      <c r="H704" t="n">
        <v>1</v>
      </c>
      <c r="I704" t="n">
        <v>0</v>
      </c>
      <c r="J704" t="n">
        <v>0</v>
      </c>
      <c r="K704" t="n">
        <v>0</v>
      </c>
      <c r="L704" t="n">
        <v>0</v>
      </c>
      <c r="M704" t="n">
        <v>0</v>
      </c>
      <c r="N704" t="n">
        <v>0</v>
      </c>
      <c r="O704" t="n">
        <v>0</v>
      </c>
      <c r="P704" t="n">
        <v>0</v>
      </c>
      <c r="Q704" t="n">
        <v>1</v>
      </c>
      <c r="R704" s="2" t="inlineStr">
        <is>
          <t>Blåsippa</t>
        </is>
      </c>
      <c r="S704">
        <f>HYPERLINK("https://klasma.github.io/Logging_0821/artfynd/A 50457-2019 artfynd.xlsx", "A 50457-2019")</f>
        <v/>
      </c>
      <c r="T704">
        <f>HYPERLINK("https://klasma.github.io/Logging_0821/kartor/A 50457-2019 karta.png", "A 50457-2019")</f>
        <v/>
      </c>
      <c r="U704">
        <f>HYPERLINK("https://klasma.github.io/Logging_0821/knärot/A 50457-2019 karta knärot.png", "A 50457-2019")</f>
        <v/>
      </c>
      <c r="V704">
        <f>HYPERLINK("https://klasma.github.io/Logging_0821/klagomål/A 50457-2019 FSC-klagomål.docx", "A 50457-2019")</f>
        <v/>
      </c>
      <c r="W704">
        <f>HYPERLINK("https://klasma.github.io/Logging_0821/klagomålsmail/A 50457-2019 FSC-klagomål mail.docx", "A 50457-2019")</f>
        <v/>
      </c>
      <c r="X704">
        <f>HYPERLINK("https://klasma.github.io/Logging_0821/tillsyn/A 50457-2019 tillsynsbegäran.docx", "A 50457-2019")</f>
        <v/>
      </c>
      <c r="Y704">
        <f>HYPERLINK("https://klasma.github.io/Logging_0821/tillsynsmail/A 50457-2019 tillsynsbegäran mail.docx", "A 50457-2019")</f>
        <v/>
      </c>
    </row>
    <row r="705" ht="15" customHeight="1">
      <c r="A705" t="inlineStr">
        <is>
          <t>A 51735-2019</t>
        </is>
      </c>
      <c r="B705" s="1" t="n">
        <v>43740</v>
      </c>
      <c r="C705" s="1" t="n">
        <v>45715</v>
      </c>
      <c r="D705" t="inlineStr">
        <is>
          <t>KALMAR LÄN</t>
        </is>
      </c>
      <c r="E705" t="inlineStr">
        <is>
          <t>NYBRO</t>
        </is>
      </c>
      <c r="F705" t="inlineStr">
        <is>
          <t>Kyrkan</t>
        </is>
      </c>
      <c r="G705" t="n">
        <v>2.9</v>
      </c>
      <c r="H705" t="n">
        <v>1</v>
      </c>
      <c r="I705" t="n">
        <v>0</v>
      </c>
      <c r="J705" t="n">
        <v>1</v>
      </c>
      <c r="K705" t="n">
        <v>0</v>
      </c>
      <c r="L705" t="n">
        <v>0</v>
      </c>
      <c r="M705" t="n">
        <v>0</v>
      </c>
      <c r="N705" t="n">
        <v>0</v>
      </c>
      <c r="O705" t="n">
        <v>1</v>
      </c>
      <c r="P705" t="n">
        <v>0</v>
      </c>
      <c r="Q705" t="n">
        <v>1</v>
      </c>
      <c r="R705" s="2" t="inlineStr">
        <is>
          <t>Havsörn</t>
        </is>
      </c>
      <c r="S705">
        <f>HYPERLINK("https://klasma.github.io/Logging_0881/artfynd/A 51735-2019 artfynd.xlsx", "A 51735-2019")</f>
        <v/>
      </c>
      <c r="T705">
        <f>HYPERLINK("https://klasma.github.io/Logging_0881/kartor/A 51735-2019 karta.png", "A 51735-2019")</f>
        <v/>
      </c>
      <c r="V705">
        <f>HYPERLINK("https://klasma.github.io/Logging_0881/klagomål/A 51735-2019 FSC-klagomål.docx", "A 51735-2019")</f>
        <v/>
      </c>
      <c r="W705">
        <f>HYPERLINK("https://klasma.github.io/Logging_0881/klagomålsmail/A 51735-2019 FSC-klagomål mail.docx", "A 51735-2019")</f>
        <v/>
      </c>
      <c r="X705">
        <f>HYPERLINK("https://klasma.github.io/Logging_0881/tillsyn/A 51735-2019 tillsynsbegäran.docx", "A 51735-2019")</f>
        <v/>
      </c>
      <c r="Y705">
        <f>HYPERLINK("https://klasma.github.io/Logging_0881/tillsynsmail/A 51735-2019 tillsynsbegäran mail.docx", "A 51735-2019")</f>
        <v/>
      </c>
      <c r="Z705">
        <f>HYPERLINK("https://klasma.github.io/Logging_0881/fåglar/A 51735-2019 prioriterade fågelarter.docx", "A 51735-2019")</f>
        <v/>
      </c>
    </row>
    <row r="706" ht="15" customHeight="1">
      <c r="A706" t="inlineStr">
        <is>
          <t>A 52156-2019</t>
        </is>
      </c>
      <c r="B706" s="1" t="n">
        <v>43742</v>
      </c>
      <c r="C706" s="1" t="n">
        <v>45715</v>
      </c>
      <c r="D706" t="inlineStr">
        <is>
          <t>KALMAR LÄN</t>
        </is>
      </c>
      <c r="E706" t="inlineStr">
        <is>
          <t>VIMMERBY</t>
        </is>
      </c>
      <c r="G706" t="n">
        <v>3.7</v>
      </c>
      <c r="H706" t="n">
        <v>1</v>
      </c>
      <c r="I706" t="n">
        <v>0</v>
      </c>
      <c r="J706" t="n">
        <v>0</v>
      </c>
      <c r="K706" t="n">
        <v>0</v>
      </c>
      <c r="L706" t="n">
        <v>0</v>
      </c>
      <c r="M706" t="n">
        <v>0</v>
      </c>
      <c r="N706" t="n">
        <v>0</v>
      </c>
      <c r="O706" t="n">
        <v>0</v>
      </c>
      <c r="P706" t="n">
        <v>0</v>
      </c>
      <c r="Q706" t="n">
        <v>1</v>
      </c>
      <c r="R706" s="2" t="inlineStr">
        <is>
          <t>Blåsippa</t>
        </is>
      </c>
      <c r="S706">
        <f>HYPERLINK("https://klasma.github.io/Logging_0884/artfynd/A 52156-2019 artfynd.xlsx", "A 52156-2019")</f>
        <v/>
      </c>
      <c r="T706">
        <f>HYPERLINK("https://klasma.github.io/Logging_0884/kartor/A 52156-2019 karta.png", "A 52156-2019")</f>
        <v/>
      </c>
      <c r="U706">
        <f>HYPERLINK("https://klasma.github.io/Logging_0884/knärot/A 52156-2019 karta knärot.png", "A 52156-2019")</f>
        <v/>
      </c>
      <c r="V706">
        <f>HYPERLINK("https://klasma.github.io/Logging_0884/klagomål/A 52156-2019 FSC-klagomål.docx", "A 52156-2019")</f>
        <v/>
      </c>
      <c r="W706">
        <f>HYPERLINK("https://klasma.github.io/Logging_0884/klagomålsmail/A 52156-2019 FSC-klagomål mail.docx", "A 52156-2019")</f>
        <v/>
      </c>
      <c r="X706">
        <f>HYPERLINK("https://klasma.github.io/Logging_0884/tillsyn/A 52156-2019 tillsynsbegäran.docx", "A 52156-2019")</f>
        <v/>
      </c>
      <c r="Y706">
        <f>HYPERLINK("https://klasma.github.io/Logging_0884/tillsynsmail/A 52156-2019 tillsynsbegäran mail.docx", "A 52156-2019")</f>
        <v/>
      </c>
    </row>
    <row r="707" ht="15" customHeight="1">
      <c r="A707" t="inlineStr">
        <is>
          <t>A 57302-2019</t>
        </is>
      </c>
      <c r="B707" s="1" t="n">
        <v>43760</v>
      </c>
      <c r="C707" s="1" t="n">
        <v>45715</v>
      </c>
      <c r="D707" t="inlineStr">
        <is>
          <t>KALMAR LÄN</t>
        </is>
      </c>
      <c r="E707" t="inlineStr">
        <is>
          <t>MÖNSTERÅS</t>
        </is>
      </c>
      <c r="G707" t="n">
        <v>11.3</v>
      </c>
      <c r="H707" t="n">
        <v>0</v>
      </c>
      <c r="I707" t="n">
        <v>0</v>
      </c>
      <c r="J707" t="n">
        <v>1</v>
      </c>
      <c r="K707" t="n">
        <v>0</v>
      </c>
      <c r="L707" t="n">
        <v>0</v>
      </c>
      <c r="M707" t="n">
        <v>0</v>
      </c>
      <c r="N707" t="n">
        <v>0</v>
      </c>
      <c r="O707" t="n">
        <v>1</v>
      </c>
      <c r="P707" t="n">
        <v>0</v>
      </c>
      <c r="Q707" t="n">
        <v>1</v>
      </c>
      <c r="R707" s="2" t="inlineStr">
        <is>
          <t>Spetspraktbagge</t>
        </is>
      </c>
      <c r="S707">
        <f>HYPERLINK("https://klasma.github.io/Logging_0861/artfynd/A 57302-2019 artfynd.xlsx", "A 57302-2019")</f>
        <v/>
      </c>
      <c r="T707">
        <f>HYPERLINK("https://klasma.github.io/Logging_0861/kartor/A 57302-2019 karta.png", "A 57302-2019")</f>
        <v/>
      </c>
      <c r="V707">
        <f>HYPERLINK("https://klasma.github.io/Logging_0861/klagomål/A 57302-2019 FSC-klagomål.docx", "A 57302-2019")</f>
        <v/>
      </c>
      <c r="W707">
        <f>HYPERLINK("https://klasma.github.io/Logging_0861/klagomålsmail/A 57302-2019 FSC-klagomål mail.docx", "A 57302-2019")</f>
        <v/>
      </c>
      <c r="X707">
        <f>HYPERLINK("https://klasma.github.io/Logging_0861/tillsyn/A 57302-2019 tillsynsbegäran.docx", "A 57302-2019")</f>
        <v/>
      </c>
      <c r="Y707">
        <f>HYPERLINK("https://klasma.github.io/Logging_0861/tillsynsmail/A 57302-2019 tillsynsbegäran mail.docx", "A 57302-2019")</f>
        <v/>
      </c>
    </row>
    <row r="708" ht="15" customHeight="1">
      <c r="A708" t="inlineStr">
        <is>
          <t>A 57756-2019</t>
        </is>
      </c>
      <c r="B708" s="1" t="n">
        <v>43762</v>
      </c>
      <c r="C708" s="1" t="n">
        <v>45715</v>
      </c>
      <c r="D708" t="inlineStr">
        <is>
          <t>KALMAR LÄN</t>
        </is>
      </c>
      <c r="E708" t="inlineStr">
        <is>
          <t>BORGHOLM</t>
        </is>
      </c>
      <c r="G708" t="n">
        <v>3.3</v>
      </c>
      <c r="H708" t="n">
        <v>0</v>
      </c>
      <c r="I708" t="n">
        <v>0</v>
      </c>
      <c r="J708" t="n">
        <v>0</v>
      </c>
      <c r="K708" t="n">
        <v>0</v>
      </c>
      <c r="L708" t="n">
        <v>1</v>
      </c>
      <c r="M708" t="n">
        <v>0</v>
      </c>
      <c r="N708" t="n">
        <v>0</v>
      </c>
      <c r="O708" t="n">
        <v>1</v>
      </c>
      <c r="P708" t="n">
        <v>1</v>
      </c>
      <c r="Q708" t="n">
        <v>1</v>
      </c>
      <c r="R708" s="2" t="inlineStr">
        <is>
          <t>Ask</t>
        </is>
      </c>
      <c r="S708">
        <f>HYPERLINK("https://klasma.github.io/Logging_0885/artfynd/A 57756-2019 artfynd.xlsx", "A 57756-2019")</f>
        <v/>
      </c>
      <c r="T708">
        <f>HYPERLINK("https://klasma.github.io/Logging_0885/kartor/A 57756-2019 karta.png", "A 57756-2019")</f>
        <v/>
      </c>
      <c r="V708">
        <f>HYPERLINK("https://klasma.github.io/Logging_0885/klagomål/A 57756-2019 FSC-klagomål.docx", "A 57756-2019")</f>
        <v/>
      </c>
      <c r="W708">
        <f>HYPERLINK("https://klasma.github.io/Logging_0885/klagomålsmail/A 57756-2019 FSC-klagomål mail.docx", "A 57756-2019")</f>
        <v/>
      </c>
      <c r="X708">
        <f>HYPERLINK("https://klasma.github.io/Logging_0885/tillsyn/A 57756-2019 tillsynsbegäran.docx", "A 57756-2019")</f>
        <v/>
      </c>
      <c r="Y708">
        <f>HYPERLINK("https://klasma.github.io/Logging_0885/tillsynsmail/A 57756-2019 tillsynsbegäran mail.docx", "A 57756-2019")</f>
        <v/>
      </c>
    </row>
    <row r="709" ht="15" customHeight="1">
      <c r="A709" t="inlineStr">
        <is>
          <t>A 57165-2019</t>
        </is>
      </c>
      <c r="B709" s="1" t="n">
        <v>43766</v>
      </c>
      <c r="C709" s="1" t="n">
        <v>45715</v>
      </c>
      <c r="D709" t="inlineStr">
        <is>
          <t>KALMAR LÄN</t>
        </is>
      </c>
      <c r="E709" t="inlineStr">
        <is>
          <t>NYBRO</t>
        </is>
      </c>
      <c r="G709" t="n">
        <v>2.9</v>
      </c>
      <c r="H709" t="n">
        <v>1</v>
      </c>
      <c r="I709" t="n">
        <v>0</v>
      </c>
      <c r="J709" t="n">
        <v>0</v>
      </c>
      <c r="K709" t="n">
        <v>0</v>
      </c>
      <c r="L709" t="n">
        <v>0</v>
      </c>
      <c r="M709" t="n">
        <v>0</v>
      </c>
      <c r="N709" t="n">
        <v>0</v>
      </c>
      <c r="O709" t="n">
        <v>0</v>
      </c>
      <c r="P709" t="n">
        <v>0</v>
      </c>
      <c r="Q709" t="n">
        <v>1</v>
      </c>
      <c r="R709" s="2" t="inlineStr">
        <is>
          <t>Nattskärra</t>
        </is>
      </c>
      <c r="S709">
        <f>HYPERLINK("https://klasma.github.io/Logging_0881/artfynd/A 57165-2019 artfynd.xlsx", "A 57165-2019")</f>
        <v/>
      </c>
      <c r="T709">
        <f>HYPERLINK("https://klasma.github.io/Logging_0881/kartor/A 57165-2019 karta.png", "A 57165-2019")</f>
        <v/>
      </c>
      <c r="V709">
        <f>HYPERLINK("https://klasma.github.io/Logging_0881/klagomål/A 57165-2019 FSC-klagomål.docx", "A 57165-2019")</f>
        <v/>
      </c>
      <c r="W709">
        <f>HYPERLINK("https://klasma.github.io/Logging_0881/klagomålsmail/A 57165-2019 FSC-klagomål mail.docx", "A 57165-2019")</f>
        <v/>
      </c>
      <c r="X709">
        <f>HYPERLINK("https://klasma.github.io/Logging_0881/tillsyn/A 57165-2019 tillsynsbegäran.docx", "A 57165-2019")</f>
        <v/>
      </c>
      <c r="Y709">
        <f>HYPERLINK("https://klasma.github.io/Logging_0881/tillsynsmail/A 57165-2019 tillsynsbegäran mail.docx", "A 57165-2019")</f>
        <v/>
      </c>
      <c r="Z709">
        <f>HYPERLINK("https://klasma.github.io/Logging_0881/fåglar/A 57165-2019 prioriterade fågelarter.docx", "A 57165-2019")</f>
        <v/>
      </c>
    </row>
    <row r="710" ht="15" customHeight="1">
      <c r="A710" t="inlineStr">
        <is>
          <t>A 57390-2019</t>
        </is>
      </c>
      <c r="B710" s="1" t="n">
        <v>43767</v>
      </c>
      <c r="C710" s="1" t="n">
        <v>45715</v>
      </c>
      <c r="D710" t="inlineStr">
        <is>
          <t>KALMAR LÄN</t>
        </is>
      </c>
      <c r="E710" t="inlineStr">
        <is>
          <t>HÖGSBY</t>
        </is>
      </c>
      <c r="G710" t="n">
        <v>4.9</v>
      </c>
      <c r="H710" t="n">
        <v>1</v>
      </c>
      <c r="I710" t="n">
        <v>0</v>
      </c>
      <c r="J710" t="n">
        <v>0</v>
      </c>
      <c r="K710" t="n">
        <v>0</v>
      </c>
      <c r="L710" t="n">
        <v>0</v>
      </c>
      <c r="M710" t="n">
        <v>0</v>
      </c>
      <c r="N710" t="n">
        <v>0</v>
      </c>
      <c r="O710" t="n">
        <v>0</v>
      </c>
      <c r="P710" t="n">
        <v>0</v>
      </c>
      <c r="Q710" t="n">
        <v>1</v>
      </c>
      <c r="R710" s="2" t="inlineStr">
        <is>
          <t>Gullviva</t>
        </is>
      </c>
      <c r="S710">
        <f>HYPERLINK("https://klasma.github.io/Logging_0821/artfynd/A 57390-2019 artfynd.xlsx", "A 57390-2019")</f>
        <v/>
      </c>
      <c r="T710">
        <f>HYPERLINK("https://klasma.github.io/Logging_0821/kartor/A 57390-2019 karta.png", "A 57390-2019")</f>
        <v/>
      </c>
      <c r="V710">
        <f>HYPERLINK("https://klasma.github.io/Logging_0821/klagomål/A 57390-2019 FSC-klagomål.docx", "A 57390-2019")</f>
        <v/>
      </c>
      <c r="W710">
        <f>HYPERLINK("https://klasma.github.io/Logging_0821/klagomålsmail/A 57390-2019 FSC-klagomål mail.docx", "A 57390-2019")</f>
        <v/>
      </c>
      <c r="X710">
        <f>HYPERLINK("https://klasma.github.io/Logging_0821/tillsyn/A 57390-2019 tillsynsbegäran.docx", "A 57390-2019")</f>
        <v/>
      </c>
      <c r="Y710">
        <f>HYPERLINK("https://klasma.github.io/Logging_0821/tillsynsmail/A 57390-2019 tillsynsbegäran mail.docx", "A 57390-2019")</f>
        <v/>
      </c>
    </row>
    <row r="711" ht="15" customHeight="1">
      <c r="A711" t="inlineStr">
        <is>
          <t>A 58275-2019</t>
        </is>
      </c>
      <c r="B711" s="1" t="n">
        <v>43770</v>
      </c>
      <c r="C711" s="1" t="n">
        <v>45715</v>
      </c>
      <c r="D711" t="inlineStr">
        <is>
          <t>KALMAR LÄN</t>
        </is>
      </c>
      <c r="E711" t="inlineStr">
        <is>
          <t>BORGHOLM</t>
        </is>
      </c>
      <c r="G711" t="n">
        <v>3.8</v>
      </c>
      <c r="H711" t="n">
        <v>0</v>
      </c>
      <c r="I711" t="n">
        <v>0</v>
      </c>
      <c r="J711" t="n">
        <v>1</v>
      </c>
      <c r="K711" t="n">
        <v>0</v>
      </c>
      <c r="L711" t="n">
        <v>0</v>
      </c>
      <c r="M711" t="n">
        <v>0</v>
      </c>
      <c r="N711" t="n">
        <v>0</v>
      </c>
      <c r="O711" t="n">
        <v>1</v>
      </c>
      <c r="P711" t="n">
        <v>0</v>
      </c>
      <c r="Q711" t="n">
        <v>1</v>
      </c>
      <c r="R711" s="2" t="inlineStr">
        <is>
          <t>Stor sotdyna</t>
        </is>
      </c>
      <c r="S711">
        <f>HYPERLINK("https://klasma.github.io/Logging_0885/artfynd/A 58275-2019 artfynd.xlsx", "A 58275-2019")</f>
        <v/>
      </c>
      <c r="T711">
        <f>HYPERLINK("https://klasma.github.io/Logging_0885/kartor/A 58275-2019 karta.png", "A 58275-2019")</f>
        <v/>
      </c>
      <c r="V711">
        <f>HYPERLINK("https://klasma.github.io/Logging_0885/klagomål/A 58275-2019 FSC-klagomål.docx", "A 58275-2019")</f>
        <v/>
      </c>
      <c r="W711">
        <f>HYPERLINK("https://klasma.github.io/Logging_0885/klagomålsmail/A 58275-2019 FSC-klagomål mail.docx", "A 58275-2019")</f>
        <v/>
      </c>
      <c r="X711">
        <f>HYPERLINK("https://klasma.github.io/Logging_0885/tillsyn/A 58275-2019 tillsynsbegäran.docx", "A 58275-2019")</f>
        <v/>
      </c>
      <c r="Y711">
        <f>HYPERLINK("https://klasma.github.io/Logging_0885/tillsynsmail/A 58275-2019 tillsynsbegäran mail.docx", "A 58275-2019")</f>
        <v/>
      </c>
    </row>
    <row r="712" ht="15" customHeight="1">
      <c r="A712" t="inlineStr">
        <is>
          <t>A 59193-2019</t>
        </is>
      </c>
      <c r="B712" s="1" t="n">
        <v>43775</v>
      </c>
      <c r="C712" s="1" t="n">
        <v>45715</v>
      </c>
      <c r="D712" t="inlineStr">
        <is>
          <t>KALMAR LÄN</t>
        </is>
      </c>
      <c r="E712" t="inlineStr">
        <is>
          <t>VÄSTERVIK</t>
        </is>
      </c>
      <c r="G712" t="n">
        <v>3.8</v>
      </c>
      <c r="H712" t="n">
        <v>0</v>
      </c>
      <c r="I712" t="n">
        <v>0</v>
      </c>
      <c r="J712" t="n">
        <v>1</v>
      </c>
      <c r="K712" t="n">
        <v>0</v>
      </c>
      <c r="L712" t="n">
        <v>0</v>
      </c>
      <c r="M712" t="n">
        <v>0</v>
      </c>
      <c r="N712" t="n">
        <v>0</v>
      </c>
      <c r="O712" t="n">
        <v>1</v>
      </c>
      <c r="P712" t="n">
        <v>0</v>
      </c>
      <c r="Q712" t="n">
        <v>1</v>
      </c>
      <c r="R712" s="2" t="inlineStr">
        <is>
          <t>Åkerkulla</t>
        </is>
      </c>
      <c r="S712">
        <f>HYPERLINK("https://klasma.github.io/Logging_0883/artfynd/A 59193-2019 artfynd.xlsx", "A 59193-2019")</f>
        <v/>
      </c>
      <c r="T712">
        <f>HYPERLINK("https://klasma.github.io/Logging_0883/kartor/A 59193-2019 karta.png", "A 59193-2019")</f>
        <v/>
      </c>
      <c r="V712">
        <f>HYPERLINK("https://klasma.github.io/Logging_0883/klagomål/A 59193-2019 FSC-klagomål.docx", "A 59193-2019")</f>
        <v/>
      </c>
      <c r="W712">
        <f>HYPERLINK("https://klasma.github.io/Logging_0883/klagomålsmail/A 59193-2019 FSC-klagomål mail.docx", "A 59193-2019")</f>
        <v/>
      </c>
      <c r="X712">
        <f>HYPERLINK("https://klasma.github.io/Logging_0883/tillsyn/A 59193-2019 tillsynsbegäran.docx", "A 59193-2019")</f>
        <v/>
      </c>
      <c r="Y712">
        <f>HYPERLINK("https://klasma.github.io/Logging_0883/tillsynsmail/A 59193-2019 tillsynsbegäran mail.docx", "A 59193-2019")</f>
        <v/>
      </c>
    </row>
    <row r="713" ht="15" customHeight="1">
      <c r="A713" t="inlineStr">
        <is>
          <t>A 59630-2019</t>
        </is>
      </c>
      <c r="B713" s="1" t="n">
        <v>43776</v>
      </c>
      <c r="C713" s="1" t="n">
        <v>45715</v>
      </c>
      <c r="D713" t="inlineStr">
        <is>
          <t>KALMAR LÄN</t>
        </is>
      </c>
      <c r="E713" t="inlineStr">
        <is>
          <t>HULTSFRED</t>
        </is>
      </c>
      <c r="F713" t="inlineStr">
        <is>
          <t>Kyrkan</t>
        </is>
      </c>
      <c r="G713" t="n">
        <v>4.2</v>
      </c>
      <c r="H713" t="n">
        <v>0</v>
      </c>
      <c r="I713" t="n">
        <v>1</v>
      </c>
      <c r="J713" t="n">
        <v>0</v>
      </c>
      <c r="K713" t="n">
        <v>0</v>
      </c>
      <c r="L713" t="n">
        <v>0</v>
      </c>
      <c r="M713" t="n">
        <v>0</v>
      </c>
      <c r="N713" t="n">
        <v>0</v>
      </c>
      <c r="O713" t="n">
        <v>0</v>
      </c>
      <c r="P713" t="n">
        <v>0</v>
      </c>
      <c r="Q713" t="n">
        <v>1</v>
      </c>
      <c r="R713" s="2" t="inlineStr">
        <is>
          <t>Thomsons trägnagare</t>
        </is>
      </c>
      <c r="S713">
        <f>HYPERLINK("https://klasma.github.io/Logging_0860/artfynd/A 59630-2019 artfynd.xlsx", "A 59630-2019")</f>
        <v/>
      </c>
      <c r="T713">
        <f>HYPERLINK("https://klasma.github.io/Logging_0860/kartor/A 59630-2019 karta.png", "A 59630-2019")</f>
        <v/>
      </c>
      <c r="V713">
        <f>HYPERLINK("https://klasma.github.io/Logging_0860/klagomål/A 59630-2019 FSC-klagomål.docx", "A 59630-2019")</f>
        <v/>
      </c>
      <c r="W713">
        <f>HYPERLINK("https://klasma.github.io/Logging_0860/klagomålsmail/A 59630-2019 FSC-klagomål mail.docx", "A 59630-2019")</f>
        <v/>
      </c>
      <c r="X713">
        <f>HYPERLINK("https://klasma.github.io/Logging_0860/tillsyn/A 59630-2019 tillsynsbegäran.docx", "A 59630-2019")</f>
        <v/>
      </c>
      <c r="Y713">
        <f>HYPERLINK("https://klasma.github.io/Logging_0860/tillsynsmail/A 59630-2019 tillsynsbegäran mail.docx", "A 59630-2019")</f>
        <v/>
      </c>
    </row>
    <row r="714" ht="15" customHeight="1">
      <c r="A714" t="inlineStr">
        <is>
          <t>A 63075-2019</t>
        </is>
      </c>
      <c r="B714" s="1" t="n">
        <v>43790</v>
      </c>
      <c r="C714" s="1" t="n">
        <v>45715</v>
      </c>
      <c r="D714" t="inlineStr">
        <is>
          <t>KALMAR LÄN</t>
        </is>
      </c>
      <c r="E714" t="inlineStr">
        <is>
          <t>HÖGSBY</t>
        </is>
      </c>
      <c r="G714" t="n">
        <v>11.8</v>
      </c>
      <c r="H714" t="n">
        <v>0</v>
      </c>
      <c r="I714" t="n">
        <v>1</v>
      </c>
      <c r="J714" t="n">
        <v>0</v>
      </c>
      <c r="K714" t="n">
        <v>0</v>
      </c>
      <c r="L714" t="n">
        <v>0</v>
      </c>
      <c r="M714" t="n">
        <v>0</v>
      </c>
      <c r="N714" t="n">
        <v>0</v>
      </c>
      <c r="O714" t="n">
        <v>0</v>
      </c>
      <c r="P714" t="n">
        <v>0</v>
      </c>
      <c r="Q714" t="n">
        <v>1</v>
      </c>
      <c r="R714" s="2" t="inlineStr">
        <is>
          <t>Fällmossa</t>
        </is>
      </c>
      <c r="S714">
        <f>HYPERLINK("https://klasma.github.io/Logging_0821/artfynd/A 63075-2019 artfynd.xlsx", "A 63075-2019")</f>
        <v/>
      </c>
      <c r="T714">
        <f>HYPERLINK("https://klasma.github.io/Logging_0821/kartor/A 63075-2019 karta.png", "A 63075-2019")</f>
        <v/>
      </c>
      <c r="V714">
        <f>HYPERLINK("https://klasma.github.io/Logging_0821/klagomål/A 63075-2019 FSC-klagomål.docx", "A 63075-2019")</f>
        <v/>
      </c>
      <c r="W714">
        <f>HYPERLINK("https://klasma.github.io/Logging_0821/klagomålsmail/A 63075-2019 FSC-klagomål mail.docx", "A 63075-2019")</f>
        <v/>
      </c>
      <c r="X714">
        <f>HYPERLINK("https://klasma.github.io/Logging_0821/tillsyn/A 63075-2019 tillsynsbegäran.docx", "A 63075-2019")</f>
        <v/>
      </c>
      <c r="Y714">
        <f>HYPERLINK("https://klasma.github.io/Logging_0821/tillsynsmail/A 63075-2019 tillsynsbegäran mail.docx", "A 63075-2019")</f>
        <v/>
      </c>
    </row>
    <row r="715" ht="15" customHeight="1">
      <c r="A715" t="inlineStr">
        <is>
          <t>A 64121-2019</t>
        </is>
      </c>
      <c r="B715" s="1" t="n">
        <v>43796</v>
      </c>
      <c r="C715" s="1" t="n">
        <v>45715</v>
      </c>
      <c r="D715" t="inlineStr">
        <is>
          <t>KALMAR LÄN</t>
        </is>
      </c>
      <c r="E715" t="inlineStr">
        <is>
          <t>BORGHOLM</t>
        </is>
      </c>
      <c r="G715" t="n">
        <v>4</v>
      </c>
      <c r="H715" t="n">
        <v>0</v>
      </c>
      <c r="I715" t="n">
        <v>0</v>
      </c>
      <c r="J715" t="n">
        <v>0</v>
      </c>
      <c r="K715" t="n">
        <v>1</v>
      </c>
      <c r="L715" t="n">
        <v>0</v>
      </c>
      <c r="M715" t="n">
        <v>0</v>
      </c>
      <c r="N715" t="n">
        <v>0</v>
      </c>
      <c r="O715" t="n">
        <v>1</v>
      </c>
      <c r="P715" t="n">
        <v>1</v>
      </c>
      <c r="Q715" t="n">
        <v>1</v>
      </c>
      <c r="R715" s="2" t="inlineStr">
        <is>
          <t>Klosterlav</t>
        </is>
      </c>
      <c r="S715">
        <f>HYPERLINK("https://klasma.github.io/Logging_0885/artfynd/A 64121-2019 artfynd.xlsx", "A 64121-2019")</f>
        <v/>
      </c>
      <c r="T715">
        <f>HYPERLINK("https://klasma.github.io/Logging_0885/kartor/A 64121-2019 karta.png", "A 64121-2019")</f>
        <v/>
      </c>
      <c r="V715">
        <f>HYPERLINK("https://klasma.github.io/Logging_0885/klagomål/A 64121-2019 FSC-klagomål.docx", "A 64121-2019")</f>
        <v/>
      </c>
      <c r="W715">
        <f>HYPERLINK("https://klasma.github.io/Logging_0885/klagomålsmail/A 64121-2019 FSC-klagomål mail.docx", "A 64121-2019")</f>
        <v/>
      </c>
      <c r="X715">
        <f>HYPERLINK("https://klasma.github.io/Logging_0885/tillsyn/A 64121-2019 tillsynsbegäran.docx", "A 64121-2019")</f>
        <v/>
      </c>
      <c r="Y715">
        <f>HYPERLINK("https://klasma.github.io/Logging_0885/tillsynsmail/A 64121-2019 tillsynsbegäran mail.docx", "A 64121-2019")</f>
        <v/>
      </c>
    </row>
    <row r="716" ht="15" customHeight="1">
      <c r="A716" t="inlineStr">
        <is>
          <t>A 64120-2019</t>
        </is>
      </c>
      <c r="B716" s="1" t="n">
        <v>43796</v>
      </c>
      <c r="C716" s="1" t="n">
        <v>45715</v>
      </c>
      <c r="D716" t="inlineStr">
        <is>
          <t>KALMAR LÄN</t>
        </is>
      </c>
      <c r="E716" t="inlineStr">
        <is>
          <t>BORGHOLM</t>
        </is>
      </c>
      <c r="G716" t="n">
        <v>1</v>
      </c>
      <c r="H716" t="n">
        <v>0</v>
      </c>
      <c r="I716" t="n">
        <v>0</v>
      </c>
      <c r="J716" t="n">
        <v>1</v>
      </c>
      <c r="K716" t="n">
        <v>0</v>
      </c>
      <c r="L716" t="n">
        <v>0</v>
      </c>
      <c r="M716" t="n">
        <v>0</v>
      </c>
      <c r="N716" t="n">
        <v>0</v>
      </c>
      <c r="O716" t="n">
        <v>1</v>
      </c>
      <c r="P716" t="n">
        <v>0</v>
      </c>
      <c r="Q716" t="n">
        <v>1</v>
      </c>
      <c r="R716" s="2" t="inlineStr">
        <is>
          <t>Skogsklocka</t>
        </is>
      </c>
      <c r="S716">
        <f>HYPERLINK("https://klasma.github.io/Logging_0885/artfynd/A 64120-2019 artfynd.xlsx", "A 64120-2019")</f>
        <v/>
      </c>
      <c r="T716">
        <f>HYPERLINK("https://klasma.github.io/Logging_0885/kartor/A 64120-2019 karta.png", "A 64120-2019")</f>
        <v/>
      </c>
      <c r="V716">
        <f>HYPERLINK("https://klasma.github.io/Logging_0885/klagomål/A 64120-2019 FSC-klagomål.docx", "A 64120-2019")</f>
        <v/>
      </c>
      <c r="W716">
        <f>HYPERLINK("https://klasma.github.io/Logging_0885/klagomålsmail/A 64120-2019 FSC-klagomål mail.docx", "A 64120-2019")</f>
        <v/>
      </c>
      <c r="X716">
        <f>HYPERLINK("https://klasma.github.io/Logging_0885/tillsyn/A 64120-2019 tillsynsbegäran.docx", "A 64120-2019")</f>
        <v/>
      </c>
      <c r="Y716">
        <f>HYPERLINK("https://klasma.github.io/Logging_0885/tillsynsmail/A 64120-2019 tillsynsbegäran mail.docx", "A 64120-2019")</f>
        <v/>
      </c>
    </row>
    <row r="717" ht="15" customHeight="1">
      <c r="A717" t="inlineStr">
        <is>
          <t>A 64356-2019</t>
        </is>
      </c>
      <c r="B717" s="1" t="n">
        <v>43797</v>
      </c>
      <c r="C717" s="1" t="n">
        <v>45715</v>
      </c>
      <c r="D717" t="inlineStr">
        <is>
          <t>KALMAR LÄN</t>
        </is>
      </c>
      <c r="E717" t="inlineStr">
        <is>
          <t>VIMMERBY</t>
        </is>
      </c>
      <c r="G717" t="n">
        <v>1.4</v>
      </c>
      <c r="H717" t="n">
        <v>0</v>
      </c>
      <c r="I717" t="n">
        <v>1</v>
      </c>
      <c r="J717" t="n">
        <v>0</v>
      </c>
      <c r="K717" t="n">
        <v>0</v>
      </c>
      <c r="L717" t="n">
        <v>0</v>
      </c>
      <c r="M717" t="n">
        <v>0</v>
      </c>
      <c r="N717" t="n">
        <v>0</v>
      </c>
      <c r="O717" t="n">
        <v>0</v>
      </c>
      <c r="P717" t="n">
        <v>0</v>
      </c>
      <c r="Q717" t="n">
        <v>1</v>
      </c>
      <c r="R717" s="2" t="inlineStr">
        <is>
          <t>Fällmossa</t>
        </is>
      </c>
      <c r="S717">
        <f>HYPERLINK("https://klasma.github.io/Logging_0884/artfynd/A 64356-2019 artfynd.xlsx", "A 64356-2019")</f>
        <v/>
      </c>
      <c r="T717">
        <f>HYPERLINK("https://klasma.github.io/Logging_0884/kartor/A 64356-2019 karta.png", "A 64356-2019")</f>
        <v/>
      </c>
      <c r="V717">
        <f>HYPERLINK("https://klasma.github.io/Logging_0884/klagomål/A 64356-2019 FSC-klagomål.docx", "A 64356-2019")</f>
        <v/>
      </c>
      <c r="W717">
        <f>HYPERLINK("https://klasma.github.io/Logging_0884/klagomålsmail/A 64356-2019 FSC-klagomål mail.docx", "A 64356-2019")</f>
        <v/>
      </c>
      <c r="X717">
        <f>HYPERLINK("https://klasma.github.io/Logging_0884/tillsyn/A 64356-2019 tillsynsbegäran.docx", "A 64356-2019")</f>
        <v/>
      </c>
      <c r="Y717">
        <f>HYPERLINK("https://klasma.github.io/Logging_0884/tillsynsmail/A 64356-2019 tillsynsbegäran mail.docx", "A 64356-2019")</f>
        <v/>
      </c>
    </row>
    <row r="718" ht="15" customHeight="1">
      <c r="A718" t="inlineStr">
        <is>
          <t>A 64844-2019</t>
        </is>
      </c>
      <c r="B718" s="1" t="n">
        <v>43801</v>
      </c>
      <c r="C718" s="1" t="n">
        <v>45715</v>
      </c>
      <c r="D718" t="inlineStr">
        <is>
          <t>KALMAR LÄN</t>
        </is>
      </c>
      <c r="E718" t="inlineStr">
        <is>
          <t>NYBRO</t>
        </is>
      </c>
      <c r="G718" t="n">
        <v>11.9</v>
      </c>
      <c r="H718" t="n">
        <v>1</v>
      </c>
      <c r="I718" t="n">
        <v>0</v>
      </c>
      <c r="J718" t="n">
        <v>1</v>
      </c>
      <c r="K718" t="n">
        <v>0</v>
      </c>
      <c r="L718" t="n">
        <v>0</v>
      </c>
      <c r="M718" t="n">
        <v>0</v>
      </c>
      <c r="N718" t="n">
        <v>0</v>
      </c>
      <c r="O718" t="n">
        <v>1</v>
      </c>
      <c r="P718" t="n">
        <v>0</v>
      </c>
      <c r="Q718" t="n">
        <v>1</v>
      </c>
      <c r="R718" s="2" t="inlineStr">
        <is>
          <t>Mindre hackspett</t>
        </is>
      </c>
      <c r="S718">
        <f>HYPERLINK("https://klasma.github.io/Logging_0881/artfynd/A 64844-2019 artfynd.xlsx", "A 64844-2019")</f>
        <v/>
      </c>
      <c r="T718">
        <f>HYPERLINK("https://klasma.github.io/Logging_0881/kartor/A 64844-2019 karta.png", "A 64844-2019")</f>
        <v/>
      </c>
      <c r="V718">
        <f>HYPERLINK("https://klasma.github.io/Logging_0881/klagomål/A 64844-2019 FSC-klagomål.docx", "A 64844-2019")</f>
        <v/>
      </c>
      <c r="W718">
        <f>HYPERLINK("https://klasma.github.io/Logging_0881/klagomålsmail/A 64844-2019 FSC-klagomål mail.docx", "A 64844-2019")</f>
        <v/>
      </c>
      <c r="X718">
        <f>HYPERLINK("https://klasma.github.io/Logging_0881/tillsyn/A 64844-2019 tillsynsbegäran.docx", "A 64844-2019")</f>
        <v/>
      </c>
      <c r="Y718">
        <f>HYPERLINK("https://klasma.github.io/Logging_0881/tillsynsmail/A 64844-2019 tillsynsbegäran mail.docx", "A 64844-2019")</f>
        <v/>
      </c>
      <c r="Z718">
        <f>HYPERLINK("https://klasma.github.io/Logging_0881/fåglar/A 64844-2019 prioriterade fågelarter.docx", "A 64844-2019")</f>
        <v/>
      </c>
    </row>
    <row r="719" ht="15" customHeight="1">
      <c r="A719" t="inlineStr">
        <is>
          <t>A 65105-2019</t>
        </is>
      </c>
      <c r="B719" s="1" t="n">
        <v>43802</v>
      </c>
      <c r="C719" s="1" t="n">
        <v>45715</v>
      </c>
      <c r="D719" t="inlineStr">
        <is>
          <t>KALMAR LÄN</t>
        </is>
      </c>
      <c r="E719" t="inlineStr">
        <is>
          <t>MÖNSTERÅS</t>
        </is>
      </c>
      <c r="G719" t="n">
        <v>11.6</v>
      </c>
      <c r="H719" t="n">
        <v>0</v>
      </c>
      <c r="I719" t="n">
        <v>1</v>
      </c>
      <c r="J719" t="n">
        <v>0</v>
      </c>
      <c r="K719" t="n">
        <v>0</v>
      </c>
      <c r="L719" t="n">
        <v>0</v>
      </c>
      <c r="M719" t="n">
        <v>0</v>
      </c>
      <c r="N719" t="n">
        <v>0</v>
      </c>
      <c r="O719" t="n">
        <v>0</v>
      </c>
      <c r="P719" t="n">
        <v>0</v>
      </c>
      <c r="Q719" t="n">
        <v>1</v>
      </c>
      <c r="R719" s="2" t="inlineStr">
        <is>
          <t>Grönpyrola</t>
        </is>
      </c>
      <c r="S719">
        <f>HYPERLINK("https://klasma.github.io/Logging_0861/artfynd/A 65105-2019 artfynd.xlsx", "A 65105-2019")</f>
        <v/>
      </c>
      <c r="T719">
        <f>HYPERLINK("https://klasma.github.io/Logging_0861/kartor/A 65105-2019 karta.png", "A 65105-2019")</f>
        <v/>
      </c>
      <c r="V719">
        <f>HYPERLINK("https://klasma.github.io/Logging_0861/klagomål/A 65105-2019 FSC-klagomål.docx", "A 65105-2019")</f>
        <v/>
      </c>
      <c r="W719">
        <f>HYPERLINK("https://klasma.github.io/Logging_0861/klagomålsmail/A 65105-2019 FSC-klagomål mail.docx", "A 65105-2019")</f>
        <v/>
      </c>
      <c r="X719">
        <f>HYPERLINK("https://klasma.github.io/Logging_0861/tillsyn/A 65105-2019 tillsynsbegäran.docx", "A 65105-2019")</f>
        <v/>
      </c>
      <c r="Y719">
        <f>HYPERLINK("https://klasma.github.io/Logging_0861/tillsynsmail/A 65105-2019 tillsynsbegäran mail.docx", "A 65105-2019")</f>
        <v/>
      </c>
    </row>
    <row r="720" ht="15" customHeight="1">
      <c r="A720" t="inlineStr">
        <is>
          <t>A 67520-2019</t>
        </is>
      </c>
      <c r="B720" s="1" t="n">
        <v>43815</v>
      </c>
      <c r="C720" s="1" t="n">
        <v>45715</v>
      </c>
      <c r="D720" t="inlineStr">
        <is>
          <t>KALMAR LÄN</t>
        </is>
      </c>
      <c r="E720" t="inlineStr">
        <is>
          <t>NYBRO</t>
        </is>
      </c>
      <c r="F720" t="inlineStr">
        <is>
          <t>Kommuner</t>
        </is>
      </c>
      <c r="G720" t="n">
        <v>1.3</v>
      </c>
      <c r="H720" t="n">
        <v>0</v>
      </c>
      <c r="I720" t="n">
        <v>0</v>
      </c>
      <c r="J720" t="n">
        <v>1</v>
      </c>
      <c r="K720" t="n">
        <v>0</v>
      </c>
      <c r="L720" t="n">
        <v>0</v>
      </c>
      <c r="M720" t="n">
        <v>0</v>
      </c>
      <c r="N720" t="n">
        <v>0</v>
      </c>
      <c r="O720" t="n">
        <v>1</v>
      </c>
      <c r="P720" t="n">
        <v>0</v>
      </c>
      <c r="Q720" t="n">
        <v>1</v>
      </c>
      <c r="R720" s="2" t="inlineStr">
        <is>
          <t>Mjukdån</t>
        </is>
      </c>
      <c r="S720">
        <f>HYPERLINK("https://klasma.github.io/Logging_0881/artfynd/A 67520-2019 artfynd.xlsx", "A 67520-2019")</f>
        <v/>
      </c>
      <c r="T720">
        <f>HYPERLINK("https://klasma.github.io/Logging_0881/kartor/A 67520-2019 karta.png", "A 67520-2019")</f>
        <v/>
      </c>
      <c r="V720">
        <f>HYPERLINK("https://klasma.github.io/Logging_0881/klagomål/A 67520-2019 FSC-klagomål.docx", "A 67520-2019")</f>
        <v/>
      </c>
      <c r="W720">
        <f>HYPERLINK("https://klasma.github.io/Logging_0881/klagomålsmail/A 67520-2019 FSC-klagomål mail.docx", "A 67520-2019")</f>
        <v/>
      </c>
      <c r="X720">
        <f>HYPERLINK("https://klasma.github.io/Logging_0881/tillsyn/A 67520-2019 tillsynsbegäran.docx", "A 67520-2019")</f>
        <v/>
      </c>
      <c r="Y720">
        <f>HYPERLINK("https://klasma.github.io/Logging_0881/tillsynsmail/A 67520-2019 tillsynsbegäran mail.docx", "A 67520-2019")</f>
        <v/>
      </c>
    </row>
    <row r="721" ht="15" customHeight="1">
      <c r="A721" t="inlineStr">
        <is>
          <t>A 69121-2019</t>
        </is>
      </c>
      <c r="B721" s="1" t="n">
        <v>43815</v>
      </c>
      <c r="C721" s="1" t="n">
        <v>45715</v>
      </c>
      <c r="D721" t="inlineStr">
        <is>
          <t>KALMAR LÄN</t>
        </is>
      </c>
      <c r="E721" t="inlineStr">
        <is>
          <t>MÖNSTERÅS</t>
        </is>
      </c>
      <c r="F721" t="inlineStr">
        <is>
          <t>Övriga Aktiebolag</t>
        </is>
      </c>
      <c r="G721" t="n">
        <v>0.9</v>
      </c>
      <c r="H721" t="n">
        <v>0</v>
      </c>
      <c r="I721" t="n">
        <v>0</v>
      </c>
      <c r="J721" t="n">
        <v>1</v>
      </c>
      <c r="K721" t="n">
        <v>0</v>
      </c>
      <c r="L721" t="n">
        <v>0</v>
      </c>
      <c r="M721" t="n">
        <v>0</v>
      </c>
      <c r="N721" t="n">
        <v>0</v>
      </c>
      <c r="O721" t="n">
        <v>1</v>
      </c>
      <c r="P721" t="n">
        <v>0</v>
      </c>
      <c r="Q721" t="n">
        <v>1</v>
      </c>
      <c r="R721" s="2" t="inlineStr">
        <is>
          <t>Skogslysing</t>
        </is>
      </c>
      <c r="S721">
        <f>HYPERLINK("https://klasma.github.io/Logging_0861/artfynd/A 69121-2019 artfynd.xlsx", "A 69121-2019")</f>
        <v/>
      </c>
      <c r="T721">
        <f>HYPERLINK("https://klasma.github.io/Logging_0861/kartor/A 69121-2019 karta.png", "A 69121-2019")</f>
        <v/>
      </c>
      <c r="V721">
        <f>HYPERLINK("https://klasma.github.io/Logging_0861/klagomål/A 69121-2019 FSC-klagomål.docx", "A 69121-2019")</f>
        <v/>
      </c>
      <c r="W721">
        <f>HYPERLINK("https://klasma.github.io/Logging_0861/klagomålsmail/A 69121-2019 FSC-klagomål mail.docx", "A 69121-2019")</f>
        <v/>
      </c>
      <c r="X721">
        <f>HYPERLINK("https://klasma.github.io/Logging_0861/tillsyn/A 69121-2019 tillsynsbegäran.docx", "A 69121-2019")</f>
        <v/>
      </c>
      <c r="Y721">
        <f>HYPERLINK("https://klasma.github.io/Logging_0861/tillsynsmail/A 69121-2019 tillsynsbegäran mail.docx", "A 69121-2019")</f>
        <v/>
      </c>
    </row>
    <row r="722" ht="15" customHeight="1">
      <c r="A722" t="inlineStr">
        <is>
          <t>A 764-2020</t>
        </is>
      </c>
      <c r="B722" s="1" t="n">
        <v>43817</v>
      </c>
      <c r="C722" s="1" t="n">
        <v>45715</v>
      </c>
      <c r="D722" t="inlineStr">
        <is>
          <t>KALMAR LÄN</t>
        </is>
      </c>
      <c r="E722" t="inlineStr">
        <is>
          <t>NYBRO</t>
        </is>
      </c>
      <c r="G722" t="n">
        <v>2</v>
      </c>
      <c r="H722" t="n">
        <v>1</v>
      </c>
      <c r="I722" t="n">
        <v>1</v>
      </c>
      <c r="J722" t="n">
        <v>0</v>
      </c>
      <c r="K722" t="n">
        <v>0</v>
      </c>
      <c r="L722" t="n">
        <v>0</v>
      </c>
      <c r="M722" t="n">
        <v>0</v>
      </c>
      <c r="N722" t="n">
        <v>0</v>
      </c>
      <c r="O722" t="n">
        <v>0</v>
      </c>
      <c r="P722" t="n">
        <v>0</v>
      </c>
      <c r="Q722" t="n">
        <v>1</v>
      </c>
      <c r="R722" s="2" t="inlineStr">
        <is>
          <t>Purpurknipprot</t>
        </is>
      </c>
      <c r="S722">
        <f>HYPERLINK("https://klasma.github.io/Logging_0881/artfynd/A 764-2020 artfynd.xlsx", "A 764-2020")</f>
        <v/>
      </c>
      <c r="T722">
        <f>HYPERLINK("https://klasma.github.io/Logging_0881/kartor/A 764-2020 karta.png", "A 764-2020")</f>
        <v/>
      </c>
      <c r="V722">
        <f>HYPERLINK("https://klasma.github.io/Logging_0881/klagomål/A 764-2020 FSC-klagomål.docx", "A 764-2020")</f>
        <v/>
      </c>
      <c r="W722">
        <f>HYPERLINK("https://klasma.github.io/Logging_0881/klagomålsmail/A 764-2020 FSC-klagomål mail.docx", "A 764-2020")</f>
        <v/>
      </c>
      <c r="X722">
        <f>HYPERLINK("https://klasma.github.io/Logging_0881/tillsyn/A 764-2020 tillsynsbegäran.docx", "A 764-2020")</f>
        <v/>
      </c>
      <c r="Y722">
        <f>HYPERLINK("https://klasma.github.io/Logging_0881/tillsynsmail/A 764-2020 tillsynsbegäran mail.docx", "A 764-2020")</f>
        <v/>
      </c>
    </row>
    <row r="723" ht="15" customHeight="1">
      <c r="A723" t="inlineStr">
        <is>
          <t>A 3928-2020</t>
        </is>
      </c>
      <c r="B723" s="1" t="n">
        <v>43854</v>
      </c>
      <c r="C723" s="1" t="n">
        <v>45715</v>
      </c>
      <c r="D723" t="inlineStr">
        <is>
          <t>KALMAR LÄN</t>
        </is>
      </c>
      <c r="E723" t="inlineStr">
        <is>
          <t>KALMAR</t>
        </is>
      </c>
      <c r="G723" t="n">
        <v>2.3</v>
      </c>
      <c r="H723" t="n">
        <v>0</v>
      </c>
      <c r="I723" t="n">
        <v>0</v>
      </c>
      <c r="J723" t="n">
        <v>0</v>
      </c>
      <c r="K723" t="n">
        <v>0</v>
      </c>
      <c r="L723" t="n">
        <v>1</v>
      </c>
      <c r="M723" t="n">
        <v>0</v>
      </c>
      <c r="N723" t="n">
        <v>0</v>
      </c>
      <c r="O723" t="n">
        <v>1</v>
      </c>
      <c r="P723" t="n">
        <v>1</v>
      </c>
      <c r="Q723" t="n">
        <v>1</v>
      </c>
      <c r="R723" s="2" t="inlineStr">
        <is>
          <t>Ask</t>
        </is>
      </c>
      <c r="S723">
        <f>HYPERLINK("https://klasma.github.io/Logging_0880/artfynd/A 3928-2020 artfynd.xlsx", "A 3928-2020")</f>
        <v/>
      </c>
      <c r="T723">
        <f>HYPERLINK("https://klasma.github.io/Logging_0880/kartor/A 3928-2020 karta.png", "A 3928-2020")</f>
        <v/>
      </c>
      <c r="V723">
        <f>HYPERLINK("https://klasma.github.io/Logging_0880/klagomål/A 3928-2020 FSC-klagomål.docx", "A 3928-2020")</f>
        <v/>
      </c>
      <c r="W723">
        <f>HYPERLINK("https://klasma.github.io/Logging_0880/klagomålsmail/A 3928-2020 FSC-klagomål mail.docx", "A 3928-2020")</f>
        <v/>
      </c>
      <c r="X723">
        <f>HYPERLINK("https://klasma.github.io/Logging_0880/tillsyn/A 3928-2020 tillsynsbegäran.docx", "A 3928-2020")</f>
        <v/>
      </c>
      <c r="Y723">
        <f>HYPERLINK("https://klasma.github.io/Logging_0880/tillsynsmail/A 3928-2020 tillsynsbegäran mail.docx", "A 3928-2020")</f>
        <v/>
      </c>
    </row>
    <row r="724" ht="15" customHeight="1">
      <c r="A724" t="inlineStr">
        <is>
          <t>A 5038-2020</t>
        </is>
      </c>
      <c r="B724" s="1" t="n">
        <v>43859</v>
      </c>
      <c r="C724" s="1" t="n">
        <v>45715</v>
      </c>
      <c r="D724" t="inlineStr">
        <is>
          <t>KALMAR LÄN</t>
        </is>
      </c>
      <c r="E724" t="inlineStr">
        <is>
          <t>MÖNSTERÅS</t>
        </is>
      </c>
      <c r="G724" t="n">
        <v>13.6</v>
      </c>
      <c r="H724" t="n">
        <v>1</v>
      </c>
      <c r="I724" t="n">
        <v>0</v>
      </c>
      <c r="J724" t="n">
        <v>0</v>
      </c>
      <c r="K724" t="n">
        <v>1</v>
      </c>
      <c r="L724" t="n">
        <v>0</v>
      </c>
      <c r="M724" t="n">
        <v>0</v>
      </c>
      <c r="N724" t="n">
        <v>0</v>
      </c>
      <c r="O724" t="n">
        <v>1</v>
      </c>
      <c r="P724" t="n">
        <v>1</v>
      </c>
      <c r="Q724" t="n">
        <v>1</v>
      </c>
      <c r="R724" s="2" t="inlineStr">
        <is>
          <t>Knärot</t>
        </is>
      </c>
      <c r="S724">
        <f>HYPERLINK("https://klasma.github.io/Logging_0861/artfynd/A 5038-2020 artfynd.xlsx", "A 5038-2020")</f>
        <v/>
      </c>
      <c r="T724">
        <f>HYPERLINK("https://klasma.github.io/Logging_0861/kartor/A 5038-2020 karta.png", "A 5038-2020")</f>
        <v/>
      </c>
      <c r="U724">
        <f>HYPERLINK("https://klasma.github.io/Logging_0861/knärot/A 5038-2020 karta knärot.png", "A 5038-2020")</f>
        <v/>
      </c>
      <c r="V724">
        <f>HYPERLINK("https://klasma.github.io/Logging_0861/klagomål/A 5038-2020 FSC-klagomål.docx", "A 5038-2020")</f>
        <v/>
      </c>
      <c r="W724">
        <f>HYPERLINK("https://klasma.github.io/Logging_0861/klagomålsmail/A 5038-2020 FSC-klagomål mail.docx", "A 5038-2020")</f>
        <v/>
      </c>
      <c r="X724">
        <f>HYPERLINK("https://klasma.github.io/Logging_0861/tillsyn/A 5038-2020 tillsynsbegäran.docx", "A 5038-2020")</f>
        <v/>
      </c>
      <c r="Y724">
        <f>HYPERLINK("https://klasma.github.io/Logging_0861/tillsynsmail/A 5038-2020 tillsynsbegäran mail.docx", "A 5038-2020")</f>
        <v/>
      </c>
    </row>
    <row r="725" ht="15" customHeight="1">
      <c r="A725" t="inlineStr">
        <is>
          <t>A 7371-2020</t>
        </is>
      </c>
      <c r="B725" s="1" t="n">
        <v>43871</v>
      </c>
      <c r="C725" s="1" t="n">
        <v>45715</v>
      </c>
      <c r="D725" t="inlineStr">
        <is>
          <t>KALMAR LÄN</t>
        </is>
      </c>
      <c r="E725" t="inlineStr">
        <is>
          <t>MÖNSTERÅS</t>
        </is>
      </c>
      <c r="G725" t="n">
        <v>7.1</v>
      </c>
      <c r="H725" t="n">
        <v>0</v>
      </c>
      <c r="I725" t="n">
        <v>0</v>
      </c>
      <c r="J725" t="n">
        <v>1</v>
      </c>
      <c r="K725" t="n">
        <v>0</v>
      </c>
      <c r="L725" t="n">
        <v>0</v>
      </c>
      <c r="M725" t="n">
        <v>0</v>
      </c>
      <c r="N725" t="n">
        <v>0</v>
      </c>
      <c r="O725" t="n">
        <v>1</v>
      </c>
      <c r="P725" t="n">
        <v>0</v>
      </c>
      <c r="Q725" t="n">
        <v>1</v>
      </c>
      <c r="R725" s="2" t="inlineStr">
        <is>
          <t>Rödbrun blankbock</t>
        </is>
      </c>
      <c r="S725">
        <f>HYPERLINK("https://klasma.github.io/Logging_0861/artfynd/A 7371-2020 artfynd.xlsx", "A 7371-2020")</f>
        <v/>
      </c>
      <c r="T725">
        <f>HYPERLINK("https://klasma.github.io/Logging_0861/kartor/A 7371-2020 karta.png", "A 7371-2020")</f>
        <v/>
      </c>
      <c r="V725">
        <f>HYPERLINK("https://klasma.github.io/Logging_0861/klagomål/A 7371-2020 FSC-klagomål.docx", "A 7371-2020")</f>
        <v/>
      </c>
      <c r="W725">
        <f>HYPERLINK("https://klasma.github.io/Logging_0861/klagomålsmail/A 7371-2020 FSC-klagomål mail.docx", "A 7371-2020")</f>
        <v/>
      </c>
      <c r="X725">
        <f>HYPERLINK("https://klasma.github.io/Logging_0861/tillsyn/A 7371-2020 tillsynsbegäran.docx", "A 7371-2020")</f>
        <v/>
      </c>
      <c r="Y725">
        <f>HYPERLINK("https://klasma.github.io/Logging_0861/tillsynsmail/A 7371-2020 tillsynsbegäran mail.docx", "A 7371-2020")</f>
        <v/>
      </c>
    </row>
    <row r="726" ht="15" customHeight="1">
      <c r="A726" t="inlineStr">
        <is>
          <t>A 8898-2020</t>
        </is>
      </c>
      <c r="B726" s="1" t="n">
        <v>43878</v>
      </c>
      <c r="C726" s="1" t="n">
        <v>45715</v>
      </c>
      <c r="D726" t="inlineStr">
        <is>
          <t>KALMAR LÄN</t>
        </is>
      </c>
      <c r="E726" t="inlineStr">
        <is>
          <t>MÖNSTERÅS</t>
        </is>
      </c>
      <c r="G726" t="n">
        <v>5.1</v>
      </c>
      <c r="H726" t="n">
        <v>1</v>
      </c>
      <c r="I726" t="n">
        <v>0</v>
      </c>
      <c r="J726" t="n">
        <v>0</v>
      </c>
      <c r="K726" t="n">
        <v>0</v>
      </c>
      <c r="L726" t="n">
        <v>0</v>
      </c>
      <c r="M726" t="n">
        <v>0</v>
      </c>
      <c r="N726" t="n">
        <v>0</v>
      </c>
      <c r="O726" t="n">
        <v>0</v>
      </c>
      <c r="P726" t="n">
        <v>0</v>
      </c>
      <c r="Q726" t="n">
        <v>1</v>
      </c>
      <c r="R726" s="2" t="inlineStr">
        <is>
          <t>Nattviol</t>
        </is>
      </c>
      <c r="S726">
        <f>HYPERLINK("https://klasma.github.io/Logging_0861/artfynd/A 8898-2020 artfynd.xlsx", "A 8898-2020")</f>
        <v/>
      </c>
      <c r="T726">
        <f>HYPERLINK("https://klasma.github.io/Logging_0861/kartor/A 8898-2020 karta.png", "A 8898-2020")</f>
        <v/>
      </c>
      <c r="V726">
        <f>HYPERLINK("https://klasma.github.io/Logging_0861/klagomål/A 8898-2020 FSC-klagomål.docx", "A 8898-2020")</f>
        <v/>
      </c>
      <c r="W726">
        <f>HYPERLINK("https://klasma.github.io/Logging_0861/klagomålsmail/A 8898-2020 FSC-klagomål mail.docx", "A 8898-2020")</f>
        <v/>
      </c>
      <c r="X726">
        <f>HYPERLINK("https://klasma.github.io/Logging_0861/tillsyn/A 8898-2020 tillsynsbegäran.docx", "A 8898-2020")</f>
        <v/>
      </c>
      <c r="Y726">
        <f>HYPERLINK("https://klasma.github.io/Logging_0861/tillsynsmail/A 8898-2020 tillsynsbegäran mail.docx", "A 8898-2020")</f>
        <v/>
      </c>
    </row>
    <row r="727" ht="15" customHeight="1">
      <c r="A727" t="inlineStr">
        <is>
          <t>A 10900-2020</t>
        </is>
      </c>
      <c r="B727" s="1" t="n">
        <v>43885</v>
      </c>
      <c r="C727" s="1" t="n">
        <v>45715</v>
      </c>
      <c r="D727" t="inlineStr">
        <is>
          <t>KALMAR LÄN</t>
        </is>
      </c>
      <c r="E727" t="inlineStr">
        <is>
          <t>NYBRO</t>
        </is>
      </c>
      <c r="G727" t="n">
        <v>1.1</v>
      </c>
      <c r="H727" t="n">
        <v>1</v>
      </c>
      <c r="I727" t="n">
        <v>0</v>
      </c>
      <c r="J727" t="n">
        <v>0</v>
      </c>
      <c r="K727" t="n">
        <v>1</v>
      </c>
      <c r="L727" t="n">
        <v>0</v>
      </c>
      <c r="M727" t="n">
        <v>0</v>
      </c>
      <c r="N727" t="n">
        <v>0</v>
      </c>
      <c r="O727" t="n">
        <v>1</v>
      </c>
      <c r="P727" t="n">
        <v>1</v>
      </c>
      <c r="Q727" t="n">
        <v>1</v>
      </c>
      <c r="R727" s="2" t="inlineStr">
        <is>
          <t>Knärot</t>
        </is>
      </c>
      <c r="S727">
        <f>HYPERLINK("https://klasma.github.io/Logging_0881/artfynd/A 10900-2020 artfynd.xlsx", "A 10900-2020")</f>
        <v/>
      </c>
      <c r="T727">
        <f>HYPERLINK("https://klasma.github.io/Logging_0881/kartor/A 10900-2020 karta.png", "A 10900-2020")</f>
        <v/>
      </c>
      <c r="U727">
        <f>HYPERLINK("https://klasma.github.io/Logging_0881/knärot/A 10900-2020 karta knärot.png", "A 10900-2020")</f>
        <v/>
      </c>
      <c r="V727">
        <f>HYPERLINK("https://klasma.github.io/Logging_0881/klagomål/A 10900-2020 FSC-klagomål.docx", "A 10900-2020")</f>
        <v/>
      </c>
      <c r="W727">
        <f>HYPERLINK("https://klasma.github.io/Logging_0881/klagomålsmail/A 10900-2020 FSC-klagomål mail.docx", "A 10900-2020")</f>
        <v/>
      </c>
      <c r="X727">
        <f>HYPERLINK("https://klasma.github.io/Logging_0881/tillsyn/A 10900-2020 tillsynsbegäran.docx", "A 10900-2020")</f>
        <v/>
      </c>
      <c r="Y727">
        <f>HYPERLINK("https://klasma.github.io/Logging_0881/tillsynsmail/A 10900-2020 tillsynsbegäran mail.docx", "A 10900-2020")</f>
        <v/>
      </c>
    </row>
    <row r="728" ht="15" customHeight="1">
      <c r="A728" t="inlineStr">
        <is>
          <t>A 10864-2020</t>
        </is>
      </c>
      <c r="B728" s="1" t="n">
        <v>43889</v>
      </c>
      <c r="C728" s="1" t="n">
        <v>45715</v>
      </c>
      <c r="D728" t="inlineStr">
        <is>
          <t>KALMAR LÄN</t>
        </is>
      </c>
      <c r="E728" t="inlineStr">
        <is>
          <t>HULTSFRED</t>
        </is>
      </c>
      <c r="F728" t="inlineStr">
        <is>
          <t>Sveaskog</t>
        </is>
      </c>
      <c r="G728" t="n">
        <v>1</v>
      </c>
      <c r="H728" t="n">
        <v>0</v>
      </c>
      <c r="I728" t="n">
        <v>0</v>
      </c>
      <c r="J728" t="n">
        <v>0</v>
      </c>
      <c r="K728" t="n">
        <v>0</v>
      </c>
      <c r="L728" t="n">
        <v>0</v>
      </c>
      <c r="M728" t="n">
        <v>1</v>
      </c>
      <c r="N728" t="n">
        <v>0</v>
      </c>
      <c r="O728" t="n">
        <v>1</v>
      </c>
      <c r="P728" t="n">
        <v>1</v>
      </c>
      <c r="Q728" t="n">
        <v>1</v>
      </c>
      <c r="R728" s="2" t="inlineStr">
        <is>
          <t>Skogsalm</t>
        </is>
      </c>
      <c r="S728">
        <f>HYPERLINK("https://klasma.github.io/Logging_0860/artfynd/A 10864-2020 artfynd.xlsx", "A 10864-2020")</f>
        <v/>
      </c>
      <c r="T728">
        <f>HYPERLINK("https://klasma.github.io/Logging_0860/kartor/A 10864-2020 karta.png", "A 10864-2020")</f>
        <v/>
      </c>
      <c r="V728">
        <f>HYPERLINK("https://klasma.github.io/Logging_0860/klagomål/A 10864-2020 FSC-klagomål.docx", "A 10864-2020")</f>
        <v/>
      </c>
      <c r="W728">
        <f>HYPERLINK("https://klasma.github.io/Logging_0860/klagomålsmail/A 10864-2020 FSC-klagomål mail.docx", "A 10864-2020")</f>
        <v/>
      </c>
      <c r="X728">
        <f>HYPERLINK("https://klasma.github.io/Logging_0860/tillsyn/A 10864-2020 tillsynsbegäran.docx", "A 10864-2020")</f>
        <v/>
      </c>
      <c r="Y728">
        <f>HYPERLINK("https://klasma.github.io/Logging_0860/tillsynsmail/A 10864-2020 tillsynsbegäran mail.docx", "A 10864-2020")</f>
        <v/>
      </c>
    </row>
    <row r="729" ht="15" customHeight="1">
      <c r="A729" t="inlineStr">
        <is>
          <t>A 13471-2020</t>
        </is>
      </c>
      <c r="B729" s="1" t="n">
        <v>43902</v>
      </c>
      <c r="C729" s="1" t="n">
        <v>45715</v>
      </c>
      <c r="D729" t="inlineStr">
        <is>
          <t>KALMAR LÄN</t>
        </is>
      </c>
      <c r="E729" t="inlineStr">
        <is>
          <t>HULTSFRED</t>
        </is>
      </c>
      <c r="G729" t="n">
        <v>1.2</v>
      </c>
      <c r="H729" t="n">
        <v>1</v>
      </c>
      <c r="I729" t="n">
        <v>0</v>
      </c>
      <c r="J729" t="n">
        <v>0</v>
      </c>
      <c r="K729" t="n">
        <v>1</v>
      </c>
      <c r="L729" t="n">
        <v>0</v>
      </c>
      <c r="M729" t="n">
        <v>0</v>
      </c>
      <c r="N729" t="n">
        <v>0</v>
      </c>
      <c r="O729" t="n">
        <v>1</v>
      </c>
      <c r="P729" t="n">
        <v>1</v>
      </c>
      <c r="Q729" t="n">
        <v>1</v>
      </c>
      <c r="R729" s="2" t="inlineStr">
        <is>
          <t>Knärot</t>
        </is>
      </c>
      <c r="S729">
        <f>HYPERLINK("https://klasma.github.io/Logging_0860/artfynd/A 13471-2020 artfynd.xlsx", "A 13471-2020")</f>
        <v/>
      </c>
      <c r="T729">
        <f>HYPERLINK("https://klasma.github.io/Logging_0860/kartor/A 13471-2020 karta.png", "A 13471-2020")</f>
        <v/>
      </c>
      <c r="U729">
        <f>HYPERLINK("https://klasma.github.io/Logging_0860/knärot/A 13471-2020 karta knärot.png", "A 13471-2020")</f>
        <v/>
      </c>
      <c r="V729">
        <f>HYPERLINK("https://klasma.github.io/Logging_0860/klagomål/A 13471-2020 FSC-klagomål.docx", "A 13471-2020")</f>
        <v/>
      </c>
      <c r="W729">
        <f>HYPERLINK("https://klasma.github.io/Logging_0860/klagomålsmail/A 13471-2020 FSC-klagomål mail.docx", "A 13471-2020")</f>
        <v/>
      </c>
      <c r="X729">
        <f>HYPERLINK("https://klasma.github.io/Logging_0860/tillsyn/A 13471-2020 tillsynsbegäran.docx", "A 13471-2020")</f>
        <v/>
      </c>
      <c r="Y729">
        <f>HYPERLINK("https://klasma.github.io/Logging_0860/tillsynsmail/A 13471-2020 tillsynsbegäran mail.docx", "A 13471-2020")</f>
        <v/>
      </c>
    </row>
    <row r="730" ht="15" customHeight="1">
      <c r="A730" t="inlineStr">
        <is>
          <t>A 16608-2020</t>
        </is>
      </c>
      <c r="B730" s="1" t="n">
        <v>43908</v>
      </c>
      <c r="C730" s="1" t="n">
        <v>45715</v>
      </c>
      <c r="D730" t="inlineStr">
        <is>
          <t>KALMAR LÄN</t>
        </is>
      </c>
      <c r="E730" t="inlineStr">
        <is>
          <t>VÄSTERVIK</t>
        </is>
      </c>
      <c r="F730" t="inlineStr">
        <is>
          <t>Övriga Aktiebolag</t>
        </is>
      </c>
      <c r="G730" t="n">
        <v>1.7</v>
      </c>
      <c r="H730" t="n">
        <v>0</v>
      </c>
      <c r="I730" t="n">
        <v>0</v>
      </c>
      <c r="J730" t="n">
        <v>1</v>
      </c>
      <c r="K730" t="n">
        <v>0</v>
      </c>
      <c r="L730" t="n">
        <v>0</v>
      </c>
      <c r="M730" t="n">
        <v>0</v>
      </c>
      <c r="N730" t="n">
        <v>0</v>
      </c>
      <c r="O730" t="n">
        <v>1</v>
      </c>
      <c r="P730" t="n">
        <v>0</v>
      </c>
      <c r="Q730" t="n">
        <v>1</v>
      </c>
      <c r="R730" s="2" t="inlineStr">
        <is>
          <t>Skogsklocka</t>
        </is>
      </c>
      <c r="S730">
        <f>HYPERLINK("https://klasma.github.io/Logging_0883/artfynd/A 16608-2020 artfynd.xlsx", "A 16608-2020")</f>
        <v/>
      </c>
      <c r="T730">
        <f>HYPERLINK("https://klasma.github.io/Logging_0883/kartor/A 16608-2020 karta.png", "A 16608-2020")</f>
        <v/>
      </c>
      <c r="V730">
        <f>HYPERLINK("https://klasma.github.io/Logging_0883/klagomål/A 16608-2020 FSC-klagomål.docx", "A 16608-2020")</f>
        <v/>
      </c>
      <c r="W730">
        <f>HYPERLINK("https://klasma.github.io/Logging_0883/klagomålsmail/A 16608-2020 FSC-klagomål mail.docx", "A 16608-2020")</f>
        <v/>
      </c>
      <c r="X730">
        <f>HYPERLINK("https://klasma.github.io/Logging_0883/tillsyn/A 16608-2020 tillsynsbegäran.docx", "A 16608-2020")</f>
        <v/>
      </c>
      <c r="Y730">
        <f>HYPERLINK("https://klasma.github.io/Logging_0883/tillsynsmail/A 16608-2020 tillsynsbegäran mail.docx", "A 16608-2020")</f>
        <v/>
      </c>
    </row>
    <row r="731" ht="15" customHeight="1">
      <c r="A731" t="inlineStr">
        <is>
          <t>A 15136-2020</t>
        </is>
      </c>
      <c r="B731" s="1" t="n">
        <v>43911</v>
      </c>
      <c r="C731" s="1" t="n">
        <v>45715</v>
      </c>
      <c r="D731" t="inlineStr">
        <is>
          <t>KALMAR LÄN</t>
        </is>
      </c>
      <c r="E731" t="inlineStr">
        <is>
          <t>TORSÅS</t>
        </is>
      </c>
      <c r="G731" t="n">
        <v>2.3</v>
      </c>
      <c r="H731" t="n">
        <v>1</v>
      </c>
      <c r="I731" t="n">
        <v>0</v>
      </c>
      <c r="J731" t="n">
        <v>1</v>
      </c>
      <c r="K731" t="n">
        <v>0</v>
      </c>
      <c r="L731" t="n">
        <v>0</v>
      </c>
      <c r="M731" t="n">
        <v>0</v>
      </c>
      <c r="N731" t="n">
        <v>0</v>
      </c>
      <c r="O731" t="n">
        <v>1</v>
      </c>
      <c r="P731" t="n">
        <v>0</v>
      </c>
      <c r="Q731" t="n">
        <v>1</v>
      </c>
      <c r="R731" s="2" t="inlineStr">
        <is>
          <t>Mindre hackspett</t>
        </is>
      </c>
      <c r="S731">
        <f>HYPERLINK("https://klasma.github.io/Logging_0834/artfynd/A 15136-2020 artfynd.xlsx", "A 15136-2020")</f>
        <v/>
      </c>
      <c r="T731">
        <f>HYPERLINK("https://klasma.github.io/Logging_0834/kartor/A 15136-2020 karta.png", "A 15136-2020")</f>
        <v/>
      </c>
      <c r="V731">
        <f>HYPERLINK("https://klasma.github.io/Logging_0834/klagomål/A 15136-2020 FSC-klagomål.docx", "A 15136-2020")</f>
        <v/>
      </c>
      <c r="W731">
        <f>HYPERLINK("https://klasma.github.io/Logging_0834/klagomålsmail/A 15136-2020 FSC-klagomål mail.docx", "A 15136-2020")</f>
        <v/>
      </c>
      <c r="X731">
        <f>HYPERLINK("https://klasma.github.io/Logging_0834/tillsyn/A 15136-2020 tillsynsbegäran.docx", "A 15136-2020")</f>
        <v/>
      </c>
      <c r="Y731">
        <f>HYPERLINK("https://klasma.github.io/Logging_0834/tillsynsmail/A 15136-2020 tillsynsbegäran mail.docx", "A 15136-2020")</f>
        <v/>
      </c>
      <c r="Z731">
        <f>HYPERLINK("https://klasma.github.io/Logging_0834/fåglar/A 15136-2020 prioriterade fågelarter.docx", "A 15136-2020")</f>
        <v/>
      </c>
    </row>
    <row r="732" ht="15" customHeight="1">
      <c r="A732" t="inlineStr">
        <is>
          <t>A 15357-2020</t>
        </is>
      </c>
      <c r="B732" s="1" t="n">
        <v>43913</v>
      </c>
      <c r="C732" s="1" t="n">
        <v>45715</v>
      </c>
      <c r="D732" t="inlineStr">
        <is>
          <t>KALMAR LÄN</t>
        </is>
      </c>
      <c r="E732" t="inlineStr">
        <is>
          <t>VÄSTERVIK</t>
        </is>
      </c>
      <c r="G732" t="n">
        <v>2.9</v>
      </c>
      <c r="H732" t="n">
        <v>0</v>
      </c>
      <c r="I732" t="n">
        <v>1</v>
      </c>
      <c r="J732" t="n">
        <v>0</v>
      </c>
      <c r="K732" t="n">
        <v>0</v>
      </c>
      <c r="L732" t="n">
        <v>0</v>
      </c>
      <c r="M732" t="n">
        <v>0</v>
      </c>
      <c r="N732" t="n">
        <v>0</v>
      </c>
      <c r="O732" t="n">
        <v>0</v>
      </c>
      <c r="P732" t="n">
        <v>0</v>
      </c>
      <c r="Q732" t="n">
        <v>1</v>
      </c>
      <c r="R732" s="2" t="inlineStr">
        <is>
          <t>Grönpyrola</t>
        </is>
      </c>
      <c r="S732">
        <f>HYPERLINK("https://klasma.github.io/Logging_0883/artfynd/A 15357-2020 artfynd.xlsx", "A 15357-2020")</f>
        <v/>
      </c>
      <c r="T732">
        <f>HYPERLINK("https://klasma.github.io/Logging_0883/kartor/A 15357-2020 karta.png", "A 15357-2020")</f>
        <v/>
      </c>
      <c r="U732">
        <f>HYPERLINK("https://klasma.github.io/Logging_0883/knärot/A 15357-2020 karta knärot.png", "A 15357-2020")</f>
        <v/>
      </c>
      <c r="V732">
        <f>HYPERLINK("https://klasma.github.io/Logging_0883/klagomål/A 15357-2020 FSC-klagomål.docx", "A 15357-2020")</f>
        <v/>
      </c>
      <c r="W732">
        <f>HYPERLINK("https://klasma.github.io/Logging_0883/klagomålsmail/A 15357-2020 FSC-klagomål mail.docx", "A 15357-2020")</f>
        <v/>
      </c>
      <c r="X732">
        <f>HYPERLINK("https://klasma.github.io/Logging_0883/tillsyn/A 15357-2020 tillsynsbegäran.docx", "A 15357-2020")</f>
        <v/>
      </c>
      <c r="Y732">
        <f>HYPERLINK("https://klasma.github.io/Logging_0883/tillsynsmail/A 15357-2020 tillsynsbegäran mail.docx", "A 15357-2020")</f>
        <v/>
      </c>
    </row>
    <row r="733" ht="15" customHeight="1">
      <c r="A733" t="inlineStr">
        <is>
          <t>A 18186-2020</t>
        </is>
      </c>
      <c r="B733" s="1" t="n">
        <v>43927</v>
      </c>
      <c r="C733" s="1" t="n">
        <v>45715</v>
      </c>
      <c r="D733" t="inlineStr">
        <is>
          <t>KALMAR LÄN</t>
        </is>
      </c>
      <c r="E733" t="inlineStr">
        <is>
          <t>KALMAR</t>
        </is>
      </c>
      <c r="G733" t="n">
        <v>4.1</v>
      </c>
      <c r="H733" t="n">
        <v>0</v>
      </c>
      <c r="I733" t="n">
        <v>0</v>
      </c>
      <c r="J733" t="n">
        <v>1</v>
      </c>
      <c r="K733" t="n">
        <v>0</v>
      </c>
      <c r="L733" t="n">
        <v>0</v>
      </c>
      <c r="M733" t="n">
        <v>0</v>
      </c>
      <c r="N733" t="n">
        <v>0</v>
      </c>
      <c r="O733" t="n">
        <v>1</v>
      </c>
      <c r="P733" t="n">
        <v>0</v>
      </c>
      <c r="Q733" t="n">
        <v>1</v>
      </c>
      <c r="R733" s="2" t="inlineStr">
        <is>
          <t>Linmåra/småsnärjmåra</t>
        </is>
      </c>
      <c r="S733">
        <f>HYPERLINK("https://klasma.github.io/Logging_0880/artfynd/A 18186-2020 artfynd.xlsx", "A 18186-2020")</f>
        <v/>
      </c>
      <c r="T733">
        <f>HYPERLINK("https://klasma.github.io/Logging_0880/kartor/A 18186-2020 karta.png", "A 18186-2020")</f>
        <v/>
      </c>
      <c r="V733">
        <f>HYPERLINK("https://klasma.github.io/Logging_0880/klagomål/A 18186-2020 FSC-klagomål.docx", "A 18186-2020")</f>
        <v/>
      </c>
      <c r="W733">
        <f>HYPERLINK("https://klasma.github.io/Logging_0880/klagomålsmail/A 18186-2020 FSC-klagomål mail.docx", "A 18186-2020")</f>
        <v/>
      </c>
      <c r="X733">
        <f>HYPERLINK("https://klasma.github.io/Logging_0880/tillsyn/A 18186-2020 tillsynsbegäran.docx", "A 18186-2020")</f>
        <v/>
      </c>
      <c r="Y733">
        <f>HYPERLINK("https://klasma.github.io/Logging_0880/tillsynsmail/A 18186-2020 tillsynsbegäran mail.docx", "A 18186-2020")</f>
        <v/>
      </c>
    </row>
    <row r="734" ht="15" customHeight="1">
      <c r="A734" t="inlineStr">
        <is>
          <t>A 18351-2020</t>
        </is>
      </c>
      <c r="B734" s="1" t="n">
        <v>43928</v>
      </c>
      <c r="C734" s="1" t="n">
        <v>45715</v>
      </c>
      <c r="D734" t="inlineStr">
        <is>
          <t>KALMAR LÄN</t>
        </is>
      </c>
      <c r="E734" t="inlineStr">
        <is>
          <t>KALMAR</t>
        </is>
      </c>
      <c r="G734" t="n">
        <v>1.8</v>
      </c>
      <c r="H734" t="n">
        <v>0</v>
      </c>
      <c r="I734" t="n">
        <v>0</v>
      </c>
      <c r="J734" t="n">
        <v>1</v>
      </c>
      <c r="K734" t="n">
        <v>0</v>
      </c>
      <c r="L734" t="n">
        <v>0</v>
      </c>
      <c r="M734" t="n">
        <v>0</v>
      </c>
      <c r="N734" t="n">
        <v>0</v>
      </c>
      <c r="O734" t="n">
        <v>1</v>
      </c>
      <c r="P734" t="n">
        <v>0</v>
      </c>
      <c r="Q734" t="n">
        <v>1</v>
      </c>
      <c r="R734" s="2" t="inlineStr">
        <is>
          <t>Korskovall</t>
        </is>
      </c>
      <c r="S734">
        <f>HYPERLINK("https://klasma.github.io/Logging_0880/artfynd/A 18351-2020 artfynd.xlsx", "A 18351-2020")</f>
        <v/>
      </c>
      <c r="T734">
        <f>HYPERLINK("https://klasma.github.io/Logging_0880/kartor/A 18351-2020 karta.png", "A 18351-2020")</f>
        <v/>
      </c>
      <c r="V734">
        <f>HYPERLINK("https://klasma.github.io/Logging_0880/klagomål/A 18351-2020 FSC-klagomål.docx", "A 18351-2020")</f>
        <v/>
      </c>
      <c r="W734">
        <f>HYPERLINK("https://klasma.github.io/Logging_0880/klagomålsmail/A 18351-2020 FSC-klagomål mail.docx", "A 18351-2020")</f>
        <v/>
      </c>
      <c r="X734">
        <f>HYPERLINK("https://klasma.github.io/Logging_0880/tillsyn/A 18351-2020 tillsynsbegäran.docx", "A 18351-2020")</f>
        <v/>
      </c>
      <c r="Y734">
        <f>HYPERLINK("https://klasma.github.io/Logging_0880/tillsynsmail/A 18351-2020 tillsynsbegäran mail.docx", "A 18351-2020")</f>
        <v/>
      </c>
    </row>
    <row r="735" ht="15" customHeight="1">
      <c r="A735" t="inlineStr">
        <is>
          <t>A 22170-2020</t>
        </is>
      </c>
      <c r="B735" s="1" t="n">
        <v>43956</v>
      </c>
      <c r="C735" s="1" t="n">
        <v>45715</v>
      </c>
      <c r="D735" t="inlineStr">
        <is>
          <t>KALMAR LÄN</t>
        </is>
      </c>
      <c r="E735" t="inlineStr">
        <is>
          <t>MÖRBYLÅNGA</t>
        </is>
      </c>
      <c r="G735" t="n">
        <v>1.4</v>
      </c>
      <c r="H735" t="n">
        <v>0</v>
      </c>
      <c r="I735" t="n">
        <v>1</v>
      </c>
      <c r="J735" t="n">
        <v>0</v>
      </c>
      <c r="K735" t="n">
        <v>0</v>
      </c>
      <c r="L735" t="n">
        <v>0</v>
      </c>
      <c r="M735" t="n">
        <v>0</v>
      </c>
      <c r="N735" t="n">
        <v>0</v>
      </c>
      <c r="O735" t="n">
        <v>0</v>
      </c>
      <c r="P735" t="n">
        <v>0</v>
      </c>
      <c r="Q735" t="n">
        <v>1</v>
      </c>
      <c r="R735" s="2" t="inlineStr">
        <is>
          <t>Hässleklocka</t>
        </is>
      </c>
      <c r="S735">
        <f>HYPERLINK("https://klasma.github.io/Logging_0840/artfynd/A 22170-2020 artfynd.xlsx", "A 22170-2020")</f>
        <v/>
      </c>
      <c r="T735">
        <f>HYPERLINK("https://klasma.github.io/Logging_0840/kartor/A 22170-2020 karta.png", "A 22170-2020")</f>
        <v/>
      </c>
      <c r="V735">
        <f>HYPERLINK("https://klasma.github.io/Logging_0840/klagomål/A 22170-2020 FSC-klagomål.docx", "A 22170-2020")</f>
        <v/>
      </c>
      <c r="W735">
        <f>HYPERLINK("https://klasma.github.io/Logging_0840/klagomålsmail/A 22170-2020 FSC-klagomål mail.docx", "A 22170-2020")</f>
        <v/>
      </c>
      <c r="X735">
        <f>HYPERLINK("https://klasma.github.io/Logging_0840/tillsyn/A 22170-2020 tillsynsbegäran.docx", "A 22170-2020")</f>
        <v/>
      </c>
      <c r="Y735">
        <f>HYPERLINK("https://klasma.github.io/Logging_0840/tillsynsmail/A 22170-2020 tillsynsbegäran mail.docx", "A 22170-2020")</f>
        <v/>
      </c>
    </row>
    <row r="736" ht="15" customHeight="1">
      <c r="A736" t="inlineStr">
        <is>
          <t>A 22149-2020</t>
        </is>
      </c>
      <c r="B736" s="1" t="n">
        <v>43961</v>
      </c>
      <c r="C736" s="1" t="n">
        <v>45715</v>
      </c>
      <c r="D736" t="inlineStr">
        <is>
          <t>KALMAR LÄN</t>
        </is>
      </c>
      <c r="E736" t="inlineStr">
        <is>
          <t>NYBRO</t>
        </is>
      </c>
      <c r="G736" t="n">
        <v>11.4</v>
      </c>
      <c r="H736" t="n">
        <v>0</v>
      </c>
      <c r="I736" t="n">
        <v>0</v>
      </c>
      <c r="J736" t="n">
        <v>1</v>
      </c>
      <c r="K736" t="n">
        <v>0</v>
      </c>
      <c r="L736" t="n">
        <v>0</v>
      </c>
      <c r="M736" t="n">
        <v>0</v>
      </c>
      <c r="N736" t="n">
        <v>0</v>
      </c>
      <c r="O736" t="n">
        <v>1</v>
      </c>
      <c r="P736" t="n">
        <v>0</v>
      </c>
      <c r="Q736" t="n">
        <v>1</v>
      </c>
      <c r="R736" s="2" t="inlineStr">
        <is>
          <t>Småjungfrukam</t>
        </is>
      </c>
      <c r="S736">
        <f>HYPERLINK("https://klasma.github.io/Logging_0881/artfynd/A 22149-2020 artfynd.xlsx", "A 22149-2020")</f>
        <v/>
      </c>
      <c r="T736">
        <f>HYPERLINK("https://klasma.github.io/Logging_0881/kartor/A 22149-2020 karta.png", "A 22149-2020")</f>
        <v/>
      </c>
      <c r="V736">
        <f>HYPERLINK("https://klasma.github.io/Logging_0881/klagomål/A 22149-2020 FSC-klagomål.docx", "A 22149-2020")</f>
        <v/>
      </c>
      <c r="W736">
        <f>HYPERLINK("https://klasma.github.io/Logging_0881/klagomålsmail/A 22149-2020 FSC-klagomål mail.docx", "A 22149-2020")</f>
        <v/>
      </c>
      <c r="X736">
        <f>HYPERLINK("https://klasma.github.io/Logging_0881/tillsyn/A 22149-2020 tillsynsbegäran.docx", "A 22149-2020")</f>
        <v/>
      </c>
      <c r="Y736">
        <f>HYPERLINK("https://klasma.github.io/Logging_0881/tillsynsmail/A 22149-2020 tillsynsbegäran mail.docx", "A 22149-2020")</f>
        <v/>
      </c>
    </row>
    <row r="737" ht="15" customHeight="1">
      <c r="A737" t="inlineStr">
        <is>
          <t>A 22391-2020</t>
        </is>
      </c>
      <c r="B737" s="1" t="n">
        <v>43962</v>
      </c>
      <c r="C737" s="1" t="n">
        <v>45715</v>
      </c>
      <c r="D737" t="inlineStr">
        <is>
          <t>KALMAR LÄN</t>
        </is>
      </c>
      <c r="E737" t="inlineStr">
        <is>
          <t>HULTSFRED</t>
        </is>
      </c>
      <c r="G737" t="n">
        <v>1.8</v>
      </c>
      <c r="H737" t="n">
        <v>0</v>
      </c>
      <c r="I737" t="n">
        <v>0</v>
      </c>
      <c r="J737" t="n">
        <v>0</v>
      </c>
      <c r="K737" t="n">
        <v>0</v>
      </c>
      <c r="L737" t="n">
        <v>1</v>
      </c>
      <c r="M737" t="n">
        <v>0</v>
      </c>
      <c r="N737" t="n">
        <v>0</v>
      </c>
      <c r="O737" t="n">
        <v>1</v>
      </c>
      <c r="P737" t="n">
        <v>1</v>
      </c>
      <c r="Q737" t="n">
        <v>1</v>
      </c>
      <c r="R737" s="2" t="inlineStr">
        <is>
          <t>Ryl</t>
        </is>
      </c>
      <c r="S737">
        <f>HYPERLINK("https://klasma.github.io/Logging_0860/artfynd/A 22391-2020 artfynd.xlsx", "A 22391-2020")</f>
        <v/>
      </c>
      <c r="T737">
        <f>HYPERLINK("https://klasma.github.io/Logging_0860/kartor/A 22391-2020 karta.png", "A 22391-2020")</f>
        <v/>
      </c>
      <c r="V737">
        <f>HYPERLINK("https://klasma.github.io/Logging_0860/klagomål/A 22391-2020 FSC-klagomål.docx", "A 22391-2020")</f>
        <v/>
      </c>
      <c r="W737">
        <f>HYPERLINK("https://klasma.github.io/Logging_0860/klagomålsmail/A 22391-2020 FSC-klagomål mail.docx", "A 22391-2020")</f>
        <v/>
      </c>
      <c r="X737">
        <f>HYPERLINK("https://klasma.github.io/Logging_0860/tillsyn/A 22391-2020 tillsynsbegäran.docx", "A 22391-2020")</f>
        <v/>
      </c>
      <c r="Y737">
        <f>HYPERLINK("https://klasma.github.io/Logging_0860/tillsynsmail/A 22391-2020 tillsynsbegäran mail.docx", "A 22391-2020")</f>
        <v/>
      </c>
    </row>
    <row r="738" ht="15" customHeight="1">
      <c r="A738" t="inlineStr">
        <is>
          <t>A 22629-2020</t>
        </is>
      </c>
      <c r="B738" s="1" t="n">
        <v>43963</v>
      </c>
      <c r="C738" s="1" t="n">
        <v>45715</v>
      </c>
      <c r="D738" t="inlineStr">
        <is>
          <t>KALMAR LÄN</t>
        </is>
      </c>
      <c r="E738" t="inlineStr">
        <is>
          <t>NYBRO</t>
        </is>
      </c>
      <c r="G738" t="n">
        <v>9.4</v>
      </c>
      <c r="H738" t="n">
        <v>1</v>
      </c>
      <c r="I738" t="n">
        <v>1</v>
      </c>
      <c r="J738" t="n">
        <v>0</v>
      </c>
      <c r="K738" t="n">
        <v>0</v>
      </c>
      <c r="L738" t="n">
        <v>0</v>
      </c>
      <c r="M738" t="n">
        <v>0</v>
      </c>
      <c r="N738" t="n">
        <v>0</v>
      </c>
      <c r="O738" t="n">
        <v>0</v>
      </c>
      <c r="P738" t="n">
        <v>0</v>
      </c>
      <c r="Q738" t="n">
        <v>1</v>
      </c>
      <c r="R738" s="2" t="inlineStr">
        <is>
          <t>Skogsknipprot</t>
        </is>
      </c>
      <c r="S738">
        <f>HYPERLINK("https://klasma.github.io/Logging_0881/artfynd/A 22629-2020 artfynd.xlsx", "A 22629-2020")</f>
        <v/>
      </c>
      <c r="T738">
        <f>HYPERLINK("https://klasma.github.io/Logging_0881/kartor/A 22629-2020 karta.png", "A 22629-2020")</f>
        <v/>
      </c>
      <c r="V738">
        <f>HYPERLINK("https://klasma.github.io/Logging_0881/klagomål/A 22629-2020 FSC-klagomål.docx", "A 22629-2020")</f>
        <v/>
      </c>
      <c r="W738">
        <f>HYPERLINK("https://klasma.github.io/Logging_0881/klagomålsmail/A 22629-2020 FSC-klagomål mail.docx", "A 22629-2020")</f>
        <v/>
      </c>
      <c r="X738">
        <f>HYPERLINK("https://klasma.github.io/Logging_0881/tillsyn/A 22629-2020 tillsynsbegäran.docx", "A 22629-2020")</f>
        <v/>
      </c>
      <c r="Y738">
        <f>HYPERLINK("https://klasma.github.io/Logging_0881/tillsynsmail/A 22629-2020 tillsynsbegäran mail.docx", "A 22629-2020")</f>
        <v/>
      </c>
    </row>
    <row r="739" ht="15" customHeight="1">
      <c r="A739" t="inlineStr">
        <is>
          <t>A 22439-2020</t>
        </is>
      </c>
      <c r="B739" s="1" t="n">
        <v>43963</v>
      </c>
      <c r="C739" s="1" t="n">
        <v>45715</v>
      </c>
      <c r="D739" t="inlineStr">
        <is>
          <t>KALMAR LÄN</t>
        </is>
      </c>
      <c r="E739" t="inlineStr">
        <is>
          <t>VIMMERBY</t>
        </is>
      </c>
      <c r="G739" t="n">
        <v>13.8</v>
      </c>
      <c r="H739" t="n">
        <v>0</v>
      </c>
      <c r="I739" t="n">
        <v>0</v>
      </c>
      <c r="J739" t="n">
        <v>1</v>
      </c>
      <c r="K739" t="n">
        <v>0</v>
      </c>
      <c r="L739" t="n">
        <v>0</v>
      </c>
      <c r="M739" t="n">
        <v>0</v>
      </c>
      <c r="N739" t="n">
        <v>0</v>
      </c>
      <c r="O739" t="n">
        <v>1</v>
      </c>
      <c r="P739" t="n">
        <v>0</v>
      </c>
      <c r="Q739" t="n">
        <v>1</v>
      </c>
      <c r="R739" s="2" t="inlineStr">
        <is>
          <t>Tallticka</t>
        </is>
      </c>
      <c r="S739">
        <f>HYPERLINK("https://klasma.github.io/Logging_0884/artfynd/A 22439-2020 artfynd.xlsx", "A 22439-2020")</f>
        <v/>
      </c>
      <c r="T739">
        <f>HYPERLINK("https://klasma.github.io/Logging_0884/kartor/A 22439-2020 karta.png", "A 22439-2020")</f>
        <v/>
      </c>
      <c r="V739">
        <f>HYPERLINK("https://klasma.github.io/Logging_0884/klagomål/A 22439-2020 FSC-klagomål.docx", "A 22439-2020")</f>
        <v/>
      </c>
      <c r="W739">
        <f>HYPERLINK("https://klasma.github.io/Logging_0884/klagomålsmail/A 22439-2020 FSC-klagomål mail.docx", "A 22439-2020")</f>
        <v/>
      </c>
      <c r="X739">
        <f>HYPERLINK("https://klasma.github.io/Logging_0884/tillsyn/A 22439-2020 tillsynsbegäran.docx", "A 22439-2020")</f>
        <v/>
      </c>
      <c r="Y739">
        <f>HYPERLINK("https://klasma.github.io/Logging_0884/tillsynsmail/A 22439-2020 tillsynsbegäran mail.docx", "A 22439-2020")</f>
        <v/>
      </c>
    </row>
    <row r="740" ht="15" customHeight="1">
      <c r="A740" t="inlineStr">
        <is>
          <t>A 25736-2020</t>
        </is>
      </c>
      <c r="B740" s="1" t="n">
        <v>43984</v>
      </c>
      <c r="C740" s="1" t="n">
        <v>45715</v>
      </c>
      <c r="D740" t="inlineStr">
        <is>
          <t>KALMAR LÄN</t>
        </is>
      </c>
      <c r="E740" t="inlineStr">
        <is>
          <t>NYBRO</t>
        </is>
      </c>
      <c r="G740" t="n">
        <v>1.2</v>
      </c>
      <c r="H740" t="n">
        <v>0</v>
      </c>
      <c r="I740" t="n">
        <v>1</v>
      </c>
      <c r="J740" t="n">
        <v>0</v>
      </c>
      <c r="K740" t="n">
        <v>0</v>
      </c>
      <c r="L740" t="n">
        <v>0</v>
      </c>
      <c r="M740" t="n">
        <v>0</v>
      </c>
      <c r="N740" t="n">
        <v>0</v>
      </c>
      <c r="O740" t="n">
        <v>0</v>
      </c>
      <c r="P740" t="n">
        <v>0</v>
      </c>
      <c r="Q740" t="n">
        <v>1</v>
      </c>
      <c r="R740" s="2" t="inlineStr">
        <is>
          <t>Blåmossa</t>
        </is>
      </c>
      <c r="S740">
        <f>HYPERLINK("https://klasma.github.io/Logging_0881/artfynd/A 25736-2020 artfynd.xlsx", "A 25736-2020")</f>
        <v/>
      </c>
      <c r="T740">
        <f>HYPERLINK("https://klasma.github.io/Logging_0881/kartor/A 25736-2020 karta.png", "A 25736-2020")</f>
        <v/>
      </c>
      <c r="V740">
        <f>HYPERLINK("https://klasma.github.io/Logging_0881/klagomål/A 25736-2020 FSC-klagomål.docx", "A 25736-2020")</f>
        <v/>
      </c>
      <c r="W740">
        <f>HYPERLINK("https://klasma.github.io/Logging_0881/klagomålsmail/A 25736-2020 FSC-klagomål mail.docx", "A 25736-2020")</f>
        <v/>
      </c>
      <c r="X740">
        <f>HYPERLINK("https://klasma.github.io/Logging_0881/tillsyn/A 25736-2020 tillsynsbegäran.docx", "A 25736-2020")</f>
        <v/>
      </c>
      <c r="Y740">
        <f>HYPERLINK("https://klasma.github.io/Logging_0881/tillsynsmail/A 25736-2020 tillsynsbegäran mail.docx", "A 25736-2020")</f>
        <v/>
      </c>
    </row>
    <row r="741" ht="15" customHeight="1">
      <c r="A741" t="inlineStr">
        <is>
          <t>A 28619-2020</t>
        </is>
      </c>
      <c r="B741" s="1" t="n">
        <v>43999</v>
      </c>
      <c r="C741" s="1" t="n">
        <v>45715</v>
      </c>
      <c r="D741" t="inlineStr">
        <is>
          <t>KALMAR LÄN</t>
        </is>
      </c>
      <c r="E741" t="inlineStr">
        <is>
          <t>KALMAR</t>
        </is>
      </c>
      <c r="G741" t="n">
        <v>1</v>
      </c>
      <c r="H741" t="n">
        <v>1</v>
      </c>
      <c r="I741" t="n">
        <v>0</v>
      </c>
      <c r="J741" t="n">
        <v>0</v>
      </c>
      <c r="K741" t="n">
        <v>0</v>
      </c>
      <c r="L741" t="n">
        <v>0</v>
      </c>
      <c r="M741" t="n">
        <v>0</v>
      </c>
      <c r="N741" t="n">
        <v>0</v>
      </c>
      <c r="O741" t="n">
        <v>0</v>
      </c>
      <c r="P741" t="n">
        <v>0</v>
      </c>
      <c r="Q741" t="n">
        <v>1</v>
      </c>
      <c r="R741" s="2" t="inlineStr">
        <is>
          <t>Trana</t>
        </is>
      </c>
      <c r="S741">
        <f>HYPERLINK("https://klasma.github.io/Logging_0880/artfynd/A 28619-2020 artfynd.xlsx", "A 28619-2020")</f>
        <v/>
      </c>
      <c r="T741">
        <f>HYPERLINK("https://klasma.github.io/Logging_0880/kartor/A 28619-2020 karta.png", "A 28619-2020")</f>
        <v/>
      </c>
      <c r="V741">
        <f>HYPERLINK("https://klasma.github.io/Logging_0880/klagomål/A 28619-2020 FSC-klagomål.docx", "A 28619-2020")</f>
        <v/>
      </c>
      <c r="W741">
        <f>HYPERLINK("https://klasma.github.io/Logging_0880/klagomålsmail/A 28619-2020 FSC-klagomål mail.docx", "A 28619-2020")</f>
        <v/>
      </c>
      <c r="X741">
        <f>HYPERLINK("https://klasma.github.io/Logging_0880/tillsyn/A 28619-2020 tillsynsbegäran.docx", "A 28619-2020")</f>
        <v/>
      </c>
      <c r="Y741">
        <f>HYPERLINK("https://klasma.github.io/Logging_0880/tillsynsmail/A 28619-2020 tillsynsbegäran mail.docx", "A 28619-2020")</f>
        <v/>
      </c>
      <c r="Z741">
        <f>HYPERLINK("https://klasma.github.io/Logging_0880/fåglar/A 28619-2020 prioriterade fågelarter.docx", "A 28619-2020")</f>
        <v/>
      </c>
    </row>
    <row r="742" ht="15" customHeight="1">
      <c r="A742" t="inlineStr">
        <is>
          <t>A 29616-2020</t>
        </is>
      </c>
      <c r="B742" s="1" t="n">
        <v>44004</v>
      </c>
      <c r="C742" s="1" t="n">
        <v>45715</v>
      </c>
      <c r="D742" t="inlineStr">
        <is>
          <t>KALMAR LÄN</t>
        </is>
      </c>
      <c r="E742" t="inlineStr">
        <is>
          <t>MÖNSTERÅS</t>
        </is>
      </c>
      <c r="G742" t="n">
        <v>2.9</v>
      </c>
      <c r="H742" t="n">
        <v>0</v>
      </c>
      <c r="I742" t="n">
        <v>1</v>
      </c>
      <c r="J742" t="n">
        <v>0</v>
      </c>
      <c r="K742" t="n">
        <v>0</v>
      </c>
      <c r="L742" t="n">
        <v>0</v>
      </c>
      <c r="M742" t="n">
        <v>0</v>
      </c>
      <c r="N742" t="n">
        <v>0</v>
      </c>
      <c r="O742" t="n">
        <v>0</v>
      </c>
      <c r="P742" t="n">
        <v>0</v>
      </c>
      <c r="Q742" t="n">
        <v>1</v>
      </c>
      <c r="R742" s="2" t="inlineStr">
        <is>
          <t>Granbarkgnagare</t>
        </is>
      </c>
      <c r="S742">
        <f>HYPERLINK("https://klasma.github.io/Logging_0861/artfynd/A 29616-2020 artfynd.xlsx", "A 29616-2020")</f>
        <v/>
      </c>
      <c r="T742">
        <f>HYPERLINK("https://klasma.github.io/Logging_0861/kartor/A 29616-2020 karta.png", "A 29616-2020")</f>
        <v/>
      </c>
      <c r="V742">
        <f>HYPERLINK("https://klasma.github.io/Logging_0861/klagomål/A 29616-2020 FSC-klagomål.docx", "A 29616-2020")</f>
        <v/>
      </c>
      <c r="W742">
        <f>HYPERLINK("https://klasma.github.io/Logging_0861/klagomålsmail/A 29616-2020 FSC-klagomål mail.docx", "A 29616-2020")</f>
        <v/>
      </c>
      <c r="X742">
        <f>HYPERLINK("https://klasma.github.io/Logging_0861/tillsyn/A 29616-2020 tillsynsbegäran.docx", "A 29616-2020")</f>
        <v/>
      </c>
      <c r="Y742">
        <f>HYPERLINK("https://klasma.github.io/Logging_0861/tillsynsmail/A 29616-2020 tillsynsbegäran mail.docx", "A 29616-2020")</f>
        <v/>
      </c>
    </row>
    <row r="743" ht="15" customHeight="1">
      <c r="A743" t="inlineStr">
        <is>
          <t>A 30772-2020</t>
        </is>
      </c>
      <c r="B743" s="1" t="n">
        <v>44009</v>
      </c>
      <c r="C743" s="1" t="n">
        <v>45715</v>
      </c>
      <c r="D743" t="inlineStr">
        <is>
          <t>KALMAR LÄN</t>
        </is>
      </c>
      <c r="E743" t="inlineStr">
        <is>
          <t>NYBRO</t>
        </is>
      </c>
      <c r="G743" t="n">
        <v>21.1</v>
      </c>
      <c r="H743" t="n">
        <v>1</v>
      </c>
      <c r="I743" t="n">
        <v>0</v>
      </c>
      <c r="J743" t="n">
        <v>0</v>
      </c>
      <c r="K743" t="n">
        <v>0</v>
      </c>
      <c r="L743" t="n">
        <v>0</v>
      </c>
      <c r="M743" t="n">
        <v>0</v>
      </c>
      <c r="N743" t="n">
        <v>0</v>
      </c>
      <c r="O743" t="n">
        <v>0</v>
      </c>
      <c r="P743" t="n">
        <v>0</v>
      </c>
      <c r="Q743" t="n">
        <v>1</v>
      </c>
      <c r="R743" s="2" t="inlineStr">
        <is>
          <t>Fläcknycklar</t>
        </is>
      </c>
      <c r="S743">
        <f>HYPERLINK("https://klasma.github.io/Logging_0881/artfynd/A 30772-2020 artfynd.xlsx", "A 30772-2020")</f>
        <v/>
      </c>
      <c r="T743">
        <f>HYPERLINK("https://klasma.github.io/Logging_0881/kartor/A 30772-2020 karta.png", "A 30772-2020")</f>
        <v/>
      </c>
      <c r="V743">
        <f>HYPERLINK("https://klasma.github.io/Logging_0881/klagomål/A 30772-2020 FSC-klagomål.docx", "A 30772-2020")</f>
        <v/>
      </c>
      <c r="W743">
        <f>HYPERLINK("https://klasma.github.io/Logging_0881/klagomålsmail/A 30772-2020 FSC-klagomål mail.docx", "A 30772-2020")</f>
        <v/>
      </c>
      <c r="X743">
        <f>HYPERLINK("https://klasma.github.io/Logging_0881/tillsyn/A 30772-2020 tillsynsbegäran.docx", "A 30772-2020")</f>
        <v/>
      </c>
      <c r="Y743">
        <f>HYPERLINK("https://klasma.github.io/Logging_0881/tillsynsmail/A 30772-2020 tillsynsbegäran mail.docx", "A 30772-2020")</f>
        <v/>
      </c>
    </row>
    <row r="744" ht="15" customHeight="1">
      <c r="A744" t="inlineStr">
        <is>
          <t>A 32143-2020</t>
        </is>
      </c>
      <c r="B744" s="1" t="n">
        <v>44015</v>
      </c>
      <c r="C744" s="1" t="n">
        <v>45715</v>
      </c>
      <c r="D744" t="inlineStr">
        <is>
          <t>KALMAR LÄN</t>
        </is>
      </c>
      <c r="E744" t="inlineStr">
        <is>
          <t>MÖNSTERÅS</t>
        </is>
      </c>
      <c r="G744" t="n">
        <v>12.1</v>
      </c>
      <c r="H744" t="n">
        <v>0</v>
      </c>
      <c r="I744" t="n">
        <v>0</v>
      </c>
      <c r="J744" t="n">
        <v>1</v>
      </c>
      <c r="K744" t="n">
        <v>0</v>
      </c>
      <c r="L744" t="n">
        <v>0</v>
      </c>
      <c r="M744" t="n">
        <v>0</v>
      </c>
      <c r="N744" t="n">
        <v>0</v>
      </c>
      <c r="O744" t="n">
        <v>1</v>
      </c>
      <c r="P744" t="n">
        <v>0</v>
      </c>
      <c r="Q744" t="n">
        <v>1</v>
      </c>
      <c r="R744" s="2" t="inlineStr">
        <is>
          <t>Tallticka</t>
        </is>
      </c>
      <c r="S744">
        <f>HYPERLINK("https://klasma.github.io/Logging_0861/artfynd/A 32143-2020 artfynd.xlsx", "A 32143-2020")</f>
        <v/>
      </c>
      <c r="T744">
        <f>HYPERLINK("https://klasma.github.io/Logging_0861/kartor/A 32143-2020 karta.png", "A 32143-2020")</f>
        <v/>
      </c>
      <c r="V744">
        <f>HYPERLINK("https://klasma.github.io/Logging_0861/klagomål/A 32143-2020 FSC-klagomål.docx", "A 32143-2020")</f>
        <v/>
      </c>
      <c r="W744">
        <f>HYPERLINK("https://klasma.github.io/Logging_0861/klagomålsmail/A 32143-2020 FSC-klagomål mail.docx", "A 32143-2020")</f>
        <v/>
      </c>
      <c r="X744">
        <f>HYPERLINK("https://klasma.github.io/Logging_0861/tillsyn/A 32143-2020 tillsynsbegäran.docx", "A 32143-2020")</f>
        <v/>
      </c>
      <c r="Y744">
        <f>HYPERLINK("https://klasma.github.io/Logging_0861/tillsynsmail/A 32143-2020 tillsynsbegäran mail.docx", "A 32143-2020")</f>
        <v/>
      </c>
    </row>
    <row r="745" ht="15" customHeight="1">
      <c r="A745" t="inlineStr">
        <is>
          <t>A 36717-2020</t>
        </is>
      </c>
      <c r="B745" s="1" t="n">
        <v>44053</v>
      </c>
      <c r="C745" s="1" t="n">
        <v>45715</v>
      </c>
      <c r="D745" t="inlineStr">
        <is>
          <t>KALMAR LÄN</t>
        </is>
      </c>
      <c r="E745" t="inlineStr">
        <is>
          <t>HULTSFRED</t>
        </is>
      </c>
      <c r="F745" t="inlineStr">
        <is>
          <t>Kyrkan</t>
        </is>
      </c>
      <c r="G745" t="n">
        <v>4.2</v>
      </c>
      <c r="H745" t="n">
        <v>0</v>
      </c>
      <c r="I745" t="n">
        <v>1</v>
      </c>
      <c r="J745" t="n">
        <v>0</v>
      </c>
      <c r="K745" t="n">
        <v>0</v>
      </c>
      <c r="L745" t="n">
        <v>0</v>
      </c>
      <c r="M745" t="n">
        <v>0</v>
      </c>
      <c r="N745" t="n">
        <v>0</v>
      </c>
      <c r="O745" t="n">
        <v>0</v>
      </c>
      <c r="P745" t="n">
        <v>0</v>
      </c>
      <c r="Q745" t="n">
        <v>1</v>
      </c>
      <c r="R745" s="2" t="inlineStr">
        <is>
          <t>Västlig hakmossa</t>
        </is>
      </c>
      <c r="S745">
        <f>HYPERLINK("https://klasma.github.io/Logging_0860/artfynd/A 36717-2020 artfynd.xlsx", "A 36717-2020")</f>
        <v/>
      </c>
      <c r="T745">
        <f>HYPERLINK("https://klasma.github.io/Logging_0860/kartor/A 36717-2020 karta.png", "A 36717-2020")</f>
        <v/>
      </c>
      <c r="V745">
        <f>HYPERLINK("https://klasma.github.io/Logging_0860/klagomål/A 36717-2020 FSC-klagomål.docx", "A 36717-2020")</f>
        <v/>
      </c>
      <c r="W745">
        <f>HYPERLINK("https://klasma.github.io/Logging_0860/klagomålsmail/A 36717-2020 FSC-klagomål mail.docx", "A 36717-2020")</f>
        <v/>
      </c>
      <c r="X745">
        <f>HYPERLINK("https://klasma.github.io/Logging_0860/tillsyn/A 36717-2020 tillsynsbegäran.docx", "A 36717-2020")</f>
        <v/>
      </c>
      <c r="Y745">
        <f>HYPERLINK("https://klasma.github.io/Logging_0860/tillsynsmail/A 36717-2020 tillsynsbegäran mail.docx", "A 36717-2020")</f>
        <v/>
      </c>
    </row>
    <row r="746" ht="15" customHeight="1">
      <c r="A746" t="inlineStr">
        <is>
          <t>A 36740-2020</t>
        </is>
      </c>
      <c r="B746" s="1" t="n">
        <v>44053</v>
      </c>
      <c r="C746" s="1" t="n">
        <v>45715</v>
      </c>
      <c r="D746" t="inlineStr">
        <is>
          <t>KALMAR LÄN</t>
        </is>
      </c>
      <c r="E746" t="inlineStr">
        <is>
          <t>KALMAR</t>
        </is>
      </c>
      <c r="G746" t="n">
        <v>1.7</v>
      </c>
      <c r="H746" t="n">
        <v>1</v>
      </c>
      <c r="I746" t="n">
        <v>0</v>
      </c>
      <c r="J746" t="n">
        <v>1</v>
      </c>
      <c r="K746" t="n">
        <v>0</v>
      </c>
      <c r="L746" t="n">
        <v>0</v>
      </c>
      <c r="M746" t="n">
        <v>0</v>
      </c>
      <c r="N746" t="n">
        <v>0</v>
      </c>
      <c r="O746" t="n">
        <v>1</v>
      </c>
      <c r="P746" t="n">
        <v>0</v>
      </c>
      <c r="Q746" t="n">
        <v>1</v>
      </c>
      <c r="R746" s="2" t="inlineStr">
        <is>
          <t>Gulsparv</t>
        </is>
      </c>
      <c r="S746">
        <f>HYPERLINK("https://klasma.github.io/Logging_0880/artfynd/A 36740-2020 artfynd.xlsx", "A 36740-2020")</f>
        <v/>
      </c>
      <c r="T746">
        <f>HYPERLINK("https://klasma.github.io/Logging_0880/kartor/A 36740-2020 karta.png", "A 36740-2020")</f>
        <v/>
      </c>
      <c r="V746">
        <f>HYPERLINK("https://klasma.github.io/Logging_0880/klagomål/A 36740-2020 FSC-klagomål.docx", "A 36740-2020")</f>
        <v/>
      </c>
      <c r="W746">
        <f>HYPERLINK("https://klasma.github.io/Logging_0880/klagomålsmail/A 36740-2020 FSC-klagomål mail.docx", "A 36740-2020")</f>
        <v/>
      </c>
      <c r="X746">
        <f>HYPERLINK("https://klasma.github.io/Logging_0880/tillsyn/A 36740-2020 tillsynsbegäran.docx", "A 36740-2020")</f>
        <v/>
      </c>
      <c r="Y746">
        <f>HYPERLINK("https://klasma.github.io/Logging_0880/tillsynsmail/A 36740-2020 tillsynsbegäran mail.docx", "A 36740-2020")</f>
        <v/>
      </c>
      <c r="Z746">
        <f>HYPERLINK("https://klasma.github.io/Logging_0880/fåglar/A 36740-2020 prioriterade fågelarter.docx", "A 36740-2020")</f>
        <v/>
      </c>
    </row>
    <row r="747" ht="15" customHeight="1">
      <c r="A747" t="inlineStr">
        <is>
          <t>A 37170-2020</t>
        </is>
      </c>
      <c r="B747" s="1" t="n">
        <v>44054</v>
      </c>
      <c r="C747" s="1" t="n">
        <v>45715</v>
      </c>
      <c r="D747" t="inlineStr">
        <is>
          <t>KALMAR LÄN</t>
        </is>
      </c>
      <c r="E747" t="inlineStr">
        <is>
          <t>EMMABODA</t>
        </is>
      </c>
      <c r="G747" t="n">
        <v>1.4</v>
      </c>
      <c r="H747" t="n">
        <v>0</v>
      </c>
      <c r="I747" t="n">
        <v>1</v>
      </c>
      <c r="J747" t="n">
        <v>0</v>
      </c>
      <c r="K747" t="n">
        <v>0</v>
      </c>
      <c r="L747" t="n">
        <v>0</v>
      </c>
      <c r="M747" t="n">
        <v>0</v>
      </c>
      <c r="N747" t="n">
        <v>0</v>
      </c>
      <c r="O747" t="n">
        <v>0</v>
      </c>
      <c r="P747" t="n">
        <v>0</v>
      </c>
      <c r="Q747" t="n">
        <v>1</v>
      </c>
      <c r="R747" s="2" t="inlineStr">
        <is>
          <t>Grönpyrola</t>
        </is>
      </c>
      <c r="S747">
        <f>HYPERLINK("https://klasma.github.io/Logging_0862/artfynd/A 37170-2020 artfynd.xlsx", "A 37170-2020")</f>
        <v/>
      </c>
      <c r="T747">
        <f>HYPERLINK("https://klasma.github.io/Logging_0862/kartor/A 37170-2020 karta.png", "A 37170-2020")</f>
        <v/>
      </c>
      <c r="V747">
        <f>HYPERLINK("https://klasma.github.io/Logging_0862/klagomål/A 37170-2020 FSC-klagomål.docx", "A 37170-2020")</f>
        <v/>
      </c>
      <c r="W747">
        <f>HYPERLINK("https://klasma.github.io/Logging_0862/klagomålsmail/A 37170-2020 FSC-klagomål mail.docx", "A 37170-2020")</f>
        <v/>
      </c>
      <c r="X747">
        <f>HYPERLINK("https://klasma.github.io/Logging_0862/tillsyn/A 37170-2020 tillsynsbegäran.docx", "A 37170-2020")</f>
        <v/>
      </c>
      <c r="Y747">
        <f>HYPERLINK("https://klasma.github.io/Logging_0862/tillsynsmail/A 37170-2020 tillsynsbegäran mail.docx", "A 37170-2020")</f>
        <v/>
      </c>
    </row>
    <row r="748" ht="15" customHeight="1">
      <c r="A748" t="inlineStr">
        <is>
          <t>A 38830-2020</t>
        </is>
      </c>
      <c r="B748" s="1" t="n">
        <v>44062</v>
      </c>
      <c r="C748" s="1" t="n">
        <v>45715</v>
      </c>
      <c r="D748" t="inlineStr">
        <is>
          <t>KALMAR LÄN</t>
        </is>
      </c>
      <c r="E748" t="inlineStr">
        <is>
          <t>OSKARSHAMN</t>
        </is>
      </c>
      <c r="G748" t="n">
        <v>1.4</v>
      </c>
      <c r="H748" t="n">
        <v>0</v>
      </c>
      <c r="I748" t="n">
        <v>0</v>
      </c>
      <c r="J748" t="n">
        <v>0</v>
      </c>
      <c r="K748" t="n">
        <v>1</v>
      </c>
      <c r="L748" t="n">
        <v>0</v>
      </c>
      <c r="M748" t="n">
        <v>0</v>
      </c>
      <c r="N748" t="n">
        <v>0</v>
      </c>
      <c r="O748" t="n">
        <v>1</v>
      </c>
      <c r="P748" t="n">
        <v>1</v>
      </c>
      <c r="Q748" t="n">
        <v>1</v>
      </c>
      <c r="R748" s="2" t="inlineStr">
        <is>
          <t>Blek kraterlav</t>
        </is>
      </c>
      <c r="S748">
        <f>HYPERLINK("https://klasma.github.io/Logging_0882/artfynd/A 38830-2020 artfynd.xlsx", "A 38830-2020")</f>
        <v/>
      </c>
      <c r="T748">
        <f>HYPERLINK("https://klasma.github.io/Logging_0882/kartor/A 38830-2020 karta.png", "A 38830-2020")</f>
        <v/>
      </c>
      <c r="V748">
        <f>HYPERLINK("https://klasma.github.io/Logging_0882/klagomål/A 38830-2020 FSC-klagomål.docx", "A 38830-2020")</f>
        <v/>
      </c>
      <c r="W748">
        <f>HYPERLINK("https://klasma.github.io/Logging_0882/klagomålsmail/A 38830-2020 FSC-klagomål mail.docx", "A 38830-2020")</f>
        <v/>
      </c>
      <c r="X748">
        <f>HYPERLINK("https://klasma.github.io/Logging_0882/tillsyn/A 38830-2020 tillsynsbegäran.docx", "A 38830-2020")</f>
        <v/>
      </c>
      <c r="Y748">
        <f>HYPERLINK("https://klasma.github.io/Logging_0882/tillsynsmail/A 38830-2020 tillsynsbegäran mail.docx", "A 38830-2020")</f>
        <v/>
      </c>
    </row>
    <row r="749" ht="15" customHeight="1">
      <c r="A749" t="inlineStr">
        <is>
          <t>A 39836-2020</t>
        </is>
      </c>
      <c r="B749" s="1" t="n">
        <v>44064</v>
      </c>
      <c r="C749" s="1" t="n">
        <v>45715</v>
      </c>
      <c r="D749" t="inlineStr">
        <is>
          <t>KALMAR LÄN</t>
        </is>
      </c>
      <c r="E749" t="inlineStr">
        <is>
          <t>VÄSTERVIK</t>
        </is>
      </c>
      <c r="G749" t="n">
        <v>13.4</v>
      </c>
      <c r="H749" t="n">
        <v>1</v>
      </c>
      <c r="I749" t="n">
        <v>0</v>
      </c>
      <c r="J749" t="n">
        <v>1</v>
      </c>
      <c r="K749" t="n">
        <v>0</v>
      </c>
      <c r="L749" t="n">
        <v>0</v>
      </c>
      <c r="M749" t="n">
        <v>0</v>
      </c>
      <c r="N749" t="n">
        <v>0</v>
      </c>
      <c r="O749" t="n">
        <v>1</v>
      </c>
      <c r="P749" t="n">
        <v>0</v>
      </c>
      <c r="Q749" t="n">
        <v>1</v>
      </c>
      <c r="R749" s="2" t="inlineStr">
        <is>
          <t>Havsörn</t>
        </is>
      </c>
      <c r="S749">
        <f>HYPERLINK("https://klasma.github.io/Logging_0883/artfynd/A 39836-2020 artfynd.xlsx", "A 39836-2020")</f>
        <v/>
      </c>
      <c r="T749">
        <f>HYPERLINK("https://klasma.github.io/Logging_0883/kartor/A 39836-2020 karta.png", "A 39836-2020")</f>
        <v/>
      </c>
      <c r="V749">
        <f>HYPERLINK("https://klasma.github.io/Logging_0883/klagomål/A 39836-2020 FSC-klagomål.docx", "A 39836-2020")</f>
        <v/>
      </c>
      <c r="W749">
        <f>HYPERLINK("https://klasma.github.io/Logging_0883/klagomålsmail/A 39836-2020 FSC-klagomål mail.docx", "A 39836-2020")</f>
        <v/>
      </c>
      <c r="X749">
        <f>HYPERLINK("https://klasma.github.io/Logging_0883/tillsyn/A 39836-2020 tillsynsbegäran.docx", "A 39836-2020")</f>
        <v/>
      </c>
      <c r="Y749">
        <f>HYPERLINK("https://klasma.github.io/Logging_0883/tillsynsmail/A 39836-2020 tillsynsbegäran mail.docx", "A 39836-2020")</f>
        <v/>
      </c>
      <c r="Z749">
        <f>HYPERLINK("https://klasma.github.io/Logging_0883/fåglar/A 39836-2020 prioriterade fågelarter.docx", "A 39836-2020")</f>
        <v/>
      </c>
    </row>
    <row r="750" ht="15" customHeight="1">
      <c r="A750" t="inlineStr">
        <is>
          <t>A 40734-2020</t>
        </is>
      </c>
      <c r="B750" s="1" t="n">
        <v>44069</v>
      </c>
      <c r="C750" s="1" t="n">
        <v>45715</v>
      </c>
      <c r="D750" t="inlineStr">
        <is>
          <t>KALMAR LÄN</t>
        </is>
      </c>
      <c r="E750" t="inlineStr">
        <is>
          <t>KALMAR</t>
        </is>
      </c>
      <c r="G750" t="n">
        <v>1.6</v>
      </c>
      <c r="H750" t="n">
        <v>1</v>
      </c>
      <c r="I750" t="n">
        <v>1</v>
      </c>
      <c r="J750" t="n">
        <v>0</v>
      </c>
      <c r="K750" t="n">
        <v>0</v>
      </c>
      <c r="L750" t="n">
        <v>0</v>
      </c>
      <c r="M750" t="n">
        <v>0</v>
      </c>
      <c r="N750" t="n">
        <v>0</v>
      </c>
      <c r="O750" t="n">
        <v>0</v>
      </c>
      <c r="P750" t="n">
        <v>0</v>
      </c>
      <c r="Q750" t="n">
        <v>1</v>
      </c>
      <c r="R750" s="2" t="inlineStr">
        <is>
          <t>Ekoxe</t>
        </is>
      </c>
      <c r="S750">
        <f>HYPERLINK("https://klasma.github.io/Logging_0880/artfynd/A 40734-2020 artfynd.xlsx", "A 40734-2020")</f>
        <v/>
      </c>
      <c r="T750">
        <f>HYPERLINK("https://klasma.github.io/Logging_0880/kartor/A 40734-2020 karta.png", "A 40734-2020")</f>
        <v/>
      </c>
      <c r="V750">
        <f>HYPERLINK("https://klasma.github.io/Logging_0880/klagomål/A 40734-2020 FSC-klagomål.docx", "A 40734-2020")</f>
        <v/>
      </c>
      <c r="W750">
        <f>HYPERLINK("https://klasma.github.io/Logging_0880/klagomålsmail/A 40734-2020 FSC-klagomål mail.docx", "A 40734-2020")</f>
        <v/>
      </c>
      <c r="X750">
        <f>HYPERLINK("https://klasma.github.io/Logging_0880/tillsyn/A 40734-2020 tillsynsbegäran.docx", "A 40734-2020")</f>
        <v/>
      </c>
      <c r="Y750">
        <f>HYPERLINK("https://klasma.github.io/Logging_0880/tillsynsmail/A 40734-2020 tillsynsbegäran mail.docx", "A 40734-2020")</f>
        <v/>
      </c>
    </row>
    <row r="751" ht="15" customHeight="1">
      <c r="A751" t="inlineStr">
        <is>
          <t>A 42097-2020</t>
        </is>
      </c>
      <c r="B751" s="1" t="n">
        <v>44075</v>
      </c>
      <c r="C751" s="1" t="n">
        <v>45715</v>
      </c>
      <c r="D751" t="inlineStr">
        <is>
          <t>KALMAR LÄN</t>
        </is>
      </c>
      <c r="E751" t="inlineStr">
        <is>
          <t>VIMMERBY</t>
        </is>
      </c>
      <c r="G751" t="n">
        <v>5.5</v>
      </c>
      <c r="H751" t="n">
        <v>0</v>
      </c>
      <c r="I751" t="n">
        <v>0</v>
      </c>
      <c r="J751" t="n">
        <v>1</v>
      </c>
      <c r="K751" t="n">
        <v>0</v>
      </c>
      <c r="L751" t="n">
        <v>0</v>
      </c>
      <c r="M751" t="n">
        <v>0</v>
      </c>
      <c r="N751" t="n">
        <v>0</v>
      </c>
      <c r="O751" t="n">
        <v>1</v>
      </c>
      <c r="P751" t="n">
        <v>0</v>
      </c>
      <c r="Q751" t="n">
        <v>1</v>
      </c>
      <c r="R751" s="2" t="inlineStr">
        <is>
          <t>Mjukdån</t>
        </is>
      </c>
      <c r="S751">
        <f>HYPERLINK("https://klasma.github.io/Logging_0884/artfynd/A 42097-2020 artfynd.xlsx", "A 42097-2020")</f>
        <v/>
      </c>
      <c r="T751">
        <f>HYPERLINK("https://klasma.github.io/Logging_0884/kartor/A 42097-2020 karta.png", "A 42097-2020")</f>
        <v/>
      </c>
      <c r="V751">
        <f>HYPERLINK("https://klasma.github.io/Logging_0884/klagomål/A 42097-2020 FSC-klagomål.docx", "A 42097-2020")</f>
        <v/>
      </c>
      <c r="W751">
        <f>HYPERLINK("https://klasma.github.io/Logging_0884/klagomålsmail/A 42097-2020 FSC-klagomål mail.docx", "A 42097-2020")</f>
        <v/>
      </c>
      <c r="X751">
        <f>HYPERLINK("https://klasma.github.io/Logging_0884/tillsyn/A 42097-2020 tillsynsbegäran.docx", "A 42097-2020")</f>
        <v/>
      </c>
      <c r="Y751">
        <f>HYPERLINK("https://klasma.github.io/Logging_0884/tillsynsmail/A 42097-2020 tillsynsbegäran mail.docx", "A 42097-2020")</f>
        <v/>
      </c>
    </row>
    <row r="752" ht="15" customHeight="1">
      <c r="A752" t="inlineStr">
        <is>
          <t>A 42248-2020</t>
        </is>
      </c>
      <c r="B752" s="1" t="n">
        <v>44076</v>
      </c>
      <c r="C752" s="1" t="n">
        <v>45715</v>
      </c>
      <c r="D752" t="inlineStr">
        <is>
          <t>KALMAR LÄN</t>
        </is>
      </c>
      <c r="E752" t="inlineStr">
        <is>
          <t>OSKARSHAMN</t>
        </is>
      </c>
      <c r="G752" t="n">
        <v>2.5</v>
      </c>
      <c r="H752" t="n">
        <v>0</v>
      </c>
      <c r="I752" t="n">
        <v>1</v>
      </c>
      <c r="J752" t="n">
        <v>0</v>
      </c>
      <c r="K752" t="n">
        <v>0</v>
      </c>
      <c r="L752" t="n">
        <v>0</v>
      </c>
      <c r="M752" t="n">
        <v>0</v>
      </c>
      <c r="N752" t="n">
        <v>0</v>
      </c>
      <c r="O752" t="n">
        <v>0</v>
      </c>
      <c r="P752" t="n">
        <v>0</v>
      </c>
      <c r="Q752" t="n">
        <v>1</v>
      </c>
      <c r="R752" s="2" t="inlineStr">
        <is>
          <t>Fällmossa</t>
        </is>
      </c>
      <c r="S752">
        <f>HYPERLINK("https://klasma.github.io/Logging_0882/artfynd/A 42248-2020 artfynd.xlsx", "A 42248-2020")</f>
        <v/>
      </c>
      <c r="T752">
        <f>HYPERLINK("https://klasma.github.io/Logging_0882/kartor/A 42248-2020 karta.png", "A 42248-2020")</f>
        <v/>
      </c>
      <c r="V752">
        <f>HYPERLINK("https://klasma.github.io/Logging_0882/klagomål/A 42248-2020 FSC-klagomål.docx", "A 42248-2020")</f>
        <v/>
      </c>
      <c r="W752">
        <f>HYPERLINK("https://klasma.github.io/Logging_0882/klagomålsmail/A 42248-2020 FSC-klagomål mail.docx", "A 42248-2020")</f>
        <v/>
      </c>
      <c r="X752">
        <f>HYPERLINK("https://klasma.github.io/Logging_0882/tillsyn/A 42248-2020 tillsynsbegäran.docx", "A 42248-2020")</f>
        <v/>
      </c>
      <c r="Y752">
        <f>HYPERLINK("https://klasma.github.io/Logging_0882/tillsynsmail/A 42248-2020 tillsynsbegäran mail.docx", "A 42248-2020")</f>
        <v/>
      </c>
    </row>
    <row r="753" ht="15" customHeight="1">
      <c r="A753" t="inlineStr">
        <is>
          <t>A 42694-2020</t>
        </is>
      </c>
      <c r="B753" s="1" t="n">
        <v>44077</v>
      </c>
      <c r="C753" s="1" t="n">
        <v>45715</v>
      </c>
      <c r="D753" t="inlineStr">
        <is>
          <t>KALMAR LÄN</t>
        </is>
      </c>
      <c r="E753" t="inlineStr">
        <is>
          <t>MÖRBYLÅNGA</t>
        </is>
      </c>
      <c r="G753" t="n">
        <v>0.9</v>
      </c>
      <c r="H753" t="n">
        <v>0</v>
      </c>
      <c r="I753" t="n">
        <v>0</v>
      </c>
      <c r="J753" t="n">
        <v>0</v>
      </c>
      <c r="K753" t="n">
        <v>1</v>
      </c>
      <c r="L753" t="n">
        <v>0</v>
      </c>
      <c r="M753" t="n">
        <v>0</v>
      </c>
      <c r="N753" t="n">
        <v>0</v>
      </c>
      <c r="O753" t="n">
        <v>1</v>
      </c>
      <c r="P753" t="n">
        <v>1</v>
      </c>
      <c r="Q753" t="n">
        <v>1</v>
      </c>
      <c r="R753" s="2" t="inlineStr">
        <is>
          <t>Gaffelfibbla</t>
        </is>
      </c>
      <c r="S753">
        <f>HYPERLINK("https://klasma.github.io/Logging_0840/artfynd/A 42694-2020 artfynd.xlsx", "A 42694-2020")</f>
        <v/>
      </c>
      <c r="T753">
        <f>HYPERLINK("https://klasma.github.io/Logging_0840/kartor/A 42694-2020 karta.png", "A 42694-2020")</f>
        <v/>
      </c>
      <c r="V753">
        <f>HYPERLINK("https://klasma.github.io/Logging_0840/klagomål/A 42694-2020 FSC-klagomål.docx", "A 42694-2020")</f>
        <v/>
      </c>
      <c r="W753">
        <f>HYPERLINK("https://klasma.github.io/Logging_0840/klagomålsmail/A 42694-2020 FSC-klagomål mail.docx", "A 42694-2020")</f>
        <v/>
      </c>
      <c r="X753">
        <f>HYPERLINK("https://klasma.github.io/Logging_0840/tillsyn/A 42694-2020 tillsynsbegäran.docx", "A 42694-2020")</f>
        <v/>
      </c>
      <c r="Y753">
        <f>HYPERLINK("https://klasma.github.io/Logging_0840/tillsynsmail/A 42694-2020 tillsynsbegäran mail.docx", "A 42694-2020")</f>
        <v/>
      </c>
    </row>
    <row r="754" ht="15" customHeight="1">
      <c r="A754" t="inlineStr">
        <is>
          <t>A 44306-2020</t>
        </is>
      </c>
      <c r="B754" s="1" t="n">
        <v>44082</v>
      </c>
      <c r="C754" s="1" t="n">
        <v>45715</v>
      </c>
      <c r="D754" t="inlineStr">
        <is>
          <t>KALMAR LÄN</t>
        </is>
      </c>
      <c r="E754" t="inlineStr">
        <is>
          <t>VIMMERBY</t>
        </is>
      </c>
      <c r="G754" t="n">
        <v>16.4</v>
      </c>
      <c r="H754" t="n">
        <v>1</v>
      </c>
      <c r="I754" t="n">
        <v>1</v>
      </c>
      <c r="J754" t="n">
        <v>0</v>
      </c>
      <c r="K754" t="n">
        <v>0</v>
      </c>
      <c r="L754" t="n">
        <v>0</v>
      </c>
      <c r="M754" t="n">
        <v>0</v>
      </c>
      <c r="N754" t="n">
        <v>0</v>
      </c>
      <c r="O754" t="n">
        <v>0</v>
      </c>
      <c r="P754" t="n">
        <v>0</v>
      </c>
      <c r="Q754" t="n">
        <v>1</v>
      </c>
      <c r="R754" s="2" t="inlineStr">
        <is>
          <t>Plattlummer</t>
        </is>
      </c>
      <c r="S754">
        <f>HYPERLINK("https://klasma.github.io/Logging_0884/artfynd/A 44306-2020 artfynd.xlsx", "A 44306-2020")</f>
        <v/>
      </c>
      <c r="T754">
        <f>HYPERLINK("https://klasma.github.io/Logging_0884/kartor/A 44306-2020 karta.png", "A 44306-2020")</f>
        <v/>
      </c>
      <c r="V754">
        <f>HYPERLINK("https://klasma.github.io/Logging_0884/klagomål/A 44306-2020 FSC-klagomål.docx", "A 44306-2020")</f>
        <v/>
      </c>
      <c r="W754">
        <f>HYPERLINK("https://klasma.github.io/Logging_0884/klagomålsmail/A 44306-2020 FSC-klagomål mail.docx", "A 44306-2020")</f>
        <v/>
      </c>
      <c r="X754">
        <f>HYPERLINK("https://klasma.github.io/Logging_0884/tillsyn/A 44306-2020 tillsynsbegäran.docx", "A 44306-2020")</f>
        <v/>
      </c>
      <c r="Y754">
        <f>HYPERLINK("https://klasma.github.io/Logging_0884/tillsynsmail/A 44306-2020 tillsynsbegäran mail.docx", "A 44306-2020")</f>
        <v/>
      </c>
    </row>
    <row r="755" ht="15" customHeight="1">
      <c r="A755" t="inlineStr">
        <is>
          <t>A 44078-2020</t>
        </is>
      </c>
      <c r="B755" s="1" t="n">
        <v>44083</v>
      </c>
      <c r="C755" s="1" t="n">
        <v>45715</v>
      </c>
      <c r="D755" t="inlineStr">
        <is>
          <t>KALMAR LÄN</t>
        </is>
      </c>
      <c r="E755" t="inlineStr">
        <is>
          <t>HÖGSBY</t>
        </is>
      </c>
      <c r="G755" t="n">
        <v>28.3</v>
      </c>
      <c r="H755" t="n">
        <v>1</v>
      </c>
      <c r="I755" t="n">
        <v>0</v>
      </c>
      <c r="J755" t="n">
        <v>0</v>
      </c>
      <c r="K755" t="n">
        <v>0</v>
      </c>
      <c r="L755" t="n">
        <v>0</v>
      </c>
      <c r="M755" t="n">
        <v>0</v>
      </c>
      <c r="N755" t="n">
        <v>0</v>
      </c>
      <c r="O755" t="n">
        <v>0</v>
      </c>
      <c r="P755" t="n">
        <v>0</v>
      </c>
      <c r="Q755" t="n">
        <v>1</v>
      </c>
      <c r="R755" s="2" t="inlineStr">
        <is>
          <t>Blåsippa</t>
        </is>
      </c>
      <c r="S755">
        <f>HYPERLINK("https://klasma.github.io/Logging_0821/artfynd/A 44078-2020 artfynd.xlsx", "A 44078-2020")</f>
        <v/>
      </c>
      <c r="T755">
        <f>HYPERLINK("https://klasma.github.io/Logging_0821/kartor/A 44078-2020 karta.png", "A 44078-2020")</f>
        <v/>
      </c>
      <c r="V755">
        <f>HYPERLINK("https://klasma.github.io/Logging_0821/klagomål/A 44078-2020 FSC-klagomål.docx", "A 44078-2020")</f>
        <v/>
      </c>
      <c r="W755">
        <f>HYPERLINK("https://klasma.github.io/Logging_0821/klagomålsmail/A 44078-2020 FSC-klagomål mail.docx", "A 44078-2020")</f>
        <v/>
      </c>
      <c r="X755">
        <f>HYPERLINK("https://klasma.github.io/Logging_0821/tillsyn/A 44078-2020 tillsynsbegäran.docx", "A 44078-2020")</f>
        <v/>
      </c>
      <c r="Y755">
        <f>HYPERLINK("https://klasma.github.io/Logging_0821/tillsynsmail/A 44078-2020 tillsynsbegäran mail.docx", "A 44078-2020")</f>
        <v/>
      </c>
    </row>
    <row r="756" ht="15" customHeight="1">
      <c r="A756" t="inlineStr">
        <is>
          <t>A 47009-2020</t>
        </is>
      </c>
      <c r="B756" s="1" t="n">
        <v>44091</v>
      </c>
      <c r="C756" s="1" t="n">
        <v>45715</v>
      </c>
      <c r="D756" t="inlineStr">
        <is>
          <t>KALMAR LÄN</t>
        </is>
      </c>
      <c r="E756" t="inlineStr">
        <is>
          <t>BORGHOLM</t>
        </is>
      </c>
      <c r="F756" t="inlineStr">
        <is>
          <t>Kommuner</t>
        </is>
      </c>
      <c r="G756" t="n">
        <v>2.2</v>
      </c>
      <c r="H756" t="n">
        <v>0</v>
      </c>
      <c r="I756" t="n">
        <v>0</v>
      </c>
      <c r="J756" t="n">
        <v>1</v>
      </c>
      <c r="K756" t="n">
        <v>0</v>
      </c>
      <c r="L756" t="n">
        <v>0</v>
      </c>
      <c r="M756" t="n">
        <v>0</v>
      </c>
      <c r="N756" t="n">
        <v>0</v>
      </c>
      <c r="O756" t="n">
        <v>1</v>
      </c>
      <c r="P756" t="n">
        <v>0</v>
      </c>
      <c r="Q756" t="n">
        <v>1</v>
      </c>
      <c r="R756" s="2" t="inlineStr">
        <is>
          <t>Guldsmalbi</t>
        </is>
      </c>
      <c r="S756">
        <f>HYPERLINK("https://klasma.github.io/Logging_0885/artfynd/A 47009-2020 artfynd.xlsx", "A 47009-2020")</f>
        <v/>
      </c>
      <c r="T756">
        <f>HYPERLINK("https://klasma.github.io/Logging_0885/kartor/A 47009-2020 karta.png", "A 47009-2020")</f>
        <v/>
      </c>
      <c r="V756">
        <f>HYPERLINK("https://klasma.github.io/Logging_0885/klagomål/A 47009-2020 FSC-klagomål.docx", "A 47009-2020")</f>
        <v/>
      </c>
      <c r="W756">
        <f>HYPERLINK("https://klasma.github.io/Logging_0885/klagomålsmail/A 47009-2020 FSC-klagomål mail.docx", "A 47009-2020")</f>
        <v/>
      </c>
      <c r="X756">
        <f>HYPERLINK("https://klasma.github.io/Logging_0885/tillsyn/A 47009-2020 tillsynsbegäran.docx", "A 47009-2020")</f>
        <v/>
      </c>
      <c r="Y756">
        <f>HYPERLINK("https://klasma.github.io/Logging_0885/tillsynsmail/A 47009-2020 tillsynsbegäran mail.docx", "A 47009-2020")</f>
        <v/>
      </c>
    </row>
    <row r="757" ht="15" customHeight="1">
      <c r="A757" t="inlineStr">
        <is>
          <t>A 47536-2020</t>
        </is>
      </c>
      <c r="B757" s="1" t="n">
        <v>44098</v>
      </c>
      <c r="C757" s="1" t="n">
        <v>45715</v>
      </c>
      <c r="D757" t="inlineStr">
        <is>
          <t>KALMAR LÄN</t>
        </is>
      </c>
      <c r="E757" t="inlineStr">
        <is>
          <t>TORSÅS</t>
        </is>
      </c>
      <c r="G757" t="n">
        <v>2</v>
      </c>
      <c r="H757" t="n">
        <v>1</v>
      </c>
      <c r="I757" t="n">
        <v>0</v>
      </c>
      <c r="J757" t="n">
        <v>0</v>
      </c>
      <c r="K757" t="n">
        <v>0</v>
      </c>
      <c r="L757" t="n">
        <v>0</v>
      </c>
      <c r="M757" t="n">
        <v>0</v>
      </c>
      <c r="N757" t="n">
        <v>0</v>
      </c>
      <c r="O757" t="n">
        <v>0</v>
      </c>
      <c r="P757" t="n">
        <v>0</v>
      </c>
      <c r="Q757" t="n">
        <v>1</v>
      </c>
      <c r="R757" s="2" t="inlineStr">
        <is>
          <t>Gullviva</t>
        </is>
      </c>
      <c r="S757">
        <f>HYPERLINK("https://klasma.github.io/Logging_0834/artfynd/A 47536-2020 artfynd.xlsx", "A 47536-2020")</f>
        <v/>
      </c>
      <c r="T757">
        <f>HYPERLINK("https://klasma.github.io/Logging_0834/kartor/A 47536-2020 karta.png", "A 47536-2020")</f>
        <v/>
      </c>
      <c r="V757">
        <f>HYPERLINK("https://klasma.github.io/Logging_0834/klagomål/A 47536-2020 FSC-klagomål.docx", "A 47536-2020")</f>
        <v/>
      </c>
      <c r="W757">
        <f>HYPERLINK("https://klasma.github.io/Logging_0834/klagomålsmail/A 47536-2020 FSC-klagomål mail.docx", "A 47536-2020")</f>
        <v/>
      </c>
      <c r="X757">
        <f>HYPERLINK("https://klasma.github.io/Logging_0834/tillsyn/A 47536-2020 tillsynsbegäran.docx", "A 47536-2020")</f>
        <v/>
      </c>
      <c r="Y757">
        <f>HYPERLINK("https://klasma.github.io/Logging_0834/tillsynsmail/A 47536-2020 tillsynsbegäran mail.docx", "A 47536-2020")</f>
        <v/>
      </c>
    </row>
    <row r="758" ht="15" customHeight="1">
      <c r="A758" t="inlineStr">
        <is>
          <t>A 49211-2020</t>
        </is>
      </c>
      <c r="B758" s="1" t="n">
        <v>44105</v>
      </c>
      <c r="C758" s="1" t="n">
        <v>45715</v>
      </c>
      <c r="D758" t="inlineStr">
        <is>
          <t>KALMAR LÄN</t>
        </is>
      </c>
      <c r="E758" t="inlineStr">
        <is>
          <t>TORSÅS</t>
        </is>
      </c>
      <c r="G758" t="n">
        <v>3</v>
      </c>
      <c r="H758" t="n">
        <v>0</v>
      </c>
      <c r="I758" t="n">
        <v>0</v>
      </c>
      <c r="J758" t="n">
        <v>1</v>
      </c>
      <c r="K758" t="n">
        <v>0</v>
      </c>
      <c r="L758" t="n">
        <v>0</v>
      </c>
      <c r="M758" t="n">
        <v>0</v>
      </c>
      <c r="N758" t="n">
        <v>0</v>
      </c>
      <c r="O758" t="n">
        <v>1</v>
      </c>
      <c r="P758" t="n">
        <v>0</v>
      </c>
      <c r="Q758" t="n">
        <v>1</v>
      </c>
      <c r="R758" s="2" t="inlineStr">
        <is>
          <t>Tallticka</t>
        </is>
      </c>
      <c r="S758">
        <f>HYPERLINK("https://klasma.github.io/Logging_0834/artfynd/A 49211-2020 artfynd.xlsx", "A 49211-2020")</f>
        <v/>
      </c>
      <c r="T758">
        <f>HYPERLINK("https://klasma.github.io/Logging_0834/kartor/A 49211-2020 karta.png", "A 49211-2020")</f>
        <v/>
      </c>
      <c r="V758">
        <f>HYPERLINK("https://klasma.github.io/Logging_0834/klagomål/A 49211-2020 FSC-klagomål.docx", "A 49211-2020")</f>
        <v/>
      </c>
      <c r="W758">
        <f>HYPERLINK("https://klasma.github.io/Logging_0834/klagomålsmail/A 49211-2020 FSC-klagomål mail.docx", "A 49211-2020")</f>
        <v/>
      </c>
      <c r="X758">
        <f>HYPERLINK("https://klasma.github.io/Logging_0834/tillsyn/A 49211-2020 tillsynsbegäran.docx", "A 49211-2020")</f>
        <v/>
      </c>
      <c r="Y758">
        <f>HYPERLINK("https://klasma.github.io/Logging_0834/tillsynsmail/A 49211-2020 tillsynsbegäran mail.docx", "A 49211-2020")</f>
        <v/>
      </c>
    </row>
    <row r="759" ht="15" customHeight="1">
      <c r="A759" t="inlineStr">
        <is>
          <t>A 52954-2020</t>
        </is>
      </c>
      <c r="B759" s="1" t="n">
        <v>44120</v>
      </c>
      <c r="C759" s="1" t="n">
        <v>45715</v>
      </c>
      <c r="D759" t="inlineStr">
        <is>
          <t>KALMAR LÄN</t>
        </is>
      </c>
      <c r="E759" t="inlineStr">
        <is>
          <t>EMMABODA</t>
        </is>
      </c>
      <c r="F759" t="inlineStr">
        <is>
          <t>Sveaskog</t>
        </is>
      </c>
      <c r="G759" t="n">
        <v>2.2</v>
      </c>
      <c r="H759" t="n">
        <v>1</v>
      </c>
      <c r="I759" t="n">
        <v>0</v>
      </c>
      <c r="J759" t="n">
        <v>0</v>
      </c>
      <c r="K759" t="n">
        <v>1</v>
      </c>
      <c r="L759" t="n">
        <v>0</v>
      </c>
      <c r="M759" t="n">
        <v>0</v>
      </c>
      <c r="N759" t="n">
        <v>0</v>
      </c>
      <c r="O759" t="n">
        <v>1</v>
      </c>
      <c r="P759" t="n">
        <v>1</v>
      </c>
      <c r="Q759" t="n">
        <v>1</v>
      </c>
      <c r="R759" s="2" t="inlineStr">
        <is>
          <t>Knärot</t>
        </is>
      </c>
      <c r="S759">
        <f>HYPERLINK("https://klasma.github.io/Logging_0862/artfynd/A 52954-2020 artfynd.xlsx", "A 52954-2020")</f>
        <v/>
      </c>
      <c r="T759">
        <f>HYPERLINK("https://klasma.github.io/Logging_0862/kartor/A 52954-2020 karta.png", "A 52954-2020")</f>
        <v/>
      </c>
      <c r="U759">
        <f>HYPERLINK("https://klasma.github.io/Logging_0862/knärot/A 52954-2020 karta knärot.png", "A 52954-2020")</f>
        <v/>
      </c>
      <c r="V759">
        <f>HYPERLINK("https://klasma.github.io/Logging_0862/klagomål/A 52954-2020 FSC-klagomål.docx", "A 52954-2020")</f>
        <v/>
      </c>
      <c r="W759">
        <f>HYPERLINK("https://klasma.github.io/Logging_0862/klagomålsmail/A 52954-2020 FSC-klagomål mail.docx", "A 52954-2020")</f>
        <v/>
      </c>
      <c r="X759">
        <f>HYPERLINK("https://klasma.github.io/Logging_0862/tillsyn/A 52954-2020 tillsynsbegäran.docx", "A 52954-2020")</f>
        <v/>
      </c>
      <c r="Y759">
        <f>HYPERLINK("https://klasma.github.io/Logging_0862/tillsynsmail/A 52954-2020 tillsynsbegäran mail.docx", "A 52954-2020")</f>
        <v/>
      </c>
    </row>
    <row r="760" ht="15" customHeight="1">
      <c r="A760" t="inlineStr">
        <is>
          <t>A 53125-2020</t>
        </is>
      </c>
      <c r="B760" s="1" t="n">
        <v>44120</v>
      </c>
      <c r="C760" s="1" t="n">
        <v>45715</v>
      </c>
      <c r="D760" t="inlineStr">
        <is>
          <t>KALMAR LÄN</t>
        </is>
      </c>
      <c r="E760" t="inlineStr">
        <is>
          <t>NYBRO</t>
        </is>
      </c>
      <c r="G760" t="n">
        <v>9.5</v>
      </c>
      <c r="H760" t="n">
        <v>0</v>
      </c>
      <c r="I760" t="n">
        <v>0</v>
      </c>
      <c r="J760" t="n">
        <v>0</v>
      </c>
      <c r="K760" t="n">
        <v>1</v>
      </c>
      <c r="L760" t="n">
        <v>0</v>
      </c>
      <c r="M760" t="n">
        <v>0</v>
      </c>
      <c r="N760" t="n">
        <v>0</v>
      </c>
      <c r="O760" t="n">
        <v>1</v>
      </c>
      <c r="P760" t="n">
        <v>1</v>
      </c>
      <c r="Q760" t="n">
        <v>1</v>
      </c>
      <c r="R760" s="2" t="inlineStr">
        <is>
          <t>Växeltandsfibbla</t>
        </is>
      </c>
      <c r="S760">
        <f>HYPERLINK("https://klasma.github.io/Logging_0881/artfynd/A 53125-2020 artfynd.xlsx", "A 53125-2020")</f>
        <v/>
      </c>
      <c r="T760">
        <f>HYPERLINK("https://klasma.github.io/Logging_0881/kartor/A 53125-2020 karta.png", "A 53125-2020")</f>
        <v/>
      </c>
      <c r="V760">
        <f>HYPERLINK("https://klasma.github.io/Logging_0881/klagomål/A 53125-2020 FSC-klagomål.docx", "A 53125-2020")</f>
        <v/>
      </c>
      <c r="W760">
        <f>HYPERLINK("https://klasma.github.io/Logging_0881/klagomålsmail/A 53125-2020 FSC-klagomål mail.docx", "A 53125-2020")</f>
        <v/>
      </c>
      <c r="X760">
        <f>HYPERLINK("https://klasma.github.io/Logging_0881/tillsyn/A 53125-2020 tillsynsbegäran.docx", "A 53125-2020")</f>
        <v/>
      </c>
      <c r="Y760">
        <f>HYPERLINK("https://klasma.github.io/Logging_0881/tillsynsmail/A 53125-2020 tillsynsbegäran mail.docx", "A 53125-2020")</f>
        <v/>
      </c>
    </row>
    <row r="761" ht="15" customHeight="1">
      <c r="A761" t="inlineStr">
        <is>
          <t>A 53706-2020</t>
        </is>
      </c>
      <c r="B761" s="1" t="n">
        <v>44124</v>
      </c>
      <c r="C761" s="1" t="n">
        <v>45715</v>
      </c>
      <c r="D761" t="inlineStr">
        <is>
          <t>KALMAR LÄN</t>
        </is>
      </c>
      <c r="E761" t="inlineStr">
        <is>
          <t>HULTSFRED</t>
        </is>
      </c>
      <c r="G761" t="n">
        <v>2.3</v>
      </c>
      <c r="H761" t="n">
        <v>1</v>
      </c>
      <c r="I761" t="n">
        <v>0</v>
      </c>
      <c r="J761" t="n">
        <v>1</v>
      </c>
      <c r="K761" t="n">
        <v>0</v>
      </c>
      <c r="L761" t="n">
        <v>0</v>
      </c>
      <c r="M761" t="n">
        <v>0</v>
      </c>
      <c r="N761" t="n">
        <v>0</v>
      </c>
      <c r="O761" t="n">
        <v>1</v>
      </c>
      <c r="P761" t="n">
        <v>0</v>
      </c>
      <c r="Q761" t="n">
        <v>1</v>
      </c>
      <c r="R761" s="2" t="inlineStr">
        <is>
          <t>Entita</t>
        </is>
      </c>
      <c r="S761">
        <f>HYPERLINK("https://klasma.github.io/Logging_0860/artfynd/A 53706-2020 artfynd.xlsx", "A 53706-2020")</f>
        <v/>
      </c>
      <c r="T761">
        <f>HYPERLINK("https://klasma.github.io/Logging_0860/kartor/A 53706-2020 karta.png", "A 53706-2020")</f>
        <v/>
      </c>
      <c r="V761">
        <f>HYPERLINK("https://klasma.github.io/Logging_0860/klagomål/A 53706-2020 FSC-klagomål.docx", "A 53706-2020")</f>
        <v/>
      </c>
      <c r="W761">
        <f>HYPERLINK("https://klasma.github.io/Logging_0860/klagomålsmail/A 53706-2020 FSC-klagomål mail.docx", "A 53706-2020")</f>
        <v/>
      </c>
      <c r="X761">
        <f>HYPERLINK("https://klasma.github.io/Logging_0860/tillsyn/A 53706-2020 tillsynsbegäran.docx", "A 53706-2020")</f>
        <v/>
      </c>
      <c r="Y761">
        <f>HYPERLINK("https://klasma.github.io/Logging_0860/tillsynsmail/A 53706-2020 tillsynsbegäran mail.docx", "A 53706-2020")</f>
        <v/>
      </c>
      <c r="Z761">
        <f>HYPERLINK("https://klasma.github.io/Logging_0860/fåglar/A 53706-2020 prioriterade fågelarter.docx", "A 53706-2020")</f>
        <v/>
      </c>
    </row>
    <row r="762" ht="15" customHeight="1">
      <c r="A762" t="inlineStr">
        <is>
          <t>A 53918-2020</t>
        </is>
      </c>
      <c r="B762" s="1" t="n">
        <v>44125</v>
      </c>
      <c r="C762" s="1" t="n">
        <v>45715</v>
      </c>
      <c r="D762" t="inlineStr">
        <is>
          <t>KALMAR LÄN</t>
        </is>
      </c>
      <c r="E762" t="inlineStr">
        <is>
          <t>TORSÅS</t>
        </is>
      </c>
      <c r="G762" t="n">
        <v>8.300000000000001</v>
      </c>
      <c r="H762" t="n">
        <v>0</v>
      </c>
      <c r="I762" t="n">
        <v>0</v>
      </c>
      <c r="J762" t="n">
        <v>1</v>
      </c>
      <c r="K762" t="n">
        <v>0</v>
      </c>
      <c r="L762" t="n">
        <v>0</v>
      </c>
      <c r="M762" t="n">
        <v>0</v>
      </c>
      <c r="N762" t="n">
        <v>0</v>
      </c>
      <c r="O762" t="n">
        <v>1</v>
      </c>
      <c r="P762" t="n">
        <v>0</v>
      </c>
      <c r="Q762" t="n">
        <v>1</v>
      </c>
      <c r="R762" s="2" t="inlineStr">
        <is>
          <t>Småjungfrukam</t>
        </is>
      </c>
      <c r="S762">
        <f>HYPERLINK("https://klasma.github.io/Logging_0834/artfynd/A 53918-2020 artfynd.xlsx", "A 53918-2020")</f>
        <v/>
      </c>
      <c r="T762">
        <f>HYPERLINK("https://klasma.github.io/Logging_0834/kartor/A 53918-2020 karta.png", "A 53918-2020")</f>
        <v/>
      </c>
      <c r="V762">
        <f>HYPERLINK("https://klasma.github.io/Logging_0834/klagomål/A 53918-2020 FSC-klagomål.docx", "A 53918-2020")</f>
        <v/>
      </c>
      <c r="W762">
        <f>HYPERLINK("https://klasma.github.io/Logging_0834/klagomålsmail/A 53918-2020 FSC-klagomål mail.docx", "A 53918-2020")</f>
        <v/>
      </c>
      <c r="X762">
        <f>HYPERLINK("https://klasma.github.io/Logging_0834/tillsyn/A 53918-2020 tillsynsbegäran.docx", "A 53918-2020")</f>
        <v/>
      </c>
      <c r="Y762">
        <f>HYPERLINK("https://klasma.github.io/Logging_0834/tillsynsmail/A 53918-2020 tillsynsbegäran mail.docx", "A 53918-2020")</f>
        <v/>
      </c>
    </row>
    <row r="763" ht="15" customHeight="1">
      <c r="A763" t="inlineStr">
        <is>
          <t>A 57949-2020</t>
        </is>
      </c>
      <c r="B763" s="1" t="n">
        <v>44142</v>
      </c>
      <c r="C763" s="1" t="n">
        <v>45715</v>
      </c>
      <c r="D763" t="inlineStr">
        <is>
          <t>KALMAR LÄN</t>
        </is>
      </c>
      <c r="E763" t="inlineStr">
        <is>
          <t>VIMMERBY</t>
        </is>
      </c>
      <c r="G763" t="n">
        <v>3.4</v>
      </c>
      <c r="H763" t="n">
        <v>0</v>
      </c>
      <c r="I763" t="n">
        <v>1</v>
      </c>
      <c r="J763" t="n">
        <v>0</v>
      </c>
      <c r="K763" t="n">
        <v>0</v>
      </c>
      <c r="L763" t="n">
        <v>0</v>
      </c>
      <c r="M763" t="n">
        <v>0</v>
      </c>
      <c r="N763" t="n">
        <v>0</v>
      </c>
      <c r="O763" t="n">
        <v>0</v>
      </c>
      <c r="P763" t="n">
        <v>0</v>
      </c>
      <c r="Q763" t="n">
        <v>1</v>
      </c>
      <c r="R763" s="2" t="inlineStr">
        <is>
          <t>Vårärt</t>
        </is>
      </c>
      <c r="S763">
        <f>HYPERLINK("https://klasma.github.io/Logging_0884/artfynd/A 57949-2020 artfynd.xlsx", "A 57949-2020")</f>
        <v/>
      </c>
      <c r="T763">
        <f>HYPERLINK("https://klasma.github.io/Logging_0884/kartor/A 57949-2020 karta.png", "A 57949-2020")</f>
        <v/>
      </c>
      <c r="V763">
        <f>HYPERLINK("https://klasma.github.io/Logging_0884/klagomål/A 57949-2020 FSC-klagomål.docx", "A 57949-2020")</f>
        <v/>
      </c>
      <c r="W763">
        <f>HYPERLINK("https://klasma.github.io/Logging_0884/klagomålsmail/A 57949-2020 FSC-klagomål mail.docx", "A 57949-2020")</f>
        <v/>
      </c>
      <c r="X763">
        <f>HYPERLINK("https://klasma.github.io/Logging_0884/tillsyn/A 57949-2020 tillsynsbegäran.docx", "A 57949-2020")</f>
        <v/>
      </c>
      <c r="Y763">
        <f>HYPERLINK("https://klasma.github.io/Logging_0884/tillsynsmail/A 57949-2020 tillsynsbegäran mail.docx", "A 57949-2020")</f>
        <v/>
      </c>
    </row>
    <row r="764" ht="15" customHeight="1">
      <c r="A764" t="inlineStr">
        <is>
          <t>A 62137-2020</t>
        </is>
      </c>
      <c r="B764" s="1" t="n">
        <v>44159</v>
      </c>
      <c r="C764" s="1" t="n">
        <v>45715</v>
      </c>
      <c r="D764" t="inlineStr">
        <is>
          <t>KALMAR LÄN</t>
        </is>
      </c>
      <c r="E764" t="inlineStr">
        <is>
          <t>HULTSFRED</t>
        </is>
      </c>
      <c r="G764" t="n">
        <v>2.5</v>
      </c>
      <c r="H764" t="n">
        <v>0</v>
      </c>
      <c r="I764" t="n">
        <v>0</v>
      </c>
      <c r="J764" t="n">
        <v>1</v>
      </c>
      <c r="K764" t="n">
        <v>0</v>
      </c>
      <c r="L764" t="n">
        <v>0</v>
      </c>
      <c r="M764" t="n">
        <v>0</v>
      </c>
      <c r="N764" t="n">
        <v>0</v>
      </c>
      <c r="O764" t="n">
        <v>1</v>
      </c>
      <c r="P764" t="n">
        <v>0</v>
      </c>
      <c r="Q764" t="n">
        <v>1</v>
      </c>
      <c r="R764" s="2" t="inlineStr">
        <is>
          <t>Gullklöver</t>
        </is>
      </c>
      <c r="S764">
        <f>HYPERLINK("https://klasma.github.io/Logging_0860/artfynd/A 62137-2020 artfynd.xlsx", "A 62137-2020")</f>
        <v/>
      </c>
      <c r="T764">
        <f>HYPERLINK("https://klasma.github.io/Logging_0860/kartor/A 62137-2020 karta.png", "A 62137-2020")</f>
        <v/>
      </c>
      <c r="V764">
        <f>HYPERLINK("https://klasma.github.io/Logging_0860/klagomål/A 62137-2020 FSC-klagomål.docx", "A 62137-2020")</f>
        <v/>
      </c>
      <c r="W764">
        <f>HYPERLINK("https://klasma.github.io/Logging_0860/klagomålsmail/A 62137-2020 FSC-klagomål mail.docx", "A 62137-2020")</f>
        <v/>
      </c>
      <c r="X764">
        <f>HYPERLINK("https://klasma.github.io/Logging_0860/tillsyn/A 62137-2020 tillsynsbegäran.docx", "A 62137-2020")</f>
        <v/>
      </c>
      <c r="Y764">
        <f>HYPERLINK("https://klasma.github.io/Logging_0860/tillsynsmail/A 62137-2020 tillsynsbegäran mail.docx", "A 62137-2020")</f>
        <v/>
      </c>
    </row>
    <row r="765" ht="15" customHeight="1">
      <c r="A765" t="inlineStr">
        <is>
          <t>A 64674-2020</t>
        </is>
      </c>
      <c r="B765" s="1" t="n">
        <v>44169</v>
      </c>
      <c r="C765" s="1" t="n">
        <v>45715</v>
      </c>
      <c r="D765" t="inlineStr">
        <is>
          <t>KALMAR LÄN</t>
        </is>
      </c>
      <c r="E765" t="inlineStr">
        <is>
          <t>VIMMERBY</t>
        </is>
      </c>
      <c r="G765" t="n">
        <v>7.4</v>
      </c>
      <c r="H765" t="n">
        <v>0</v>
      </c>
      <c r="I765" t="n">
        <v>0</v>
      </c>
      <c r="J765" t="n">
        <v>0</v>
      </c>
      <c r="K765" t="n">
        <v>1</v>
      </c>
      <c r="L765" t="n">
        <v>0</v>
      </c>
      <c r="M765" t="n">
        <v>0</v>
      </c>
      <c r="N765" t="n">
        <v>0</v>
      </c>
      <c r="O765" t="n">
        <v>1</v>
      </c>
      <c r="P765" t="n">
        <v>1</v>
      </c>
      <c r="Q765" t="n">
        <v>1</v>
      </c>
      <c r="R765" s="2" t="inlineStr">
        <is>
          <t>Lansettfibbla</t>
        </is>
      </c>
      <c r="S765">
        <f>HYPERLINK("https://klasma.github.io/Logging_0884/artfynd/A 64674-2020 artfynd.xlsx", "A 64674-2020")</f>
        <v/>
      </c>
      <c r="T765">
        <f>HYPERLINK("https://klasma.github.io/Logging_0884/kartor/A 64674-2020 karta.png", "A 64674-2020")</f>
        <v/>
      </c>
      <c r="V765">
        <f>HYPERLINK("https://klasma.github.io/Logging_0884/klagomål/A 64674-2020 FSC-klagomål.docx", "A 64674-2020")</f>
        <v/>
      </c>
      <c r="W765">
        <f>HYPERLINK("https://klasma.github.io/Logging_0884/klagomålsmail/A 64674-2020 FSC-klagomål mail.docx", "A 64674-2020")</f>
        <v/>
      </c>
      <c r="X765">
        <f>HYPERLINK("https://klasma.github.io/Logging_0884/tillsyn/A 64674-2020 tillsynsbegäran.docx", "A 64674-2020")</f>
        <v/>
      </c>
      <c r="Y765">
        <f>HYPERLINK("https://klasma.github.io/Logging_0884/tillsynsmail/A 64674-2020 tillsynsbegäran mail.docx", "A 64674-2020")</f>
        <v/>
      </c>
    </row>
    <row r="766" ht="15" customHeight="1">
      <c r="A766" t="inlineStr">
        <is>
          <t>A 65962-2020</t>
        </is>
      </c>
      <c r="B766" s="1" t="n">
        <v>44175</v>
      </c>
      <c r="C766" s="1" t="n">
        <v>45715</v>
      </c>
      <c r="D766" t="inlineStr">
        <is>
          <t>KALMAR LÄN</t>
        </is>
      </c>
      <c r="E766" t="inlineStr">
        <is>
          <t>NYBRO</t>
        </is>
      </c>
      <c r="F766" t="inlineStr">
        <is>
          <t>Sveaskog</t>
        </is>
      </c>
      <c r="G766" t="n">
        <v>0.6</v>
      </c>
      <c r="H766" t="n">
        <v>1</v>
      </c>
      <c r="I766" t="n">
        <v>0</v>
      </c>
      <c r="J766" t="n">
        <v>1</v>
      </c>
      <c r="K766" t="n">
        <v>0</v>
      </c>
      <c r="L766" t="n">
        <v>0</v>
      </c>
      <c r="M766" t="n">
        <v>0</v>
      </c>
      <c r="N766" t="n">
        <v>0</v>
      </c>
      <c r="O766" t="n">
        <v>1</v>
      </c>
      <c r="P766" t="n">
        <v>0</v>
      </c>
      <c r="Q766" t="n">
        <v>1</v>
      </c>
      <c r="R766" s="2" t="inlineStr">
        <is>
          <t>Talltita</t>
        </is>
      </c>
      <c r="S766">
        <f>HYPERLINK("https://klasma.github.io/Logging_0881/artfynd/A 65962-2020 artfynd.xlsx", "A 65962-2020")</f>
        <v/>
      </c>
      <c r="T766">
        <f>HYPERLINK("https://klasma.github.io/Logging_0881/kartor/A 65962-2020 karta.png", "A 65962-2020")</f>
        <v/>
      </c>
      <c r="V766">
        <f>HYPERLINK("https://klasma.github.io/Logging_0881/klagomål/A 65962-2020 FSC-klagomål.docx", "A 65962-2020")</f>
        <v/>
      </c>
      <c r="W766">
        <f>HYPERLINK("https://klasma.github.io/Logging_0881/klagomålsmail/A 65962-2020 FSC-klagomål mail.docx", "A 65962-2020")</f>
        <v/>
      </c>
      <c r="X766">
        <f>HYPERLINK("https://klasma.github.io/Logging_0881/tillsyn/A 65962-2020 tillsynsbegäran.docx", "A 65962-2020")</f>
        <v/>
      </c>
      <c r="Y766">
        <f>HYPERLINK("https://klasma.github.io/Logging_0881/tillsynsmail/A 65962-2020 tillsynsbegäran mail.docx", "A 65962-2020")</f>
        <v/>
      </c>
      <c r="Z766">
        <f>HYPERLINK("https://klasma.github.io/Logging_0881/fåglar/A 65962-2020 prioriterade fågelarter.docx", "A 65962-2020")</f>
        <v/>
      </c>
    </row>
    <row r="767" ht="15" customHeight="1">
      <c r="A767" t="inlineStr">
        <is>
          <t>A 66752-2020</t>
        </is>
      </c>
      <c r="B767" s="1" t="n">
        <v>44175</v>
      </c>
      <c r="C767" s="1" t="n">
        <v>45715</v>
      </c>
      <c r="D767" t="inlineStr">
        <is>
          <t>KALMAR LÄN</t>
        </is>
      </c>
      <c r="E767" t="inlineStr">
        <is>
          <t>VÄSTERVIK</t>
        </is>
      </c>
      <c r="G767" t="n">
        <v>0.7</v>
      </c>
      <c r="H767" t="n">
        <v>0</v>
      </c>
      <c r="I767" t="n">
        <v>0</v>
      </c>
      <c r="J767" t="n">
        <v>1</v>
      </c>
      <c r="K767" t="n">
        <v>0</v>
      </c>
      <c r="L767" t="n">
        <v>0</v>
      </c>
      <c r="M767" t="n">
        <v>0</v>
      </c>
      <c r="N767" t="n">
        <v>0</v>
      </c>
      <c r="O767" t="n">
        <v>1</v>
      </c>
      <c r="P767" t="n">
        <v>0</v>
      </c>
      <c r="Q767" t="n">
        <v>1</v>
      </c>
      <c r="R767" s="2" t="inlineStr">
        <is>
          <t>Tallticka</t>
        </is>
      </c>
      <c r="S767">
        <f>HYPERLINK("https://klasma.github.io/Logging_0883/artfynd/A 66752-2020 artfynd.xlsx", "A 66752-2020")</f>
        <v/>
      </c>
      <c r="T767">
        <f>HYPERLINK("https://klasma.github.io/Logging_0883/kartor/A 66752-2020 karta.png", "A 66752-2020")</f>
        <v/>
      </c>
      <c r="V767">
        <f>HYPERLINK("https://klasma.github.io/Logging_0883/klagomål/A 66752-2020 FSC-klagomål.docx", "A 66752-2020")</f>
        <v/>
      </c>
      <c r="W767">
        <f>HYPERLINK("https://klasma.github.io/Logging_0883/klagomålsmail/A 66752-2020 FSC-klagomål mail.docx", "A 66752-2020")</f>
        <v/>
      </c>
      <c r="X767">
        <f>HYPERLINK("https://klasma.github.io/Logging_0883/tillsyn/A 66752-2020 tillsynsbegäran.docx", "A 66752-2020")</f>
        <v/>
      </c>
      <c r="Y767">
        <f>HYPERLINK("https://klasma.github.io/Logging_0883/tillsynsmail/A 66752-2020 tillsynsbegäran mail.docx", "A 66752-2020")</f>
        <v/>
      </c>
    </row>
    <row r="768" ht="15" customHeight="1">
      <c r="A768" t="inlineStr">
        <is>
          <t>A 66329-2020</t>
        </is>
      </c>
      <c r="B768" s="1" t="n">
        <v>44176</v>
      </c>
      <c r="C768" s="1" t="n">
        <v>45715</v>
      </c>
      <c r="D768" t="inlineStr">
        <is>
          <t>KALMAR LÄN</t>
        </is>
      </c>
      <c r="E768" t="inlineStr">
        <is>
          <t>BORGHOLM</t>
        </is>
      </c>
      <c r="G768" t="n">
        <v>7.4</v>
      </c>
      <c r="H768" t="n">
        <v>0</v>
      </c>
      <c r="I768" t="n">
        <v>0</v>
      </c>
      <c r="J768" t="n">
        <v>1</v>
      </c>
      <c r="K768" t="n">
        <v>0</v>
      </c>
      <c r="L768" t="n">
        <v>0</v>
      </c>
      <c r="M768" t="n">
        <v>0</v>
      </c>
      <c r="N768" t="n">
        <v>0</v>
      </c>
      <c r="O768" t="n">
        <v>1</v>
      </c>
      <c r="P768" t="n">
        <v>0</v>
      </c>
      <c r="Q768" t="n">
        <v>1</v>
      </c>
      <c r="R768" s="2" t="inlineStr">
        <is>
          <t>Säfferot</t>
        </is>
      </c>
      <c r="S768">
        <f>HYPERLINK("https://klasma.github.io/Logging_0885/artfynd/A 66329-2020 artfynd.xlsx", "A 66329-2020")</f>
        <v/>
      </c>
      <c r="T768">
        <f>HYPERLINK("https://klasma.github.io/Logging_0885/kartor/A 66329-2020 karta.png", "A 66329-2020")</f>
        <v/>
      </c>
      <c r="V768">
        <f>HYPERLINK("https://klasma.github.io/Logging_0885/klagomål/A 66329-2020 FSC-klagomål.docx", "A 66329-2020")</f>
        <v/>
      </c>
      <c r="W768">
        <f>HYPERLINK("https://klasma.github.io/Logging_0885/klagomålsmail/A 66329-2020 FSC-klagomål mail.docx", "A 66329-2020")</f>
        <v/>
      </c>
      <c r="X768">
        <f>HYPERLINK("https://klasma.github.io/Logging_0885/tillsyn/A 66329-2020 tillsynsbegäran.docx", "A 66329-2020")</f>
        <v/>
      </c>
      <c r="Y768">
        <f>HYPERLINK("https://klasma.github.io/Logging_0885/tillsynsmail/A 66329-2020 tillsynsbegäran mail.docx", "A 66329-2020")</f>
        <v/>
      </c>
    </row>
    <row r="769" ht="15" customHeight="1">
      <c r="A769" t="inlineStr">
        <is>
          <t>A 67114-2020</t>
        </is>
      </c>
      <c r="B769" s="1" t="n">
        <v>44180</v>
      </c>
      <c r="C769" s="1" t="n">
        <v>45715</v>
      </c>
      <c r="D769" t="inlineStr">
        <is>
          <t>KALMAR LÄN</t>
        </is>
      </c>
      <c r="E769" t="inlineStr">
        <is>
          <t>HULTSFRED</t>
        </is>
      </c>
      <c r="G769" t="n">
        <v>1.3</v>
      </c>
      <c r="H769" t="n">
        <v>1</v>
      </c>
      <c r="I769" t="n">
        <v>1</v>
      </c>
      <c r="J769" t="n">
        <v>0</v>
      </c>
      <c r="K769" t="n">
        <v>0</v>
      </c>
      <c r="L769" t="n">
        <v>0</v>
      </c>
      <c r="M769" t="n">
        <v>0</v>
      </c>
      <c r="N769" t="n">
        <v>0</v>
      </c>
      <c r="O769" t="n">
        <v>0</v>
      </c>
      <c r="P769" t="n">
        <v>0</v>
      </c>
      <c r="Q769" t="n">
        <v>1</v>
      </c>
      <c r="R769" s="2" t="inlineStr">
        <is>
          <t>Spindelblomster</t>
        </is>
      </c>
      <c r="S769">
        <f>HYPERLINK("https://klasma.github.io/Logging_0860/artfynd/A 67114-2020 artfynd.xlsx", "A 67114-2020")</f>
        <v/>
      </c>
      <c r="T769">
        <f>HYPERLINK("https://klasma.github.io/Logging_0860/kartor/A 67114-2020 karta.png", "A 67114-2020")</f>
        <v/>
      </c>
      <c r="V769">
        <f>HYPERLINK("https://klasma.github.io/Logging_0860/klagomål/A 67114-2020 FSC-klagomål.docx", "A 67114-2020")</f>
        <v/>
      </c>
      <c r="W769">
        <f>HYPERLINK("https://klasma.github.io/Logging_0860/klagomålsmail/A 67114-2020 FSC-klagomål mail.docx", "A 67114-2020")</f>
        <v/>
      </c>
      <c r="X769">
        <f>HYPERLINK("https://klasma.github.io/Logging_0860/tillsyn/A 67114-2020 tillsynsbegäran.docx", "A 67114-2020")</f>
        <v/>
      </c>
      <c r="Y769">
        <f>HYPERLINK("https://klasma.github.io/Logging_0860/tillsynsmail/A 67114-2020 tillsynsbegäran mail.docx", "A 67114-2020")</f>
        <v/>
      </c>
    </row>
    <row r="770" ht="15" customHeight="1">
      <c r="A770" t="inlineStr">
        <is>
          <t>A 67334-2020</t>
        </is>
      </c>
      <c r="B770" s="1" t="n">
        <v>44181</v>
      </c>
      <c r="C770" s="1" t="n">
        <v>45715</v>
      </c>
      <c r="D770" t="inlineStr">
        <is>
          <t>KALMAR LÄN</t>
        </is>
      </c>
      <c r="E770" t="inlineStr">
        <is>
          <t>OSKARSHAMN</t>
        </is>
      </c>
      <c r="G770" t="n">
        <v>2.8</v>
      </c>
      <c r="H770" t="n">
        <v>1</v>
      </c>
      <c r="I770" t="n">
        <v>0</v>
      </c>
      <c r="J770" t="n">
        <v>1</v>
      </c>
      <c r="K770" t="n">
        <v>0</v>
      </c>
      <c r="L770" t="n">
        <v>0</v>
      </c>
      <c r="M770" t="n">
        <v>0</v>
      </c>
      <c r="N770" t="n">
        <v>0</v>
      </c>
      <c r="O770" t="n">
        <v>1</v>
      </c>
      <c r="P770" t="n">
        <v>0</v>
      </c>
      <c r="Q770" t="n">
        <v>1</v>
      </c>
      <c r="R770" s="2" t="inlineStr">
        <is>
          <t>Entita</t>
        </is>
      </c>
      <c r="S770">
        <f>HYPERLINK("https://klasma.github.io/Logging_0882/artfynd/A 67334-2020 artfynd.xlsx", "A 67334-2020")</f>
        <v/>
      </c>
      <c r="T770">
        <f>HYPERLINK("https://klasma.github.io/Logging_0882/kartor/A 67334-2020 karta.png", "A 67334-2020")</f>
        <v/>
      </c>
      <c r="V770">
        <f>HYPERLINK("https://klasma.github.io/Logging_0882/klagomål/A 67334-2020 FSC-klagomål.docx", "A 67334-2020")</f>
        <v/>
      </c>
      <c r="W770">
        <f>HYPERLINK("https://klasma.github.io/Logging_0882/klagomålsmail/A 67334-2020 FSC-klagomål mail.docx", "A 67334-2020")</f>
        <v/>
      </c>
      <c r="X770">
        <f>HYPERLINK("https://klasma.github.io/Logging_0882/tillsyn/A 67334-2020 tillsynsbegäran.docx", "A 67334-2020")</f>
        <v/>
      </c>
      <c r="Y770">
        <f>HYPERLINK("https://klasma.github.io/Logging_0882/tillsynsmail/A 67334-2020 tillsynsbegäran mail.docx", "A 67334-2020")</f>
        <v/>
      </c>
      <c r="Z770">
        <f>HYPERLINK("https://klasma.github.io/Logging_0882/fåglar/A 67334-2020 prioriterade fågelarter.docx", "A 67334-2020")</f>
        <v/>
      </c>
    </row>
    <row r="771" ht="15" customHeight="1">
      <c r="A771" t="inlineStr">
        <is>
          <t>A 68851-2020</t>
        </is>
      </c>
      <c r="B771" s="1" t="n">
        <v>44187</v>
      </c>
      <c r="C771" s="1" t="n">
        <v>45715</v>
      </c>
      <c r="D771" t="inlineStr">
        <is>
          <t>KALMAR LÄN</t>
        </is>
      </c>
      <c r="E771" t="inlineStr">
        <is>
          <t>VIMMERBY</t>
        </is>
      </c>
      <c r="G771" t="n">
        <v>7.4</v>
      </c>
      <c r="H771" t="n">
        <v>0</v>
      </c>
      <c r="I771" t="n">
        <v>0</v>
      </c>
      <c r="J771" t="n">
        <v>0</v>
      </c>
      <c r="K771" t="n">
        <v>1</v>
      </c>
      <c r="L771" t="n">
        <v>0</v>
      </c>
      <c r="M771" t="n">
        <v>0</v>
      </c>
      <c r="N771" t="n">
        <v>0</v>
      </c>
      <c r="O771" t="n">
        <v>1</v>
      </c>
      <c r="P771" t="n">
        <v>1</v>
      </c>
      <c r="Q771" t="n">
        <v>1</v>
      </c>
      <c r="R771" s="2" t="inlineStr">
        <is>
          <t>Lansettfibbla</t>
        </is>
      </c>
      <c r="S771">
        <f>HYPERLINK("https://klasma.github.io/Logging_0884/artfynd/A 68851-2020 artfynd.xlsx", "A 68851-2020")</f>
        <v/>
      </c>
      <c r="T771">
        <f>HYPERLINK("https://klasma.github.io/Logging_0884/kartor/A 68851-2020 karta.png", "A 68851-2020")</f>
        <v/>
      </c>
      <c r="V771">
        <f>HYPERLINK("https://klasma.github.io/Logging_0884/klagomål/A 68851-2020 FSC-klagomål.docx", "A 68851-2020")</f>
        <v/>
      </c>
      <c r="W771">
        <f>HYPERLINK("https://klasma.github.io/Logging_0884/klagomålsmail/A 68851-2020 FSC-klagomål mail.docx", "A 68851-2020")</f>
        <v/>
      </c>
      <c r="X771">
        <f>HYPERLINK("https://klasma.github.io/Logging_0884/tillsyn/A 68851-2020 tillsynsbegäran.docx", "A 68851-2020")</f>
        <v/>
      </c>
      <c r="Y771">
        <f>HYPERLINK("https://klasma.github.io/Logging_0884/tillsynsmail/A 68851-2020 tillsynsbegäran mail.docx", "A 68851-2020")</f>
        <v/>
      </c>
    </row>
    <row r="772" ht="15" customHeight="1">
      <c r="A772" t="inlineStr">
        <is>
          <t>A 69632-2020</t>
        </is>
      </c>
      <c r="B772" s="1" t="n">
        <v>44195</v>
      </c>
      <c r="C772" s="1" t="n">
        <v>45715</v>
      </c>
      <c r="D772" t="inlineStr">
        <is>
          <t>KALMAR LÄN</t>
        </is>
      </c>
      <c r="E772" t="inlineStr">
        <is>
          <t>VÄSTERVIK</t>
        </is>
      </c>
      <c r="G772" t="n">
        <v>2.5</v>
      </c>
      <c r="H772" t="n">
        <v>0</v>
      </c>
      <c r="I772" t="n">
        <v>0</v>
      </c>
      <c r="J772" t="n">
        <v>1</v>
      </c>
      <c r="K772" t="n">
        <v>0</v>
      </c>
      <c r="L772" t="n">
        <v>0</v>
      </c>
      <c r="M772" t="n">
        <v>0</v>
      </c>
      <c r="N772" t="n">
        <v>0</v>
      </c>
      <c r="O772" t="n">
        <v>1</v>
      </c>
      <c r="P772" t="n">
        <v>0</v>
      </c>
      <c r="Q772" t="n">
        <v>1</v>
      </c>
      <c r="R772" s="2" t="inlineStr">
        <is>
          <t>Tallticka</t>
        </is>
      </c>
      <c r="S772">
        <f>HYPERLINK("https://klasma.github.io/Logging_0883/artfynd/A 69632-2020 artfynd.xlsx", "A 69632-2020")</f>
        <v/>
      </c>
      <c r="T772">
        <f>HYPERLINK("https://klasma.github.io/Logging_0883/kartor/A 69632-2020 karta.png", "A 69632-2020")</f>
        <v/>
      </c>
      <c r="V772">
        <f>HYPERLINK("https://klasma.github.io/Logging_0883/klagomål/A 69632-2020 FSC-klagomål.docx", "A 69632-2020")</f>
        <v/>
      </c>
      <c r="W772">
        <f>HYPERLINK("https://klasma.github.io/Logging_0883/klagomålsmail/A 69632-2020 FSC-klagomål mail.docx", "A 69632-2020")</f>
        <v/>
      </c>
      <c r="X772">
        <f>HYPERLINK("https://klasma.github.io/Logging_0883/tillsyn/A 69632-2020 tillsynsbegäran.docx", "A 69632-2020")</f>
        <v/>
      </c>
      <c r="Y772">
        <f>HYPERLINK("https://klasma.github.io/Logging_0883/tillsynsmail/A 69632-2020 tillsynsbegäran mail.docx", "A 69632-2020")</f>
        <v/>
      </c>
    </row>
    <row r="773" ht="15" customHeight="1">
      <c r="A773" t="inlineStr">
        <is>
          <t>A 3518-2021</t>
        </is>
      </c>
      <c r="B773" s="1" t="n">
        <v>44216</v>
      </c>
      <c r="C773" s="1" t="n">
        <v>45715</v>
      </c>
      <c r="D773" t="inlineStr">
        <is>
          <t>KALMAR LÄN</t>
        </is>
      </c>
      <c r="E773" t="inlineStr">
        <is>
          <t>HÖGSBY</t>
        </is>
      </c>
      <c r="G773" t="n">
        <v>6</v>
      </c>
      <c r="H773" t="n">
        <v>0</v>
      </c>
      <c r="I773" t="n">
        <v>0</v>
      </c>
      <c r="J773" t="n">
        <v>1</v>
      </c>
      <c r="K773" t="n">
        <v>0</v>
      </c>
      <c r="L773" t="n">
        <v>0</v>
      </c>
      <c r="M773" t="n">
        <v>0</v>
      </c>
      <c r="N773" t="n">
        <v>0</v>
      </c>
      <c r="O773" t="n">
        <v>1</v>
      </c>
      <c r="P773" t="n">
        <v>0</v>
      </c>
      <c r="Q773" t="n">
        <v>1</v>
      </c>
      <c r="R773" s="2" t="inlineStr">
        <is>
          <t>Vedtrappmossa</t>
        </is>
      </c>
      <c r="S773">
        <f>HYPERLINK("https://klasma.github.io/Logging_0821/artfynd/A 3518-2021 artfynd.xlsx", "A 3518-2021")</f>
        <v/>
      </c>
      <c r="T773">
        <f>HYPERLINK("https://klasma.github.io/Logging_0821/kartor/A 3518-2021 karta.png", "A 3518-2021")</f>
        <v/>
      </c>
      <c r="V773">
        <f>HYPERLINK("https://klasma.github.io/Logging_0821/klagomål/A 3518-2021 FSC-klagomål.docx", "A 3518-2021")</f>
        <v/>
      </c>
      <c r="W773">
        <f>HYPERLINK("https://klasma.github.io/Logging_0821/klagomålsmail/A 3518-2021 FSC-klagomål mail.docx", "A 3518-2021")</f>
        <v/>
      </c>
      <c r="X773">
        <f>HYPERLINK("https://klasma.github.io/Logging_0821/tillsyn/A 3518-2021 tillsynsbegäran.docx", "A 3518-2021")</f>
        <v/>
      </c>
      <c r="Y773">
        <f>HYPERLINK("https://klasma.github.io/Logging_0821/tillsynsmail/A 3518-2021 tillsynsbegäran mail.docx", "A 3518-2021")</f>
        <v/>
      </c>
    </row>
    <row r="774" ht="15" customHeight="1">
      <c r="A774" t="inlineStr">
        <is>
          <t>A 3871-2021</t>
        </is>
      </c>
      <c r="B774" s="1" t="n">
        <v>44222</v>
      </c>
      <c r="C774" s="1" t="n">
        <v>45715</v>
      </c>
      <c r="D774" t="inlineStr">
        <is>
          <t>KALMAR LÄN</t>
        </is>
      </c>
      <c r="E774" t="inlineStr">
        <is>
          <t>BORGHOLM</t>
        </is>
      </c>
      <c r="G774" t="n">
        <v>1.7</v>
      </c>
      <c r="H774" t="n">
        <v>0</v>
      </c>
      <c r="I774" t="n">
        <v>1</v>
      </c>
      <c r="J774" t="n">
        <v>0</v>
      </c>
      <c r="K774" t="n">
        <v>0</v>
      </c>
      <c r="L774" t="n">
        <v>0</v>
      </c>
      <c r="M774" t="n">
        <v>0</v>
      </c>
      <c r="N774" t="n">
        <v>0</v>
      </c>
      <c r="O774" t="n">
        <v>0</v>
      </c>
      <c r="P774" t="n">
        <v>0</v>
      </c>
      <c r="Q774" t="n">
        <v>1</v>
      </c>
      <c r="R774" s="2" t="inlineStr">
        <is>
          <t>Scharlakansskål</t>
        </is>
      </c>
      <c r="S774">
        <f>HYPERLINK("https://klasma.github.io/Logging_0885/artfynd/A 3871-2021 artfynd.xlsx", "A 3871-2021")</f>
        <v/>
      </c>
      <c r="T774">
        <f>HYPERLINK("https://klasma.github.io/Logging_0885/kartor/A 3871-2021 karta.png", "A 3871-2021")</f>
        <v/>
      </c>
      <c r="V774">
        <f>HYPERLINK("https://klasma.github.io/Logging_0885/klagomål/A 3871-2021 FSC-klagomål.docx", "A 3871-2021")</f>
        <v/>
      </c>
      <c r="W774">
        <f>HYPERLINK("https://klasma.github.io/Logging_0885/klagomålsmail/A 3871-2021 FSC-klagomål mail.docx", "A 3871-2021")</f>
        <v/>
      </c>
      <c r="X774">
        <f>HYPERLINK("https://klasma.github.io/Logging_0885/tillsyn/A 3871-2021 tillsynsbegäran.docx", "A 3871-2021")</f>
        <v/>
      </c>
      <c r="Y774">
        <f>HYPERLINK("https://klasma.github.io/Logging_0885/tillsynsmail/A 3871-2021 tillsynsbegäran mail.docx", "A 3871-2021")</f>
        <v/>
      </c>
    </row>
    <row r="775" ht="15" customHeight="1">
      <c r="A775" t="inlineStr">
        <is>
          <t>A 4313-2021</t>
        </is>
      </c>
      <c r="B775" s="1" t="n">
        <v>44223</v>
      </c>
      <c r="C775" s="1" t="n">
        <v>45715</v>
      </c>
      <c r="D775" t="inlineStr">
        <is>
          <t>KALMAR LÄN</t>
        </is>
      </c>
      <c r="E775" t="inlineStr">
        <is>
          <t>MÖNSTERÅS</t>
        </is>
      </c>
      <c r="G775" t="n">
        <v>16.5</v>
      </c>
      <c r="H775" t="n">
        <v>1</v>
      </c>
      <c r="I775" t="n">
        <v>0</v>
      </c>
      <c r="J775" t="n">
        <v>0</v>
      </c>
      <c r="K775" t="n">
        <v>1</v>
      </c>
      <c r="L775" t="n">
        <v>0</v>
      </c>
      <c r="M775" t="n">
        <v>0</v>
      </c>
      <c r="N775" t="n">
        <v>0</v>
      </c>
      <c r="O775" t="n">
        <v>1</v>
      </c>
      <c r="P775" t="n">
        <v>1</v>
      </c>
      <c r="Q775" t="n">
        <v>1</v>
      </c>
      <c r="R775" s="2" t="inlineStr">
        <is>
          <t>Knärot</t>
        </is>
      </c>
      <c r="S775">
        <f>HYPERLINK("https://klasma.github.io/Logging_0861/artfynd/A 4313-2021 artfynd.xlsx", "A 4313-2021")</f>
        <v/>
      </c>
      <c r="T775">
        <f>HYPERLINK("https://klasma.github.io/Logging_0861/kartor/A 4313-2021 karta.png", "A 4313-2021")</f>
        <v/>
      </c>
      <c r="U775">
        <f>HYPERLINK("https://klasma.github.io/Logging_0861/knärot/A 4313-2021 karta knärot.png", "A 4313-2021")</f>
        <v/>
      </c>
      <c r="V775">
        <f>HYPERLINK("https://klasma.github.io/Logging_0861/klagomål/A 4313-2021 FSC-klagomål.docx", "A 4313-2021")</f>
        <v/>
      </c>
      <c r="W775">
        <f>HYPERLINK("https://klasma.github.io/Logging_0861/klagomålsmail/A 4313-2021 FSC-klagomål mail.docx", "A 4313-2021")</f>
        <v/>
      </c>
      <c r="X775">
        <f>HYPERLINK("https://klasma.github.io/Logging_0861/tillsyn/A 4313-2021 tillsynsbegäran.docx", "A 4313-2021")</f>
        <v/>
      </c>
      <c r="Y775">
        <f>HYPERLINK("https://klasma.github.io/Logging_0861/tillsynsmail/A 4313-2021 tillsynsbegäran mail.docx", "A 4313-2021")</f>
        <v/>
      </c>
    </row>
    <row r="776" ht="15" customHeight="1">
      <c r="A776" t="inlineStr">
        <is>
          <t>A 5861-2021</t>
        </is>
      </c>
      <c r="B776" s="1" t="n">
        <v>44231</v>
      </c>
      <c r="C776" s="1" t="n">
        <v>45715</v>
      </c>
      <c r="D776" t="inlineStr">
        <is>
          <t>KALMAR LÄN</t>
        </is>
      </c>
      <c r="E776" t="inlineStr">
        <is>
          <t>TORSÅS</t>
        </is>
      </c>
      <c r="G776" t="n">
        <v>4.2</v>
      </c>
      <c r="H776" t="n">
        <v>0</v>
      </c>
      <c r="I776" t="n">
        <v>0</v>
      </c>
      <c r="J776" t="n">
        <v>0</v>
      </c>
      <c r="K776" t="n">
        <v>0</v>
      </c>
      <c r="L776" t="n">
        <v>0</v>
      </c>
      <c r="M776" t="n">
        <v>1</v>
      </c>
      <c r="N776" t="n">
        <v>0</v>
      </c>
      <c r="O776" t="n">
        <v>1</v>
      </c>
      <c r="P776" t="n">
        <v>1</v>
      </c>
      <c r="Q776" t="n">
        <v>1</v>
      </c>
      <c r="R776" s="2" t="inlineStr">
        <is>
          <t>Skogsalm</t>
        </is>
      </c>
      <c r="S776">
        <f>HYPERLINK("https://klasma.github.io/Logging_0834/artfynd/A 5861-2021 artfynd.xlsx", "A 5861-2021")</f>
        <v/>
      </c>
      <c r="T776">
        <f>HYPERLINK("https://klasma.github.io/Logging_0834/kartor/A 5861-2021 karta.png", "A 5861-2021")</f>
        <v/>
      </c>
      <c r="V776">
        <f>HYPERLINK("https://klasma.github.io/Logging_0834/klagomål/A 5861-2021 FSC-klagomål.docx", "A 5861-2021")</f>
        <v/>
      </c>
      <c r="W776">
        <f>HYPERLINK("https://klasma.github.io/Logging_0834/klagomålsmail/A 5861-2021 FSC-klagomål mail.docx", "A 5861-2021")</f>
        <v/>
      </c>
      <c r="X776">
        <f>HYPERLINK("https://klasma.github.io/Logging_0834/tillsyn/A 5861-2021 tillsynsbegäran.docx", "A 5861-2021")</f>
        <v/>
      </c>
      <c r="Y776">
        <f>HYPERLINK("https://klasma.github.io/Logging_0834/tillsynsmail/A 5861-2021 tillsynsbegäran mail.docx", "A 5861-2021")</f>
        <v/>
      </c>
    </row>
    <row r="777" ht="15" customHeight="1">
      <c r="A777" t="inlineStr">
        <is>
          <t>A 6841-2021</t>
        </is>
      </c>
      <c r="B777" s="1" t="n">
        <v>44236</v>
      </c>
      <c r="C777" s="1" t="n">
        <v>45715</v>
      </c>
      <c r="D777" t="inlineStr">
        <is>
          <t>KALMAR LÄN</t>
        </is>
      </c>
      <c r="E777" t="inlineStr">
        <is>
          <t>VIMMERBY</t>
        </is>
      </c>
      <c r="G777" t="n">
        <v>25</v>
      </c>
      <c r="H777" t="n">
        <v>0</v>
      </c>
      <c r="I777" t="n">
        <v>0</v>
      </c>
      <c r="J777" t="n">
        <v>1</v>
      </c>
      <c r="K777" t="n">
        <v>0</v>
      </c>
      <c r="L777" t="n">
        <v>0</v>
      </c>
      <c r="M777" t="n">
        <v>0</v>
      </c>
      <c r="N777" t="n">
        <v>0</v>
      </c>
      <c r="O777" t="n">
        <v>1</v>
      </c>
      <c r="P777" t="n">
        <v>0</v>
      </c>
      <c r="Q777" t="n">
        <v>1</v>
      </c>
      <c r="R777" s="2" t="inlineStr">
        <is>
          <t>Bredbrämad bastardsvärmare</t>
        </is>
      </c>
      <c r="S777">
        <f>HYPERLINK("https://klasma.github.io/Logging_0884/artfynd/A 6841-2021 artfynd.xlsx", "A 6841-2021")</f>
        <v/>
      </c>
      <c r="T777">
        <f>HYPERLINK("https://klasma.github.io/Logging_0884/kartor/A 6841-2021 karta.png", "A 6841-2021")</f>
        <v/>
      </c>
      <c r="V777">
        <f>HYPERLINK("https://klasma.github.io/Logging_0884/klagomål/A 6841-2021 FSC-klagomål.docx", "A 6841-2021")</f>
        <v/>
      </c>
      <c r="W777">
        <f>HYPERLINK("https://klasma.github.io/Logging_0884/klagomålsmail/A 6841-2021 FSC-klagomål mail.docx", "A 6841-2021")</f>
        <v/>
      </c>
      <c r="X777">
        <f>HYPERLINK("https://klasma.github.io/Logging_0884/tillsyn/A 6841-2021 tillsynsbegäran.docx", "A 6841-2021")</f>
        <v/>
      </c>
      <c r="Y777">
        <f>HYPERLINK("https://klasma.github.io/Logging_0884/tillsynsmail/A 6841-2021 tillsynsbegäran mail.docx", "A 6841-2021")</f>
        <v/>
      </c>
    </row>
    <row r="778" ht="15" customHeight="1">
      <c r="A778" t="inlineStr">
        <is>
          <t>A 7490-2021</t>
        </is>
      </c>
      <c r="B778" s="1" t="n">
        <v>44238</v>
      </c>
      <c r="C778" s="1" t="n">
        <v>45715</v>
      </c>
      <c r="D778" t="inlineStr">
        <is>
          <t>KALMAR LÄN</t>
        </is>
      </c>
      <c r="E778" t="inlineStr">
        <is>
          <t>EMMABODA</t>
        </is>
      </c>
      <c r="G778" t="n">
        <v>1.4</v>
      </c>
      <c r="H778" t="n">
        <v>1</v>
      </c>
      <c r="I778" t="n">
        <v>0</v>
      </c>
      <c r="J778" t="n">
        <v>0</v>
      </c>
      <c r="K778" t="n">
        <v>0</v>
      </c>
      <c r="L778" t="n">
        <v>0</v>
      </c>
      <c r="M778" t="n">
        <v>0</v>
      </c>
      <c r="N778" t="n">
        <v>0</v>
      </c>
      <c r="O778" t="n">
        <v>0</v>
      </c>
      <c r="P778" t="n">
        <v>0</v>
      </c>
      <c r="Q778" t="n">
        <v>1</v>
      </c>
      <c r="R778" s="2" t="inlineStr">
        <is>
          <t>Blåsippa</t>
        </is>
      </c>
      <c r="S778">
        <f>HYPERLINK("https://klasma.github.io/Logging_0862/artfynd/A 7490-2021 artfynd.xlsx", "A 7490-2021")</f>
        <v/>
      </c>
      <c r="T778">
        <f>HYPERLINK("https://klasma.github.io/Logging_0862/kartor/A 7490-2021 karta.png", "A 7490-2021")</f>
        <v/>
      </c>
      <c r="V778">
        <f>HYPERLINK("https://klasma.github.io/Logging_0862/klagomål/A 7490-2021 FSC-klagomål.docx", "A 7490-2021")</f>
        <v/>
      </c>
      <c r="W778">
        <f>HYPERLINK("https://klasma.github.io/Logging_0862/klagomålsmail/A 7490-2021 FSC-klagomål mail.docx", "A 7490-2021")</f>
        <v/>
      </c>
      <c r="X778">
        <f>HYPERLINK("https://klasma.github.io/Logging_0862/tillsyn/A 7490-2021 tillsynsbegäran.docx", "A 7490-2021")</f>
        <v/>
      </c>
      <c r="Y778">
        <f>HYPERLINK("https://klasma.github.io/Logging_0862/tillsynsmail/A 7490-2021 tillsynsbegäran mail.docx", "A 7490-2021")</f>
        <v/>
      </c>
    </row>
    <row r="779" ht="15" customHeight="1">
      <c r="A779" t="inlineStr">
        <is>
          <t>A 7747-2021</t>
        </is>
      </c>
      <c r="B779" s="1" t="n">
        <v>44242</v>
      </c>
      <c r="C779" s="1" t="n">
        <v>45715</v>
      </c>
      <c r="D779" t="inlineStr">
        <is>
          <t>KALMAR LÄN</t>
        </is>
      </c>
      <c r="E779" t="inlineStr">
        <is>
          <t>MÖNSTERÅS</t>
        </is>
      </c>
      <c r="G779" t="n">
        <v>14.7</v>
      </c>
      <c r="H779" t="n">
        <v>1</v>
      </c>
      <c r="I779" t="n">
        <v>0</v>
      </c>
      <c r="J779" t="n">
        <v>0</v>
      </c>
      <c r="K779" t="n">
        <v>0</v>
      </c>
      <c r="L779" t="n">
        <v>1</v>
      </c>
      <c r="M779" t="n">
        <v>0</v>
      </c>
      <c r="N779" t="n">
        <v>0</v>
      </c>
      <c r="O779" t="n">
        <v>1</v>
      </c>
      <c r="P779" t="n">
        <v>1</v>
      </c>
      <c r="Q779" t="n">
        <v>1</v>
      </c>
      <c r="R779" s="2" t="inlineStr">
        <is>
          <t>Brun glada</t>
        </is>
      </c>
      <c r="S779">
        <f>HYPERLINK("https://klasma.github.io/Logging_0861/artfynd/A 7747-2021 artfynd.xlsx", "A 7747-2021")</f>
        <v/>
      </c>
      <c r="T779">
        <f>HYPERLINK("https://klasma.github.io/Logging_0861/kartor/A 7747-2021 karta.png", "A 7747-2021")</f>
        <v/>
      </c>
      <c r="V779">
        <f>HYPERLINK("https://klasma.github.io/Logging_0861/klagomål/A 7747-2021 FSC-klagomål.docx", "A 7747-2021")</f>
        <v/>
      </c>
      <c r="W779">
        <f>HYPERLINK("https://klasma.github.io/Logging_0861/klagomålsmail/A 7747-2021 FSC-klagomål mail.docx", "A 7747-2021")</f>
        <v/>
      </c>
      <c r="X779">
        <f>HYPERLINK("https://klasma.github.io/Logging_0861/tillsyn/A 7747-2021 tillsynsbegäran.docx", "A 7747-2021")</f>
        <v/>
      </c>
      <c r="Y779">
        <f>HYPERLINK("https://klasma.github.io/Logging_0861/tillsynsmail/A 7747-2021 tillsynsbegäran mail.docx", "A 7747-2021")</f>
        <v/>
      </c>
      <c r="Z779">
        <f>HYPERLINK("https://klasma.github.io/Logging_0861/fåglar/A 7747-2021 prioriterade fågelarter.docx", "A 7747-2021")</f>
        <v/>
      </c>
    </row>
    <row r="780" ht="15" customHeight="1">
      <c r="A780" t="inlineStr">
        <is>
          <t>A 8738-2021</t>
        </is>
      </c>
      <c r="B780" s="1" t="n">
        <v>44246</v>
      </c>
      <c r="C780" s="1" t="n">
        <v>45715</v>
      </c>
      <c r="D780" t="inlineStr">
        <is>
          <t>KALMAR LÄN</t>
        </is>
      </c>
      <c r="E780" t="inlineStr">
        <is>
          <t>KALMAR</t>
        </is>
      </c>
      <c r="G780" t="n">
        <v>5.7</v>
      </c>
      <c r="H780" t="n">
        <v>1</v>
      </c>
      <c r="I780" t="n">
        <v>0</v>
      </c>
      <c r="J780" t="n">
        <v>0</v>
      </c>
      <c r="K780" t="n">
        <v>0</v>
      </c>
      <c r="L780" t="n">
        <v>0</v>
      </c>
      <c r="M780" t="n">
        <v>0</v>
      </c>
      <c r="N780" t="n">
        <v>0</v>
      </c>
      <c r="O780" t="n">
        <v>0</v>
      </c>
      <c r="P780" t="n">
        <v>0</v>
      </c>
      <c r="Q780" t="n">
        <v>1</v>
      </c>
      <c r="R780" s="2" t="inlineStr">
        <is>
          <t>Törnskata</t>
        </is>
      </c>
      <c r="S780">
        <f>HYPERLINK("https://klasma.github.io/Logging_0880/artfynd/A 8738-2021 artfynd.xlsx", "A 8738-2021")</f>
        <v/>
      </c>
      <c r="T780">
        <f>HYPERLINK("https://klasma.github.io/Logging_0880/kartor/A 8738-2021 karta.png", "A 8738-2021")</f>
        <v/>
      </c>
      <c r="V780">
        <f>HYPERLINK("https://klasma.github.io/Logging_0880/klagomål/A 8738-2021 FSC-klagomål.docx", "A 8738-2021")</f>
        <v/>
      </c>
      <c r="W780">
        <f>HYPERLINK("https://klasma.github.io/Logging_0880/klagomålsmail/A 8738-2021 FSC-klagomål mail.docx", "A 8738-2021")</f>
        <v/>
      </c>
      <c r="X780">
        <f>HYPERLINK("https://klasma.github.io/Logging_0880/tillsyn/A 8738-2021 tillsynsbegäran.docx", "A 8738-2021")</f>
        <v/>
      </c>
      <c r="Y780">
        <f>HYPERLINK("https://klasma.github.io/Logging_0880/tillsynsmail/A 8738-2021 tillsynsbegäran mail.docx", "A 8738-2021")</f>
        <v/>
      </c>
      <c r="Z780">
        <f>HYPERLINK("https://klasma.github.io/Logging_0880/fåglar/A 8738-2021 prioriterade fågelarter.docx", "A 8738-2021")</f>
        <v/>
      </c>
    </row>
    <row r="781" ht="15" customHeight="1">
      <c r="A781" t="inlineStr">
        <is>
          <t>A 10947-2021</t>
        </is>
      </c>
      <c r="B781" s="1" t="n">
        <v>44260</v>
      </c>
      <c r="C781" s="1" t="n">
        <v>45715</v>
      </c>
      <c r="D781" t="inlineStr">
        <is>
          <t>KALMAR LÄN</t>
        </is>
      </c>
      <c r="E781" t="inlineStr">
        <is>
          <t>HÖGSBY</t>
        </is>
      </c>
      <c r="G781" t="n">
        <v>8.5</v>
      </c>
      <c r="H781" t="n">
        <v>1</v>
      </c>
      <c r="I781" t="n">
        <v>0</v>
      </c>
      <c r="J781" t="n">
        <v>0</v>
      </c>
      <c r="K781" t="n">
        <v>0</v>
      </c>
      <c r="L781" t="n">
        <v>0</v>
      </c>
      <c r="M781" t="n">
        <v>0</v>
      </c>
      <c r="N781" t="n">
        <v>0</v>
      </c>
      <c r="O781" t="n">
        <v>0</v>
      </c>
      <c r="P781" t="n">
        <v>0</v>
      </c>
      <c r="Q781" t="n">
        <v>1</v>
      </c>
      <c r="R781" s="2" t="inlineStr">
        <is>
          <t>Blåsippa</t>
        </is>
      </c>
      <c r="S781">
        <f>HYPERLINK("https://klasma.github.io/Logging_0821/artfynd/A 10947-2021 artfynd.xlsx", "A 10947-2021")</f>
        <v/>
      </c>
      <c r="T781">
        <f>HYPERLINK("https://klasma.github.io/Logging_0821/kartor/A 10947-2021 karta.png", "A 10947-2021")</f>
        <v/>
      </c>
      <c r="V781">
        <f>HYPERLINK("https://klasma.github.io/Logging_0821/klagomål/A 10947-2021 FSC-klagomål.docx", "A 10947-2021")</f>
        <v/>
      </c>
      <c r="W781">
        <f>HYPERLINK("https://klasma.github.io/Logging_0821/klagomålsmail/A 10947-2021 FSC-klagomål mail.docx", "A 10947-2021")</f>
        <v/>
      </c>
      <c r="X781">
        <f>HYPERLINK("https://klasma.github.io/Logging_0821/tillsyn/A 10947-2021 tillsynsbegäran.docx", "A 10947-2021")</f>
        <v/>
      </c>
      <c r="Y781">
        <f>HYPERLINK("https://klasma.github.io/Logging_0821/tillsynsmail/A 10947-2021 tillsynsbegäran mail.docx", "A 10947-2021")</f>
        <v/>
      </c>
    </row>
    <row r="782" ht="15" customHeight="1">
      <c r="A782" t="inlineStr">
        <is>
          <t>A 10962-2021</t>
        </is>
      </c>
      <c r="B782" s="1" t="n">
        <v>44260</v>
      </c>
      <c r="C782" s="1" t="n">
        <v>45715</v>
      </c>
      <c r="D782" t="inlineStr">
        <is>
          <t>KALMAR LÄN</t>
        </is>
      </c>
      <c r="E782" t="inlineStr">
        <is>
          <t>KALMAR</t>
        </is>
      </c>
      <c r="G782" t="n">
        <v>1.1</v>
      </c>
      <c r="H782" t="n">
        <v>1</v>
      </c>
      <c r="I782" t="n">
        <v>0</v>
      </c>
      <c r="J782" t="n">
        <v>0</v>
      </c>
      <c r="K782" t="n">
        <v>0</v>
      </c>
      <c r="L782" t="n">
        <v>0</v>
      </c>
      <c r="M782" t="n">
        <v>0</v>
      </c>
      <c r="N782" t="n">
        <v>0</v>
      </c>
      <c r="O782" t="n">
        <v>0</v>
      </c>
      <c r="P782" t="n">
        <v>0</v>
      </c>
      <c r="Q782" t="n">
        <v>1</v>
      </c>
      <c r="R782" s="2" t="inlineStr">
        <is>
          <t>Revlummer</t>
        </is>
      </c>
      <c r="S782">
        <f>HYPERLINK("https://klasma.github.io/Logging_0880/artfynd/A 10962-2021 artfynd.xlsx", "A 10962-2021")</f>
        <v/>
      </c>
      <c r="T782">
        <f>HYPERLINK("https://klasma.github.io/Logging_0880/kartor/A 10962-2021 karta.png", "A 10962-2021")</f>
        <v/>
      </c>
      <c r="V782">
        <f>HYPERLINK("https://klasma.github.io/Logging_0880/klagomål/A 10962-2021 FSC-klagomål.docx", "A 10962-2021")</f>
        <v/>
      </c>
      <c r="W782">
        <f>HYPERLINK("https://klasma.github.io/Logging_0880/klagomålsmail/A 10962-2021 FSC-klagomål mail.docx", "A 10962-2021")</f>
        <v/>
      </c>
      <c r="X782">
        <f>HYPERLINK("https://klasma.github.io/Logging_0880/tillsyn/A 10962-2021 tillsynsbegäran.docx", "A 10962-2021")</f>
        <v/>
      </c>
      <c r="Y782">
        <f>HYPERLINK("https://klasma.github.io/Logging_0880/tillsynsmail/A 10962-2021 tillsynsbegäran mail.docx", "A 10962-2021")</f>
        <v/>
      </c>
    </row>
    <row r="783" ht="15" customHeight="1">
      <c r="A783" t="inlineStr">
        <is>
          <t>A 11221-2021</t>
        </is>
      </c>
      <c r="B783" s="1" t="n">
        <v>44263</v>
      </c>
      <c r="C783" s="1" t="n">
        <v>45715</v>
      </c>
      <c r="D783" t="inlineStr">
        <is>
          <t>KALMAR LÄN</t>
        </is>
      </c>
      <c r="E783" t="inlineStr">
        <is>
          <t>TORSÅS</t>
        </is>
      </c>
      <c r="G783" t="n">
        <v>6.7</v>
      </c>
      <c r="H783" t="n">
        <v>0</v>
      </c>
      <c r="I783" t="n">
        <v>0</v>
      </c>
      <c r="J783" t="n">
        <v>0</v>
      </c>
      <c r="K783" t="n">
        <v>1</v>
      </c>
      <c r="L783" t="n">
        <v>0</v>
      </c>
      <c r="M783" t="n">
        <v>0</v>
      </c>
      <c r="N783" t="n">
        <v>0</v>
      </c>
      <c r="O783" t="n">
        <v>1</v>
      </c>
      <c r="P783" t="n">
        <v>1</v>
      </c>
      <c r="Q783" t="n">
        <v>1</v>
      </c>
      <c r="R783" s="2" t="inlineStr">
        <is>
          <t>Lungrot</t>
        </is>
      </c>
      <c r="S783">
        <f>HYPERLINK("https://klasma.github.io/Logging_0834/artfynd/A 11221-2021 artfynd.xlsx", "A 11221-2021")</f>
        <v/>
      </c>
      <c r="T783">
        <f>HYPERLINK("https://klasma.github.io/Logging_0834/kartor/A 11221-2021 karta.png", "A 11221-2021")</f>
        <v/>
      </c>
      <c r="V783">
        <f>HYPERLINK("https://klasma.github.io/Logging_0834/klagomål/A 11221-2021 FSC-klagomål.docx", "A 11221-2021")</f>
        <v/>
      </c>
      <c r="W783">
        <f>HYPERLINK("https://klasma.github.io/Logging_0834/klagomålsmail/A 11221-2021 FSC-klagomål mail.docx", "A 11221-2021")</f>
        <v/>
      </c>
      <c r="X783">
        <f>HYPERLINK("https://klasma.github.io/Logging_0834/tillsyn/A 11221-2021 tillsynsbegäran.docx", "A 11221-2021")</f>
        <v/>
      </c>
      <c r="Y783">
        <f>HYPERLINK("https://klasma.github.io/Logging_0834/tillsynsmail/A 11221-2021 tillsynsbegäran mail.docx", "A 11221-2021")</f>
        <v/>
      </c>
    </row>
    <row r="784" ht="15" customHeight="1">
      <c r="A784" t="inlineStr">
        <is>
          <t>A 12295-2021</t>
        </is>
      </c>
      <c r="B784" s="1" t="n">
        <v>44267</v>
      </c>
      <c r="C784" s="1" t="n">
        <v>45715</v>
      </c>
      <c r="D784" t="inlineStr">
        <is>
          <t>KALMAR LÄN</t>
        </is>
      </c>
      <c r="E784" t="inlineStr">
        <is>
          <t>TORSÅS</t>
        </is>
      </c>
      <c r="G784" t="n">
        <v>12</v>
      </c>
      <c r="H784" t="n">
        <v>1</v>
      </c>
      <c r="I784" t="n">
        <v>0</v>
      </c>
      <c r="J784" t="n">
        <v>0</v>
      </c>
      <c r="K784" t="n">
        <v>0</v>
      </c>
      <c r="L784" t="n">
        <v>0</v>
      </c>
      <c r="M784" t="n">
        <v>0</v>
      </c>
      <c r="N784" t="n">
        <v>0</v>
      </c>
      <c r="O784" t="n">
        <v>0</v>
      </c>
      <c r="P784" t="n">
        <v>0</v>
      </c>
      <c r="Q784" t="n">
        <v>1</v>
      </c>
      <c r="R784" s="2" t="inlineStr">
        <is>
          <t>Revlummer</t>
        </is>
      </c>
      <c r="S784">
        <f>HYPERLINK("https://klasma.github.io/Logging_0834/artfynd/A 12295-2021 artfynd.xlsx", "A 12295-2021")</f>
        <v/>
      </c>
      <c r="T784">
        <f>HYPERLINK("https://klasma.github.io/Logging_0834/kartor/A 12295-2021 karta.png", "A 12295-2021")</f>
        <v/>
      </c>
      <c r="V784">
        <f>HYPERLINK("https://klasma.github.io/Logging_0834/klagomål/A 12295-2021 FSC-klagomål.docx", "A 12295-2021")</f>
        <v/>
      </c>
      <c r="W784">
        <f>HYPERLINK("https://klasma.github.io/Logging_0834/klagomålsmail/A 12295-2021 FSC-klagomål mail.docx", "A 12295-2021")</f>
        <v/>
      </c>
      <c r="X784">
        <f>HYPERLINK("https://klasma.github.io/Logging_0834/tillsyn/A 12295-2021 tillsynsbegäran.docx", "A 12295-2021")</f>
        <v/>
      </c>
      <c r="Y784">
        <f>HYPERLINK("https://klasma.github.io/Logging_0834/tillsynsmail/A 12295-2021 tillsynsbegäran mail.docx", "A 12295-2021")</f>
        <v/>
      </c>
    </row>
    <row r="785" ht="15" customHeight="1">
      <c r="A785" t="inlineStr">
        <is>
          <t>A 12329-2021</t>
        </is>
      </c>
      <c r="B785" s="1" t="n">
        <v>44267</v>
      </c>
      <c r="C785" s="1" t="n">
        <v>45715</v>
      </c>
      <c r="D785" t="inlineStr">
        <is>
          <t>KALMAR LÄN</t>
        </is>
      </c>
      <c r="E785" t="inlineStr">
        <is>
          <t>OSKARSHAMN</t>
        </is>
      </c>
      <c r="G785" t="n">
        <v>16.6</v>
      </c>
      <c r="H785" t="n">
        <v>0</v>
      </c>
      <c r="I785" t="n">
        <v>0</v>
      </c>
      <c r="J785" t="n">
        <v>1</v>
      </c>
      <c r="K785" t="n">
        <v>0</v>
      </c>
      <c r="L785" t="n">
        <v>0</v>
      </c>
      <c r="M785" t="n">
        <v>0</v>
      </c>
      <c r="N785" t="n">
        <v>0</v>
      </c>
      <c r="O785" t="n">
        <v>1</v>
      </c>
      <c r="P785" t="n">
        <v>0</v>
      </c>
      <c r="Q785" t="n">
        <v>1</v>
      </c>
      <c r="R785" s="2" t="inlineStr">
        <is>
          <t>Åkerkulla</t>
        </is>
      </c>
      <c r="S785">
        <f>HYPERLINK("https://klasma.github.io/Logging_0882/artfynd/A 12329-2021 artfynd.xlsx", "A 12329-2021")</f>
        <v/>
      </c>
      <c r="T785">
        <f>HYPERLINK("https://klasma.github.io/Logging_0882/kartor/A 12329-2021 karta.png", "A 12329-2021")</f>
        <v/>
      </c>
      <c r="V785">
        <f>HYPERLINK("https://klasma.github.io/Logging_0882/klagomål/A 12329-2021 FSC-klagomål.docx", "A 12329-2021")</f>
        <v/>
      </c>
      <c r="W785">
        <f>HYPERLINK("https://klasma.github.io/Logging_0882/klagomålsmail/A 12329-2021 FSC-klagomål mail.docx", "A 12329-2021")</f>
        <v/>
      </c>
      <c r="X785">
        <f>HYPERLINK("https://klasma.github.io/Logging_0882/tillsyn/A 12329-2021 tillsynsbegäran.docx", "A 12329-2021")</f>
        <v/>
      </c>
      <c r="Y785">
        <f>HYPERLINK("https://klasma.github.io/Logging_0882/tillsynsmail/A 12329-2021 tillsynsbegäran mail.docx", "A 12329-2021")</f>
        <v/>
      </c>
    </row>
    <row r="786" ht="15" customHeight="1">
      <c r="A786" t="inlineStr">
        <is>
          <t>A 12785-2021</t>
        </is>
      </c>
      <c r="B786" s="1" t="n">
        <v>44270</v>
      </c>
      <c r="C786" s="1" t="n">
        <v>45715</v>
      </c>
      <c r="D786" t="inlineStr">
        <is>
          <t>KALMAR LÄN</t>
        </is>
      </c>
      <c r="E786" t="inlineStr">
        <is>
          <t>BORGHOLM</t>
        </is>
      </c>
      <c r="G786" t="n">
        <v>1.2</v>
      </c>
      <c r="H786" t="n">
        <v>0</v>
      </c>
      <c r="I786" t="n">
        <v>0</v>
      </c>
      <c r="J786" t="n">
        <v>0</v>
      </c>
      <c r="K786" t="n">
        <v>0</v>
      </c>
      <c r="L786" t="n">
        <v>1</v>
      </c>
      <c r="M786" t="n">
        <v>0</v>
      </c>
      <c r="N786" t="n">
        <v>0</v>
      </c>
      <c r="O786" t="n">
        <v>1</v>
      </c>
      <c r="P786" t="n">
        <v>1</v>
      </c>
      <c r="Q786" t="n">
        <v>1</v>
      </c>
      <c r="R786" s="2" t="inlineStr">
        <is>
          <t>Ask</t>
        </is>
      </c>
      <c r="S786">
        <f>HYPERLINK("https://klasma.github.io/Logging_0885/artfynd/A 12785-2021 artfynd.xlsx", "A 12785-2021")</f>
        <v/>
      </c>
      <c r="T786">
        <f>HYPERLINK("https://klasma.github.io/Logging_0885/kartor/A 12785-2021 karta.png", "A 12785-2021")</f>
        <v/>
      </c>
      <c r="V786">
        <f>HYPERLINK("https://klasma.github.io/Logging_0885/klagomål/A 12785-2021 FSC-klagomål.docx", "A 12785-2021")</f>
        <v/>
      </c>
      <c r="W786">
        <f>HYPERLINK("https://klasma.github.io/Logging_0885/klagomålsmail/A 12785-2021 FSC-klagomål mail.docx", "A 12785-2021")</f>
        <v/>
      </c>
      <c r="X786">
        <f>HYPERLINK("https://klasma.github.io/Logging_0885/tillsyn/A 12785-2021 tillsynsbegäran.docx", "A 12785-2021")</f>
        <v/>
      </c>
      <c r="Y786">
        <f>HYPERLINK("https://klasma.github.io/Logging_0885/tillsynsmail/A 12785-2021 tillsynsbegäran mail.docx", "A 12785-2021")</f>
        <v/>
      </c>
    </row>
    <row r="787" ht="15" customHeight="1">
      <c r="A787" t="inlineStr">
        <is>
          <t>A 14343-2021</t>
        </is>
      </c>
      <c r="B787" s="1" t="n">
        <v>44279</v>
      </c>
      <c r="C787" s="1" t="n">
        <v>45715</v>
      </c>
      <c r="D787" t="inlineStr">
        <is>
          <t>KALMAR LÄN</t>
        </is>
      </c>
      <c r="E787" t="inlineStr">
        <is>
          <t>KALMAR</t>
        </is>
      </c>
      <c r="G787" t="n">
        <v>2.7</v>
      </c>
      <c r="H787" t="n">
        <v>0</v>
      </c>
      <c r="I787" t="n">
        <v>1</v>
      </c>
      <c r="J787" t="n">
        <v>0</v>
      </c>
      <c r="K787" t="n">
        <v>0</v>
      </c>
      <c r="L787" t="n">
        <v>0</v>
      </c>
      <c r="M787" t="n">
        <v>0</v>
      </c>
      <c r="N787" t="n">
        <v>0</v>
      </c>
      <c r="O787" t="n">
        <v>0</v>
      </c>
      <c r="P787" t="n">
        <v>0</v>
      </c>
      <c r="Q787" t="n">
        <v>1</v>
      </c>
      <c r="R787" s="2" t="inlineStr">
        <is>
          <t>Myskmadra</t>
        </is>
      </c>
      <c r="S787">
        <f>HYPERLINK("https://klasma.github.io/Logging_0880/artfynd/A 14343-2021 artfynd.xlsx", "A 14343-2021")</f>
        <v/>
      </c>
      <c r="T787">
        <f>HYPERLINK("https://klasma.github.io/Logging_0880/kartor/A 14343-2021 karta.png", "A 14343-2021")</f>
        <v/>
      </c>
      <c r="V787">
        <f>HYPERLINK("https://klasma.github.io/Logging_0880/klagomål/A 14343-2021 FSC-klagomål.docx", "A 14343-2021")</f>
        <v/>
      </c>
      <c r="W787">
        <f>HYPERLINK("https://klasma.github.io/Logging_0880/klagomålsmail/A 14343-2021 FSC-klagomål mail.docx", "A 14343-2021")</f>
        <v/>
      </c>
      <c r="X787">
        <f>HYPERLINK("https://klasma.github.io/Logging_0880/tillsyn/A 14343-2021 tillsynsbegäran.docx", "A 14343-2021")</f>
        <v/>
      </c>
      <c r="Y787">
        <f>HYPERLINK("https://klasma.github.io/Logging_0880/tillsynsmail/A 14343-2021 tillsynsbegäran mail.docx", "A 14343-2021")</f>
        <v/>
      </c>
    </row>
    <row r="788" ht="15" customHeight="1">
      <c r="A788" t="inlineStr">
        <is>
          <t>A 14789-2021</t>
        </is>
      </c>
      <c r="B788" s="1" t="n">
        <v>44280</v>
      </c>
      <c r="C788" s="1" t="n">
        <v>45715</v>
      </c>
      <c r="D788" t="inlineStr">
        <is>
          <t>KALMAR LÄN</t>
        </is>
      </c>
      <c r="E788" t="inlineStr">
        <is>
          <t>BORGHOLM</t>
        </is>
      </c>
      <c r="G788" t="n">
        <v>1</v>
      </c>
      <c r="H788" t="n">
        <v>1</v>
      </c>
      <c r="I788" t="n">
        <v>1</v>
      </c>
      <c r="J788" t="n">
        <v>0</v>
      </c>
      <c r="K788" t="n">
        <v>0</v>
      </c>
      <c r="L788" t="n">
        <v>0</v>
      </c>
      <c r="M788" t="n">
        <v>0</v>
      </c>
      <c r="N788" t="n">
        <v>0</v>
      </c>
      <c r="O788" t="n">
        <v>0</v>
      </c>
      <c r="P788" t="n">
        <v>0</v>
      </c>
      <c r="Q788" t="n">
        <v>1</v>
      </c>
      <c r="R788" s="2" t="inlineStr">
        <is>
          <t>Skogsknipprot</t>
        </is>
      </c>
      <c r="S788">
        <f>HYPERLINK("https://klasma.github.io/Logging_0885/artfynd/A 14789-2021 artfynd.xlsx", "A 14789-2021")</f>
        <v/>
      </c>
      <c r="T788">
        <f>HYPERLINK("https://klasma.github.io/Logging_0885/kartor/A 14789-2021 karta.png", "A 14789-2021")</f>
        <v/>
      </c>
      <c r="V788">
        <f>HYPERLINK("https://klasma.github.io/Logging_0885/klagomål/A 14789-2021 FSC-klagomål.docx", "A 14789-2021")</f>
        <v/>
      </c>
      <c r="W788">
        <f>HYPERLINK("https://klasma.github.io/Logging_0885/klagomålsmail/A 14789-2021 FSC-klagomål mail.docx", "A 14789-2021")</f>
        <v/>
      </c>
      <c r="X788">
        <f>HYPERLINK("https://klasma.github.io/Logging_0885/tillsyn/A 14789-2021 tillsynsbegäran.docx", "A 14789-2021")</f>
        <v/>
      </c>
      <c r="Y788">
        <f>HYPERLINK("https://klasma.github.io/Logging_0885/tillsynsmail/A 14789-2021 tillsynsbegäran mail.docx", "A 14789-2021")</f>
        <v/>
      </c>
    </row>
    <row r="789" ht="15" customHeight="1">
      <c r="A789" t="inlineStr">
        <is>
          <t>A 16824-2021</t>
        </is>
      </c>
      <c r="B789" s="1" t="n">
        <v>44295</v>
      </c>
      <c r="C789" s="1" t="n">
        <v>45715</v>
      </c>
      <c r="D789" t="inlineStr">
        <is>
          <t>KALMAR LÄN</t>
        </is>
      </c>
      <c r="E789" t="inlineStr">
        <is>
          <t>HULTSFRED</t>
        </is>
      </c>
      <c r="G789" t="n">
        <v>1.5</v>
      </c>
      <c r="H789" t="n">
        <v>0</v>
      </c>
      <c r="I789" t="n">
        <v>0</v>
      </c>
      <c r="J789" t="n">
        <v>1</v>
      </c>
      <c r="K789" t="n">
        <v>0</v>
      </c>
      <c r="L789" t="n">
        <v>0</v>
      </c>
      <c r="M789" t="n">
        <v>0</v>
      </c>
      <c r="N789" t="n">
        <v>0</v>
      </c>
      <c r="O789" t="n">
        <v>1</v>
      </c>
      <c r="P789" t="n">
        <v>0</v>
      </c>
      <c r="Q789" t="n">
        <v>1</v>
      </c>
      <c r="R789" s="2" t="inlineStr">
        <is>
          <t>Sommarfibbla</t>
        </is>
      </c>
      <c r="S789">
        <f>HYPERLINK("https://klasma.github.io/Logging_0860/artfynd/A 16824-2021 artfynd.xlsx", "A 16824-2021")</f>
        <v/>
      </c>
      <c r="T789">
        <f>HYPERLINK("https://klasma.github.io/Logging_0860/kartor/A 16824-2021 karta.png", "A 16824-2021")</f>
        <v/>
      </c>
      <c r="V789">
        <f>HYPERLINK("https://klasma.github.io/Logging_0860/klagomål/A 16824-2021 FSC-klagomål.docx", "A 16824-2021")</f>
        <v/>
      </c>
      <c r="W789">
        <f>HYPERLINK("https://klasma.github.io/Logging_0860/klagomålsmail/A 16824-2021 FSC-klagomål mail.docx", "A 16824-2021")</f>
        <v/>
      </c>
      <c r="X789">
        <f>HYPERLINK("https://klasma.github.io/Logging_0860/tillsyn/A 16824-2021 tillsynsbegäran.docx", "A 16824-2021")</f>
        <v/>
      </c>
      <c r="Y789">
        <f>HYPERLINK("https://klasma.github.io/Logging_0860/tillsynsmail/A 16824-2021 tillsynsbegäran mail.docx", "A 16824-2021")</f>
        <v/>
      </c>
    </row>
    <row r="790" ht="15" customHeight="1">
      <c r="A790" t="inlineStr">
        <is>
          <t>A 20233-2021</t>
        </is>
      </c>
      <c r="B790" s="1" t="n">
        <v>44314</v>
      </c>
      <c r="C790" s="1" t="n">
        <v>45715</v>
      </c>
      <c r="D790" t="inlineStr">
        <is>
          <t>KALMAR LÄN</t>
        </is>
      </c>
      <c r="E790" t="inlineStr">
        <is>
          <t>VÄSTERVIK</t>
        </is>
      </c>
      <c r="F790" t="inlineStr">
        <is>
          <t>Holmen skog AB</t>
        </is>
      </c>
      <c r="G790" t="n">
        <v>11.8</v>
      </c>
      <c r="H790" t="n">
        <v>0</v>
      </c>
      <c r="I790" t="n">
        <v>0</v>
      </c>
      <c r="J790" t="n">
        <v>1</v>
      </c>
      <c r="K790" t="n">
        <v>0</v>
      </c>
      <c r="L790" t="n">
        <v>0</v>
      </c>
      <c r="M790" t="n">
        <v>0</v>
      </c>
      <c r="N790" t="n">
        <v>0</v>
      </c>
      <c r="O790" t="n">
        <v>1</v>
      </c>
      <c r="P790" t="n">
        <v>0</v>
      </c>
      <c r="Q790" t="n">
        <v>1</v>
      </c>
      <c r="R790" s="2" t="inlineStr">
        <is>
          <t>Skogsklocka</t>
        </is>
      </c>
      <c r="S790">
        <f>HYPERLINK("https://klasma.github.io/Logging_0883/artfynd/A 20233-2021 artfynd.xlsx", "A 20233-2021")</f>
        <v/>
      </c>
      <c r="T790">
        <f>HYPERLINK("https://klasma.github.io/Logging_0883/kartor/A 20233-2021 karta.png", "A 20233-2021")</f>
        <v/>
      </c>
      <c r="V790">
        <f>HYPERLINK("https://klasma.github.io/Logging_0883/klagomål/A 20233-2021 FSC-klagomål.docx", "A 20233-2021")</f>
        <v/>
      </c>
      <c r="W790">
        <f>HYPERLINK("https://klasma.github.io/Logging_0883/klagomålsmail/A 20233-2021 FSC-klagomål mail.docx", "A 20233-2021")</f>
        <v/>
      </c>
      <c r="X790">
        <f>HYPERLINK("https://klasma.github.io/Logging_0883/tillsyn/A 20233-2021 tillsynsbegäran.docx", "A 20233-2021")</f>
        <v/>
      </c>
      <c r="Y790">
        <f>HYPERLINK("https://klasma.github.io/Logging_0883/tillsynsmail/A 20233-2021 tillsynsbegäran mail.docx", "A 20233-2021")</f>
        <v/>
      </c>
    </row>
    <row r="791" ht="15" customHeight="1">
      <c r="A791" t="inlineStr">
        <is>
          <t>A 21107-2021</t>
        </is>
      </c>
      <c r="B791" s="1" t="n">
        <v>44319</v>
      </c>
      <c r="C791" s="1" t="n">
        <v>45715</v>
      </c>
      <c r="D791" t="inlineStr">
        <is>
          <t>KALMAR LÄN</t>
        </is>
      </c>
      <c r="E791" t="inlineStr">
        <is>
          <t>HULTSFRED</t>
        </is>
      </c>
      <c r="G791" t="n">
        <v>1.2</v>
      </c>
      <c r="H791" t="n">
        <v>1</v>
      </c>
      <c r="I791" t="n">
        <v>0</v>
      </c>
      <c r="J791" t="n">
        <v>0</v>
      </c>
      <c r="K791" t="n">
        <v>0</v>
      </c>
      <c r="L791" t="n">
        <v>0</v>
      </c>
      <c r="M791" t="n">
        <v>0</v>
      </c>
      <c r="N791" t="n">
        <v>0</v>
      </c>
      <c r="O791" t="n">
        <v>0</v>
      </c>
      <c r="P791" t="n">
        <v>0</v>
      </c>
      <c r="Q791" t="n">
        <v>1</v>
      </c>
      <c r="R791" s="2" t="inlineStr">
        <is>
          <t>Orre</t>
        </is>
      </c>
      <c r="S791">
        <f>HYPERLINK("https://klasma.github.io/Logging_0860/artfynd/A 21107-2021 artfynd.xlsx", "A 21107-2021")</f>
        <v/>
      </c>
      <c r="T791">
        <f>HYPERLINK("https://klasma.github.io/Logging_0860/kartor/A 21107-2021 karta.png", "A 21107-2021")</f>
        <v/>
      </c>
      <c r="V791">
        <f>HYPERLINK("https://klasma.github.io/Logging_0860/klagomål/A 21107-2021 FSC-klagomål.docx", "A 21107-2021")</f>
        <v/>
      </c>
      <c r="W791">
        <f>HYPERLINK("https://klasma.github.io/Logging_0860/klagomålsmail/A 21107-2021 FSC-klagomål mail.docx", "A 21107-2021")</f>
        <v/>
      </c>
      <c r="X791">
        <f>HYPERLINK("https://klasma.github.io/Logging_0860/tillsyn/A 21107-2021 tillsynsbegäran.docx", "A 21107-2021")</f>
        <v/>
      </c>
      <c r="Y791">
        <f>HYPERLINK("https://klasma.github.io/Logging_0860/tillsynsmail/A 21107-2021 tillsynsbegäran mail.docx", "A 21107-2021")</f>
        <v/>
      </c>
      <c r="Z791">
        <f>HYPERLINK("https://klasma.github.io/Logging_0860/fåglar/A 21107-2021 prioriterade fågelarter.docx", "A 21107-2021")</f>
        <v/>
      </c>
    </row>
    <row r="792" ht="15" customHeight="1">
      <c r="A792" t="inlineStr">
        <is>
          <t>A 23604-2021</t>
        </is>
      </c>
      <c r="B792" s="1" t="n">
        <v>44334</v>
      </c>
      <c r="C792" s="1" t="n">
        <v>45715</v>
      </c>
      <c r="D792" t="inlineStr">
        <is>
          <t>KALMAR LÄN</t>
        </is>
      </c>
      <c r="E792" t="inlineStr">
        <is>
          <t>HÖGSBY</t>
        </is>
      </c>
      <c r="G792" t="n">
        <v>1.4</v>
      </c>
      <c r="H792" t="n">
        <v>0</v>
      </c>
      <c r="I792" t="n">
        <v>0</v>
      </c>
      <c r="J792" t="n">
        <v>1</v>
      </c>
      <c r="K792" t="n">
        <v>0</v>
      </c>
      <c r="L792" t="n">
        <v>0</v>
      </c>
      <c r="M792" t="n">
        <v>0</v>
      </c>
      <c r="N792" t="n">
        <v>0</v>
      </c>
      <c r="O792" t="n">
        <v>1</v>
      </c>
      <c r="P792" t="n">
        <v>0</v>
      </c>
      <c r="Q792" t="n">
        <v>1</v>
      </c>
      <c r="R792" s="2" t="inlineStr">
        <is>
          <t>Backtimjan</t>
        </is>
      </c>
      <c r="S792">
        <f>HYPERLINK("https://klasma.github.io/Logging_0821/artfynd/A 23604-2021 artfynd.xlsx", "A 23604-2021")</f>
        <v/>
      </c>
      <c r="T792">
        <f>HYPERLINK("https://klasma.github.io/Logging_0821/kartor/A 23604-2021 karta.png", "A 23604-2021")</f>
        <v/>
      </c>
      <c r="V792">
        <f>HYPERLINK("https://klasma.github.io/Logging_0821/klagomål/A 23604-2021 FSC-klagomål.docx", "A 23604-2021")</f>
        <v/>
      </c>
      <c r="W792">
        <f>HYPERLINK("https://klasma.github.io/Logging_0821/klagomålsmail/A 23604-2021 FSC-klagomål mail.docx", "A 23604-2021")</f>
        <v/>
      </c>
      <c r="X792">
        <f>HYPERLINK("https://klasma.github.io/Logging_0821/tillsyn/A 23604-2021 tillsynsbegäran.docx", "A 23604-2021")</f>
        <v/>
      </c>
      <c r="Y792">
        <f>HYPERLINK("https://klasma.github.io/Logging_0821/tillsynsmail/A 23604-2021 tillsynsbegäran mail.docx", "A 23604-2021")</f>
        <v/>
      </c>
    </row>
    <row r="793" ht="15" customHeight="1">
      <c r="A793" t="inlineStr">
        <is>
          <t>A 24048-2021</t>
        </is>
      </c>
      <c r="B793" s="1" t="n">
        <v>44336</v>
      </c>
      <c r="C793" s="1" t="n">
        <v>45715</v>
      </c>
      <c r="D793" t="inlineStr">
        <is>
          <t>KALMAR LÄN</t>
        </is>
      </c>
      <c r="E793" t="inlineStr">
        <is>
          <t>VÄSTERVIK</t>
        </is>
      </c>
      <c r="G793" t="n">
        <v>3.5</v>
      </c>
      <c r="H793" t="n">
        <v>1</v>
      </c>
      <c r="I793" t="n">
        <v>0</v>
      </c>
      <c r="J793" t="n">
        <v>0</v>
      </c>
      <c r="K793" t="n">
        <v>1</v>
      </c>
      <c r="L793" t="n">
        <v>0</v>
      </c>
      <c r="M793" t="n">
        <v>0</v>
      </c>
      <c r="N793" t="n">
        <v>0</v>
      </c>
      <c r="O793" t="n">
        <v>1</v>
      </c>
      <c r="P793" t="n">
        <v>1</v>
      </c>
      <c r="Q793" t="n">
        <v>1</v>
      </c>
      <c r="R793" s="2" t="inlineStr">
        <is>
          <t>Knärot</t>
        </is>
      </c>
      <c r="S793">
        <f>HYPERLINK("https://klasma.github.io/Logging_0883/artfynd/A 24048-2021 artfynd.xlsx", "A 24048-2021")</f>
        <v/>
      </c>
      <c r="T793">
        <f>HYPERLINK("https://klasma.github.io/Logging_0883/kartor/A 24048-2021 karta.png", "A 24048-2021")</f>
        <v/>
      </c>
      <c r="U793">
        <f>HYPERLINK("https://klasma.github.io/Logging_0883/knärot/A 24048-2021 karta knärot.png", "A 24048-2021")</f>
        <v/>
      </c>
      <c r="V793">
        <f>HYPERLINK("https://klasma.github.io/Logging_0883/klagomål/A 24048-2021 FSC-klagomål.docx", "A 24048-2021")</f>
        <v/>
      </c>
      <c r="W793">
        <f>HYPERLINK("https://klasma.github.io/Logging_0883/klagomålsmail/A 24048-2021 FSC-klagomål mail.docx", "A 24048-2021")</f>
        <v/>
      </c>
      <c r="X793">
        <f>HYPERLINK("https://klasma.github.io/Logging_0883/tillsyn/A 24048-2021 tillsynsbegäran.docx", "A 24048-2021")</f>
        <v/>
      </c>
      <c r="Y793">
        <f>HYPERLINK("https://klasma.github.io/Logging_0883/tillsynsmail/A 24048-2021 tillsynsbegäran mail.docx", "A 24048-2021")</f>
        <v/>
      </c>
    </row>
    <row r="794" ht="15" customHeight="1">
      <c r="A794" t="inlineStr">
        <is>
          <t>A 24939-2021</t>
        </is>
      </c>
      <c r="B794" s="1" t="n">
        <v>44341</v>
      </c>
      <c r="C794" s="1" t="n">
        <v>45715</v>
      </c>
      <c r="D794" t="inlineStr">
        <is>
          <t>KALMAR LÄN</t>
        </is>
      </c>
      <c r="E794" t="inlineStr">
        <is>
          <t>HULTSFRED</t>
        </is>
      </c>
      <c r="G794" t="n">
        <v>8.6</v>
      </c>
      <c r="H794" t="n">
        <v>1</v>
      </c>
      <c r="I794" t="n">
        <v>0</v>
      </c>
      <c r="J794" t="n">
        <v>1</v>
      </c>
      <c r="K794" t="n">
        <v>0</v>
      </c>
      <c r="L794" t="n">
        <v>0</v>
      </c>
      <c r="M794" t="n">
        <v>0</v>
      </c>
      <c r="N794" t="n">
        <v>0</v>
      </c>
      <c r="O794" t="n">
        <v>1</v>
      </c>
      <c r="P794" t="n">
        <v>0</v>
      </c>
      <c r="Q794" t="n">
        <v>1</v>
      </c>
      <c r="R794" s="2" t="inlineStr">
        <is>
          <t>Svartvit flugsnappare</t>
        </is>
      </c>
      <c r="S794">
        <f>HYPERLINK("https://klasma.github.io/Logging_0860/artfynd/A 24939-2021 artfynd.xlsx", "A 24939-2021")</f>
        <v/>
      </c>
      <c r="T794">
        <f>HYPERLINK("https://klasma.github.io/Logging_0860/kartor/A 24939-2021 karta.png", "A 24939-2021")</f>
        <v/>
      </c>
      <c r="V794">
        <f>HYPERLINK("https://klasma.github.io/Logging_0860/klagomål/A 24939-2021 FSC-klagomål.docx", "A 24939-2021")</f>
        <v/>
      </c>
      <c r="W794">
        <f>HYPERLINK("https://klasma.github.io/Logging_0860/klagomålsmail/A 24939-2021 FSC-klagomål mail.docx", "A 24939-2021")</f>
        <v/>
      </c>
      <c r="X794">
        <f>HYPERLINK("https://klasma.github.io/Logging_0860/tillsyn/A 24939-2021 tillsynsbegäran.docx", "A 24939-2021")</f>
        <v/>
      </c>
      <c r="Y794">
        <f>HYPERLINK("https://klasma.github.io/Logging_0860/tillsynsmail/A 24939-2021 tillsynsbegäran mail.docx", "A 24939-2021")</f>
        <v/>
      </c>
      <c r="Z794">
        <f>HYPERLINK("https://klasma.github.io/Logging_0860/fåglar/A 24939-2021 prioriterade fågelarter.docx", "A 24939-2021")</f>
        <v/>
      </c>
    </row>
    <row r="795" ht="15" customHeight="1">
      <c r="A795" t="inlineStr">
        <is>
          <t>A 25131-2021</t>
        </is>
      </c>
      <c r="B795" s="1" t="n">
        <v>44341</v>
      </c>
      <c r="C795" s="1" t="n">
        <v>45715</v>
      </c>
      <c r="D795" t="inlineStr">
        <is>
          <t>KALMAR LÄN</t>
        </is>
      </c>
      <c r="E795" t="inlineStr">
        <is>
          <t>HÖGSBY</t>
        </is>
      </c>
      <c r="F795" t="inlineStr">
        <is>
          <t>Sveaskog</t>
        </is>
      </c>
      <c r="G795" t="n">
        <v>4.3</v>
      </c>
      <c r="H795" t="n">
        <v>0</v>
      </c>
      <c r="I795" t="n">
        <v>0</v>
      </c>
      <c r="J795" t="n">
        <v>1</v>
      </c>
      <c r="K795" t="n">
        <v>0</v>
      </c>
      <c r="L795" t="n">
        <v>0</v>
      </c>
      <c r="M795" t="n">
        <v>0</v>
      </c>
      <c r="N795" t="n">
        <v>0</v>
      </c>
      <c r="O795" t="n">
        <v>1</v>
      </c>
      <c r="P795" t="n">
        <v>0</v>
      </c>
      <c r="Q795" t="n">
        <v>1</v>
      </c>
      <c r="R795" s="2" t="inlineStr">
        <is>
          <t>Backstarr</t>
        </is>
      </c>
      <c r="S795">
        <f>HYPERLINK("https://klasma.github.io/Logging_0821/artfynd/A 25131-2021 artfynd.xlsx", "A 25131-2021")</f>
        <v/>
      </c>
      <c r="T795">
        <f>HYPERLINK("https://klasma.github.io/Logging_0821/kartor/A 25131-2021 karta.png", "A 25131-2021")</f>
        <v/>
      </c>
      <c r="V795">
        <f>HYPERLINK("https://klasma.github.io/Logging_0821/klagomål/A 25131-2021 FSC-klagomål.docx", "A 25131-2021")</f>
        <v/>
      </c>
      <c r="W795">
        <f>HYPERLINK("https://klasma.github.io/Logging_0821/klagomålsmail/A 25131-2021 FSC-klagomål mail.docx", "A 25131-2021")</f>
        <v/>
      </c>
      <c r="X795">
        <f>HYPERLINK("https://klasma.github.io/Logging_0821/tillsyn/A 25131-2021 tillsynsbegäran.docx", "A 25131-2021")</f>
        <v/>
      </c>
      <c r="Y795">
        <f>HYPERLINK("https://klasma.github.io/Logging_0821/tillsynsmail/A 25131-2021 tillsynsbegäran mail.docx", "A 25131-2021")</f>
        <v/>
      </c>
    </row>
    <row r="796" ht="15" customHeight="1">
      <c r="A796" t="inlineStr">
        <is>
          <t>A 25380-2021</t>
        </is>
      </c>
      <c r="B796" s="1" t="n">
        <v>44342</v>
      </c>
      <c r="C796" s="1" t="n">
        <v>45715</v>
      </c>
      <c r="D796" t="inlineStr">
        <is>
          <t>KALMAR LÄN</t>
        </is>
      </c>
      <c r="E796" t="inlineStr">
        <is>
          <t>OSKARSHAMN</t>
        </is>
      </c>
      <c r="F796" t="inlineStr">
        <is>
          <t>Kommuner</t>
        </is>
      </c>
      <c r="G796" t="n">
        <v>6.8</v>
      </c>
      <c r="H796" t="n">
        <v>0</v>
      </c>
      <c r="I796" t="n">
        <v>0</v>
      </c>
      <c r="J796" t="n">
        <v>1</v>
      </c>
      <c r="K796" t="n">
        <v>0</v>
      </c>
      <c r="L796" t="n">
        <v>0</v>
      </c>
      <c r="M796" t="n">
        <v>0</v>
      </c>
      <c r="N796" t="n">
        <v>0</v>
      </c>
      <c r="O796" t="n">
        <v>1</v>
      </c>
      <c r="P796" t="n">
        <v>0</v>
      </c>
      <c r="Q796" t="n">
        <v>1</v>
      </c>
      <c r="R796" s="2" t="inlineStr">
        <is>
          <t>Grönbladsbjörnbär</t>
        </is>
      </c>
      <c r="S796">
        <f>HYPERLINK("https://klasma.github.io/Logging_0882/artfynd/A 25380-2021 artfynd.xlsx", "A 25380-2021")</f>
        <v/>
      </c>
      <c r="T796">
        <f>HYPERLINK("https://klasma.github.io/Logging_0882/kartor/A 25380-2021 karta.png", "A 25380-2021")</f>
        <v/>
      </c>
      <c r="V796">
        <f>HYPERLINK("https://klasma.github.io/Logging_0882/klagomål/A 25380-2021 FSC-klagomål.docx", "A 25380-2021")</f>
        <v/>
      </c>
      <c r="W796">
        <f>HYPERLINK("https://klasma.github.io/Logging_0882/klagomålsmail/A 25380-2021 FSC-klagomål mail.docx", "A 25380-2021")</f>
        <v/>
      </c>
      <c r="X796">
        <f>HYPERLINK("https://klasma.github.io/Logging_0882/tillsyn/A 25380-2021 tillsynsbegäran.docx", "A 25380-2021")</f>
        <v/>
      </c>
      <c r="Y796">
        <f>HYPERLINK("https://klasma.github.io/Logging_0882/tillsynsmail/A 25380-2021 tillsynsbegäran mail.docx", "A 25380-2021")</f>
        <v/>
      </c>
    </row>
    <row r="797" ht="15" customHeight="1">
      <c r="A797" t="inlineStr">
        <is>
          <t>A 25447-2021</t>
        </is>
      </c>
      <c r="B797" s="1" t="n">
        <v>44342</v>
      </c>
      <c r="C797" s="1" t="n">
        <v>45715</v>
      </c>
      <c r="D797" t="inlineStr">
        <is>
          <t>KALMAR LÄN</t>
        </is>
      </c>
      <c r="E797" t="inlineStr">
        <is>
          <t>VÄSTERVIK</t>
        </is>
      </c>
      <c r="F797" t="inlineStr">
        <is>
          <t>Holmen skog AB</t>
        </is>
      </c>
      <c r="G797" t="n">
        <v>9</v>
      </c>
      <c r="H797" t="n">
        <v>1</v>
      </c>
      <c r="I797" t="n">
        <v>0</v>
      </c>
      <c r="J797" t="n">
        <v>0</v>
      </c>
      <c r="K797" t="n">
        <v>1</v>
      </c>
      <c r="L797" t="n">
        <v>0</v>
      </c>
      <c r="M797" t="n">
        <v>0</v>
      </c>
      <c r="N797" t="n">
        <v>0</v>
      </c>
      <c r="O797" t="n">
        <v>1</v>
      </c>
      <c r="P797" t="n">
        <v>1</v>
      </c>
      <c r="Q797" t="n">
        <v>1</v>
      </c>
      <c r="R797" s="2" t="inlineStr">
        <is>
          <t>Knärot</t>
        </is>
      </c>
      <c r="S797">
        <f>HYPERLINK("https://klasma.github.io/Logging_0883/artfynd/A 25447-2021 artfynd.xlsx", "A 25447-2021")</f>
        <v/>
      </c>
      <c r="T797">
        <f>HYPERLINK("https://klasma.github.io/Logging_0883/kartor/A 25447-2021 karta.png", "A 25447-2021")</f>
        <v/>
      </c>
      <c r="U797">
        <f>HYPERLINK("https://klasma.github.io/Logging_0883/knärot/A 25447-2021 karta knärot.png", "A 25447-2021")</f>
        <v/>
      </c>
      <c r="V797">
        <f>HYPERLINK("https://klasma.github.io/Logging_0883/klagomål/A 25447-2021 FSC-klagomål.docx", "A 25447-2021")</f>
        <v/>
      </c>
      <c r="W797">
        <f>HYPERLINK("https://klasma.github.io/Logging_0883/klagomålsmail/A 25447-2021 FSC-klagomål mail.docx", "A 25447-2021")</f>
        <v/>
      </c>
      <c r="X797">
        <f>HYPERLINK("https://klasma.github.io/Logging_0883/tillsyn/A 25447-2021 tillsynsbegäran.docx", "A 25447-2021")</f>
        <v/>
      </c>
      <c r="Y797">
        <f>HYPERLINK("https://klasma.github.io/Logging_0883/tillsynsmail/A 25447-2021 tillsynsbegäran mail.docx", "A 25447-2021")</f>
        <v/>
      </c>
    </row>
    <row r="798" ht="15" customHeight="1">
      <c r="A798" t="inlineStr">
        <is>
          <t>A 25594-2021</t>
        </is>
      </c>
      <c r="B798" s="1" t="n">
        <v>44343</v>
      </c>
      <c r="C798" s="1" t="n">
        <v>45715</v>
      </c>
      <c r="D798" t="inlineStr">
        <is>
          <t>KALMAR LÄN</t>
        </is>
      </c>
      <c r="E798" t="inlineStr">
        <is>
          <t>VÄSTERVIK</t>
        </is>
      </c>
      <c r="F798" t="inlineStr">
        <is>
          <t>Holmen skog AB</t>
        </is>
      </c>
      <c r="G798" t="n">
        <v>3.2</v>
      </c>
      <c r="H798" t="n">
        <v>1</v>
      </c>
      <c r="I798" t="n">
        <v>0</v>
      </c>
      <c r="J798" t="n">
        <v>0</v>
      </c>
      <c r="K798" t="n">
        <v>1</v>
      </c>
      <c r="L798" t="n">
        <v>0</v>
      </c>
      <c r="M798" t="n">
        <v>0</v>
      </c>
      <c r="N798" t="n">
        <v>0</v>
      </c>
      <c r="O798" t="n">
        <v>1</v>
      </c>
      <c r="P798" t="n">
        <v>1</v>
      </c>
      <c r="Q798" t="n">
        <v>1</v>
      </c>
      <c r="R798" s="2" t="inlineStr">
        <is>
          <t>Knärot</t>
        </is>
      </c>
      <c r="S798">
        <f>HYPERLINK("https://klasma.github.io/Logging_0883/artfynd/A 25594-2021 artfynd.xlsx", "A 25594-2021")</f>
        <v/>
      </c>
      <c r="T798">
        <f>HYPERLINK("https://klasma.github.io/Logging_0883/kartor/A 25594-2021 karta.png", "A 25594-2021")</f>
        <v/>
      </c>
      <c r="U798">
        <f>HYPERLINK("https://klasma.github.io/Logging_0883/knärot/A 25594-2021 karta knärot.png", "A 25594-2021")</f>
        <v/>
      </c>
      <c r="V798">
        <f>HYPERLINK("https://klasma.github.io/Logging_0883/klagomål/A 25594-2021 FSC-klagomål.docx", "A 25594-2021")</f>
        <v/>
      </c>
      <c r="W798">
        <f>HYPERLINK("https://klasma.github.io/Logging_0883/klagomålsmail/A 25594-2021 FSC-klagomål mail.docx", "A 25594-2021")</f>
        <v/>
      </c>
      <c r="X798">
        <f>HYPERLINK("https://klasma.github.io/Logging_0883/tillsyn/A 25594-2021 tillsynsbegäran.docx", "A 25594-2021")</f>
        <v/>
      </c>
      <c r="Y798">
        <f>HYPERLINK("https://klasma.github.io/Logging_0883/tillsynsmail/A 25594-2021 tillsynsbegäran mail.docx", "A 25594-2021")</f>
        <v/>
      </c>
    </row>
    <row r="799" ht="15" customHeight="1">
      <c r="A799" t="inlineStr">
        <is>
          <t>A 25677-2021</t>
        </is>
      </c>
      <c r="B799" s="1" t="n">
        <v>44343</v>
      </c>
      <c r="C799" s="1" t="n">
        <v>45715</v>
      </c>
      <c r="D799" t="inlineStr">
        <is>
          <t>KALMAR LÄN</t>
        </is>
      </c>
      <c r="E799" t="inlineStr">
        <is>
          <t>OSKARSHAMN</t>
        </is>
      </c>
      <c r="G799" t="n">
        <v>7.5</v>
      </c>
      <c r="H799" t="n">
        <v>1</v>
      </c>
      <c r="I799" t="n">
        <v>0</v>
      </c>
      <c r="J799" t="n">
        <v>1</v>
      </c>
      <c r="K799" t="n">
        <v>0</v>
      </c>
      <c r="L799" t="n">
        <v>0</v>
      </c>
      <c r="M799" t="n">
        <v>0</v>
      </c>
      <c r="N799" t="n">
        <v>0</v>
      </c>
      <c r="O799" t="n">
        <v>1</v>
      </c>
      <c r="P799" t="n">
        <v>0</v>
      </c>
      <c r="Q799" t="n">
        <v>1</v>
      </c>
      <c r="R799" s="2" t="inlineStr">
        <is>
          <t>Talltita</t>
        </is>
      </c>
      <c r="S799">
        <f>HYPERLINK("https://klasma.github.io/Logging_0882/artfynd/A 25677-2021 artfynd.xlsx", "A 25677-2021")</f>
        <v/>
      </c>
      <c r="T799">
        <f>HYPERLINK("https://klasma.github.io/Logging_0882/kartor/A 25677-2021 karta.png", "A 25677-2021")</f>
        <v/>
      </c>
      <c r="V799">
        <f>HYPERLINK("https://klasma.github.io/Logging_0882/klagomål/A 25677-2021 FSC-klagomål.docx", "A 25677-2021")</f>
        <v/>
      </c>
      <c r="W799">
        <f>HYPERLINK("https://klasma.github.io/Logging_0882/klagomålsmail/A 25677-2021 FSC-klagomål mail.docx", "A 25677-2021")</f>
        <v/>
      </c>
      <c r="X799">
        <f>HYPERLINK("https://klasma.github.io/Logging_0882/tillsyn/A 25677-2021 tillsynsbegäran.docx", "A 25677-2021")</f>
        <v/>
      </c>
      <c r="Y799">
        <f>HYPERLINK("https://klasma.github.io/Logging_0882/tillsynsmail/A 25677-2021 tillsynsbegäran mail.docx", "A 25677-2021")</f>
        <v/>
      </c>
      <c r="Z799">
        <f>HYPERLINK("https://klasma.github.io/Logging_0882/fåglar/A 25677-2021 prioriterade fågelarter.docx", "A 25677-2021")</f>
        <v/>
      </c>
    </row>
    <row r="800" ht="15" customHeight="1">
      <c r="A800" t="inlineStr">
        <is>
          <t>A 28299-2021</t>
        </is>
      </c>
      <c r="B800" s="1" t="n">
        <v>44356</v>
      </c>
      <c r="C800" s="1" t="n">
        <v>45715</v>
      </c>
      <c r="D800" t="inlineStr">
        <is>
          <t>KALMAR LÄN</t>
        </is>
      </c>
      <c r="E800" t="inlineStr">
        <is>
          <t>OSKARSHAMN</t>
        </is>
      </c>
      <c r="G800" t="n">
        <v>1.9</v>
      </c>
      <c r="H800" t="n">
        <v>1</v>
      </c>
      <c r="I800" t="n">
        <v>0</v>
      </c>
      <c r="J800" t="n">
        <v>1</v>
      </c>
      <c r="K800" t="n">
        <v>0</v>
      </c>
      <c r="L800" t="n">
        <v>0</v>
      </c>
      <c r="M800" t="n">
        <v>0</v>
      </c>
      <c r="N800" t="n">
        <v>0</v>
      </c>
      <c r="O800" t="n">
        <v>1</v>
      </c>
      <c r="P800" t="n">
        <v>0</v>
      </c>
      <c r="Q800" t="n">
        <v>1</v>
      </c>
      <c r="R800" s="2" t="inlineStr">
        <is>
          <t>Spillkråka</t>
        </is>
      </c>
      <c r="S800">
        <f>HYPERLINK("https://klasma.github.io/Logging_0882/artfynd/A 28299-2021 artfynd.xlsx", "A 28299-2021")</f>
        <v/>
      </c>
      <c r="T800">
        <f>HYPERLINK("https://klasma.github.io/Logging_0882/kartor/A 28299-2021 karta.png", "A 28299-2021")</f>
        <v/>
      </c>
      <c r="V800">
        <f>HYPERLINK("https://klasma.github.io/Logging_0882/klagomål/A 28299-2021 FSC-klagomål.docx", "A 28299-2021")</f>
        <v/>
      </c>
      <c r="W800">
        <f>HYPERLINK("https://klasma.github.io/Logging_0882/klagomålsmail/A 28299-2021 FSC-klagomål mail.docx", "A 28299-2021")</f>
        <v/>
      </c>
      <c r="X800">
        <f>HYPERLINK("https://klasma.github.io/Logging_0882/tillsyn/A 28299-2021 tillsynsbegäran.docx", "A 28299-2021")</f>
        <v/>
      </c>
      <c r="Y800">
        <f>HYPERLINK("https://klasma.github.io/Logging_0882/tillsynsmail/A 28299-2021 tillsynsbegäran mail.docx", "A 28299-2021")</f>
        <v/>
      </c>
      <c r="Z800">
        <f>HYPERLINK("https://klasma.github.io/Logging_0882/fåglar/A 28299-2021 prioriterade fågelarter.docx", "A 28299-2021")</f>
        <v/>
      </c>
    </row>
    <row r="801" ht="15" customHeight="1">
      <c r="A801" t="inlineStr">
        <is>
          <t>A 28298-2021</t>
        </is>
      </c>
      <c r="B801" s="1" t="n">
        <v>44356</v>
      </c>
      <c r="C801" s="1" t="n">
        <v>45715</v>
      </c>
      <c r="D801" t="inlineStr">
        <is>
          <t>KALMAR LÄN</t>
        </is>
      </c>
      <c r="E801" t="inlineStr">
        <is>
          <t>OSKARSHAMN</t>
        </is>
      </c>
      <c r="G801" t="n">
        <v>6.3</v>
      </c>
      <c r="H801" t="n">
        <v>0</v>
      </c>
      <c r="I801" t="n">
        <v>0</v>
      </c>
      <c r="J801" t="n">
        <v>1</v>
      </c>
      <c r="K801" t="n">
        <v>0</v>
      </c>
      <c r="L801" t="n">
        <v>0</v>
      </c>
      <c r="M801" t="n">
        <v>0</v>
      </c>
      <c r="N801" t="n">
        <v>0</v>
      </c>
      <c r="O801" t="n">
        <v>1</v>
      </c>
      <c r="P801" t="n">
        <v>0</v>
      </c>
      <c r="Q801" t="n">
        <v>1</v>
      </c>
      <c r="R801" s="2" t="inlineStr">
        <is>
          <t>Tallticka</t>
        </is>
      </c>
      <c r="S801">
        <f>HYPERLINK("https://klasma.github.io/Logging_0882/artfynd/A 28298-2021 artfynd.xlsx", "A 28298-2021")</f>
        <v/>
      </c>
      <c r="T801">
        <f>HYPERLINK("https://klasma.github.io/Logging_0882/kartor/A 28298-2021 karta.png", "A 28298-2021")</f>
        <v/>
      </c>
      <c r="V801">
        <f>HYPERLINK("https://klasma.github.io/Logging_0882/klagomål/A 28298-2021 FSC-klagomål.docx", "A 28298-2021")</f>
        <v/>
      </c>
      <c r="W801">
        <f>HYPERLINK("https://klasma.github.io/Logging_0882/klagomålsmail/A 28298-2021 FSC-klagomål mail.docx", "A 28298-2021")</f>
        <v/>
      </c>
      <c r="X801">
        <f>HYPERLINK("https://klasma.github.io/Logging_0882/tillsyn/A 28298-2021 tillsynsbegäran.docx", "A 28298-2021")</f>
        <v/>
      </c>
      <c r="Y801">
        <f>HYPERLINK("https://klasma.github.io/Logging_0882/tillsynsmail/A 28298-2021 tillsynsbegäran mail.docx", "A 28298-2021")</f>
        <v/>
      </c>
    </row>
    <row r="802" ht="15" customHeight="1">
      <c r="A802" t="inlineStr">
        <is>
          <t>A 29455-2021</t>
        </is>
      </c>
      <c r="B802" s="1" t="n">
        <v>44361</v>
      </c>
      <c r="C802" s="1" t="n">
        <v>45715</v>
      </c>
      <c r="D802" t="inlineStr">
        <is>
          <t>KALMAR LÄN</t>
        </is>
      </c>
      <c r="E802" t="inlineStr">
        <is>
          <t>VÄSTERVIK</t>
        </is>
      </c>
      <c r="F802" t="inlineStr">
        <is>
          <t>Övriga Aktiebolag</t>
        </is>
      </c>
      <c r="G802" t="n">
        <v>3.1</v>
      </c>
      <c r="H802" t="n">
        <v>1</v>
      </c>
      <c r="I802" t="n">
        <v>0</v>
      </c>
      <c r="J802" t="n">
        <v>0</v>
      </c>
      <c r="K802" t="n">
        <v>1</v>
      </c>
      <c r="L802" t="n">
        <v>0</v>
      </c>
      <c r="M802" t="n">
        <v>0</v>
      </c>
      <c r="N802" t="n">
        <v>0</v>
      </c>
      <c r="O802" t="n">
        <v>1</v>
      </c>
      <c r="P802" t="n">
        <v>1</v>
      </c>
      <c r="Q802" t="n">
        <v>1</v>
      </c>
      <c r="R802" s="2" t="inlineStr">
        <is>
          <t>Knärot</t>
        </is>
      </c>
      <c r="S802">
        <f>HYPERLINK("https://klasma.github.io/Logging_0883/artfynd/A 29455-2021 artfynd.xlsx", "A 29455-2021")</f>
        <v/>
      </c>
      <c r="T802">
        <f>HYPERLINK("https://klasma.github.io/Logging_0883/kartor/A 29455-2021 karta.png", "A 29455-2021")</f>
        <v/>
      </c>
      <c r="U802">
        <f>HYPERLINK("https://klasma.github.io/Logging_0883/knärot/A 29455-2021 karta knärot.png", "A 29455-2021")</f>
        <v/>
      </c>
      <c r="V802">
        <f>HYPERLINK("https://klasma.github.io/Logging_0883/klagomål/A 29455-2021 FSC-klagomål.docx", "A 29455-2021")</f>
        <v/>
      </c>
      <c r="W802">
        <f>HYPERLINK("https://klasma.github.io/Logging_0883/klagomålsmail/A 29455-2021 FSC-klagomål mail.docx", "A 29455-2021")</f>
        <v/>
      </c>
      <c r="X802">
        <f>HYPERLINK("https://klasma.github.io/Logging_0883/tillsyn/A 29455-2021 tillsynsbegäran.docx", "A 29455-2021")</f>
        <v/>
      </c>
      <c r="Y802">
        <f>HYPERLINK("https://klasma.github.io/Logging_0883/tillsynsmail/A 29455-2021 tillsynsbegäran mail.docx", "A 29455-2021")</f>
        <v/>
      </c>
    </row>
    <row r="803" ht="15" customHeight="1">
      <c r="A803" t="inlineStr">
        <is>
          <t>A 30666-2021</t>
        </is>
      </c>
      <c r="B803" s="1" t="n">
        <v>44365</v>
      </c>
      <c r="C803" s="1" t="n">
        <v>45715</v>
      </c>
      <c r="D803" t="inlineStr">
        <is>
          <t>KALMAR LÄN</t>
        </is>
      </c>
      <c r="E803" t="inlineStr">
        <is>
          <t>NYBRO</t>
        </is>
      </c>
      <c r="G803" t="n">
        <v>1.3</v>
      </c>
      <c r="H803" t="n">
        <v>1</v>
      </c>
      <c r="I803" t="n">
        <v>1</v>
      </c>
      <c r="J803" t="n">
        <v>0</v>
      </c>
      <c r="K803" t="n">
        <v>0</v>
      </c>
      <c r="L803" t="n">
        <v>0</v>
      </c>
      <c r="M803" t="n">
        <v>0</v>
      </c>
      <c r="N803" t="n">
        <v>0</v>
      </c>
      <c r="O803" t="n">
        <v>0</v>
      </c>
      <c r="P803" t="n">
        <v>0</v>
      </c>
      <c r="Q803" t="n">
        <v>1</v>
      </c>
      <c r="R803" s="2" t="inlineStr">
        <is>
          <t>Spindelblomster</t>
        </is>
      </c>
      <c r="S803">
        <f>HYPERLINK("https://klasma.github.io/Logging_0881/artfynd/A 30666-2021 artfynd.xlsx", "A 30666-2021")</f>
        <v/>
      </c>
      <c r="T803">
        <f>HYPERLINK("https://klasma.github.io/Logging_0881/kartor/A 30666-2021 karta.png", "A 30666-2021")</f>
        <v/>
      </c>
      <c r="V803">
        <f>HYPERLINK("https://klasma.github.io/Logging_0881/klagomål/A 30666-2021 FSC-klagomål.docx", "A 30666-2021")</f>
        <v/>
      </c>
      <c r="W803">
        <f>HYPERLINK("https://klasma.github.io/Logging_0881/klagomålsmail/A 30666-2021 FSC-klagomål mail.docx", "A 30666-2021")</f>
        <v/>
      </c>
      <c r="X803">
        <f>HYPERLINK("https://klasma.github.io/Logging_0881/tillsyn/A 30666-2021 tillsynsbegäran.docx", "A 30666-2021")</f>
        <v/>
      </c>
      <c r="Y803">
        <f>HYPERLINK("https://klasma.github.io/Logging_0881/tillsynsmail/A 30666-2021 tillsynsbegäran mail.docx", "A 30666-2021")</f>
        <v/>
      </c>
    </row>
    <row r="804" ht="15" customHeight="1">
      <c r="A804" t="inlineStr">
        <is>
          <t>A 31170-2021</t>
        </is>
      </c>
      <c r="B804" s="1" t="n">
        <v>44368</v>
      </c>
      <c r="C804" s="1" t="n">
        <v>45715</v>
      </c>
      <c r="D804" t="inlineStr">
        <is>
          <t>KALMAR LÄN</t>
        </is>
      </c>
      <c r="E804" t="inlineStr">
        <is>
          <t>MÖNSTERÅS</t>
        </is>
      </c>
      <c r="G804" t="n">
        <v>20.1</v>
      </c>
      <c r="H804" t="n">
        <v>1</v>
      </c>
      <c r="I804" t="n">
        <v>0</v>
      </c>
      <c r="J804" t="n">
        <v>0</v>
      </c>
      <c r="K804" t="n">
        <v>1</v>
      </c>
      <c r="L804" t="n">
        <v>0</v>
      </c>
      <c r="M804" t="n">
        <v>0</v>
      </c>
      <c r="N804" t="n">
        <v>0</v>
      </c>
      <c r="O804" t="n">
        <v>1</v>
      </c>
      <c r="P804" t="n">
        <v>1</v>
      </c>
      <c r="Q804" t="n">
        <v>1</v>
      </c>
      <c r="R804" s="2" t="inlineStr">
        <is>
          <t>Knärot</t>
        </is>
      </c>
      <c r="S804">
        <f>HYPERLINK("https://klasma.github.io/Logging_0861/artfynd/A 31170-2021 artfynd.xlsx", "A 31170-2021")</f>
        <v/>
      </c>
      <c r="T804">
        <f>HYPERLINK("https://klasma.github.io/Logging_0861/kartor/A 31170-2021 karta.png", "A 31170-2021")</f>
        <v/>
      </c>
      <c r="U804">
        <f>HYPERLINK("https://klasma.github.io/Logging_0861/knärot/A 31170-2021 karta knärot.png", "A 31170-2021")</f>
        <v/>
      </c>
      <c r="V804">
        <f>HYPERLINK("https://klasma.github.io/Logging_0861/klagomål/A 31170-2021 FSC-klagomål.docx", "A 31170-2021")</f>
        <v/>
      </c>
      <c r="W804">
        <f>HYPERLINK("https://klasma.github.io/Logging_0861/klagomålsmail/A 31170-2021 FSC-klagomål mail.docx", "A 31170-2021")</f>
        <v/>
      </c>
      <c r="X804">
        <f>HYPERLINK("https://klasma.github.io/Logging_0861/tillsyn/A 31170-2021 tillsynsbegäran.docx", "A 31170-2021")</f>
        <v/>
      </c>
      <c r="Y804">
        <f>HYPERLINK("https://klasma.github.io/Logging_0861/tillsynsmail/A 31170-2021 tillsynsbegäran mail.docx", "A 31170-2021")</f>
        <v/>
      </c>
    </row>
    <row r="805" ht="15" customHeight="1">
      <c r="A805" t="inlineStr">
        <is>
          <t>A 31315-2021</t>
        </is>
      </c>
      <c r="B805" s="1" t="n">
        <v>44368</v>
      </c>
      <c r="C805" s="1" t="n">
        <v>45715</v>
      </c>
      <c r="D805" t="inlineStr">
        <is>
          <t>KALMAR LÄN</t>
        </is>
      </c>
      <c r="E805" t="inlineStr">
        <is>
          <t>VÄSTERVIK</t>
        </is>
      </c>
      <c r="G805" t="n">
        <v>3.3</v>
      </c>
      <c r="H805" t="n">
        <v>1</v>
      </c>
      <c r="I805" t="n">
        <v>0</v>
      </c>
      <c r="J805" t="n">
        <v>0</v>
      </c>
      <c r="K805" t="n">
        <v>1</v>
      </c>
      <c r="L805" t="n">
        <v>0</v>
      </c>
      <c r="M805" t="n">
        <v>0</v>
      </c>
      <c r="N805" t="n">
        <v>0</v>
      </c>
      <c r="O805" t="n">
        <v>1</v>
      </c>
      <c r="P805" t="n">
        <v>1</v>
      </c>
      <c r="Q805" t="n">
        <v>1</v>
      </c>
      <c r="R805" s="2" t="inlineStr">
        <is>
          <t>Knärot</t>
        </is>
      </c>
      <c r="S805">
        <f>HYPERLINK("https://klasma.github.io/Logging_0883/artfynd/A 31315-2021 artfynd.xlsx", "A 31315-2021")</f>
        <v/>
      </c>
      <c r="T805">
        <f>HYPERLINK("https://klasma.github.io/Logging_0883/kartor/A 31315-2021 karta.png", "A 31315-2021")</f>
        <v/>
      </c>
      <c r="U805">
        <f>HYPERLINK("https://klasma.github.io/Logging_0883/knärot/A 31315-2021 karta knärot.png", "A 31315-2021")</f>
        <v/>
      </c>
      <c r="V805">
        <f>HYPERLINK("https://klasma.github.io/Logging_0883/klagomål/A 31315-2021 FSC-klagomål.docx", "A 31315-2021")</f>
        <v/>
      </c>
      <c r="W805">
        <f>HYPERLINK("https://klasma.github.io/Logging_0883/klagomålsmail/A 31315-2021 FSC-klagomål mail.docx", "A 31315-2021")</f>
        <v/>
      </c>
      <c r="X805">
        <f>HYPERLINK("https://klasma.github.io/Logging_0883/tillsyn/A 31315-2021 tillsynsbegäran.docx", "A 31315-2021")</f>
        <v/>
      </c>
      <c r="Y805">
        <f>HYPERLINK("https://klasma.github.io/Logging_0883/tillsynsmail/A 31315-2021 tillsynsbegäran mail.docx", "A 31315-2021")</f>
        <v/>
      </c>
    </row>
    <row r="806" ht="15" customHeight="1">
      <c r="A806" t="inlineStr">
        <is>
          <t>A 32396-2021</t>
        </is>
      </c>
      <c r="B806" s="1" t="n">
        <v>44371</v>
      </c>
      <c r="C806" s="1" t="n">
        <v>45715</v>
      </c>
      <c r="D806" t="inlineStr">
        <is>
          <t>KALMAR LÄN</t>
        </is>
      </c>
      <c r="E806" t="inlineStr">
        <is>
          <t>VIMMERBY</t>
        </is>
      </c>
      <c r="G806" t="n">
        <v>2.8</v>
      </c>
      <c r="H806" t="n">
        <v>1</v>
      </c>
      <c r="I806" t="n">
        <v>0</v>
      </c>
      <c r="J806" t="n">
        <v>0</v>
      </c>
      <c r="K806" t="n">
        <v>0</v>
      </c>
      <c r="L806" t="n">
        <v>0</v>
      </c>
      <c r="M806" t="n">
        <v>0</v>
      </c>
      <c r="N806" t="n">
        <v>0</v>
      </c>
      <c r="O806" t="n">
        <v>0</v>
      </c>
      <c r="P806" t="n">
        <v>0</v>
      </c>
      <c r="Q806" t="n">
        <v>1</v>
      </c>
      <c r="R806" s="2" t="inlineStr">
        <is>
          <t>Blåsippa</t>
        </is>
      </c>
      <c r="S806">
        <f>HYPERLINK("https://klasma.github.io/Logging_0884/artfynd/A 32396-2021 artfynd.xlsx", "A 32396-2021")</f>
        <v/>
      </c>
      <c r="T806">
        <f>HYPERLINK("https://klasma.github.io/Logging_0884/kartor/A 32396-2021 karta.png", "A 32396-2021")</f>
        <v/>
      </c>
      <c r="V806">
        <f>HYPERLINK("https://klasma.github.io/Logging_0884/klagomål/A 32396-2021 FSC-klagomål.docx", "A 32396-2021")</f>
        <v/>
      </c>
      <c r="W806">
        <f>HYPERLINK("https://klasma.github.io/Logging_0884/klagomålsmail/A 32396-2021 FSC-klagomål mail.docx", "A 32396-2021")</f>
        <v/>
      </c>
      <c r="X806">
        <f>HYPERLINK("https://klasma.github.io/Logging_0884/tillsyn/A 32396-2021 tillsynsbegäran.docx", "A 32396-2021")</f>
        <v/>
      </c>
      <c r="Y806">
        <f>HYPERLINK("https://klasma.github.io/Logging_0884/tillsynsmail/A 32396-2021 tillsynsbegäran mail.docx", "A 32396-2021")</f>
        <v/>
      </c>
    </row>
    <row r="807" ht="15" customHeight="1">
      <c r="A807" t="inlineStr">
        <is>
          <t>A 32768-2021</t>
        </is>
      </c>
      <c r="B807" s="1" t="n">
        <v>44375</v>
      </c>
      <c r="C807" s="1" t="n">
        <v>45715</v>
      </c>
      <c r="D807" t="inlineStr">
        <is>
          <t>KALMAR LÄN</t>
        </is>
      </c>
      <c r="E807" t="inlineStr">
        <is>
          <t>HULTSFRED</t>
        </is>
      </c>
      <c r="G807" t="n">
        <v>4.3</v>
      </c>
      <c r="H807" t="n">
        <v>0</v>
      </c>
      <c r="I807" t="n">
        <v>1</v>
      </c>
      <c r="J807" t="n">
        <v>0</v>
      </c>
      <c r="K807" t="n">
        <v>0</v>
      </c>
      <c r="L807" t="n">
        <v>0</v>
      </c>
      <c r="M807" t="n">
        <v>0</v>
      </c>
      <c r="N807" t="n">
        <v>0</v>
      </c>
      <c r="O807" t="n">
        <v>0</v>
      </c>
      <c r="P807" t="n">
        <v>0</v>
      </c>
      <c r="Q807" t="n">
        <v>1</v>
      </c>
      <c r="R807" s="2" t="inlineStr">
        <is>
          <t>Dvärghäxört</t>
        </is>
      </c>
      <c r="S807">
        <f>HYPERLINK("https://klasma.github.io/Logging_0860/artfynd/A 32768-2021 artfynd.xlsx", "A 32768-2021")</f>
        <v/>
      </c>
      <c r="T807">
        <f>HYPERLINK("https://klasma.github.io/Logging_0860/kartor/A 32768-2021 karta.png", "A 32768-2021")</f>
        <v/>
      </c>
      <c r="V807">
        <f>HYPERLINK("https://klasma.github.io/Logging_0860/klagomål/A 32768-2021 FSC-klagomål.docx", "A 32768-2021")</f>
        <v/>
      </c>
      <c r="W807">
        <f>HYPERLINK("https://klasma.github.io/Logging_0860/klagomålsmail/A 32768-2021 FSC-klagomål mail.docx", "A 32768-2021")</f>
        <v/>
      </c>
      <c r="X807">
        <f>HYPERLINK("https://klasma.github.io/Logging_0860/tillsyn/A 32768-2021 tillsynsbegäran.docx", "A 32768-2021")</f>
        <v/>
      </c>
      <c r="Y807">
        <f>HYPERLINK("https://klasma.github.io/Logging_0860/tillsynsmail/A 32768-2021 tillsynsbegäran mail.docx", "A 32768-2021")</f>
        <v/>
      </c>
    </row>
    <row r="808" ht="15" customHeight="1">
      <c r="A808" t="inlineStr">
        <is>
          <t>A 33436-2021</t>
        </is>
      </c>
      <c r="B808" s="1" t="n">
        <v>44377</v>
      </c>
      <c r="C808" s="1" t="n">
        <v>45715</v>
      </c>
      <c r="D808" t="inlineStr">
        <is>
          <t>KALMAR LÄN</t>
        </is>
      </c>
      <c r="E808" t="inlineStr">
        <is>
          <t>VIMMERBY</t>
        </is>
      </c>
      <c r="G808" t="n">
        <v>11.8</v>
      </c>
      <c r="H808" t="n">
        <v>1</v>
      </c>
      <c r="I808" t="n">
        <v>0</v>
      </c>
      <c r="J808" t="n">
        <v>0</v>
      </c>
      <c r="K808" t="n">
        <v>1</v>
      </c>
      <c r="L808" t="n">
        <v>0</v>
      </c>
      <c r="M808" t="n">
        <v>0</v>
      </c>
      <c r="N808" t="n">
        <v>0</v>
      </c>
      <c r="O808" t="n">
        <v>1</v>
      </c>
      <c r="P808" t="n">
        <v>1</v>
      </c>
      <c r="Q808" t="n">
        <v>1</v>
      </c>
      <c r="R808" s="2" t="inlineStr">
        <is>
          <t>Knärot</t>
        </is>
      </c>
      <c r="S808">
        <f>HYPERLINK("https://klasma.github.io/Logging_0884/artfynd/A 33436-2021 artfynd.xlsx", "A 33436-2021")</f>
        <v/>
      </c>
      <c r="T808">
        <f>HYPERLINK("https://klasma.github.io/Logging_0884/kartor/A 33436-2021 karta.png", "A 33436-2021")</f>
        <v/>
      </c>
      <c r="U808">
        <f>HYPERLINK("https://klasma.github.io/Logging_0884/knärot/A 33436-2021 karta knärot.png", "A 33436-2021")</f>
        <v/>
      </c>
      <c r="V808">
        <f>HYPERLINK("https://klasma.github.io/Logging_0884/klagomål/A 33436-2021 FSC-klagomål.docx", "A 33436-2021")</f>
        <v/>
      </c>
      <c r="W808">
        <f>HYPERLINK("https://klasma.github.io/Logging_0884/klagomålsmail/A 33436-2021 FSC-klagomål mail.docx", "A 33436-2021")</f>
        <v/>
      </c>
      <c r="X808">
        <f>HYPERLINK("https://klasma.github.io/Logging_0884/tillsyn/A 33436-2021 tillsynsbegäran.docx", "A 33436-2021")</f>
        <v/>
      </c>
      <c r="Y808">
        <f>HYPERLINK("https://klasma.github.io/Logging_0884/tillsynsmail/A 33436-2021 tillsynsbegäran mail.docx", "A 33436-2021")</f>
        <v/>
      </c>
    </row>
    <row r="809" ht="15" customHeight="1">
      <c r="A809" t="inlineStr">
        <is>
          <t>A 33791-2021</t>
        </is>
      </c>
      <c r="B809" s="1" t="n">
        <v>44378</v>
      </c>
      <c r="C809" s="1" t="n">
        <v>45715</v>
      </c>
      <c r="D809" t="inlineStr">
        <is>
          <t>KALMAR LÄN</t>
        </is>
      </c>
      <c r="E809" t="inlineStr">
        <is>
          <t>KALMAR</t>
        </is>
      </c>
      <c r="G809" t="n">
        <v>1</v>
      </c>
      <c r="H809" t="n">
        <v>1</v>
      </c>
      <c r="I809" t="n">
        <v>0</v>
      </c>
      <c r="J809" t="n">
        <v>0</v>
      </c>
      <c r="K809" t="n">
        <v>1</v>
      </c>
      <c r="L809" t="n">
        <v>0</v>
      </c>
      <c r="M809" t="n">
        <v>0</v>
      </c>
      <c r="N809" t="n">
        <v>0</v>
      </c>
      <c r="O809" t="n">
        <v>1</v>
      </c>
      <c r="P809" t="n">
        <v>1</v>
      </c>
      <c r="Q809" t="n">
        <v>1</v>
      </c>
      <c r="R809" s="2" t="inlineStr">
        <is>
          <t>Sandödla</t>
        </is>
      </c>
      <c r="S809">
        <f>HYPERLINK("https://klasma.github.io/Logging_0880/artfynd/A 33791-2021 artfynd.xlsx", "A 33791-2021")</f>
        <v/>
      </c>
      <c r="T809">
        <f>HYPERLINK("https://klasma.github.io/Logging_0880/kartor/A 33791-2021 karta.png", "A 33791-2021")</f>
        <v/>
      </c>
      <c r="V809">
        <f>HYPERLINK("https://klasma.github.io/Logging_0880/klagomål/A 33791-2021 FSC-klagomål.docx", "A 33791-2021")</f>
        <v/>
      </c>
      <c r="W809">
        <f>HYPERLINK("https://klasma.github.io/Logging_0880/klagomålsmail/A 33791-2021 FSC-klagomål mail.docx", "A 33791-2021")</f>
        <v/>
      </c>
      <c r="X809">
        <f>HYPERLINK("https://klasma.github.io/Logging_0880/tillsyn/A 33791-2021 tillsynsbegäran.docx", "A 33791-2021")</f>
        <v/>
      </c>
      <c r="Y809">
        <f>HYPERLINK("https://klasma.github.io/Logging_0880/tillsynsmail/A 33791-2021 tillsynsbegäran mail.docx", "A 33791-2021")</f>
        <v/>
      </c>
    </row>
    <row r="810" ht="15" customHeight="1">
      <c r="A810" t="inlineStr">
        <is>
          <t>A 33837-2021</t>
        </is>
      </c>
      <c r="B810" s="1" t="n">
        <v>44378</v>
      </c>
      <c r="C810" s="1" t="n">
        <v>45715</v>
      </c>
      <c r="D810" t="inlineStr">
        <is>
          <t>KALMAR LÄN</t>
        </is>
      </c>
      <c r="E810" t="inlineStr">
        <is>
          <t>OSKARSHAMN</t>
        </is>
      </c>
      <c r="G810" t="n">
        <v>2.4</v>
      </c>
      <c r="H810" t="n">
        <v>0</v>
      </c>
      <c r="I810" t="n">
        <v>1</v>
      </c>
      <c r="J810" t="n">
        <v>0</v>
      </c>
      <c r="K810" t="n">
        <v>0</v>
      </c>
      <c r="L810" t="n">
        <v>0</v>
      </c>
      <c r="M810" t="n">
        <v>0</v>
      </c>
      <c r="N810" t="n">
        <v>0</v>
      </c>
      <c r="O810" t="n">
        <v>0</v>
      </c>
      <c r="P810" t="n">
        <v>0</v>
      </c>
      <c r="Q810" t="n">
        <v>1</v>
      </c>
      <c r="R810" s="2" t="inlineStr">
        <is>
          <t>Bronshjon</t>
        </is>
      </c>
      <c r="S810">
        <f>HYPERLINK("https://klasma.github.io/Logging_0882/artfynd/A 33837-2021 artfynd.xlsx", "A 33837-2021")</f>
        <v/>
      </c>
      <c r="T810">
        <f>HYPERLINK("https://klasma.github.io/Logging_0882/kartor/A 33837-2021 karta.png", "A 33837-2021")</f>
        <v/>
      </c>
      <c r="V810">
        <f>HYPERLINK("https://klasma.github.io/Logging_0882/klagomål/A 33837-2021 FSC-klagomål.docx", "A 33837-2021")</f>
        <v/>
      </c>
      <c r="W810">
        <f>HYPERLINK("https://klasma.github.io/Logging_0882/klagomålsmail/A 33837-2021 FSC-klagomål mail.docx", "A 33837-2021")</f>
        <v/>
      </c>
      <c r="X810">
        <f>HYPERLINK("https://klasma.github.io/Logging_0882/tillsyn/A 33837-2021 tillsynsbegäran.docx", "A 33837-2021")</f>
        <v/>
      </c>
      <c r="Y810">
        <f>HYPERLINK("https://klasma.github.io/Logging_0882/tillsynsmail/A 33837-2021 tillsynsbegäran mail.docx", "A 33837-2021")</f>
        <v/>
      </c>
    </row>
    <row r="811" ht="15" customHeight="1">
      <c r="A811" t="inlineStr">
        <is>
          <t>A 34097-2021</t>
        </is>
      </c>
      <c r="B811" s="1" t="n">
        <v>44379</v>
      </c>
      <c r="C811" s="1" t="n">
        <v>45715</v>
      </c>
      <c r="D811" t="inlineStr">
        <is>
          <t>KALMAR LÄN</t>
        </is>
      </c>
      <c r="E811" t="inlineStr">
        <is>
          <t>MÖNSTERÅS</t>
        </is>
      </c>
      <c r="G811" t="n">
        <v>7.5</v>
      </c>
      <c r="H811" t="n">
        <v>1</v>
      </c>
      <c r="I811" t="n">
        <v>0</v>
      </c>
      <c r="J811" t="n">
        <v>0</v>
      </c>
      <c r="K811" t="n">
        <v>0</v>
      </c>
      <c r="L811" t="n">
        <v>0</v>
      </c>
      <c r="M811" t="n">
        <v>0</v>
      </c>
      <c r="N811" t="n">
        <v>0</v>
      </c>
      <c r="O811" t="n">
        <v>0</v>
      </c>
      <c r="P811" t="n">
        <v>0</v>
      </c>
      <c r="Q811" t="n">
        <v>1</v>
      </c>
      <c r="R811" s="2" t="inlineStr">
        <is>
          <t>Nattviol</t>
        </is>
      </c>
      <c r="S811">
        <f>HYPERLINK("https://klasma.github.io/Logging_0861/artfynd/A 34097-2021 artfynd.xlsx", "A 34097-2021")</f>
        <v/>
      </c>
      <c r="T811">
        <f>HYPERLINK("https://klasma.github.io/Logging_0861/kartor/A 34097-2021 karta.png", "A 34097-2021")</f>
        <v/>
      </c>
      <c r="V811">
        <f>HYPERLINK("https://klasma.github.io/Logging_0861/klagomål/A 34097-2021 FSC-klagomål.docx", "A 34097-2021")</f>
        <v/>
      </c>
      <c r="W811">
        <f>HYPERLINK("https://klasma.github.io/Logging_0861/klagomålsmail/A 34097-2021 FSC-klagomål mail.docx", "A 34097-2021")</f>
        <v/>
      </c>
      <c r="X811">
        <f>HYPERLINK("https://klasma.github.io/Logging_0861/tillsyn/A 34097-2021 tillsynsbegäran.docx", "A 34097-2021")</f>
        <v/>
      </c>
      <c r="Y811">
        <f>HYPERLINK("https://klasma.github.io/Logging_0861/tillsynsmail/A 34097-2021 tillsynsbegäran mail.docx", "A 34097-2021")</f>
        <v/>
      </c>
    </row>
    <row r="812" ht="15" customHeight="1">
      <c r="A812" t="inlineStr">
        <is>
          <t>A 37346-2021</t>
        </is>
      </c>
      <c r="B812" s="1" t="n">
        <v>44397</v>
      </c>
      <c r="C812" s="1" t="n">
        <v>45715</v>
      </c>
      <c r="D812" t="inlineStr">
        <is>
          <t>KALMAR LÄN</t>
        </is>
      </c>
      <c r="E812" t="inlineStr">
        <is>
          <t>HULTSFRED</t>
        </is>
      </c>
      <c r="G812" t="n">
        <v>5.9</v>
      </c>
      <c r="H812" t="n">
        <v>1</v>
      </c>
      <c r="I812" t="n">
        <v>0</v>
      </c>
      <c r="J812" t="n">
        <v>0</v>
      </c>
      <c r="K812" t="n">
        <v>1</v>
      </c>
      <c r="L812" t="n">
        <v>0</v>
      </c>
      <c r="M812" t="n">
        <v>0</v>
      </c>
      <c r="N812" t="n">
        <v>0</v>
      </c>
      <c r="O812" t="n">
        <v>1</v>
      </c>
      <c r="P812" t="n">
        <v>1</v>
      </c>
      <c r="Q812" t="n">
        <v>1</v>
      </c>
      <c r="R812" s="2" t="inlineStr">
        <is>
          <t>Knärot</t>
        </is>
      </c>
      <c r="S812">
        <f>HYPERLINK("https://klasma.github.io/Logging_0860/artfynd/A 37346-2021 artfynd.xlsx", "A 37346-2021")</f>
        <v/>
      </c>
      <c r="T812">
        <f>HYPERLINK("https://klasma.github.io/Logging_0860/kartor/A 37346-2021 karta.png", "A 37346-2021")</f>
        <v/>
      </c>
      <c r="U812">
        <f>HYPERLINK("https://klasma.github.io/Logging_0860/knärot/A 37346-2021 karta knärot.png", "A 37346-2021")</f>
        <v/>
      </c>
      <c r="V812">
        <f>HYPERLINK("https://klasma.github.io/Logging_0860/klagomål/A 37346-2021 FSC-klagomål.docx", "A 37346-2021")</f>
        <v/>
      </c>
      <c r="W812">
        <f>HYPERLINK("https://klasma.github.io/Logging_0860/klagomålsmail/A 37346-2021 FSC-klagomål mail.docx", "A 37346-2021")</f>
        <v/>
      </c>
      <c r="X812">
        <f>HYPERLINK("https://klasma.github.io/Logging_0860/tillsyn/A 37346-2021 tillsynsbegäran.docx", "A 37346-2021")</f>
        <v/>
      </c>
      <c r="Y812">
        <f>HYPERLINK("https://klasma.github.io/Logging_0860/tillsynsmail/A 37346-2021 tillsynsbegäran mail.docx", "A 37346-2021")</f>
        <v/>
      </c>
    </row>
    <row r="813" ht="15" customHeight="1">
      <c r="A813" t="inlineStr">
        <is>
          <t>A 37930-2021</t>
        </is>
      </c>
      <c r="B813" s="1" t="n">
        <v>44403</v>
      </c>
      <c r="C813" s="1" t="n">
        <v>45715</v>
      </c>
      <c r="D813" t="inlineStr">
        <is>
          <t>KALMAR LÄN</t>
        </is>
      </c>
      <c r="E813" t="inlineStr">
        <is>
          <t>VIMMERBY</t>
        </is>
      </c>
      <c r="G813" t="n">
        <v>4.4</v>
      </c>
      <c r="H813" t="n">
        <v>0</v>
      </c>
      <c r="I813" t="n">
        <v>0</v>
      </c>
      <c r="J813" t="n">
        <v>1</v>
      </c>
      <c r="K813" t="n">
        <v>0</v>
      </c>
      <c r="L813" t="n">
        <v>0</v>
      </c>
      <c r="M813" t="n">
        <v>0</v>
      </c>
      <c r="N813" t="n">
        <v>0</v>
      </c>
      <c r="O813" t="n">
        <v>1</v>
      </c>
      <c r="P813" t="n">
        <v>0</v>
      </c>
      <c r="Q813" t="n">
        <v>1</v>
      </c>
      <c r="R813" s="2" t="inlineStr">
        <is>
          <t>Spindelört</t>
        </is>
      </c>
      <c r="S813">
        <f>HYPERLINK("https://klasma.github.io/Logging_0884/artfynd/A 37930-2021 artfynd.xlsx", "A 37930-2021")</f>
        <v/>
      </c>
      <c r="T813">
        <f>HYPERLINK("https://klasma.github.io/Logging_0884/kartor/A 37930-2021 karta.png", "A 37930-2021")</f>
        <v/>
      </c>
      <c r="V813">
        <f>HYPERLINK("https://klasma.github.io/Logging_0884/klagomål/A 37930-2021 FSC-klagomål.docx", "A 37930-2021")</f>
        <v/>
      </c>
      <c r="W813">
        <f>HYPERLINK("https://klasma.github.io/Logging_0884/klagomålsmail/A 37930-2021 FSC-klagomål mail.docx", "A 37930-2021")</f>
        <v/>
      </c>
      <c r="X813">
        <f>HYPERLINK("https://klasma.github.io/Logging_0884/tillsyn/A 37930-2021 tillsynsbegäran.docx", "A 37930-2021")</f>
        <v/>
      </c>
      <c r="Y813">
        <f>HYPERLINK("https://klasma.github.io/Logging_0884/tillsynsmail/A 37930-2021 tillsynsbegäran mail.docx", "A 37930-2021")</f>
        <v/>
      </c>
    </row>
    <row r="814" ht="15" customHeight="1">
      <c r="A814" t="inlineStr">
        <is>
          <t>A 38317-2021</t>
        </is>
      </c>
      <c r="B814" s="1" t="n">
        <v>44406</v>
      </c>
      <c r="C814" s="1" t="n">
        <v>45715</v>
      </c>
      <c r="D814" t="inlineStr">
        <is>
          <t>KALMAR LÄN</t>
        </is>
      </c>
      <c r="E814" t="inlineStr">
        <is>
          <t>OSKARSHAMN</t>
        </is>
      </c>
      <c r="G814" t="n">
        <v>14.4</v>
      </c>
      <c r="H814" t="n">
        <v>1</v>
      </c>
      <c r="I814" t="n">
        <v>0</v>
      </c>
      <c r="J814" t="n">
        <v>0</v>
      </c>
      <c r="K814" t="n">
        <v>0</v>
      </c>
      <c r="L814" t="n">
        <v>0</v>
      </c>
      <c r="M814" t="n">
        <v>0</v>
      </c>
      <c r="N814" t="n">
        <v>0</v>
      </c>
      <c r="O814" t="n">
        <v>0</v>
      </c>
      <c r="P814" t="n">
        <v>0</v>
      </c>
      <c r="Q814" t="n">
        <v>1</v>
      </c>
      <c r="R814" s="2" t="inlineStr">
        <is>
          <t>Tjäder</t>
        </is>
      </c>
      <c r="S814">
        <f>HYPERLINK("https://klasma.github.io/Logging_0882/artfynd/A 38317-2021 artfynd.xlsx", "A 38317-2021")</f>
        <v/>
      </c>
      <c r="T814">
        <f>HYPERLINK("https://klasma.github.io/Logging_0882/kartor/A 38317-2021 karta.png", "A 38317-2021")</f>
        <v/>
      </c>
      <c r="V814">
        <f>HYPERLINK("https://klasma.github.io/Logging_0882/klagomål/A 38317-2021 FSC-klagomål.docx", "A 38317-2021")</f>
        <v/>
      </c>
      <c r="W814">
        <f>HYPERLINK("https://klasma.github.io/Logging_0882/klagomålsmail/A 38317-2021 FSC-klagomål mail.docx", "A 38317-2021")</f>
        <v/>
      </c>
      <c r="X814">
        <f>HYPERLINK("https://klasma.github.io/Logging_0882/tillsyn/A 38317-2021 tillsynsbegäran.docx", "A 38317-2021")</f>
        <v/>
      </c>
      <c r="Y814">
        <f>HYPERLINK("https://klasma.github.io/Logging_0882/tillsynsmail/A 38317-2021 tillsynsbegäran mail.docx", "A 38317-2021")</f>
        <v/>
      </c>
      <c r="Z814">
        <f>HYPERLINK("https://klasma.github.io/Logging_0882/fåglar/A 38317-2021 prioriterade fågelarter.docx", "A 38317-2021")</f>
        <v/>
      </c>
    </row>
    <row r="815" ht="15" customHeight="1">
      <c r="A815" t="inlineStr">
        <is>
          <t>A 38954-2021</t>
        </is>
      </c>
      <c r="B815" s="1" t="n">
        <v>44411</v>
      </c>
      <c r="C815" s="1" t="n">
        <v>45715</v>
      </c>
      <c r="D815" t="inlineStr">
        <is>
          <t>KALMAR LÄN</t>
        </is>
      </c>
      <c r="E815" t="inlineStr">
        <is>
          <t>OSKARSHAMN</t>
        </is>
      </c>
      <c r="G815" t="n">
        <v>7.3</v>
      </c>
      <c r="H815" t="n">
        <v>1</v>
      </c>
      <c r="I815" t="n">
        <v>0</v>
      </c>
      <c r="J815" t="n">
        <v>0</v>
      </c>
      <c r="K815" t="n">
        <v>0</v>
      </c>
      <c r="L815" t="n">
        <v>0</v>
      </c>
      <c r="M815" t="n">
        <v>0</v>
      </c>
      <c r="N815" t="n">
        <v>0</v>
      </c>
      <c r="O815" t="n">
        <v>0</v>
      </c>
      <c r="P815" t="n">
        <v>0</v>
      </c>
      <c r="Q815" t="n">
        <v>1</v>
      </c>
      <c r="R815" s="2" t="inlineStr">
        <is>
          <t>Tjäder</t>
        </is>
      </c>
      <c r="S815">
        <f>HYPERLINK("https://klasma.github.io/Logging_0882/artfynd/A 38954-2021 artfynd.xlsx", "A 38954-2021")</f>
        <v/>
      </c>
      <c r="T815">
        <f>HYPERLINK("https://klasma.github.io/Logging_0882/kartor/A 38954-2021 karta.png", "A 38954-2021")</f>
        <v/>
      </c>
      <c r="V815">
        <f>HYPERLINK("https://klasma.github.io/Logging_0882/klagomål/A 38954-2021 FSC-klagomål.docx", "A 38954-2021")</f>
        <v/>
      </c>
      <c r="W815">
        <f>HYPERLINK("https://klasma.github.io/Logging_0882/klagomålsmail/A 38954-2021 FSC-klagomål mail.docx", "A 38954-2021")</f>
        <v/>
      </c>
      <c r="X815">
        <f>HYPERLINK("https://klasma.github.io/Logging_0882/tillsyn/A 38954-2021 tillsynsbegäran.docx", "A 38954-2021")</f>
        <v/>
      </c>
      <c r="Y815">
        <f>HYPERLINK("https://klasma.github.io/Logging_0882/tillsynsmail/A 38954-2021 tillsynsbegäran mail.docx", "A 38954-2021")</f>
        <v/>
      </c>
      <c r="Z815">
        <f>HYPERLINK("https://klasma.github.io/Logging_0882/fåglar/A 38954-2021 prioriterade fågelarter.docx", "A 38954-2021")</f>
        <v/>
      </c>
    </row>
    <row r="816" ht="15" customHeight="1">
      <c r="A816" t="inlineStr">
        <is>
          <t>A 39875-2021</t>
        </is>
      </c>
      <c r="B816" s="1" t="n">
        <v>44417</v>
      </c>
      <c r="C816" s="1" t="n">
        <v>45715</v>
      </c>
      <c r="D816" t="inlineStr">
        <is>
          <t>KALMAR LÄN</t>
        </is>
      </c>
      <c r="E816" t="inlineStr">
        <is>
          <t>HULTSFRED</t>
        </is>
      </c>
      <c r="G816" t="n">
        <v>8</v>
      </c>
      <c r="H816" t="n">
        <v>1</v>
      </c>
      <c r="I816" t="n">
        <v>0</v>
      </c>
      <c r="J816" t="n">
        <v>1</v>
      </c>
      <c r="K816" t="n">
        <v>0</v>
      </c>
      <c r="L816" t="n">
        <v>0</v>
      </c>
      <c r="M816" t="n">
        <v>0</v>
      </c>
      <c r="N816" t="n">
        <v>0</v>
      </c>
      <c r="O816" t="n">
        <v>1</v>
      </c>
      <c r="P816" t="n">
        <v>0</v>
      </c>
      <c r="Q816" t="n">
        <v>1</v>
      </c>
      <c r="R816" s="2" t="inlineStr">
        <is>
          <t>Talltita</t>
        </is>
      </c>
      <c r="S816">
        <f>HYPERLINK("https://klasma.github.io/Logging_0860/artfynd/A 39875-2021 artfynd.xlsx", "A 39875-2021")</f>
        <v/>
      </c>
      <c r="T816">
        <f>HYPERLINK("https://klasma.github.io/Logging_0860/kartor/A 39875-2021 karta.png", "A 39875-2021")</f>
        <v/>
      </c>
      <c r="V816">
        <f>HYPERLINK("https://klasma.github.io/Logging_0860/klagomål/A 39875-2021 FSC-klagomål.docx", "A 39875-2021")</f>
        <v/>
      </c>
      <c r="W816">
        <f>HYPERLINK("https://klasma.github.io/Logging_0860/klagomålsmail/A 39875-2021 FSC-klagomål mail.docx", "A 39875-2021")</f>
        <v/>
      </c>
      <c r="X816">
        <f>HYPERLINK("https://klasma.github.io/Logging_0860/tillsyn/A 39875-2021 tillsynsbegäran.docx", "A 39875-2021")</f>
        <v/>
      </c>
      <c r="Y816">
        <f>HYPERLINK("https://klasma.github.io/Logging_0860/tillsynsmail/A 39875-2021 tillsynsbegäran mail.docx", "A 39875-2021")</f>
        <v/>
      </c>
      <c r="Z816">
        <f>HYPERLINK("https://klasma.github.io/Logging_0860/fåglar/A 39875-2021 prioriterade fågelarter.docx", "A 39875-2021")</f>
        <v/>
      </c>
    </row>
    <row r="817" ht="15" customHeight="1">
      <c r="A817" t="inlineStr">
        <is>
          <t>A 41263-2021</t>
        </is>
      </c>
      <c r="B817" s="1" t="n">
        <v>44424</v>
      </c>
      <c r="C817" s="1" t="n">
        <v>45715</v>
      </c>
      <c r="D817" t="inlineStr">
        <is>
          <t>KALMAR LÄN</t>
        </is>
      </c>
      <c r="E817" t="inlineStr">
        <is>
          <t>MÖNSTERÅS</t>
        </is>
      </c>
      <c r="G817" t="n">
        <v>4.1</v>
      </c>
      <c r="H817" t="n">
        <v>0</v>
      </c>
      <c r="I817" t="n">
        <v>0</v>
      </c>
      <c r="J817" t="n">
        <v>1</v>
      </c>
      <c r="K817" t="n">
        <v>0</v>
      </c>
      <c r="L817" t="n">
        <v>0</v>
      </c>
      <c r="M817" t="n">
        <v>0</v>
      </c>
      <c r="N817" t="n">
        <v>0</v>
      </c>
      <c r="O817" t="n">
        <v>1</v>
      </c>
      <c r="P817" t="n">
        <v>0</v>
      </c>
      <c r="Q817" t="n">
        <v>1</v>
      </c>
      <c r="R817" s="2" t="inlineStr">
        <is>
          <t>Leptoporus erubescens</t>
        </is>
      </c>
      <c r="S817">
        <f>HYPERLINK("https://klasma.github.io/Logging_0861/artfynd/A 41263-2021 artfynd.xlsx", "A 41263-2021")</f>
        <v/>
      </c>
      <c r="T817">
        <f>HYPERLINK("https://klasma.github.io/Logging_0861/kartor/A 41263-2021 karta.png", "A 41263-2021")</f>
        <v/>
      </c>
      <c r="V817">
        <f>HYPERLINK("https://klasma.github.io/Logging_0861/klagomål/A 41263-2021 FSC-klagomål.docx", "A 41263-2021")</f>
        <v/>
      </c>
      <c r="W817">
        <f>HYPERLINK("https://klasma.github.io/Logging_0861/klagomålsmail/A 41263-2021 FSC-klagomål mail.docx", "A 41263-2021")</f>
        <v/>
      </c>
      <c r="X817">
        <f>HYPERLINK("https://klasma.github.io/Logging_0861/tillsyn/A 41263-2021 tillsynsbegäran.docx", "A 41263-2021")</f>
        <v/>
      </c>
      <c r="Y817">
        <f>HYPERLINK("https://klasma.github.io/Logging_0861/tillsynsmail/A 41263-2021 tillsynsbegäran mail.docx", "A 41263-2021")</f>
        <v/>
      </c>
    </row>
    <row r="818" ht="15" customHeight="1">
      <c r="A818" t="inlineStr">
        <is>
          <t>A 42374-2021</t>
        </is>
      </c>
      <c r="B818" s="1" t="n">
        <v>44427</v>
      </c>
      <c r="C818" s="1" t="n">
        <v>45715</v>
      </c>
      <c r="D818" t="inlineStr">
        <is>
          <t>KALMAR LÄN</t>
        </is>
      </c>
      <c r="E818" t="inlineStr">
        <is>
          <t>OSKARSHAMN</t>
        </is>
      </c>
      <c r="G818" t="n">
        <v>29.4</v>
      </c>
      <c r="H818" t="n">
        <v>1</v>
      </c>
      <c r="I818" t="n">
        <v>0</v>
      </c>
      <c r="J818" t="n">
        <v>1</v>
      </c>
      <c r="K818" t="n">
        <v>0</v>
      </c>
      <c r="L818" t="n">
        <v>0</v>
      </c>
      <c r="M818" t="n">
        <v>0</v>
      </c>
      <c r="N818" t="n">
        <v>0</v>
      </c>
      <c r="O818" t="n">
        <v>1</v>
      </c>
      <c r="P818" t="n">
        <v>0</v>
      </c>
      <c r="Q818" t="n">
        <v>1</v>
      </c>
      <c r="R818" s="2" t="inlineStr">
        <is>
          <t>Talltita</t>
        </is>
      </c>
      <c r="S818">
        <f>HYPERLINK("https://klasma.github.io/Logging_0882/artfynd/A 42374-2021 artfynd.xlsx", "A 42374-2021")</f>
        <v/>
      </c>
      <c r="T818">
        <f>HYPERLINK("https://klasma.github.io/Logging_0882/kartor/A 42374-2021 karta.png", "A 42374-2021")</f>
        <v/>
      </c>
      <c r="V818">
        <f>HYPERLINK("https://klasma.github.io/Logging_0882/klagomål/A 42374-2021 FSC-klagomål.docx", "A 42374-2021")</f>
        <v/>
      </c>
      <c r="W818">
        <f>HYPERLINK("https://klasma.github.io/Logging_0882/klagomålsmail/A 42374-2021 FSC-klagomål mail.docx", "A 42374-2021")</f>
        <v/>
      </c>
      <c r="X818">
        <f>HYPERLINK("https://klasma.github.io/Logging_0882/tillsyn/A 42374-2021 tillsynsbegäran.docx", "A 42374-2021")</f>
        <v/>
      </c>
      <c r="Y818">
        <f>HYPERLINK("https://klasma.github.io/Logging_0882/tillsynsmail/A 42374-2021 tillsynsbegäran mail.docx", "A 42374-2021")</f>
        <v/>
      </c>
      <c r="Z818">
        <f>HYPERLINK("https://klasma.github.io/Logging_0882/fåglar/A 42374-2021 prioriterade fågelarter.docx", "A 42374-2021")</f>
        <v/>
      </c>
    </row>
    <row r="819" ht="15" customHeight="1">
      <c r="A819" t="inlineStr">
        <is>
          <t>A 44635-2021</t>
        </is>
      </c>
      <c r="B819" s="1" t="n">
        <v>44437</v>
      </c>
      <c r="C819" s="1" t="n">
        <v>45715</v>
      </c>
      <c r="D819" t="inlineStr">
        <is>
          <t>KALMAR LÄN</t>
        </is>
      </c>
      <c r="E819" t="inlineStr">
        <is>
          <t>VÄSTERVIK</t>
        </is>
      </c>
      <c r="G819" t="n">
        <v>0.9</v>
      </c>
      <c r="H819" t="n">
        <v>0</v>
      </c>
      <c r="I819" t="n">
        <v>1</v>
      </c>
      <c r="J819" t="n">
        <v>0</v>
      </c>
      <c r="K819" t="n">
        <v>0</v>
      </c>
      <c r="L819" t="n">
        <v>0</v>
      </c>
      <c r="M819" t="n">
        <v>0</v>
      </c>
      <c r="N819" t="n">
        <v>0</v>
      </c>
      <c r="O819" t="n">
        <v>0</v>
      </c>
      <c r="P819" t="n">
        <v>0</v>
      </c>
      <c r="Q819" t="n">
        <v>1</v>
      </c>
      <c r="R819" s="2" t="inlineStr">
        <is>
          <t>Brandticka</t>
        </is>
      </c>
      <c r="S819">
        <f>HYPERLINK("https://klasma.github.io/Logging_0883/artfynd/A 44635-2021 artfynd.xlsx", "A 44635-2021")</f>
        <v/>
      </c>
      <c r="T819">
        <f>HYPERLINK("https://klasma.github.io/Logging_0883/kartor/A 44635-2021 karta.png", "A 44635-2021")</f>
        <v/>
      </c>
      <c r="V819">
        <f>HYPERLINK("https://klasma.github.io/Logging_0883/klagomål/A 44635-2021 FSC-klagomål.docx", "A 44635-2021")</f>
        <v/>
      </c>
      <c r="W819">
        <f>HYPERLINK("https://klasma.github.io/Logging_0883/klagomålsmail/A 44635-2021 FSC-klagomål mail.docx", "A 44635-2021")</f>
        <v/>
      </c>
      <c r="X819">
        <f>HYPERLINK("https://klasma.github.io/Logging_0883/tillsyn/A 44635-2021 tillsynsbegäran.docx", "A 44635-2021")</f>
        <v/>
      </c>
      <c r="Y819">
        <f>HYPERLINK("https://klasma.github.io/Logging_0883/tillsynsmail/A 44635-2021 tillsynsbegäran mail.docx", "A 44635-2021")</f>
        <v/>
      </c>
    </row>
    <row r="820" ht="15" customHeight="1">
      <c r="A820" t="inlineStr">
        <is>
          <t>A 45178-2021</t>
        </is>
      </c>
      <c r="B820" s="1" t="n">
        <v>44439</v>
      </c>
      <c r="C820" s="1" t="n">
        <v>45715</v>
      </c>
      <c r="D820" t="inlineStr">
        <is>
          <t>KALMAR LÄN</t>
        </is>
      </c>
      <c r="E820" t="inlineStr">
        <is>
          <t>MÖNSTERÅS</t>
        </is>
      </c>
      <c r="G820" t="n">
        <v>8.9</v>
      </c>
      <c r="H820" t="n">
        <v>1</v>
      </c>
      <c r="I820" t="n">
        <v>0</v>
      </c>
      <c r="J820" t="n">
        <v>0</v>
      </c>
      <c r="K820" t="n">
        <v>1</v>
      </c>
      <c r="L820" t="n">
        <v>0</v>
      </c>
      <c r="M820" t="n">
        <v>0</v>
      </c>
      <c r="N820" t="n">
        <v>0</v>
      </c>
      <c r="O820" t="n">
        <v>1</v>
      </c>
      <c r="P820" t="n">
        <v>1</v>
      </c>
      <c r="Q820" t="n">
        <v>1</v>
      </c>
      <c r="R820" s="2" t="inlineStr">
        <is>
          <t>Knärot</t>
        </is>
      </c>
      <c r="S820">
        <f>HYPERLINK("https://klasma.github.io/Logging_0861/artfynd/A 45178-2021 artfynd.xlsx", "A 45178-2021")</f>
        <v/>
      </c>
      <c r="T820">
        <f>HYPERLINK("https://klasma.github.io/Logging_0861/kartor/A 45178-2021 karta.png", "A 45178-2021")</f>
        <v/>
      </c>
      <c r="U820">
        <f>HYPERLINK("https://klasma.github.io/Logging_0861/knärot/A 45178-2021 karta knärot.png", "A 45178-2021")</f>
        <v/>
      </c>
      <c r="V820">
        <f>HYPERLINK("https://klasma.github.io/Logging_0861/klagomål/A 45178-2021 FSC-klagomål.docx", "A 45178-2021")</f>
        <v/>
      </c>
      <c r="W820">
        <f>HYPERLINK("https://klasma.github.io/Logging_0861/klagomålsmail/A 45178-2021 FSC-klagomål mail.docx", "A 45178-2021")</f>
        <v/>
      </c>
      <c r="X820">
        <f>HYPERLINK("https://klasma.github.io/Logging_0861/tillsyn/A 45178-2021 tillsynsbegäran.docx", "A 45178-2021")</f>
        <v/>
      </c>
      <c r="Y820">
        <f>HYPERLINK("https://klasma.github.io/Logging_0861/tillsynsmail/A 45178-2021 tillsynsbegäran mail.docx", "A 45178-2021")</f>
        <v/>
      </c>
    </row>
    <row r="821" ht="15" customHeight="1">
      <c r="A821" t="inlineStr">
        <is>
          <t>A 46550-2021</t>
        </is>
      </c>
      <c r="B821" s="1" t="n">
        <v>44445</v>
      </c>
      <c r="C821" s="1" t="n">
        <v>45715</v>
      </c>
      <c r="D821" t="inlineStr">
        <is>
          <t>KALMAR LÄN</t>
        </is>
      </c>
      <c r="E821" t="inlineStr">
        <is>
          <t>EMMABODA</t>
        </is>
      </c>
      <c r="G821" t="n">
        <v>3.7</v>
      </c>
      <c r="H821" t="n">
        <v>0</v>
      </c>
      <c r="I821" t="n">
        <v>0</v>
      </c>
      <c r="J821" t="n">
        <v>1</v>
      </c>
      <c r="K821" t="n">
        <v>0</v>
      </c>
      <c r="L821" t="n">
        <v>0</v>
      </c>
      <c r="M821" t="n">
        <v>0</v>
      </c>
      <c r="N821" t="n">
        <v>0</v>
      </c>
      <c r="O821" t="n">
        <v>1</v>
      </c>
      <c r="P821" t="n">
        <v>0</v>
      </c>
      <c r="Q821" t="n">
        <v>1</v>
      </c>
      <c r="R821" s="2" t="inlineStr">
        <is>
          <t>Åkerkulla</t>
        </is>
      </c>
      <c r="S821">
        <f>HYPERLINK("https://klasma.github.io/Logging_0862/artfynd/A 46550-2021 artfynd.xlsx", "A 46550-2021")</f>
        <v/>
      </c>
      <c r="T821">
        <f>HYPERLINK("https://klasma.github.io/Logging_0862/kartor/A 46550-2021 karta.png", "A 46550-2021")</f>
        <v/>
      </c>
      <c r="V821">
        <f>HYPERLINK("https://klasma.github.io/Logging_0862/klagomål/A 46550-2021 FSC-klagomål.docx", "A 46550-2021")</f>
        <v/>
      </c>
      <c r="W821">
        <f>HYPERLINK("https://klasma.github.io/Logging_0862/klagomålsmail/A 46550-2021 FSC-klagomål mail.docx", "A 46550-2021")</f>
        <v/>
      </c>
      <c r="X821">
        <f>HYPERLINK("https://klasma.github.io/Logging_0862/tillsyn/A 46550-2021 tillsynsbegäran.docx", "A 46550-2021")</f>
        <v/>
      </c>
      <c r="Y821">
        <f>HYPERLINK("https://klasma.github.io/Logging_0862/tillsynsmail/A 46550-2021 tillsynsbegäran mail.docx", "A 46550-2021")</f>
        <v/>
      </c>
    </row>
    <row r="822" ht="15" customHeight="1">
      <c r="A822" t="inlineStr">
        <is>
          <t>A 47582-2021</t>
        </is>
      </c>
      <c r="B822" s="1" t="n">
        <v>44448</v>
      </c>
      <c r="C822" s="1" t="n">
        <v>45715</v>
      </c>
      <c r="D822" t="inlineStr">
        <is>
          <t>KALMAR LÄN</t>
        </is>
      </c>
      <c r="E822" t="inlineStr">
        <is>
          <t>NYBRO</t>
        </is>
      </c>
      <c r="G822" t="n">
        <v>4.5</v>
      </c>
      <c r="H822" t="n">
        <v>1</v>
      </c>
      <c r="I822" t="n">
        <v>0</v>
      </c>
      <c r="J822" t="n">
        <v>0</v>
      </c>
      <c r="K822" t="n">
        <v>0</v>
      </c>
      <c r="L822" t="n">
        <v>0</v>
      </c>
      <c r="M822" t="n">
        <v>0</v>
      </c>
      <c r="N822" t="n">
        <v>0</v>
      </c>
      <c r="O822" t="n">
        <v>0</v>
      </c>
      <c r="P822" t="n">
        <v>0</v>
      </c>
      <c r="Q822" t="n">
        <v>1</v>
      </c>
      <c r="R822" s="2" t="inlineStr">
        <is>
          <t>Kungsfågel</t>
        </is>
      </c>
      <c r="S822">
        <f>HYPERLINK("https://klasma.github.io/Logging_0881/artfynd/A 47582-2021 artfynd.xlsx", "A 47582-2021")</f>
        <v/>
      </c>
      <c r="T822">
        <f>HYPERLINK("https://klasma.github.io/Logging_0881/kartor/A 47582-2021 karta.png", "A 47582-2021")</f>
        <v/>
      </c>
      <c r="V822">
        <f>HYPERLINK("https://klasma.github.io/Logging_0881/klagomål/A 47582-2021 FSC-klagomål.docx", "A 47582-2021")</f>
        <v/>
      </c>
      <c r="W822">
        <f>HYPERLINK("https://klasma.github.io/Logging_0881/klagomålsmail/A 47582-2021 FSC-klagomål mail.docx", "A 47582-2021")</f>
        <v/>
      </c>
      <c r="X822">
        <f>HYPERLINK("https://klasma.github.io/Logging_0881/tillsyn/A 47582-2021 tillsynsbegäran.docx", "A 47582-2021")</f>
        <v/>
      </c>
      <c r="Y822">
        <f>HYPERLINK("https://klasma.github.io/Logging_0881/tillsynsmail/A 47582-2021 tillsynsbegäran mail.docx", "A 47582-2021")</f>
        <v/>
      </c>
      <c r="Z822">
        <f>HYPERLINK("https://klasma.github.io/Logging_0881/fåglar/A 47582-2021 prioriterade fågelarter.docx", "A 47582-2021")</f>
        <v/>
      </c>
    </row>
    <row r="823" ht="15" customHeight="1">
      <c r="A823" t="inlineStr">
        <is>
          <t>A 47860-2021</t>
        </is>
      </c>
      <c r="B823" s="1" t="n">
        <v>44448</v>
      </c>
      <c r="C823" s="1" t="n">
        <v>45715</v>
      </c>
      <c r="D823" t="inlineStr">
        <is>
          <t>KALMAR LÄN</t>
        </is>
      </c>
      <c r="E823" t="inlineStr">
        <is>
          <t>VÄSTERVIK</t>
        </is>
      </c>
      <c r="G823" t="n">
        <v>2.8</v>
      </c>
      <c r="H823" t="n">
        <v>0</v>
      </c>
      <c r="I823" t="n">
        <v>0</v>
      </c>
      <c r="J823" t="n">
        <v>1</v>
      </c>
      <c r="K823" t="n">
        <v>0</v>
      </c>
      <c r="L823" t="n">
        <v>0</v>
      </c>
      <c r="M823" t="n">
        <v>0</v>
      </c>
      <c r="N823" t="n">
        <v>0</v>
      </c>
      <c r="O823" t="n">
        <v>1</v>
      </c>
      <c r="P823" t="n">
        <v>0</v>
      </c>
      <c r="Q823" t="n">
        <v>1</v>
      </c>
      <c r="R823" s="2" t="inlineStr">
        <is>
          <t>Tallticka</t>
        </is>
      </c>
      <c r="S823">
        <f>HYPERLINK("https://klasma.github.io/Logging_0883/artfynd/A 47860-2021 artfynd.xlsx", "A 47860-2021")</f>
        <v/>
      </c>
      <c r="T823">
        <f>HYPERLINK("https://klasma.github.io/Logging_0883/kartor/A 47860-2021 karta.png", "A 47860-2021")</f>
        <v/>
      </c>
      <c r="V823">
        <f>HYPERLINK("https://klasma.github.io/Logging_0883/klagomål/A 47860-2021 FSC-klagomål.docx", "A 47860-2021")</f>
        <v/>
      </c>
      <c r="W823">
        <f>HYPERLINK("https://klasma.github.io/Logging_0883/klagomålsmail/A 47860-2021 FSC-klagomål mail.docx", "A 47860-2021")</f>
        <v/>
      </c>
      <c r="X823">
        <f>HYPERLINK("https://klasma.github.io/Logging_0883/tillsyn/A 47860-2021 tillsynsbegäran.docx", "A 47860-2021")</f>
        <v/>
      </c>
      <c r="Y823">
        <f>HYPERLINK("https://klasma.github.io/Logging_0883/tillsynsmail/A 47860-2021 tillsynsbegäran mail.docx", "A 47860-2021")</f>
        <v/>
      </c>
    </row>
    <row r="824" ht="15" customHeight="1">
      <c r="A824" t="inlineStr">
        <is>
          <t>A 48006-2021</t>
        </is>
      </c>
      <c r="B824" s="1" t="n">
        <v>44449</v>
      </c>
      <c r="C824" s="1" t="n">
        <v>45715</v>
      </c>
      <c r="D824" t="inlineStr">
        <is>
          <t>KALMAR LÄN</t>
        </is>
      </c>
      <c r="E824" t="inlineStr">
        <is>
          <t>NYBRO</t>
        </is>
      </c>
      <c r="F824" t="inlineStr">
        <is>
          <t>Sveaskog</t>
        </is>
      </c>
      <c r="G824" t="n">
        <v>1.2</v>
      </c>
      <c r="H824" t="n">
        <v>0</v>
      </c>
      <c r="I824" t="n">
        <v>1</v>
      </c>
      <c r="J824" t="n">
        <v>0</v>
      </c>
      <c r="K824" t="n">
        <v>0</v>
      </c>
      <c r="L824" t="n">
        <v>0</v>
      </c>
      <c r="M824" t="n">
        <v>0</v>
      </c>
      <c r="N824" t="n">
        <v>0</v>
      </c>
      <c r="O824" t="n">
        <v>0</v>
      </c>
      <c r="P824" t="n">
        <v>0</v>
      </c>
      <c r="Q824" t="n">
        <v>1</v>
      </c>
      <c r="R824" s="2" t="inlineStr">
        <is>
          <t>Rostfläck</t>
        </is>
      </c>
      <c r="S824">
        <f>HYPERLINK("https://klasma.github.io/Logging_0881/artfynd/A 48006-2021 artfynd.xlsx", "A 48006-2021")</f>
        <v/>
      </c>
      <c r="T824">
        <f>HYPERLINK("https://klasma.github.io/Logging_0881/kartor/A 48006-2021 karta.png", "A 48006-2021")</f>
        <v/>
      </c>
      <c r="V824">
        <f>HYPERLINK("https://klasma.github.io/Logging_0881/klagomål/A 48006-2021 FSC-klagomål.docx", "A 48006-2021")</f>
        <v/>
      </c>
      <c r="W824">
        <f>HYPERLINK("https://klasma.github.io/Logging_0881/klagomålsmail/A 48006-2021 FSC-klagomål mail.docx", "A 48006-2021")</f>
        <v/>
      </c>
      <c r="X824">
        <f>HYPERLINK("https://klasma.github.io/Logging_0881/tillsyn/A 48006-2021 tillsynsbegäran.docx", "A 48006-2021")</f>
        <v/>
      </c>
      <c r="Y824">
        <f>HYPERLINK("https://klasma.github.io/Logging_0881/tillsynsmail/A 48006-2021 tillsynsbegäran mail.docx", "A 48006-2021")</f>
        <v/>
      </c>
    </row>
    <row r="825" ht="15" customHeight="1">
      <c r="A825" t="inlineStr">
        <is>
          <t>A 49001-2021</t>
        </is>
      </c>
      <c r="B825" s="1" t="n">
        <v>44453</v>
      </c>
      <c r="C825" s="1" t="n">
        <v>45715</v>
      </c>
      <c r="D825" t="inlineStr">
        <is>
          <t>KALMAR LÄN</t>
        </is>
      </c>
      <c r="E825" t="inlineStr">
        <is>
          <t>TORSÅS</t>
        </is>
      </c>
      <c r="G825" t="n">
        <v>1</v>
      </c>
      <c r="H825" t="n">
        <v>0</v>
      </c>
      <c r="I825" t="n">
        <v>1</v>
      </c>
      <c r="J825" t="n">
        <v>0</v>
      </c>
      <c r="K825" t="n">
        <v>0</v>
      </c>
      <c r="L825" t="n">
        <v>0</v>
      </c>
      <c r="M825" t="n">
        <v>0</v>
      </c>
      <c r="N825" t="n">
        <v>0</v>
      </c>
      <c r="O825" t="n">
        <v>0</v>
      </c>
      <c r="P825" t="n">
        <v>0</v>
      </c>
      <c r="Q825" t="n">
        <v>1</v>
      </c>
      <c r="R825" s="2" t="inlineStr">
        <is>
          <t>Blåmossa</t>
        </is>
      </c>
      <c r="S825">
        <f>HYPERLINK("https://klasma.github.io/Logging_0834/artfynd/A 49001-2021 artfynd.xlsx", "A 49001-2021")</f>
        <v/>
      </c>
      <c r="T825">
        <f>HYPERLINK("https://klasma.github.io/Logging_0834/kartor/A 49001-2021 karta.png", "A 49001-2021")</f>
        <v/>
      </c>
      <c r="V825">
        <f>HYPERLINK("https://klasma.github.io/Logging_0834/klagomål/A 49001-2021 FSC-klagomål.docx", "A 49001-2021")</f>
        <v/>
      </c>
      <c r="W825">
        <f>HYPERLINK("https://klasma.github.io/Logging_0834/klagomålsmail/A 49001-2021 FSC-klagomål mail.docx", "A 49001-2021")</f>
        <v/>
      </c>
      <c r="X825">
        <f>HYPERLINK("https://klasma.github.io/Logging_0834/tillsyn/A 49001-2021 tillsynsbegäran.docx", "A 49001-2021")</f>
        <v/>
      </c>
      <c r="Y825">
        <f>HYPERLINK("https://klasma.github.io/Logging_0834/tillsynsmail/A 49001-2021 tillsynsbegäran mail.docx", "A 49001-2021")</f>
        <v/>
      </c>
    </row>
    <row r="826" ht="15" customHeight="1">
      <c r="A826" t="inlineStr">
        <is>
          <t>A 49410-2021</t>
        </is>
      </c>
      <c r="B826" s="1" t="n">
        <v>44454</v>
      </c>
      <c r="C826" s="1" t="n">
        <v>45715</v>
      </c>
      <c r="D826" t="inlineStr">
        <is>
          <t>KALMAR LÄN</t>
        </is>
      </c>
      <c r="E826" t="inlineStr">
        <is>
          <t>TORSÅS</t>
        </is>
      </c>
      <c r="G826" t="n">
        <v>0.6</v>
      </c>
      <c r="H826" t="n">
        <v>1</v>
      </c>
      <c r="I826" t="n">
        <v>0</v>
      </c>
      <c r="J826" t="n">
        <v>0</v>
      </c>
      <c r="K826" t="n">
        <v>0</v>
      </c>
      <c r="L826" t="n">
        <v>0</v>
      </c>
      <c r="M826" t="n">
        <v>0</v>
      </c>
      <c r="N826" t="n">
        <v>0</v>
      </c>
      <c r="O826" t="n">
        <v>0</v>
      </c>
      <c r="P826" t="n">
        <v>0</v>
      </c>
      <c r="Q826" t="n">
        <v>1</v>
      </c>
      <c r="R826" s="2" t="inlineStr">
        <is>
          <t>Nattviol</t>
        </is>
      </c>
      <c r="S826">
        <f>HYPERLINK("https://klasma.github.io/Logging_0834/artfynd/A 49410-2021 artfynd.xlsx", "A 49410-2021")</f>
        <v/>
      </c>
      <c r="T826">
        <f>HYPERLINK("https://klasma.github.io/Logging_0834/kartor/A 49410-2021 karta.png", "A 49410-2021")</f>
        <v/>
      </c>
      <c r="V826">
        <f>HYPERLINK("https://klasma.github.io/Logging_0834/klagomål/A 49410-2021 FSC-klagomål.docx", "A 49410-2021")</f>
        <v/>
      </c>
      <c r="W826">
        <f>HYPERLINK("https://klasma.github.io/Logging_0834/klagomålsmail/A 49410-2021 FSC-klagomål mail.docx", "A 49410-2021")</f>
        <v/>
      </c>
      <c r="X826">
        <f>HYPERLINK("https://klasma.github.io/Logging_0834/tillsyn/A 49410-2021 tillsynsbegäran.docx", "A 49410-2021")</f>
        <v/>
      </c>
      <c r="Y826">
        <f>HYPERLINK("https://klasma.github.io/Logging_0834/tillsynsmail/A 49410-2021 tillsynsbegäran mail.docx", "A 49410-2021")</f>
        <v/>
      </c>
    </row>
    <row r="827" ht="15" customHeight="1">
      <c r="A827" t="inlineStr">
        <is>
          <t>A 49919-2021</t>
        </is>
      </c>
      <c r="B827" s="1" t="n">
        <v>44455</v>
      </c>
      <c r="C827" s="1" t="n">
        <v>45715</v>
      </c>
      <c r="D827" t="inlineStr">
        <is>
          <t>KALMAR LÄN</t>
        </is>
      </c>
      <c r="E827" t="inlineStr">
        <is>
          <t>HULTSFRED</t>
        </is>
      </c>
      <c r="G827" t="n">
        <v>5</v>
      </c>
      <c r="H827" t="n">
        <v>0</v>
      </c>
      <c r="I827" t="n">
        <v>0</v>
      </c>
      <c r="J827" t="n">
        <v>1</v>
      </c>
      <c r="K827" t="n">
        <v>0</v>
      </c>
      <c r="L827" t="n">
        <v>0</v>
      </c>
      <c r="M827" t="n">
        <v>0</v>
      </c>
      <c r="N827" t="n">
        <v>0</v>
      </c>
      <c r="O827" t="n">
        <v>1</v>
      </c>
      <c r="P827" t="n">
        <v>0</v>
      </c>
      <c r="Q827" t="n">
        <v>1</v>
      </c>
      <c r="R827" s="2" t="inlineStr">
        <is>
          <t>Småjungfrukam</t>
        </is>
      </c>
      <c r="S827">
        <f>HYPERLINK("https://klasma.github.io/Logging_0860/artfynd/A 49919-2021 artfynd.xlsx", "A 49919-2021")</f>
        <v/>
      </c>
      <c r="T827">
        <f>HYPERLINK("https://klasma.github.io/Logging_0860/kartor/A 49919-2021 karta.png", "A 49919-2021")</f>
        <v/>
      </c>
      <c r="V827">
        <f>HYPERLINK("https://klasma.github.io/Logging_0860/klagomål/A 49919-2021 FSC-klagomål.docx", "A 49919-2021")</f>
        <v/>
      </c>
      <c r="W827">
        <f>HYPERLINK("https://klasma.github.io/Logging_0860/klagomålsmail/A 49919-2021 FSC-klagomål mail.docx", "A 49919-2021")</f>
        <v/>
      </c>
      <c r="X827">
        <f>HYPERLINK("https://klasma.github.io/Logging_0860/tillsyn/A 49919-2021 tillsynsbegäran.docx", "A 49919-2021")</f>
        <v/>
      </c>
      <c r="Y827">
        <f>HYPERLINK("https://klasma.github.io/Logging_0860/tillsynsmail/A 49919-2021 tillsynsbegäran mail.docx", "A 49919-2021")</f>
        <v/>
      </c>
    </row>
    <row r="828" ht="15" customHeight="1">
      <c r="A828" t="inlineStr">
        <is>
          <t>A 51244-2021</t>
        </is>
      </c>
      <c r="B828" s="1" t="n">
        <v>44460</v>
      </c>
      <c r="C828" s="1" t="n">
        <v>45715</v>
      </c>
      <c r="D828" t="inlineStr">
        <is>
          <t>KALMAR LÄN</t>
        </is>
      </c>
      <c r="E828" t="inlineStr">
        <is>
          <t>MÖRBYLÅNGA</t>
        </is>
      </c>
      <c r="G828" t="n">
        <v>1.9</v>
      </c>
      <c r="H828" t="n">
        <v>0</v>
      </c>
      <c r="I828" t="n">
        <v>0</v>
      </c>
      <c r="J828" t="n">
        <v>0</v>
      </c>
      <c r="K828" t="n">
        <v>0</v>
      </c>
      <c r="L828" t="n">
        <v>1</v>
      </c>
      <c r="M828" t="n">
        <v>0</v>
      </c>
      <c r="N828" t="n">
        <v>0</v>
      </c>
      <c r="O828" t="n">
        <v>1</v>
      </c>
      <c r="P828" t="n">
        <v>1</v>
      </c>
      <c r="Q828" t="n">
        <v>1</v>
      </c>
      <c r="R828" s="2" t="inlineStr">
        <is>
          <t>Stäppbandbi</t>
        </is>
      </c>
      <c r="S828">
        <f>HYPERLINK("https://klasma.github.io/Logging_0840/artfynd/A 51244-2021 artfynd.xlsx", "A 51244-2021")</f>
        <v/>
      </c>
      <c r="T828">
        <f>HYPERLINK("https://klasma.github.io/Logging_0840/kartor/A 51244-2021 karta.png", "A 51244-2021")</f>
        <v/>
      </c>
      <c r="V828">
        <f>HYPERLINK("https://klasma.github.io/Logging_0840/klagomål/A 51244-2021 FSC-klagomål.docx", "A 51244-2021")</f>
        <v/>
      </c>
      <c r="W828">
        <f>HYPERLINK("https://klasma.github.io/Logging_0840/klagomålsmail/A 51244-2021 FSC-klagomål mail.docx", "A 51244-2021")</f>
        <v/>
      </c>
      <c r="X828">
        <f>HYPERLINK("https://klasma.github.io/Logging_0840/tillsyn/A 51244-2021 tillsynsbegäran.docx", "A 51244-2021")</f>
        <v/>
      </c>
      <c r="Y828">
        <f>HYPERLINK("https://klasma.github.io/Logging_0840/tillsynsmail/A 51244-2021 tillsynsbegäran mail.docx", "A 51244-2021")</f>
        <v/>
      </c>
    </row>
    <row r="829" ht="15" customHeight="1">
      <c r="A829" t="inlineStr">
        <is>
          <t>A 52162-2021</t>
        </is>
      </c>
      <c r="B829" s="1" t="n">
        <v>44463</v>
      </c>
      <c r="C829" s="1" t="n">
        <v>45715</v>
      </c>
      <c r="D829" t="inlineStr">
        <is>
          <t>KALMAR LÄN</t>
        </is>
      </c>
      <c r="E829" t="inlineStr">
        <is>
          <t>OSKARSHAMN</t>
        </is>
      </c>
      <c r="G829" t="n">
        <v>14.1</v>
      </c>
      <c r="H829" t="n">
        <v>0</v>
      </c>
      <c r="I829" t="n">
        <v>0</v>
      </c>
      <c r="J829" t="n">
        <v>1</v>
      </c>
      <c r="K829" t="n">
        <v>0</v>
      </c>
      <c r="L829" t="n">
        <v>0</v>
      </c>
      <c r="M829" t="n">
        <v>0</v>
      </c>
      <c r="N829" t="n">
        <v>0</v>
      </c>
      <c r="O829" t="n">
        <v>1</v>
      </c>
      <c r="P829" t="n">
        <v>0</v>
      </c>
      <c r="Q829" t="n">
        <v>1</v>
      </c>
      <c r="R829" s="2" t="inlineStr">
        <is>
          <t>Vedskivlav</t>
        </is>
      </c>
      <c r="S829">
        <f>HYPERLINK("https://klasma.github.io/Logging_0882/artfynd/A 52162-2021 artfynd.xlsx", "A 52162-2021")</f>
        <v/>
      </c>
      <c r="T829">
        <f>HYPERLINK("https://klasma.github.io/Logging_0882/kartor/A 52162-2021 karta.png", "A 52162-2021")</f>
        <v/>
      </c>
      <c r="V829">
        <f>HYPERLINK("https://klasma.github.io/Logging_0882/klagomål/A 52162-2021 FSC-klagomål.docx", "A 52162-2021")</f>
        <v/>
      </c>
      <c r="W829">
        <f>HYPERLINK("https://klasma.github.io/Logging_0882/klagomålsmail/A 52162-2021 FSC-klagomål mail.docx", "A 52162-2021")</f>
        <v/>
      </c>
      <c r="X829">
        <f>HYPERLINK("https://klasma.github.io/Logging_0882/tillsyn/A 52162-2021 tillsynsbegäran.docx", "A 52162-2021")</f>
        <v/>
      </c>
      <c r="Y829">
        <f>HYPERLINK("https://klasma.github.io/Logging_0882/tillsynsmail/A 52162-2021 tillsynsbegäran mail.docx", "A 52162-2021")</f>
        <v/>
      </c>
    </row>
    <row r="830" ht="15" customHeight="1">
      <c r="A830" t="inlineStr">
        <is>
          <t>A 52670-2021</t>
        </is>
      </c>
      <c r="B830" s="1" t="n">
        <v>44466</v>
      </c>
      <c r="C830" s="1" t="n">
        <v>45715</v>
      </c>
      <c r="D830" t="inlineStr">
        <is>
          <t>KALMAR LÄN</t>
        </is>
      </c>
      <c r="E830" t="inlineStr">
        <is>
          <t>KALMAR</t>
        </is>
      </c>
      <c r="G830" t="n">
        <v>5.7</v>
      </c>
      <c r="H830" t="n">
        <v>1</v>
      </c>
      <c r="I830" t="n">
        <v>0</v>
      </c>
      <c r="J830" t="n">
        <v>0</v>
      </c>
      <c r="K830" t="n">
        <v>1</v>
      </c>
      <c r="L830" t="n">
        <v>0</v>
      </c>
      <c r="M830" t="n">
        <v>0</v>
      </c>
      <c r="N830" t="n">
        <v>0</v>
      </c>
      <c r="O830" t="n">
        <v>1</v>
      </c>
      <c r="P830" t="n">
        <v>1</v>
      </c>
      <c r="Q830" t="n">
        <v>1</v>
      </c>
      <c r="R830" s="2" t="inlineStr">
        <is>
          <t>Knärot</t>
        </is>
      </c>
      <c r="S830">
        <f>HYPERLINK("https://klasma.github.io/Logging_0880/artfynd/A 52670-2021 artfynd.xlsx", "A 52670-2021")</f>
        <v/>
      </c>
      <c r="T830">
        <f>HYPERLINK("https://klasma.github.io/Logging_0880/kartor/A 52670-2021 karta.png", "A 52670-2021")</f>
        <v/>
      </c>
      <c r="U830">
        <f>HYPERLINK("https://klasma.github.io/Logging_0880/knärot/A 52670-2021 karta knärot.png", "A 52670-2021")</f>
        <v/>
      </c>
      <c r="V830">
        <f>HYPERLINK("https://klasma.github.io/Logging_0880/klagomål/A 52670-2021 FSC-klagomål.docx", "A 52670-2021")</f>
        <v/>
      </c>
      <c r="W830">
        <f>HYPERLINK("https://klasma.github.io/Logging_0880/klagomålsmail/A 52670-2021 FSC-klagomål mail.docx", "A 52670-2021")</f>
        <v/>
      </c>
      <c r="X830">
        <f>HYPERLINK("https://klasma.github.io/Logging_0880/tillsyn/A 52670-2021 tillsynsbegäran.docx", "A 52670-2021")</f>
        <v/>
      </c>
      <c r="Y830">
        <f>HYPERLINK("https://klasma.github.io/Logging_0880/tillsynsmail/A 52670-2021 tillsynsbegäran mail.docx", "A 52670-2021")</f>
        <v/>
      </c>
    </row>
    <row r="831" ht="15" customHeight="1">
      <c r="A831" t="inlineStr">
        <is>
          <t>A 52831-2021</t>
        </is>
      </c>
      <c r="B831" s="1" t="n">
        <v>44467</v>
      </c>
      <c r="C831" s="1" t="n">
        <v>45715</v>
      </c>
      <c r="D831" t="inlineStr">
        <is>
          <t>KALMAR LÄN</t>
        </is>
      </c>
      <c r="E831" t="inlineStr">
        <is>
          <t>VÄSTERVIK</t>
        </is>
      </c>
      <c r="G831" t="n">
        <v>0.8</v>
      </c>
      <c r="H831" t="n">
        <v>0</v>
      </c>
      <c r="I831" t="n">
        <v>0</v>
      </c>
      <c r="J831" t="n">
        <v>1</v>
      </c>
      <c r="K831" t="n">
        <v>0</v>
      </c>
      <c r="L831" t="n">
        <v>0</v>
      </c>
      <c r="M831" t="n">
        <v>0</v>
      </c>
      <c r="N831" t="n">
        <v>0</v>
      </c>
      <c r="O831" t="n">
        <v>1</v>
      </c>
      <c r="P831" t="n">
        <v>0</v>
      </c>
      <c r="Q831" t="n">
        <v>1</v>
      </c>
      <c r="R831" s="2" t="inlineStr">
        <is>
          <t>Tallticka</t>
        </is>
      </c>
      <c r="S831">
        <f>HYPERLINK("https://klasma.github.io/Logging_0883/artfynd/A 52831-2021 artfynd.xlsx", "A 52831-2021")</f>
        <v/>
      </c>
      <c r="T831">
        <f>HYPERLINK("https://klasma.github.io/Logging_0883/kartor/A 52831-2021 karta.png", "A 52831-2021")</f>
        <v/>
      </c>
      <c r="V831">
        <f>HYPERLINK("https://klasma.github.io/Logging_0883/klagomål/A 52831-2021 FSC-klagomål.docx", "A 52831-2021")</f>
        <v/>
      </c>
      <c r="W831">
        <f>HYPERLINK("https://klasma.github.io/Logging_0883/klagomålsmail/A 52831-2021 FSC-klagomål mail.docx", "A 52831-2021")</f>
        <v/>
      </c>
      <c r="X831">
        <f>HYPERLINK("https://klasma.github.io/Logging_0883/tillsyn/A 52831-2021 tillsynsbegäran.docx", "A 52831-2021")</f>
        <v/>
      </c>
      <c r="Y831">
        <f>HYPERLINK("https://klasma.github.io/Logging_0883/tillsynsmail/A 52831-2021 tillsynsbegäran mail.docx", "A 52831-2021")</f>
        <v/>
      </c>
    </row>
    <row r="832" ht="15" customHeight="1">
      <c r="A832" t="inlineStr">
        <is>
          <t>A 53738-2021</t>
        </is>
      </c>
      <c r="B832" s="1" t="n">
        <v>44467</v>
      </c>
      <c r="C832" s="1" t="n">
        <v>45715</v>
      </c>
      <c r="D832" t="inlineStr">
        <is>
          <t>KALMAR LÄN</t>
        </is>
      </c>
      <c r="E832" t="inlineStr">
        <is>
          <t>VÄSTERVIK</t>
        </is>
      </c>
      <c r="G832" t="n">
        <v>2.8</v>
      </c>
      <c r="H832" t="n">
        <v>1</v>
      </c>
      <c r="I832" t="n">
        <v>0</v>
      </c>
      <c r="J832" t="n">
        <v>0</v>
      </c>
      <c r="K832" t="n">
        <v>1</v>
      </c>
      <c r="L832" t="n">
        <v>0</v>
      </c>
      <c r="M832" t="n">
        <v>0</v>
      </c>
      <c r="N832" t="n">
        <v>0</v>
      </c>
      <c r="O832" t="n">
        <v>1</v>
      </c>
      <c r="P832" t="n">
        <v>1</v>
      </c>
      <c r="Q832" t="n">
        <v>1</v>
      </c>
      <c r="R832" s="2" t="inlineStr">
        <is>
          <t>Knärot</t>
        </is>
      </c>
      <c r="S832">
        <f>HYPERLINK("https://klasma.github.io/Logging_0883/artfynd/A 53738-2021 artfynd.xlsx", "A 53738-2021")</f>
        <v/>
      </c>
      <c r="T832">
        <f>HYPERLINK("https://klasma.github.io/Logging_0883/kartor/A 53738-2021 karta.png", "A 53738-2021")</f>
        <v/>
      </c>
      <c r="U832">
        <f>HYPERLINK("https://klasma.github.io/Logging_0883/knärot/A 53738-2021 karta knärot.png", "A 53738-2021")</f>
        <v/>
      </c>
      <c r="V832">
        <f>HYPERLINK("https://klasma.github.io/Logging_0883/klagomål/A 53738-2021 FSC-klagomål.docx", "A 53738-2021")</f>
        <v/>
      </c>
      <c r="W832">
        <f>HYPERLINK("https://klasma.github.io/Logging_0883/klagomålsmail/A 53738-2021 FSC-klagomål mail.docx", "A 53738-2021")</f>
        <v/>
      </c>
      <c r="X832">
        <f>HYPERLINK("https://klasma.github.io/Logging_0883/tillsyn/A 53738-2021 tillsynsbegäran.docx", "A 53738-2021")</f>
        <v/>
      </c>
      <c r="Y832">
        <f>HYPERLINK("https://klasma.github.io/Logging_0883/tillsynsmail/A 53738-2021 tillsynsbegäran mail.docx", "A 53738-2021")</f>
        <v/>
      </c>
    </row>
    <row r="833" ht="15" customHeight="1">
      <c r="A833" t="inlineStr">
        <is>
          <t>A 54192-2021</t>
        </is>
      </c>
      <c r="B833" s="1" t="n">
        <v>44470</v>
      </c>
      <c r="C833" s="1" t="n">
        <v>45715</v>
      </c>
      <c r="D833" t="inlineStr">
        <is>
          <t>KALMAR LÄN</t>
        </is>
      </c>
      <c r="E833" t="inlineStr">
        <is>
          <t>MÖRBYLÅNGA</t>
        </is>
      </c>
      <c r="G833" t="n">
        <v>1.5</v>
      </c>
      <c r="H833" t="n">
        <v>0</v>
      </c>
      <c r="I833" t="n">
        <v>0</v>
      </c>
      <c r="J833" t="n">
        <v>1</v>
      </c>
      <c r="K833" t="n">
        <v>0</v>
      </c>
      <c r="L833" t="n">
        <v>0</v>
      </c>
      <c r="M833" t="n">
        <v>0</v>
      </c>
      <c r="N833" t="n">
        <v>0</v>
      </c>
      <c r="O833" t="n">
        <v>1</v>
      </c>
      <c r="P833" t="n">
        <v>0</v>
      </c>
      <c r="Q833" t="n">
        <v>1</v>
      </c>
      <c r="R833" s="2" t="inlineStr">
        <is>
          <t>Sminkrot</t>
        </is>
      </c>
      <c r="S833">
        <f>HYPERLINK("https://klasma.github.io/Logging_0840/artfynd/A 54192-2021 artfynd.xlsx", "A 54192-2021")</f>
        <v/>
      </c>
      <c r="T833">
        <f>HYPERLINK("https://klasma.github.io/Logging_0840/kartor/A 54192-2021 karta.png", "A 54192-2021")</f>
        <v/>
      </c>
      <c r="V833">
        <f>HYPERLINK("https://klasma.github.io/Logging_0840/klagomål/A 54192-2021 FSC-klagomål.docx", "A 54192-2021")</f>
        <v/>
      </c>
      <c r="W833">
        <f>HYPERLINK("https://klasma.github.io/Logging_0840/klagomålsmail/A 54192-2021 FSC-klagomål mail.docx", "A 54192-2021")</f>
        <v/>
      </c>
      <c r="X833">
        <f>HYPERLINK("https://klasma.github.io/Logging_0840/tillsyn/A 54192-2021 tillsynsbegäran.docx", "A 54192-2021")</f>
        <v/>
      </c>
      <c r="Y833">
        <f>HYPERLINK("https://klasma.github.io/Logging_0840/tillsynsmail/A 54192-2021 tillsynsbegäran mail.docx", "A 54192-2021")</f>
        <v/>
      </c>
    </row>
    <row r="834" ht="15" customHeight="1">
      <c r="A834" t="inlineStr">
        <is>
          <t>A 56618-2021</t>
        </is>
      </c>
      <c r="B834" s="1" t="n">
        <v>44480</v>
      </c>
      <c r="C834" s="1" t="n">
        <v>45715</v>
      </c>
      <c r="D834" t="inlineStr">
        <is>
          <t>KALMAR LÄN</t>
        </is>
      </c>
      <c r="E834" t="inlineStr">
        <is>
          <t>VÄSTERVIK</t>
        </is>
      </c>
      <c r="G834" t="n">
        <v>1.5</v>
      </c>
      <c r="H834" t="n">
        <v>0</v>
      </c>
      <c r="I834" t="n">
        <v>0</v>
      </c>
      <c r="J834" t="n">
        <v>1</v>
      </c>
      <c r="K834" t="n">
        <v>0</v>
      </c>
      <c r="L834" t="n">
        <v>0</v>
      </c>
      <c r="M834" t="n">
        <v>0</v>
      </c>
      <c r="N834" t="n">
        <v>0</v>
      </c>
      <c r="O834" t="n">
        <v>1</v>
      </c>
      <c r="P834" t="n">
        <v>0</v>
      </c>
      <c r="Q834" t="n">
        <v>1</v>
      </c>
      <c r="R834" s="2" t="inlineStr">
        <is>
          <t>Tallticka</t>
        </is>
      </c>
      <c r="S834">
        <f>HYPERLINK("https://klasma.github.io/Logging_0883/artfynd/A 56618-2021 artfynd.xlsx", "A 56618-2021")</f>
        <v/>
      </c>
      <c r="T834">
        <f>HYPERLINK("https://klasma.github.io/Logging_0883/kartor/A 56618-2021 karta.png", "A 56618-2021")</f>
        <v/>
      </c>
      <c r="V834">
        <f>HYPERLINK("https://klasma.github.io/Logging_0883/klagomål/A 56618-2021 FSC-klagomål.docx", "A 56618-2021")</f>
        <v/>
      </c>
      <c r="W834">
        <f>HYPERLINK("https://klasma.github.io/Logging_0883/klagomålsmail/A 56618-2021 FSC-klagomål mail.docx", "A 56618-2021")</f>
        <v/>
      </c>
      <c r="X834">
        <f>HYPERLINK("https://klasma.github.io/Logging_0883/tillsyn/A 56618-2021 tillsynsbegäran.docx", "A 56618-2021")</f>
        <v/>
      </c>
      <c r="Y834">
        <f>HYPERLINK("https://klasma.github.io/Logging_0883/tillsynsmail/A 56618-2021 tillsynsbegäran mail.docx", "A 56618-2021")</f>
        <v/>
      </c>
    </row>
    <row r="835" ht="15" customHeight="1">
      <c r="A835" t="inlineStr">
        <is>
          <t>A 57058-2021</t>
        </is>
      </c>
      <c r="B835" s="1" t="n">
        <v>44482</v>
      </c>
      <c r="C835" s="1" t="n">
        <v>45715</v>
      </c>
      <c r="D835" t="inlineStr">
        <is>
          <t>KALMAR LÄN</t>
        </is>
      </c>
      <c r="E835" t="inlineStr">
        <is>
          <t>KALMAR</t>
        </is>
      </c>
      <c r="G835" t="n">
        <v>7.3</v>
      </c>
      <c r="H835" t="n">
        <v>1</v>
      </c>
      <c r="I835" t="n">
        <v>0</v>
      </c>
      <c r="J835" t="n">
        <v>0</v>
      </c>
      <c r="K835" t="n">
        <v>1</v>
      </c>
      <c r="L835" t="n">
        <v>0</v>
      </c>
      <c r="M835" t="n">
        <v>0</v>
      </c>
      <c r="N835" t="n">
        <v>0</v>
      </c>
      <c r="O835" t="n">
        <v>1</v>
      </c>
      <c r="P835" t="n">
        <v>1</v>
      </c>
      <c r="Q835" t="n">
        <v>1</v>
      </c>
      <c r="R835" s="2" t="inlineStr">
        <is>
          <t>Knärot</t>
        </is>
      </c>
      <c r="S835">
        <f>HYPERLINK("https://klasma.github.io/Logging_0880/artfynd/A 57058-2021 artfynd.xlsx", "A 57058-2021")</f>
        <v/>
      </c>
      <c r="T835">
        <f>HYPERLINK("https://klasma.github.io/Logging_0880/kartor/A 57058-2021 karta.png", "A 57058-2021")</f>
        <v/>
      </c>
      <c r="U835">
        <f>HYPERLINK("https://klasma.github.io/Logging_0880/knärot/A 57058-2021 karta knärot.png", "A 57058-2021")</f>
        <v/>
      </c>
      <c r="V835">
        <f>HYPERLINK("https://klasma.github.io/Logging_0880/klagomål/A 57058-2021 FSC-klagomål.docx", "A 57058-2021")</f>
        <v/>
      </c>
      <c r="W835">
        <f>HYPERLINK("https://klasma.github.io/Logging_0880/klagomålsmail/A 57058-2021 FSC-klagomål mail.docx", "A 57058-2021")</f>
        <v/>
      </c>
      <c r="X835">
        <f>HYPERLINK("https://klasma.github.io/Logging_0880/tillsyn/A 57058-2021 tillsynsbegäran.docx", "A 57058-2021")</f>
        <v/>
      </c>
      <c r="Y835">
        <f>HYPERLINK("https://klasma.github.io/Logging_0880/tillsynsmail/A 57058-2021 tillsynsbegäran mail.docx", "A 57058-2021")</f>
        <v/>
      </c>
    </row>
    <row r="836" ht="15" customHeight="1">
      <c r="A836" t="inlineStr">
        <is>
          <t>A 58044-2021</t>
        </is>
      </c>
      <c r="B836" s="1" t="n">
        <v>44487</v>
      </c>
      <c r="C836" s="1" t="n">
        <v>45715</v>
      </c>
      <c r="D836" t="inlineStr">
        <is>
          <t>KALMAR LÄN</t>
        </is>
      </c>
      <c r="E836" t="inlineStr">
        <is>
          <t>KALMAR</t>
        </is>
      </c>
      <c r="G836" t="n">
        <v>8.4</v>
      </c>
      <c r="H836" t="n">
        <v>1</v>
      </c>
      <c r="I836" t="n">
        <v>0</v>
      </c>
      <c r="J836" t="n">
        <v>0</v>
      </c>
      <c r="K836" t="n">
        <v>1</v>
      </c>
      <c r="L836" t="n">
        <v>0</v>
      </c>
      <c r="M836" t="n">
        <v>0</v>
      </c>
      <c r="N836" t="n">
        <v>0</v>
      </c>
      <c r="O836" t="n">
        <v>1</v>
      </c>
      <c r="P836" t="n">
        <v>1</v>
      </c>
      <c r="Q836" t="n">
        <v>1</v>
      </c>
      <c r="R836" s="2" t="inlineStr">
        <is>
          <t>Knärot</t>
        </is>
      </c>
      <c r="S836">
        <f>HYPERLINK("https://klasma.github.io/Logging_0880/artfynd/A 58044-2021 artfynd.xlsx", "A 58044-2021")</f>
        <v/>
      </c>
      <c r="T836">
        <f>HYPERLINK("https://klasma.github.io/Logging_0880/kartor/A 58044-2021 karta.png", "A 58044-2021")</f>
        <v/>
      </c>
      <c r="U836">
        <f>HYPERLINK("https://klasma.github.io/Logging_0880/knärot/A 58044-2021 karta knärot.png", "A 58044-2021")</f>
        <v/>
      </c>
      <c r="V836">
        <f>HYPERLINK("https://klasma.github.io/Logging_0880/klagomål/A 58044-2021 FSC-klagomål.docx", "A 58044-2021")</f>
        <v/>
      </c>
      <c r="W836">
        <f>HYPERLINK("https://klasma.github.io/Logging_0880/klagomålsmail/A 58044-2021 FSC-klagomål mail.docx", "A 58044-2021")</f>
        <v/>
      </c>
      <c r="X836">
        <f>HYPERLINK("https://klasma.github.io/Logging_0880/tillsyn/A 58044-2021 tillsynsbegäran.docx", "A 58044-2021")</f>
        <v/>
      </c>
      <c r="Y836">
        <f>HYPERLINK("https://klasma.github.io/Logging_0880/tillsynsmail/A 58044-2021 tillsynsbegäran mail.docx", "A 58044-2021")</f>
        <v/>
      </c>
    </row>
    <row r="837" ht="15" customHeight="1">
      <c r="A837" t="inlineStr">
        <is>
          <t>A 58297-2021</t>
        </is>
      </c>
      <c r="B837" s="1" t="n">
        <v>44488</v>
      </c>
      <c r="C837" s="1" t="n">
        <v>45715</v>
      </c>
      <c r="D837" t="inlineStr">
        <is>
          <t>KALMAR LÄN</t>
        </is>
      </c>
      <c r="E837" t="inlineStr">
        <is>
          <t>EMMABODA</t>
        </is>
      </c>
      <c r="F837" t="inlineStr">
        <is>
          <t>Kommuner</t>
        </is>
      </c>
      <c r="G837" t="n">
        <v>1.6</v>
      </c>
      <c r="H837" t="n">
        <v>0</v>
      </c>
      <c r="I837" t="n">
        <v>0</v>
      </c>
      <c r="J837" t="n">
        <v>1</v>
      </c>
      <c r="K837" t="n">
        <v>0</v>
      </c>
      <c r="L837" t="n">
        <v>0</v>
      </c>
      <c r="M837" t="n">
        <v>0</v>
      </c>
      <c r="N837" t="n">
        <v>0</v>
      </c>
      <c r="O837" t="n">
        <v>1</v>
      </c>
      <c r="P837" t="n">
        <v>0</v>
      </c>
      <c r="Q837" t="n">
        <v>1</v>
      </c>
      <c r="R837" s="2" t="inlineStr">
        <is>
          <t>Åkerkål</t>
        </is>
      </c>
      <c r="S837">
        <f>HYPERLINK("https://klasma.github.io/Logging_0862/artfynd/A 58297-2021 artfynd.xlsx", "A 58297-2021")</f>
        <v/>
      </c>
      <c r="T837">
        <f>HYPERLINK("https://klasma.github.io/Logging_0862/kartor/A 58297-2021 karta.png", "A 58297-2021")</f>
        <v/>
      </c>
      <c r="V837">
        <f>HYPERLINK("https://klasma.github.io/Logging_0862/klagomål/A 58297-2021 FSC-klagomål.docx", "A 58297-2021")</f>
        <v/>
      </c>
      <c r="W837">
        <f>HYPERLINK("https://klasma.github.io/Logging_0862/klagomålsmail/A 58297-2021 FSC-klagomål mail.docx", "A 58297-2021")</f>
        <v/>
      </c>
      <c r="X837">
        <f>HYPERLINK("https://klasma.github.io/Logging_0862/tillsyn/A 58297-2021 tillsynsbegäran.docx", "A 58297-2021")</f>
        <v/>
      </c>
      <c r="Y837">
        <f>HYPERLINK("https://klasma.github.io/Logging_0862/tillsynsmail/A 58297-2021 tillsynsbegäran mail.docx", "A 58297-2021")</f>
        <v/>
      </c>
    </row>
    <row r="838" ht="15" customHeight="1">
      <c r="A838" t="inlineStr">
        <is>
          <t>A 58765-2021</t>
        </is>
      </c>
      <c r="B838" s="1" t="n">
        <v>44489</v>
      </c>
      <c r="C838" s="1" t="n">
        <v>45715</v>
      </c>
      <c r="D838" t="inlineStr">
        <is>
          <t>KALMAR LÄN</t>
        </is>
      </c>
      <c r="E838" t="inlineStr">
        <is>
          <t>NYBRO</t>
        </is>
      </c>
      <c r="G838" t="n">
        <v>0.8</v>
      </c>
      <c r="H838" t="n">
        <v>1</v>
      </c>
      <c r="I838" t="n">
        <v>0</v>
      </c>
      <c r="J838" t="n">
        <v>0</v>
      </c>
      <c r="K838" t="n">
        <v>0</v>
      </c>
      <c r="L838" t="n">
        <v>0</v>
      </c>
      <c r="M838" t="n">
        <v>0</v>
      </c>
      <c r="N838" t="n">
        <v>0</v>
      </c>
      <c r="O838" t="n">
        <v>0</v>
      </c>
      <c r="P838" t="n">
        <v>0</v>
      </c>
      <c r="Q838" t="n">
        <v>1</v>
      </c>
      <c r="R838" s="2" t="inlineStr">
        <is>
          <t>Mattlummer</t>
        </is>
      </c>
      <c r="S838">
        <f>HYPERLINK("https://klasma.github.io/Logging_0881/artfynd/A 58765-2021 artfynd.xlsx", "A 58765-2021")</f>
        <v/>
      </c>
      <c r="T838">
        <f>HYPERLINK("https://klasma.github.io/Logging_0881/kartor/A 58765-2021 karta.png", "A 58765-2021")</f>
        <v/>
      </c>
      <c r="V838">
        <f>HYPERLINK("https://klasma.github.io/Logging_0881/klagomål/A 58765-2021 FSC-klagomål.docx", "A 58765-2021")</f>
        <v/>
      </c>
      <c r="W838">
        <f>HYPERLINK("https://klasma.github.io/Logging_0881/klagomålsmail/A 58765-2021 FSC-klagomål mail.docx", "A 58765-2021")</f>
        <v/>
      </c>
      <c r="X838">
        <f>HYPERLINK("https://klasma.github.io/Logging_0881/tillsyn/A 58765-2021 tillsynsbegäran.docx", "A 58765-2021")</f>
        <v/>
      </c>
      <c r="Y838">
        <f>HYPERLINK("https://klasma.github.io/Logging_0881/tillsynsmail/A 58765-2021 tillsynsbegäran mail.docx", "A 58765-2021")</f>
        <v/>
      </c>
    </row>
    <row r="839" ht="15" customHeight="1">
      <c r="A839" t="inlineStr">
        <is>
          <t>A 58927-2021</t>
        </is>
      </c>
      <c r="B839" s="1" t="n">
        <v>44489</v>
      </c>
      <c r="C839" s="1" t="n">
        <v>45715</v>
      </c>
      <c r="D839" t="inlineStr">
        <is>
          <t>KALMAR LÄN</t>
        </is>
      </c>
      <c r="E839" t="inlineStr">
        <is>
          <t>KALMAR</t>
        </is>
      </c>
      <c r="G839" t="n">
        <v>3.6</v>
      </c>
      <c r="H839" t="n">
        <v>1</v>
      </c>
      <c r="I839" t="n">
        <v>0</v>
      </c>
      <c r="J839" t="n">
        <v>1</v>
      </c>
      <c r="K839" t="n">
        <v>0</v>
      </c>
      <c r="L839" t="n">
        <v>0</v>
      </c>
      <c r="M839" t="n">
        <v>0</v>
      </c>
      <c r="N839" t="n">
        <v>0</v>
      </c>
      <c r="O839" t="n">
        <v>1</v>
      </c>
      <c r="P839" t="n">
        <v>0</v>
      </c>
      <c r="Q839" t="n">
        <v>1</v>
      </c>
      <c r="R839" s="2" t="inlineStr">
        <is>
          <t>Talltita</t>
        </is>
      </c>
      <c r="S839">
        <f>HYPERLINK("https://klasma.github.io/Logging_0880/artfynd/A 58927-2021 artfynd.xlsx", "A 58927-2021")</f>
        <v/>
      </c>
      <c r="T839">
        <f>HYPERLINK("https://klasma.github.io/Logging_0880/kartor/A 58927-2021 karta.png", "A 58927-2021")</f>
        <v/>
      </c>
      <c r="V839">
        <f>HYPERLINK("https://klasma.github.io/Logging_0880/klagomål/A 58927-2021 FSC-klagomål.docx", "A 58927-2021")</f>
        <v/>
      </c>
      <c r="W839">
        <f>HYPERLINK("https://klasma.github.io/Logging_0880/klagomålsmail/A 58927-2021 FSC-klagomål mail.docx", "A 58927-2021")</f>
        <v/>
      </c>
      <c r="X839">
        <f>HYPERLINK("https://klasma.github.io/Logging_0880/tillsyn/A 58927-2021 tillsynsbegäran.docx", "A 58927-2021")</f>
        <v/>
      </c>
      <c r="Y839">
        <f>HYPERLINK("https://klasma.github.io/Logging_0880/tillsynsmail/A 58927-2021 tillsynsbegäran mail.docx", "A 58927-2021")</f>
        <v/>
      </c>
      <c r="Z839">
        <f>HYPERLINK("https://klasma.github.io/Logging_0880/fåglar/A 58927-2021 prioriterade fågelarter.docx", "A 58927-2021")</f>
        <v/>
      </c>
    </row>
    <row r="840" ht="15" customHeight="1">
      <c r="A840" t="inlineStr">
        <is>
          <t>A 59683-2021</t>
        </is>
      </c>
      <c r="B840" s="1" t="n">
        <v>44494</v>
      </c>
      <c r="C840" s="1" t="n">
        <v>45715</v>
      </c>
      <c r="D840" t="inlineStr">
        <is>
          <t>KALMAR LÄN</t>
        </is>
      </c>
      <c r="E840" t="inlineStr">
        <is>
          <t>OSKARSHAMN</t>
        </is>
      </c>
      <c r="G840" t="n">
        <v>1.6</v>
      </c>
      <c r="H840" t="n">
        <v>1</v>
      </c>
      <c r="I840" t="n">
        <v>0</v>
      </c>
      <c r="J840" t="n">
        <v>1</v>
      </c>
      <c r="K840" t="n">
        <v>0</v>
      </c>
      <c r="L840" t="n">
        <v>0</v>
      </c>
      <c r="M840" t="n">
        <v>0</v>
      </c>
      <c r="N840" t="n">
        <v>0</v>
      </c>
      <c r="O840" t="n">
        <v>1</v>
      </c>
      <c r="P840" t="n">
        <v>0</v>
      </c>
      <c r="Q840" t="n">
        <v>1</v>
      </c>
      <c r="R840" s="2" t="inlineStr">
        <is>
          <t>Talltita</t>
        </is>
      </c>
      <c r="S840">
        <f>HYPERLINK("https://klasma.github.io/Logging_0882/artfynd/A 59683-2021 artfynd.xlsx", "A 59683-2021")</f>
        <v/>
      </c>
      <c r="T840">
        <f>HYPERLINK("https://klasma.github.io/Logging_0882/kartor/A 59683-2021 karta.png", "A 59683-2021")</f>
        <v/>
      </c>
      <c r="V840">
        <f>HYPERLINK("https://klasma.github.io/Logging_0882/klagomål/A 59683-2021 FSC-klagomål.docx", "A 59683-2021")</f>
        <v/>
      </c>
      <c r="W840">
        <f>HYPERLINK("https://klasma.github.io/Logging_0882/klagomålsmail/A 59683-2021 FSC-klagomål mail.docx", "A 59683-2021")</f>
        <v/>
      </c>
      <c r="X840">
        <f>HYPERLINK("https://klasma.github.io/Logging_0882/tillsyn/A 59683-2021 tillsynsbegäran.docx", "A 59683-2021")</f>
        <v/>
      </c>
      <c r="Y840">
        <f>HYPERLINK("https://klasma.github.io/Logging_0882/tillsynsmail/A 59683-2021 tillsynsbegäran mail.docx", "A 59683-2021")</f>
        <v/>
      </c>
      <c r="Z840">
        <f>HYPERLINK("https://klasma.github.io/Logging_0882/fåglar/A 59683-2021 prioriterade fågelarter.docx", "A 59683-2021")</f>
        <v/>
      </c>
    </row>
    <row r="841" ht="15" customHeight="1">
      <c r="A841" t="inlineStr">
        <is>
          <t>A 60257-2021</t>
        </is>
      </c>
      <c r="B841" s="1" t="n">
        <v>44495</v>
      </c>
      <c r="C841" s="1" t="n">
        <v>45715</v>
      </c>
      <c r="D841" t="inlineStr">
        <is>
          <t>KALMAR LÄN</t>
        </is>
      </c>
      <c r="E841" t="inlineStr">
        <is>
          <t>EMMABODA</t>
        </is>
      </c>
      <c r="G841" t="n">
        <v>0.7</v>
      </c>
      <c r="H841" t="n">
        <v>1</v>
      </c>
      <c r="I841" t="n">
        <v>0</v>
      </c>
      <c r="J841" t="n">
        <v>0</v>
      </c>
      <c r="K841" t="n">
        <v>1</v>
      </c>
      <c r="L841" t="n">
        <v>0</v>
      </c>
      <c r="M841" t="n">
        <v>0</v>
      </c>
      <c r="N841" t="n">
        <v>0</v>
      </c>
      <c r="O841" t="n">
        <v>1</v>
      </c>
      <c r="P841" t="n">
        <v>1</v>
      </c>
      <c r="Q841" t="n">
        <v>1</v>
      </c>
      <c r="R841" s="2" t="inlineStr">
        <is>
          <t>Knärot</t>
        </is>
      </c>
      <c r="S841">
        <f>HYPERLINK("https://klasma.github.io/Logging_0862/artfynd/A 60257-2021 artfynd.xlsx", "A 60257-2021")</f>
        <v/>
      </c>
      <c r="T841">
        <f>HYPERLINK("https://klasma.github.io/Logging_0862/kartor/A 60257-2021 karta.png", "A 60257-2021")</f>
        <v/>
      </c>
      <c r="U841">
        <f>HYPERLINK("https://klasma.github.io/Logging_0862/knärot/A 60257-2021 karta knärot.png", "A 60257-2021")</f>
        <v/>
      </c>
      <c r="V841">
        <f>HYPERLINK("https://klasma.github.io/Logging_0862/klagomål/A 60257-2021 FSC-klagomål.docx", "A 60257-2021")</f>
        <v/>
      </c>
      <c r="W841">
        <f>HYPERLINK("https://klasma.github.io/Logging_0862/klagomålsmail/A 60257-2021 FSC-klagomål mail.docx", "A 60257-2021")</f>
        <v/>
      </c>
      <c r="X841">
        <f>HYPERLINK("https://klasma.github.io/Logging_0862/tillsyn/A 60257-2021 tillsynsbegäran.docx", "A 60257-2021")</f>
        <v/>
      </c>
      <c r="Y841">
        <f>HYPERLINK("https://klasma.github.io/Logging_0862/tillsynsmail/A 60257-2021 tillsynsbegäran mail.docx", "A 60257-2021")</f>
        <v/>
      </c>
    </row>
    <row r="842" ht="15" customHeight="1">
      <c r="A842" t="inlineStr">
        <is>
          <t>A 61319-2021</t>
        </is>
      </c>
      <c r="B842" s="1" t="n">
        <v>44498</v>
      </c>
      <c r="C842" s="1" t="n">
        <v>45715</v>
      </c>
      <c r="D842" t="inlineStr">
        <is>
          <t>KALMAR LÄN</t>
        </is>
      </c>
      <c r="E842" t="inlineStr">
        <is>
          <t>VÄSTERVIK</t>
        </is>
      </c>
      <c r="G842" t="n">
        <v>2.2</v>
      </c>
      <c r="H842" t="n">
        <v>1</v>
      </c>
      <c r="I842" t="n">
        <v>1</v>
      </c>
      <c r="J842" t="n">
        <v>0</v>
      </c>
      <c r="K842" t="n">
        <v>0</v>
      </c>
      <c r="L842" t="n">
        <v>0</v>
      </c>
      <c r="M842" t="n">
        <v>0</v>
      </c>
      <c r="N842" t="n">
        <v>0</v>
      </c>
      <c r="O842" t="n">
        <v>0</v>
      </c>
      <c r="P842" t="n">
        <v>0</v>
      </c>
      <c r="Q842" t="n">
        <v>1</v>
      </c>
      <c r="R842" s="2" t="inlineStr">
        <is>
          <t>Ekoxe</t>
        </is>
      </c>
      <c r="S842">
        <f>HYPERLINK("https://klasma.github.io/Logging_0883/artfynd/A 61319-2021 artfynd.xlsx", "A 61319-2021")</f>
        <v/>
      </c>
      <c r="T842">
        <f>HYPERLINK("https://klasma.github.io/Logging_0883/kartor/A 61319-2021 karta.png", "A 61319-2021")</f>
        <v/>
      </c>
      <c r="V842">
        <f>HYPERLINK("https://klasma.github.io/Logging_0883/klagomål/A 61319-2021 FSC-klagomål.docx", "A 61319-2021")</f>
        <v/>
      </c>
      <c r="W842">
        <f>HYPERLINK("https://klasma.github.io/Logging_0883/klagomålsmail/A 61319-2021 FSC-klagomål mail.docx", "A 61319-2021")</f>
        <v/>
      </c>
      <c r="X842">
        <f>HYPERLINK("https://klasma.github.io/Logging_0883/tillsyn/A 61319-2021 tillsynsbegäran.docx", "A 61319-2021")</f>
        <v/>
      </c>
      <c r="Y842">
        <f>HYPERLINK("https://klasma.github.io/Logging_0883/tillsynsmail/A 61319-2021 tillsynsbegäran mail.docx", "A 61319-2021")</f>
        <v/>
      </c>
    </row>
    <row r="843" ht="15" customHeight="1">
      <c r="A843" t="inlineStr">
        <is>
          <t>A 65930-2021</t>
        </is>
      </c>
      <c r="B843" s="1" t="n">
        <v>44517</v>
      </c>
      <c r="C843" s="1" t="n">
        <v>45715</v>
      </c>
      <c r="D843" t="inlineStr">
        <is>
          <t>KALMAR LÄN</t>
        </is>
      </c>
      <c r="E843" t="inlineStr">
        <is>
          <t>KALMAR</t>
        </is>
      </c>
      <c r="G843" t="n">
        <v>1</v>
      </c>
      <c r="H843" t="n">
        <v>1</v>
      </c>
      <c r="I843" t="n">
        <v>0</v>
      </c>
      <c r="J843" t="n">
        <v>1</v>
      </c>
      <c r="K843" t="n">
        <v>0</v>
      </c>
      <c r="L843" t="n">
        <v>0</v>
      </c>
      <c r="M843" t="n">
        <v>0</v>
      </c>
      <c r="N843" t="n">
        <v>0</v>
      </c>
      <c r="O843" t="n">
        <v>1</v>
      </c>
      <c r="P843" t="n">
        <v>0</v>
      </c>
      <c r="Q843" t="n">
        <v>1</v>
      </c>
      <c r="R843" s="2" t="inlineStr">
        <is>
          <t>Spillkråka</t>
        </is>
      </c>
      <c r="S843">
        <f>HYPERLINK("https://klasma.github.io/Logging_0880/artfynd/A 65930-2021 artfynd.xlsx", "A 65930-2021")</f>
        <v/>
      </c>
      <c r="T843">
        <f>HYPERLINK("https://klasma.github.io/Logging_0880/kartor/A 65930-2021 karta.png", "A 65930-2021")</f>
        <v/>
      </c>
      <c r="V843">
        <f>HYPERLINK("https://klasma.github.io/Logging_0880/klagomål/A 65930-2021 FSC-klagomål.docx", "A 65930-2021")</f>
        <v/>
      </c>
      <c r="W843">
        <f>HYPERLINK("https://klasma.github.io/Logging_0880/klagomålsmail/A 65930-2021 FSC-klagomål mail.docx", "A 65930-2021")</f>
        <v/>
      </c>
      <c r="X843">
        <f>HYPERLINK("https://klasma.github.io/Logging_0880/tillsyn/A 65930-2021 tillsynsbegäran.docx", "A 65930-2021")</f>
        <v/>
      </c>
      <c r="Y843">
        <f>HYPERLINK("https://klasma.github.io/Logging_0880/tillsynsmail/A 65930-2021 tillsynsbegäran mail.docx", "A 65930-2021")</f>
        <v/>
      </c>
      <c r="Z843">
        <f>HYPERLINK("https://klasma.github.io/Logging_0880/fåglar/A 65930-2021 prioriterade fågelarter.docx", "A 65930-2021")</f>
        <v/>
      </c>
    </row>
    <row r="844" ht="15" customHeight="1">
      <c r="A844" t="inlineStr">
        <is>
          <t>A 66724-2021</t>
        </is>
      </c>
      <c r="B844" s="1" t="n">
        <v>44520</v>
      </c>
      <c r="C844" s="1" t="n">
        <v>45715</v>
      </c>
      <c r="D844" t="inlineStr">
        <is>
          <t>KALMAR LÄN</t>
        </is>
      </c>
      <c r="E844" t="inlineStr">
        <is>
          <t>HULTSFRED</t>
        </is>
      </c>
      <c r="G844" t="n">
        <v>3</v>
      </c>
      <c r="H844" t="n">
        <v>0</v>
      </c>
      <c r="I844" t="n">
        <v>1</v>
      </c>
      <c r="J844" t="n">
        <v>0</v>
      </c>
      <c r="K844" t="n">
        <v>0</v>
      </c>
      <c r="L844" t="n">
        <v>0</v>
      </c>
      <c r="M844" t="n">
        <v>0</v>
      </c>
      <c r="N844" t="n">
        <v>0</v>
      </c>
      <c r="O844" t="n">
        <v>0</v>
      </c>
      <c r="P844" t="n">
        <v>0</v>
      </c>
      <c r="Q844" t="n">
        <v>1</v>
      </c>
      <c r="R844" s="2" t="inlineStr">
        <is>
          <t>Murgröna</t>
        </is>
      </c>
      <c r="S844">
        <f>HYPERLINK("https://klasma.github.io/Logging_0860/artfynd/A 66724-2021 artfynd.xlsx", "A 66724-2021")</f>
        <v/>
      </c>
      <c r="T844">
        <f>HYPERLINK("https://klasma.github.io/Logging_0860/kartor/A 66724-2021 karta.png", "A 66724-2021")</f>
        <v/>
      </c>
      <c r="V844">
        <f>HYPERLINK("https://klasma.github.io/Logging_0860/klagomål/A 66724-2021 FSC-klagomål.docx", "A 66724-2021")</f>
        <v/>
      </c>
      <c r="W844">
        <f>HYPERLINK("https://klasma.github.io/Logging_0860/klagomålsmail/A 66724-2021 FSC-klagomål mail.docx", "A 66724-2021")</f>
        <v/>
      </c>
      <c r="X844">
        <f>HYPERLINK("https://klasma.github.io/Logging_0860/tillsyn/A 66724-2021 tillsynsbegäran.docx", "A 66724-2021")</f>
        <v/>
      </c>
      <c r="Y844">
        <f>HYPERLINK("https://klasma.github.io/Logging_0860/tillsynsmail/A 66724-2021 tillsynsbegäran mail.docx", "A 66724-2021")</f>
        <v/>
      </c>
    </row>
    <row r="845" ht="15" customHeight="1">
      <c r="A845" t="inlineStr">
        <is>
          <t>A 66847-2021</t>
        </is>
      </c>
      <c r="B845" s="1" t="n">
        <v>44522</v>
      </c>
      <c r="C845" s="1" t="n">
        <v>45715</v>
      </c>
      <c r="D845" t="inlineStr">
        <is>
          <t>KALMAR LÄN</t>
        </is>
      </c>
      <c r="E845" t="inlineStr">
        <is>
          <t>HULTSFRED</t>
        </is>
      </c>
      <c r="G845" t="n">
        <v>7.4</v>
      </c>
      <c r="H845" t="n">
        <v>0</v>
      </c>
      <c r="I845" t="n">
        <v>1</v>
      </c>
      <c r="J845" t="n">
        <v>0</v>
      </c>
      <c r="K845" t="n">
        <v>0</v>
      </c>
      <c r="L845" t="n">
        <v>0</v>
      </c>
      <c r="M845" t="n">
        <v>0</v>
      </c>
      <c r="N845" t="n">
        <v>0</v>
      </c>
      <c r="O845" t="n">
        <v>0</v>
      </c>
      <c r="P845" t="n">
        <v>0</v>
      </c>
      <c r="Q845" t="n">
        <v>1</v>
      </c>
      <c r="R845" s="2" t="inlineStr">
        <is>
          <t>Fällmossa</t>
        </is>
      </c>
      <c r="S845">
        <f>HYPERLINK("https://klasma.github.io/Logging_0860/artfynd/A 66847-2021 artfynd.xlsx", "A 66847-2021")</f>
        <v/>
      </c>
      <c r="T845">
        <f>HYPERLINK("https://klasma.github.io/Logging_0860/kartor/A 66847-2021 karta.png", "A 66847-2021")</f>
        <v/>
      </c>
      <c r="V845">
        <f>HYPERLINK("https://klasma.github.io/Logging_0860/klagomål/A 66847-2021 FSC-klagomål.docx", "A 66847-2021")</f>
        <v/>
      </c>
      <c r="W845">
        <f>HYPERLINK("https://klasma.github.io/Logging_0860/klagomålsmail/A 66847-2021 FSC-klagomål mail.docx", "A 66847-2021")</f>
        <v/>
      </c>
      <c r="X845">
        <f>HYPERLINK("https://klasma.github.io/Logging_0860/tillsyn/A 66847-2021 tillsynsbegäran.docx", "A 66847-2021")</f>
        <v/>
      </c>
      <c r="Y845">
        <f>HYPERLINK("https://klasma.github.io/Logging_0860/tillsynsmail/A 66847-2021 tillsynsbegäran mail.docx", "A 66847-2021")</f>
        <v/>
      </c>
    </row>
    <row r="846" ht="15" customHeight="1">
      <c r="A846" t="inlineStr">
        <is>
          <t>A 68096-2021</t>
        </is>
      </c>
      <c r="B846" s="1" t="n">
        <v>44526</v>
      </c>
      <c r="C846" s="1" t="n">
        <v>45715</v>
      </c>
      <c r="D846" t="inlineStr">
        <is>
          <t>KALMAR LÄN</t>
        </is>
      </c>
      <c r="E846" t="inlineStr">
        <is>
          <t>HULTSFRED</t>
        </is>
      </c>
      <c r="G846" t="n">
        <v>5.8</v>
      </c>
      <c r="H846" t="n">
        <v>1</v>
      </c>
      <c r="I846" t="n">
        <v>0</v>
      </c>
      <c r="J846" t="n">
        <v>0</v>
      </c>
      <c r="K846" t="n">
        <v>1</v>
      </c>
      <c r="L846" t="n">
        <v>0</v>
      </c>
      <c r="M846" t="n">
        <v>0</v>
      </c>
      <c r="N846" t="n">
        <v>0</v>
      </c>
      <c r="O846" t="n">
        <v>1</v>
      </c>
      <c r="P846" t="n">
        <v>1</v>
      </c>
      <c r="Q846" t="n">
        <v>1</v>
      </c>
      <c r="R846" s="2" t="inlineStr">
        <is>
          <t>Knärot</t>
        </is>
      </c>
      <c r="S846">
        <f>HYPERLINK("https://klasma.github.io/Logging_0860/artfynd/A 68096-2021 artfynd.xlsx", "A 68096-2021")</f>
        <v/>
      </c>
      <c r="T846">
        <f>HYPERLINK("https://klasma.github.io/Logging_0860/kartor/A 68096-2021 karta.png", "A 68096-2021")</f>
        <v/>
      </c>
      <c r="U846">
        <f>HYPERLINK("https://klasma.github.io/Logging_0860/knärot/A 68096-2021 karta knärot.png", "A 68096-2021")</f>
        <v/>
      </c>
      <c r="V846">
        <f>HYPERLINK("https://klasma.github.io/Logging_0860/klagomål/A 68096-2021 FSC-klagomål.docx", "A 68096-2021")</f>
        <v/>
      </c>
      <c r="W846">
        <f>HYPERLINK("https://klasma.github.io/Logging_0860/klagomålsmail/A 68096-2021 FSC-klagomål mail.docx", "A 68096-2021")</f>
        <v/>
      </c>
      <c r="X846">
        <f>HYPERLINK("https://klasma.github.io/Logging_0860/tillsyn/A 68096-2021 tillsynsbegäran.docx", "A 68096-2021")</f>
        <v/>
      </c>
      <c r="Y846">
        <f>HYPERLINK("https://klasma.github.io/Logging_0860/tillsynsmail/A 68096-2021 tillsynsbegäran mail.docx", "A 68096-2021")</f>
        <v/>
      </c>
    </row>
    <row r="847" ht="15" customHeight="1">
      <c r="A847" t="inlineStr">
        <is>
          <t>A 71785-2021</t>
        </is>
      </c>
      <c r="B847" s="1" t="n">
        <v>44539</v>
      </c>
      <c r="C847" s="1" t="n">
        <v>45715</v>
      </c>
      <c r="D847" t="inlineStr">
        <is>
          <t>KALMAR LÄN</t>
        </is>
      </c>
      <c r="E847" t="inlineStr">
        <is>
          <t>VIMMERBY</t>
        </is>
      </c>
      <c r="G847" t="n">
        <v>1.1</v>
      </c>
      <c r="H847" t="n">
        <v>0</v>
      </c>
      <c r="I847" t="n">
        <v>0</v>
      </c>
      <c r="J847" t="n">
        <v>0</v>
      </c>
      <c r="K847" t="n">
        <v>0</v>
      </c>
      <c r="L847" t="n">
        <v>1</v>
      </c>
      <c r="M847" t="n">
        <v>0</v>
      </c>
      <c r="N847" t="n">
        <v>0</v>
      </c>
      <c r="O847" t="n">
        <v>1</v>
      </c>
      <c r="P847" t="n">
        <v>1</v>
      </c>
      <c r="Q847" t="n">
        <v>1</v>
      </c>
      <c r="R847" s="2" t="inlineStr">
        <is>
          <t>Ryl</t>
        </is>
      </c>
      <c r="S847">
        <f>HYPERLINK("https://klasma.github.io/Logging_0884/artfynd/A 71785-2021 artfynd.xlsx", "A 71785-2021")</f>
        <v/>
      </c>
      <c r="T847">
        <f>HYPERLINK("https://klasma.github.io/Logging_0884/kartor/A 71785-2021 karta.png", "A 71785-2021")</f>
        <v/>
      </c>
      <c r="V847">
        <f>HYPERLINK("https://klasma.github.io/Logging_0884/klagomål/A 71785-2021 FSC-klagomål.docx", "A 71785-2021")</f>
        <v/>
      </c>
      <c r="W847">
        <f>HYPERLINK("https://klasma.github.io/Logging_0884/klagomålsmail/A 71785-2021 FSC-klagomål mail.docx", "A 71785-2021")</f>
        <v/>
      </c>
      <c r="X847">
        <f>HYPERLINK("https://klasma.github.io/Logging_0884/tillsyn/A 71785-2021 tillsynsbegäran.docx", "A 71785-2021")</f>
        <v/>
      </c>
      <c r="Y847">
        <f>HYPERLINK("https://klasma.github.io/Logging_0884/tillsynsmail/A 71785-2021 tillsynsbegäran mail.docx", "A 71785-2021")</f>
        <v/>
      </c>
    </row>
    <row r="848" ht="15" customHeight="1">
      <c r="A848" t="inlineStr">
        <is>
          <t>A 84-2022</t>
        </is>
      </c>
      <c r="B848" s="1" t="n">
        <v>44564</v>
      </c>
      <c r="C848" s="1" t="n">
        <v>45715</v>
      </c>
      <c r="D848" t="inlineStr">
        <is>
          <t>KALMAR LÄN</t>
        </is>
      </c>
      <c r="E848" t="inlineStr">
        <is>
          <t>NYBRO</t>
        </is>
      </c>
      <c r="F848" t="inlineStr">
        <is>
          <t>Sveaskog</t>
        </is>
      </c>
      <c r="G848" t="n">
        <v>2.2</v>
      </c>
      <c r="H848" t="n">
        <v>0</v>
      </c>
      <c r="I848" t="n">
        <v>1</v>
      </c>
      <c r="J848" t="n">
        <v>0</v>
      </c>
      <c r="K848" t="n">
        <v>0</v>
      </c>
      <c r="L848" t="n">
        <v>0</v>
      </c>
      <c r="M848" t="n">
        <v>0</v>
      </c>
      <c r="N848" t="n">
        <v>0</v>
      </c>
      <c r="O848" t="n">
        <v>0</v>
      </c>
      <c r="P848" t="n">
        <v>0</v>
      </c>
      <c r="Q848" t="n">
        <v>1</v>
      </c>
      <c r="R848" s="2" t="inlineStr">
        <is>
          <t>Blåmossa</t>
        </is>
      </c>
      <c r="S848">
        <f>HYPERLINK("https://klasma.github.io/Logging_0881/artfynd/A 84-2022 artfynd.xlsx", "A 84-2022")</f>
        <v/>
      </c>
      <c r="T848">
        <f>HYPERLINK("https://klasma.github.io/Logging_0881/kartor/A 84-2022 karta.png", "A 84-2022")</f>
        <v/>
      </c>
      <c r="V848">
        <f>HYPERLINK("https://klasma.github.io/Logging_0881/klagomål/A 84-2022 FSC-klagomål.docx", "A 84-2022")</f>
        <v/>
      </c>
      <c r="W848">
        <f>HYPERLINK("https://klasma.github.io/Logging_0881/klagomålsmail/A 84-2022 FSC-klagomål mail.docx", "A 84-2022")</f>
        <v/>
      </c>
      <c r="X848">
        <f>HYPERLINK("https://klasma.github.io/Logging_0881/tillsyn/A 84-2022 tillsynsbegäran.docx", "A 84-2022")</f>
        <v/>
      </c>
      <c r="Y848">
        <f>HYPERLINK("https://klasma.github.io/Logging_0881/tillsynsmail/A 84-2022 tillsynsbegäran mail.docx", "A 84-2022")</f>
        <v/>
      </c>
    </row>
    <row r="849" ht="15" customHeight="1">
      <c r="A849" t="inlineStr">
        <is>
          <t>A 770-2022</t>
        </is>
      </c>
      <c r="B849" s="1" t="n">
        <v>44570</v>
      </c>
      <c r="C849" s="1" t="n">
        <v>45715</v>
      </c>
      <c r="D849" t="inlineStr">
        <is>
          <t>KALMAR LÄN</t>
        </is>
      </c>
      <c r="E849" t="inlineStr">
        <is>
          <t>EMMABODA</t>
        </is>
      </c>
      <c r="G849" t="n">
        <v>3.7</v>
      </c>
      <c r="H849" t="n">
        <v>0</v>
      </c>
      <c r="I849" t="n">
        <v>1</v>
      </c>
      <c r="J849" t="n">
        <v>0</v>
      </c>
      <c r="K849" t="n">
        <v>0</v>
      </c>
      <c r="L849" t="n">
        <v>0</v>
      </c>
      <c r="M849" t="n">
        <v>0</v>
      </c>
      <c r="N849" t="n">
        <v>0</v>
      </c>
      <c r="O849" t="n">
        <v>0</v>
      </c>
      <c r="P849" t="n">
        <v>0</v>
      </c>
      <c r="Q849" t="n">
        <v>1</v>
      </c>
      <c r="R849" s="2" t="inlineStr">
        <is>
          <t>Grönpyrola</t>
        </is>
      </c>
      <c r="S849">
        <f>HYPERLINK("https://klasma.github.io/Logging_0862/artfynd/A 770-2022 artfynd.xlsx", "A 770-2022")</f>
        <v/>
      </c>
      <c r="T849">
        <f>HYPERLINK("https://klasma.github.io/Logging_0862/kartor/A 770-2022 karta.png", "A 770-2022")</f>
        <v/>
      </c>
      <c r="V849">
        <f>HYPERLINK("https://klasma.github.io/Logging_0862/klagomål/A 770-2022 FSC-klagomål.docx", "A 770-2022")</f>
        <v/>
      </c>
      <c r="W849">
        <f>HYPERLINK("https://klasma.github.io/Logging_0862/klagomålsmail/A 770-2022 FSC-klagomål mail.docx", "A 770-2022")</f>
        <v/>
      </c>
      <c r="X849">
        <f>HYPERLINK("https://klasma.github.io/Logging_0862/tillsyn/A 770-2022 tillsynsbegäran.docx", "A 770-2022")</f>
        <v/>
      </c>
      <c r="Y849">
        <f>HYPERLINK("https://klasma.github.io/Logging_0862/tillsynsmail/A 770-2022 tillsynsbegäran mail.docx", "A 770-2022")</f>
        <v/>
      </c>
    </row>
    <row r="850" ht="15" customHeight="1">
      <c r="A850" t="inlineStr">
        <is>
          <t>A 831-2022</t>
        </is>
      </c>
      <c r="B850" s="1" t="n">
        <v>44571</v>
      </c>
      <c r="C850" s="1" t="n">
        <v>45715</v>
      </c>
      <c r="D850" t="inlineStr">
        <is>
          <t>KALMAR LÄN</t>
        </is>
      </c>
      <c r="E850" t="inlineStr">
        <is>
          <t>TORSÅS</t>
        </is>
      </c>
      <c r="G850" t="n">
        <v>0.5</v>
      </c>
      <c r="H850" t="n">
        <v>1</v>
      </c>
      <c r="I850" t="n">
        <v>0</v>
      </c>
      <c r="J850" t="n">
        <v>0</v>
      </c>
      <c r="K850" t="n">
        <v>1</v>
      </c>
      <c r="L850" t="n">
        <v>0</v>
      </c>
      <c r="M850" t="n">
        <v>0</v>
      </c>
      <c r="N850" t="n">
        <v>0</v>
      </c>
      <c r="O850" t="n">
        <v>1</v>
      </c>
      <c r="P850" t="n">
        <v>1</v>
      </c>
      <c r="Q850" t="n">
        <v>1</v>
      </c>
      <c r="R850" s="2" t="inlineStr">
        <is>
          <t>Knärot</t>
        </is>
      </c>
      <c r="S850">
        <f>HYPERLINK("https://klasma.github.io/Logging_0834/artfynd/A 831-2022 artfynd.xlsx", "A 831-2022")</f>
        <v/>
      </c>
      <c r="T850">
        <f>HYPERLINK("https://klasma.github.io/Logging_0834/kartor/A 831-2022 karta.png", "A 831-2022")</f>
        <v/>
      </c>
      <c r="U850">
        <f>HYPERLINK("https://klasma.github.io/Logging_0834/knärot/A 831-2022 karta knärot.png", "A 831-2022")</f>
        <v/>
      </c>
      <c r="V850">
        <f>HYPERLINK("https://klasma.github.io/Logging_0834/klagomål/A 831-2022 FSC-klagomål.docx", "A 831-2022")</f>
        <v/>
      </c>
      <c r="W850">
        <f>HYPERLINK("https://klasma.github.io/Logging_0834/klagomålsmail/A 831-2022 FSC-klagomål mail.docx", "A 831-2022")</f>
        <v/>
      </c>
      <c r="X850">
        <f>HYPERLINK("https://klasma.github.io/Logging_0834/tillsyn/A 831-2022 tillsynsbegäran.docx", "A 831-2022")</f>
        <v/>
      </c>
      <c r="Y850">
        <f>HYPERLINK("https://klasma.github.io/Logging_0834/tillsynsmail/A 831-2022 tillsynsbegäran mail.docx", "A 831-2022")</f>
        <v/>
      </c>
    </row>
    <row r="851" ht="15" customHeight="1">
      <c r="A851" t="inlineStr">
        <is>
          <t>A 1519-2022</t>
        </is>
      </c>
      <c r="B851" s="1" t="n">
        <v>44573</v>
      </c>
      <c r="C851" s="1" t="n">
        <v>45715</v>
      </c>
      <c r="D851" t="inlineStr">
        <is>
          <t>KALMAR LÄN</t>
        </is>
      </c>
      <c r="E851" t="inlineStr">
        <is>
          <t>HÖGSBY</t>
        </is>
      </c>
      <c r="G851" t="n">
        <v>2.6</v>
      </c>
      <c r="H851" t="n">
        <v>0</v>
      </c>
      <c r="I851" t="n">
        <v>0</v>
      </c>
      <c r="J851" t="n">
        <v>0</v>
      </c>
      <c r="K851" t="n">
        <v>1</v>
      </c>
      <c r="L851" t="n">
        <v>0</v>
      </c>
      <c r="M851" t="n">
        <v>0</v>
      </c>
      <c r="N851" t="n">
        <v>0</v>
      </c>
      <c r="O851" t="n">
        <v>1</v>
      </c>
      <c r="P851" t="n">
        <v>1</v>
      </c>
      <c r="Q851" t="n">
        <v>1</v>
      </c>
      <c r="R851" s="2" t="inlineStr">
        <is>
          <t>Slåttergubbe</t>
        </is>
      </c>
      <c r="S851">
        <f>HYPERLINK("https://klasma.github.io/Logging_0821/artfynd/A 1519-2022 artfynd.xlsx", "A 1519-2022")</f>
        <v/>
      </c>
      <c r="T851">
        <f>HYPERLINK("https://klasma.github.io/Logging_0821/kartor/A 1519-2022 karta.png", "A 1519-2022")</f>
        <v/>
      </c>
      <c r="V851">
        <f>HYPERLINK("https://klasma.github.io/Logging_0821/klagomål/A 1519-2022 FSC-klagomål.docx", "A 1519-2022")</f>
        <v/>
      </c>
      <c r="W851">
        <f>HYPERLINK("https://klasma.github.io/Logging_0821/klagomålsmail/A 1519-2022 FSC-klagomål mail.docx", "A 1519-2022")</f>
        <v/>
      </c>
      <c r="X851">
        <f>HYPERLINK("https://klasma.github.io/Logging_0821/tillsyn/A 1519-2022 tillsynsbegäran.docx", "A 1519-2022")</f>
        <v/>
      </c>
      <c r="Y851">
        <f>HYPERLINK("https://klasma.github.io/Logging_0821/tillsynsmail/A 1519-2022 tillsynsbegäran mail.docx", "A 1519-2022")</f>
        <v/>
      </c>
    </row>
    <row r="852" ht="15" customHeight="1">
      <c r="A852" t="inlineStr">
        <is>
          <t>A 1677-2022</t>
        </is>
      </c>
      <c r="B852" s="1" t="n">
        <v>44574</v>
      </c>
      <c r="C852" s="1" t="n">
        <v>45715</v>
      </c>
      <c r="D852" t="inlineStr">
        <is>
          <t>KALMAR LÄN</t>
        </is>
      </c>
      <c r="E852" t="inlineStr">
        <is>
          <t>VÄSTERVIK</t>
        </is>
      </c>
      <c r="G852" t="n">
        <v>3.3</v>
      </c>
      <c r="H852" t="n">
        <v>1</v>
      </c>
      <c r="I852" t="n">
        <v>0</v>
      </c>
      <c r="J852" t="n">
        <v>0</v>
      </c>
      <c r="K852" t="n">
        <v>1</v>
      </c>
      <c r="L852" t="n">
        <v>0</v>
      </c>
      <c r="M852" t="n">
        <v>0</v>
      </c>
      <c r="N852" t="n">
        <v>0</v>
      </c>
      <c r="O852" t="n">
        <v>1</v>
      </c>
      <c r="P852" t="n">
        <v>1</v>
      </c>
      <c r="Q852" t="n">
        <v>1</v>
      </c>
      <c r="R852" s="2" t="inlineStr">
        <is>
          <t>Knärot</t>
        </is>
      </c>
      <c r="S852">
        <f>HYPERLINK("https://klasma.github.io/Logging_0883/artfynd/A 1677-2022 artfynd.xlsx", "A 1677-2022")</f>
        <v/>
      </c>
      <c r="T852">
        <f>HYPERLINK("https://klasma.github.io/Logging_0883/kartor/A 1677-2022 karta.png", "A 1677-2022")</f>
        <v/>
      </c>
      <c r="U852">
        <f>HYPERLINK("https://klasma.github.io/Logging_0883/knärot/A 1677-2022 karta knärot.png", "A 1677-2022")</f>
        <v/>
      </c>
      <c r="V852">
        <f>HYPERLINK("https://klasma.github.io/Logging_0883/klagomål/A 1677-2022 FSC-klagomål.docx", "A 1677-2022")</f>
        <v/>
      </c>
      <c r="W852">
        <f>HYPERLINK("https://klasma.github.io/Logging_0883/klagomålsmail/A 1677-2022 FSC-klagomål mail.docx", "A 1677-2022")</f>
        <v/>
      </c>
      <c r="X852">
        <f>HYPERLINK("https://klasma.github.io/Logging_0883/tillsyn/A 1677-2022 tillsynsbegäran.docx", "A 1677-2022")</f>
        <v/>
      </c>
      <c r="Y852">
        <f>HYPERLINK("https://klasma.github.io/Logging_0883/tillsynsmail/A 1677-2022 tillsynsbegäran mail.docx", "A 1677-2022")</f>
        <v/>
      </c>
    </row>
    <row r="853" ht="15" customHeight="1">
      <c r="A853" t="inlineStr">
        <is>
          <t>A 1929-2022</t>
        </is>
      </c>
      <c r="B853" s="1" t="n">
        <v>44575</v>
      </c>
      <c r="C853" s="1" t="n">
        <v>45715</v>
      </c>
      <c r="D853" t="inlineStr">
        <is>
          <t>KALMAR LÄN</t>
        </is>
      </c>
      <c r="E853" t="inlineStr">
        <is>
          <t>KALMAR</t>
        </is>
      </c>
      <c r="G853" t="n">
        <v>3.3</v>
      </c>
      <c r="H853" t="n">
        <v>1</v>
      </c>
      <c r="I853" t="n">
        <v>0</v>
      </c>
      <c r="J853" t="n">
        <v>0</v>
      </c>
      <c r="K853" t="n">
        <v>1</v>
      </c>
      <c r="L853" t="n">
        <v>0</v>
      </c>
      <c r="M853" t="n">
        <v>0</v>
      </c>
      <c r="N853" t="n">
        <v>0</v>
      </c>
      <c r="O853" t="n">
        <v>1</v>
      </c>
      <c r="P853" t="n">
        <v>1</v>
      </c>
      <c r="Q853" t="n">
        <v>1</v>
      </c>
      <c r="R853" s="2" t="inlineStr">
        <is>
          <t>Knärot</t>
        </is>
      </c>
      <c r="S853">
        <f>HYPERLINK("https://klasma.github.io/Logging_0880/artfynd/A 1929-2022 artfynd.xlsx", "A 1929-2022")</f>
        <v/>
      </c>
      <c r="T853">
        <f>HYPERLINK("https://klasma.github.io/Logging_0880/kartor/A 1929-2022 karta.png", "A 1929-2022")</f>
        <v/>
      </c>
      <c r="U853">
        <f>HYPERLINK("https://klasma.github.io/Logging_0880/knärot/A 1929-2022 karta knärot.png", "A 1929-2022")</f>
        <v/>
      </c>
      <c r="V853">
        <f>HYPERLINK("https://klasma.github.io/Logging_0880/klagomål/A 1929-2022 FSC-klagomål.docx", "A 1929-2022")</f>
        <v/>
      </c>
      <c r="W853">
        <f>HYPERLINK("https://klasma.github.io/Logging_0880/klagomålsmail/A 1929-2022 FSC-klagomål mail.docx", "A 1929-2022")</f>
        <v/>
      </c>
      <c r="X853">
        <f>HYPERLINK("https://klasma.github.io/Logging_0880/tillsyn/A 1929-2022 tillsynsbegäran.docx", "A 1929-2022")</f>
        <v/>
      </c>
      <c r="Y853">
        <f>HYPERLINK("https://klasma.github.io/Logging_0880/tillsynsmail/A 1929-2022 tillsynsbegäran mail.docx", "A 1929-2022")</f>
        <v/>
      </c>
    </row>
    <row r="854" ht="15" customHeight="1">
      <c r="A854" t="inlineStr">
        <is>
          <t>A 5755-2022</t>
        </is>
      </c>
      <c r="B854" s="1" t="n">
        <v>44596</v>
      </c>
      <c r="C854" s="1" t="n">
        <v>45715</v>
      </c>
      <c r="D854" t="inlineStr">
        <is>
          <t>KALMAR LÄN</t>
        </is>
      </c>
      <c r="E854" t="inlineStr">
        <is>
          <t>TORSÅS</t>
        </is>
      </c>
      <c r="G854" t="n">
        <v>1.4</v>
      </c>
      <c r="H854" t="n">
        <v>0</v>
      </c>
      <c r="I854" t="n">
        <v>0</v>
      </c>
      <c r="J854" t="n">
        <v>1</v>
      </c>
      <c r="K854" t="n">
        <v>0</v>
      </c>
      <c r="L854" t="n">
        <v>0</v>
      </c>
      <c r="M854" t="n">
        <v>0</v>
      </c>
      <c r="N854" t="n">
        <v>0</v>
      </c>
      <c r="O854" t="n">
        <v>1</v>
      </c>
      <c r="P854" t="n">
        <v>0</v>
      </c>
      <c r="Q854" t="n">
        <v>1</v>
      </c>
      <c r="R854" s="2" t="inlineStr">
        <is>
          <t>Åkerkål</t>
        </is>
      </c>
      <c r="S854">
        <f>HYPERLINK("https://klasma.github.io/Logging_0834/artfynd/A 5755-2022 artfynd.xlsx", "A 5755-2022")</f>
        <v/>
      </c>
      <c r="T854">
        <f>HYPERLINK("https://klasma.github.io/Logging_0834/kartor/A 5755-2022 karta.png", "A 5755-2022")</f>
        <v/>
      </c>
      <c r="V854">
        <f>HYPERLINK("https://klasma.github.io/Logging_0834/klagomål/A 5755-2022 FSC-klagomål.docx", "A 5755-2022")</f>
        <v/>
      </c>
      <c r="W854">
        <f>HYPERLINK("https://klasma.github.io/Logging_0834/klagomålsmail/A 5755-2022 FSC-klagomål mail.docx", "A 5755-2022")</f>
        <v/>
      </c>
      <c r="X854">
        <f>HYPERLINK("https://klasma.github.io/Logging_0834/tillsyn/A 5755-2022 tillsynsbegäran.docx", "A 5755-2022")</f>
        <v/>
      </c>
      <c r="Y854">
        <f>HYPERLINK("https://klasma.github.io/Logging_0834/tillsynsmail/A 5755-2022 tillsynsbegäran mail.docx", "A 5755-2022")</f>
        <v/>
      </c>
    </row>
    <row r="855" ht="15" customHeight="1">
      <c r="A855" t="inlineStr">
        <is>
          <t>A 6849-2022</t>
        </is>
      </c>
      <c r="B855" s="1" t="n">
        <v>44602</v>
      </c>
      <c r="C855" s="1" t="n">
        <v>45715</v>
      </c>
      <c r="D855" t="inlineStr">
        <is>
          <t>KALMAR LÄN</t>
        </is>
      </c>
      <c r="E855" t="inlineStr">
        <is>
          <t>NYBRO</t>
        </is>
      </c>
      <c r="G855" t="n">
        <v>1.8</v>
      </c>
      <c r="H855" t="n">
        <v>0</v>
      </c>
      <c r="I855" t="n">
        <v>1</v>
      </c>
      <c r="J855" t="n">
        <v>0</v>
      </c>
      <c r="K855" t="n">
        <v>0</v>
      </c>
      <c r="L855" t="n">
        <v>0</v>
      </c>
      <c r="M855" t="n">
        <v>0</v>
      </c>
      <c r="N855" t="n">
        <v>0</v>
      </c>
      <c r="O855" t="n">
        <v>0</v>
      </c>
      <c r="P855" t="n">
        <v>0</v>
      </c>
      <c r="Q855" t="n">
        <v>1</v>
      </c>
      <c r="R855" s="2" t="inlineStr">
        <is>
          <t>Vågbandad barkbock</t>
        </is>
      </c>
      <c r="S855">
        <f>HYPERLINK("https://klasma.github.io/Logging_0881/artfynd/A 6849-2022 artfynd.xlsx", "A 6849-2022")</f>
        <v/>
      </c>
      <c r="T855">
        <f>HYPERLINK("https://klasma.github.io/Logging_0881/kartor/A 6849-2022 karta.png", "A 6849-2022")</f>
        <v/>
      </c>
      <c r="V855">
        <f>HYPERLINK("https://klasma.github.io/Logging_0881/klagomål/A 6849-2022 FSC-klagomål.docx", "A 6849-2022")</f>
        <v/>
      </c>
      <c r="W855">
        <f>HYPERLINK("https://klasma.github.io/Logging_0881/klagomålsmail/A 6849-2022 FSC-klagomål mail.docx", "A 6849-2022")</f>
        <v/>
      </c>
      <c r="X855">
        <f>HYPERLINK("https://klasma.github.io/Logging_0881/tillsyn/A 6849-2022 tillsynsbegäran.docx", "A 6849-2022")</f>
        <v/>
      </c>
      <c r="Y855">
        <f>HYPERLINK("https://klasma.github.io/Logging_0881/tillsynsmail/A 6849-2022 tillsynsbegäran mail.docx", "A 6849-2022")</f>
        <v/>
      </c>
    </row>
    <row r="856" ht="15" customHeight="1">
      <c r="A856" t="inlineStr">
        <is>
          <t>A 7032-2022</t>
        </is>
      </c>
      <c r="B856" s="1" t="n">
        <v>44603</v>
      </c>
      <c r="C856" s="1" t="n">
        <v>45715</v>
      </c>
      <c r="D856" t="inlineStr">
        <is>
          <t>KALMAR LÄN</t>
        </is>
      </c>
      <c r="E856" t="inlineStr">
        <is>
          <t>HÖGSBY</t>
        </is>
      </c>
      <c r="G856" t="n">
        <v>0.7</v>
      </c>
      <c r="H856" t="n">
        <v>1</v>
      </c>
      <c r="I856" t="n">
        <v>0</v>
      </c>
      <c r="J856" t="n">
        <v>0</v>
      </c>
      <c r="K856" t="n">
        <v>1</v>
      </c>
      <c r="L856" t="n">
        <v>0</v>
      </c>
      <c r="M856" t="n">
        <v>0</v>
      </c>
      <c r="N856" t="n">
        <v>0</v>
      </c>
      <c r="O856" t="n">
        <v>1</v>
      </c>
      <c r="P856" t="n">
        <v>1</v>
      </c>
      <c r="Q856" t="n">
        <v>1</v>
      </c>
      <c r="R856" s="2" t="inlineStr">
        <is>
          <t>Sandödla</t>
        </is>
      </c>
      <c r="S856">
        <f>HYPERLINK("https://klasma.github.io/Logging_0821/artfynd/A 7032-2022 artfynd.xlsx", "A 7032-2022")</f>
        <v/>
      </c>
      <c r="T856">
        <f>HYPERLINK("https://klasma.github.io/Logging_0821/kartor/A 7032-2022 karta.png", "A 7032-2022")</f>
        <v/>
      </c>
      <c r="V856">
        <f>HYPERLINK("https://klasma.github.io/Logging_0821/klagomål/A 7032-2022 FSC-klagomål.docx", "A 7032-2022")</f>
        <v/>
      </c>
      <c r="W856">
        <f>HYPERLINK("https://klasma.github.io/Logging_0821/klagomålsmail/A 7032-2022 FSC-klagomål mail.docx", "A 7032-2022")</f>
        <v/>
      </c>
      <c r="X856">
        <f>HYPERLINK("https://klasma.github.io/Logging_0821/tillsyn/A 7032-2022 tillsynsbegäran.docx", "A 7032-2022")</f>
        <v/>
      </c>
      <c r="Y856">
        <f>HYPERLINK("https://klasma.github.io/Logging_0821/tillsynsmail/A 7032-2022 tillsynsbegäran mail.docx", "A 7032-2022")</f>
        <v/>
      </c>
    </row>
    <row r="857" ht="15" customHeight="1">
      <c r="A857" t="inlineStr">
        <is>
          <t>A 10292-2022</t>
        </is>
      </c>
      <c r="B857" s="1" t="n">
        <v>44622</v>
      </c>
      <c r="C857" s="1" t="n">
        <v>45715</v>
      </c>
      <c r="D857" t="inlineStr">
        <is>
          <t>KALMAR LÄN</t>
        </is>
      </c>
      <c r="E857" t="inlineStr">
        <is>
          <t>BORGHOLM</t>
        </is>
      </c>
      <c r="G857" t="n">
        <v>4</v>
      </c>
      <c r="H857" t="n">
        <v>1</v>
      </c>
      <c r="I857" t="n">
        <v>0</v>
      </c>
      <c r="J857" t="n">
        <v>0</v>
      </c>
      <c r="K857" t="n">
        <v>0</v>
      </c>
      <c r="L857" t="n">
        <v>0</v>
      </c>
      <c r="M857" t="n">
        <v>0</v>
      </c>
      <c r="N857" t="n">
        <v>0</v>
      </c>
      <c r="O857" t="n">
        <v>0</v>
      </c>
      <c r="P857" t="n">
        <v>0</v>
      </c>
      <c r="Q857" t="n">
        <v>1</v>
      </c>
      <c r="R857" s="2" t="inlineStr">
        <is>
          <t>Sädgås</t>
        </is>
      </c>
      <c r="S857">
        <f>HYPERLINK("https://klasma.github.io/Logging_0885/artfynd/A 10292-2022 artfynd.xlsx", "A 10292-2022")</f>
        <v/>
      </c>
      <c r="T857">
        <f>HYPERLINK("https://klasma.github.io/Logging_0885/kartor/A 10292-2022 karta.png", "A 10292-2022")</f>
        <v/>
      </c>
      <c r="V857">
        <f>HYPERLINK("https://klasma.github.io/Logging_0885/klagomål/A 10292-2022 FSC-klagomål.docx", "A 10292-2022")</f>
        <v/>
      </c>
      <c r="W857">
        <f>HYPERLINK("https://klasma.github.io/Logging_0885/klagomålsmail/A 10292-2022 FSC-klagomål mail.docx", "A 10292-2022")</f>
        <v/>
      </c>
      <c r="X857">
        <f>HYPERLINK("https://klasma.github.io/Logging_0885/tillsyn/A 10292-2022 tillsynsbegäran.docx", "A 10292-2022")</f>
        <v/>
      </c>
      <c r="Y857">
        <f>HYPERLINK("https://klasma.github.io/Logging_0885/tillsynsmail/A 10292-2022 tillsynsbegäran mail.docx", "A 10292-2022")</f>
        <v/>
      </c>
    </row>
    <row r="858" ht="15" customHeight="1">
      <c r="A858" t="inlineStr">
        <is>
          <t>A 10989-2022</t>
        </is>
      </c>
      <c r="B858" s="1" t="n">
        <v>44628</v>
      </c>
      <c r="C858" s="1" t="n">
        <v>45715</v>
      </c>
      <c r="D858" t="inlineStr">
        <is>
          <t>KALMAR LÄN</t>
        </is>
      </c>
      <c r="E858" t="inlineStr">
        <is>
          <t>HÖGSBY</t>
        </is>
      </c>
      <c r="F858" t="inlineStr">
        <is>
          <t>Kyrkan</t>
        </is>
      </c>
      <c r="G858" t="n">
        <v>6.8</v>
      </c>
      <c r="H858" t="n">
        <v>1</v>
      </c>
      <c r="I858" t="n">
        <v>1</v>
      </c>
      <c r="J858" t="n">
        <v>0</v>
      </c>
      <c r="K858" t="n">
        <v>0</v>
      </c>
      <c r="L858" t="n">
        <v>0</v>
      </c>
      <c r="M858" t="n">
        <v>0</v>
      </c>
      <c r="N858" t="n">
        <v>0</v>
      </c>
      <c r="O858" t="n">
        <v>0</v>
      </c>
      <c r="P858" t="n">
        <v>0</v>
      </c>
      <c r="Q858" t="n">
        <v>1</v>
      </c>
      <c r="R858" s="2" t="inlineStr">
        <is>
          <t>Purpurknipprot</t>
        </is>
      </c>
      <c r="S858">
        <f>HYPERLINK("https://klasma.github.io/Logging_0821/artfynd/A 10989-2022 artfynd.xlsx", "A 10989-2022")</f>
        <v/>
      </c>
      <c r="T858">
        <f>HYPERLINK("https://klasma.github.io/Logging_0821/kartor/A 10989-2022 karta.png", "A 10989-2022")</f>
        <v/>
      </c>
      <c r="V858">
        <f>HYPERLINK("https://klasma.github.io/Logging_0821/klagomål/A 10989-2022 FSC-klagomål.docx", "A 10989-2022")</f>
        <v/>
      </c>
      <c r="W858">
        <f>HYPERLINK("https://klasma.github.io/Logging_0821/klagomålsmail/A 10989-2022 FSC-klagomål mail.docx", "A 10989-2022")</f>
        <v/>
      </c>
      <c r="X858">
        <f>HYPERLINK("https://klasma.github.io/Logging_0821/tillsyn/A 10989-2022 tillsynsbegäran.docx", "A 10989-2022")</f>
        <v/>
      </c>
      <c r="Y858">
        <f>HYPERLINK("https://klasma.github.io/Logging_0821/tillsynsmail/A 10989-2022 tillsynsbegäran mail.docx", "A 10989-2022")</f>
        <v/>
      </c>
    </row>
    <row r="859" ht="15" customHeight="1">
      <c r="A859" t="inlineStr">
        <is>
          <t>A 11609-2022</t>
        </is>
      </c>
      <c r="B859" s="1" t="n">
        <v>44631</v>
      </c>
      <c r="C859" s="1" t="n">
        <v>45715</v>
      </c>
      <c r="D859" t="inlineStr">
        <is>
          <t>KALMAR LÄN</t>
        </is>
      </c>
      <c r="E859" t="inlineStr">
        <is>
          <t>VÄSTERVIK</t>
        </is>
      </c>
      <c r="F859" t="inlineStr">
        <is>
          <t>Holmen skog AB</t>
        </is>
      </c>
      <c r="G859" t="n">
        <v>3.2</v>
      </c>
      <c r="H859" t="n">
        <v>0</v>
      </c>
      <c r="I859" t="n">
        <v>0</v>
      </c>
      <c r="J859" t="n">
        <v>1</v>
      </c>
      <c r="K859" t="n">
        <v>0</v>
      </c>
      <c r="L859" t="n">
        <v>0</v>
      </c>
      <c r="M859" t="n">
        <v>0</v>
      </c>
      <c r="N859" t="n">
        <v>0</v>
      </c>
      <c r="O859" t="n">
        <v>1</v>
      </c>
      <c r="P859" t="n">
        <v>0</v>
      </c>
      <c r="Q859" t="n">
        <v>1</v>
      </c>
      <c r="R859" s="2" t="inlineStr">
        <is>
          <t>Tallticka</t>
        </is>
      </c>
      <c r="S859">
        <f>HYPERLINK("https://klasma.github.io/Logging_0883/artfynd/A 11609-2022 artfynd.xlsx", "A 11609-2022")</f>
        <v/>
      </c>
      <c r="T859">
        <f>HYPERLINK("https://klasma.github.io/Logging_0883/kartor/A 11609-2022 karta.png", "A 11609-2022")</f>
        <v/>
      </c>
      <c r="U859">
        <f>HYPERLINK("https://klasma.github.io/Logging_0883/knärot/A 11609-2022 karta knärot.png", "A 11609-2022")</f>
        <v/>
      </c>
      <c r="V859">
        <f>HYPERLINK("https://klasma.github.io/Logging_0883/klagomål/A 11609-2022 FSC-klagomål.docx", "A 11609-2022")</f>
        <v/>
      </c>
      <c r="W859">
        <f>HYPERLINK("https://klasma.github.io/Logging_0883/klagomålsmail/A 11609-2022 FSC-klagomål mail.docx", "A 11609-2022")</f>
        <v/>
      </c>
      <c r="X859">
        <f>HYPERLINK("https://klasma.github.io/Logging_0883/tillsyn/A 11609-2022 tillsynsbegäran.docx", "A 11609-2022")</f>
        <v/>
      </c>
      <c r="Y859">
        <f>HYPERLINK("https://klasma.github.io/Logging_0883/tillsynsmail/A 11609-2022 tillsynsbegäran mail.docx", "A 11609-2022")</f>
        <v/>
      </c>
    </row>
    <row r="860" ht="15" customHeight="1">
      <c r="A860" t="inlineStr">
        <is>
          <t>A 11823-2022</t>
        </is>
      </c>
      <c r="B860" s="1" t="n">
        <v>44634</v>
      </c>
      <c r="C860" s="1" t="n">
        <v>45715</v>
      </c>
      <c r="D860" t="inlineStr">
        <is>
          <t>KALMAR LÄN</t>
        </is>
      </c>
      <c r="E860" t="inlineStr">
        <is>
          <t>NYBRO</t>
        </is>
      </c>
      <c r="G860" t="n">
        <v>1.8</v>
      </c>
      <c r="H860" t="n">
        <v>0</v>
      </c>
      <c r="I860" t="n">
        <v>0</v>
      </c>
      <c r="J860" t="n">
        <v>1</v>
      </c>
      <c r="K860" t="n">
        <v>0</v>
      </c>
      <c r="L860" t="n">
        <v>0</v>
      </c>
      <c r="M860" t="n">
        <v>0</v>
      </c>
      <c r="N860" t="n">
        <v>0</v>
      </c>
      <c r="O860" t="n">
        <v>1</v>
      </c>
      <c r="P860" t="n">
        <v>0</v>
      </c>
      <c r="Q860" t="n">
        <v>1</v>
      </c>
      <c r="R860" s="2" t="inlineStr">
        <is>
          <t>Svinrot</t>
        </is>
      </c>
      <c r="S860">
        <f>HYPERLINK("https://klasma.github.io/Logging_0881/artfynd/A 11823-2022 artfynd.xlsx", "A 11823-2022")</f>
        <v/>
      </c>
      <c r="T860">
        <f>HYPERLINK("https://klasma.github.io/Logging_0881/kartor/A 11823-2022 karta.png", "A 11823-2022")</f>
        <v/>
      </c>
      <c r="V860">
        <f>HYPERLINK("https://klasma.github.io/Logging_0881/klagomål/A 11823-2022 FSC-klagomål.docx", "A 11823-2022")</f>
        <v/>
      </c>
      <c r="W860">
        <f>HYPERLINK("https://klasma.github.io/Logging_0881/klagomålsmail/A 11823-2022 FSC-klagomål mail.docx", "A 11823-2022")</f>
        <v/>
      </c>
      <c r="X860">
        <f>HYPERLINK("https://klasma.github.io/Logging_0881/tillsyn/A 11823-2022 tillsynsbegäran.docx", "A 11823-2022")</f>
        <v/>
      </c>
      <c r="Y860">
        <f>HYPERLINK("https://klasma.github.io/Logging_0881/tillsynsmail/A 11823-2022 tillsynsbegäran mail.docx", "A 11823-2022")</f>
        <v/>
      </c>
    </row>
    <row r="861" ht="15" customHeight="1">
      <c r="A861" t="inlineStr">
        <is>
          <t>A 11995-2022</t>
        </is>
      </c>
      <c r="B861" s="1" t="n">
        <v>44635</v>
      </c>
      <c r="C861" s="1" t="n">
        <v>45715</v>
      </c>
      <c r="D861" t="inlineStr">
        <is>
          <t>KALMAR LÄN</t>
        </is>
      </c>
      <c r="E861" t="inlineStr">
        <is>
          <t>HÖGSBY</t>
        </is>
      </c>
      <c r="G861" t="n">
        <v>2.9</v>
      </c>
      <c r="H861" t="n">
        <v>1</v>
      </c>
      <c r="I861" t="n">
        <v>0</v>
      </c>
      <c r="J861" t="n">
        <v>0</v>
      </c>
      <c r="K861" t="n">
        <v>0</v>
      </c>
      <c r="L861" t="n">
        <v>0</v>
      </c>
      <c r="M861" t="n">
        <v>0</v>
      </c>
      <c r="N861" t="n">
        <v>0</v>
      </c>
      <c r="O861" t="n">
        <v>0</v>
      </c>
      <c r="P861" t="n">
        <v>0</v>
      </c>
      <c r="Q861" t="n">
        <v>1</v>
      </c>
      <c r="R861" s="2" t="inlineStr">
        <is>
          <t>Gullviva</t>
        </is>
      </c>
      <c r="S861">
        <f>HYPERLINK("https://klasma.github.io/Logging_0821/artfynd/A 11995-2022 artfynd.xlsx", "A 11995-2022")</f>
        <v/>
      </c>
      <c r="T861">
        <f>HYPERLINK("https://klasma.github.io/Logging_0821/kartor/A 11995-2022 karta.png", "A 11995-2022")</f>
        <v/>
      </c>
      <c r="V861">
        <f>HYPERLINK("https://klasma.github.io/Logging_0821/klagomål/A 11995-2022 FSC-klagomål.docx", "A 11995-2022")</f>
        <v/>
      </c>
      <c r="W861">
        <f>HYPERLINK("https://klasma.github.io/Logging_0821/klagomålsmail/A 11995-2022 FSC-klagomål mail.docx", "A 11995-2022")</f>
        <v/>
      </c>
      <c r="X861">
        <f>HYPERLINK("https://klasma.github.io/Logging_0821/tillsyn/A 11995-2022 tillsynsbegäran.docx", "A 11995-2022")</f>
        <v/>
      </c>
      <c r="Y861">
        <f>HYPERLINK("https://klasma.github.io/Logging_0821/tillsynsmail/A 11995-2022 tillsynsbegäran mail.docx", "A 11995-2022")</f>
        <v/>
      </c>
    </row>
    <row r="862" ht="15" customHeight="1">
      <c r="A862" t="inlineStr">
        <is>
          <t>A 12662-2022</t>
        </is>
      </c>
      <c r="B862" s="1" t="n">
        <v>44641</v>
      </c>
      <c r="C862" s="1" t="n">
        <v>45715</v>
      </c>
      <c r="D862" t="inlineStr">
        <is>
          <t>KALMAR LÄN</t>
        </is>
      </c>
      <c r="E862" t="inlineStr">
        <is>
          <t>VÄSTERVIK</t>
        </is>
      </c>
      <c r="G862" t="n">
        <v>2.1</v>
      </c>
      <c r="H862" t="n">
        <v>0</v>
      </c>
      <c r="I862" t="n">
        <v>1</v>
      </c>
      <c r="J862" t="n">
        <v>0</v>
      </c>
      <c r="K862" t="n">
        <v>0</v>
      </c>
      <c r="L862" t="n">
        <v>0</v>
      </c>
      <c r="M862" t="n">
        <v>0</v>
      </c>
      <c r="N862" t="n">
        <v>0</v>
      </c>
      <c r="O862" t="n">
        <v>0</v>
      </c>
      <c r="P862" t="n">
        <v>0</v>
      </c>
      <c r="Q862" t="n">
        <v>1</v>
      </c>
      <c r="R862" s="2" t="inlineStr">
        <is>
          <t>Blåmossa</t>
        </is>
      </c>
      <c r="S862">
        <f>HYPERLINK("https://klasma.github.io/Logging_0883/artfynd/A 12662-2022 artfynd.xlsx", "A 12662-2022")</f>
        <v/>
      </c>
      <c r="T862">
        <f>HYPERLINK("https://klasma.github.io/Logging_0883/kartor/A 12662-2022 karta.png", "A 12662-2022")</f>
        <v/>
      </c>
      <c r="V862">
        <f>HYPERLINK("https://klasma.github.io/Logging_0883/klagomål/A 12662-2022 FSC-klagomål.docx", "A 12662-2022")</f>
        <v/>
      </c>
      <c r="W862">
        <f>HYPERLINK("https://klasma.github.io/Logging_0883/klagomålsmail/A 12662-2022 FSC-klagomål mail.docx", "A 12662-2022")</f>
        <v/>
      </c>
      <c r="X862">
        <f>HYPERLINK("https://klasma.github.io/Logging_0883/tillsyn/A 12662-2022 tillsynsbegäran.docx", "A 12662-2022")</f>
        <v/>
      </c>
      <c r="Y862">
        <f>HYPERLINK("https://klasma.github.io/Logging_0883/tillsynsmail/A 12662-2022 tillsynsbegäran mail.docx", "A 12662-2022")</f>
        <v/>
      </c>
    </row>
    <row r="863" ht="15" customHeight="1">
      <c r="A863" t="inlineStr">
        <is>
          <t>A 13690-2022</t>
        </is>
      </c>
      <c r="B863" s="1" t="n">
        <v>44648</v>
      </c>
      <c r="C863" s="1" t="n">
        <v>45715</v>
      </c>
      <c r="D863" t="inlineStr">
        <is>
          <t>KALMAR LÄN</t>
        </is>
      </c>
      <c r="E863" t="inlineStr">
        <is>
          <t>NYBRO</t>
        </is>
      </c>
      <c r="F863" t="inlineStr">
        <is>
          <t>Kommuner</t>
        </is>
      </c>
      <c r="G863" t="n">
        <v>8.300000000000001</v>
      </c>
      <c r="H863" t="n">
        <v>1</v>
      </c>
      <c r="I863" t="n">
        <v>0</v>
      </c>
      <c r="J863" t="n">
        <v>0</v>
      </c>
      <c r="K863" t="n">
        <v>1</v>
      </c>
      <c r="L863" t="n">
        <v>0</v>
      </c>
      <c r="M863" t="n">
        <v>0</v>
      </c>
      <c r="N863" t="n">
        <v>0</v>
      </c>
      <c r="O863" t="n">
        <v>1</v>
      </c>
      <c r="P863" t="n">
        <v>1</v>
      </c>
      <c r="Q863" t="n">
        <v>1</v>
      </c>
      <c r="R863" s="2" t="inlineStr">
        <is>
          <t>Knärot</t>
        </is>
      </c>
      <c r="S863">
        <f>HYPERLINK("https://klasma.github.io/Logging_0881/artfynd/A 13690-2022 artfynd.xlsx", "A 13690-2022")</f>
        <v/>
      </c>
      <c r="T863">
        <f>HYPERLINK("https://klasma.github.io/Logging_0881/kartor/A 13690-2022 karta.png", "A 13690-2022")</f>
        <v/>
      </c>
      <c r="U863">
        <f>HYPERLINK("https://klasma.github.io/Logging_0881/knärot/A 13690-2022 karta knärot.png", "A 13690-2022")</f>
        <v/>
      </c>
      <c r="V863">
        <f>HYPERLINK("https://klasma.github.io/Logging_0881/klagomål/A 13690-2022 FSC-klagomål.docx", "A 13690-2022")</f>
        <v/>
      </c>
      <c r="W863">
        <f>HYPERLINK("https://klasma.github.io/Logging_0881/klagomålsmail/A 13690-2022 FSC-klagomål mail.docx", "A 13690-2022")</f>
        <v/>
      </c>
      <c r="X863">
        <f>HYPERLINK("https://klasma.github.io/Logging_0881/tillsyn/A 13690-2022 tillsynsbegäran.docx", "A 13690-2022")</f>
        <v/>
      </c>
      <c r="Y863">
        <f>HYPERLINK("https://klasma.github.io/Logging_0881/tillsynsmail/A 13690-2022 tillsynsbegäran mail.docx", "A 13690-2022")</f>
        <v/>
      </c>
    </row>
    <row r="864" ht="15" customHeight="1">
      <c r="A864" t="inlineStr">
        <is>
          <t>A 14858-2022</t>
        </is>
      </c>
      <c r="B864" s="1" t="n">
        <v>44656</v>
      </c>
      <c r="C864" s="1" t="n">
        <v>45715</v>
      </c>
      <c r="D864" t="inlineStr">
        <is>
          <t>KALMAR LÄN</t>
        </is>
      </c>
      <c r="E864" t="inlineStr">
        <is>
          <t>NYBRO</t>
        </is>
      </c>
      <c r="F864" t="inlineStr">
        <is>
          <t>Kommuner</t>
        </is>
      </c>
      <c r="G864" t="n">
        <v>4.9</v>
      </c>
      <c r="H864" t="n">
        <v>0</v>
      </c>
      <c r="I864" t="n">
        <v>0</v>
      </c>
      <c r="J864" t="n">
        <v>0</v>
      </c>
      <c r="K864" t="n">
        <v>1</v>
      </c>
      <c r="L864" t="n">
        <v>0</v>
      </c>
      <c r="M864" t="n">
        <v>0</v>
      </c>
      <c r="N864" t="n">
        <v>0</v>
      </c>
      <c r="O864" t="n">
        <v>1</v>
      </c>
      <c r="P864" t="n">
        <v>1</v>
      </c>
      <c r="Q864" t="n">
        <v>1</v>
      </c>
      <c r="R864" s="2" t="inlineStr">
        <is>
          <t>Apelticka</t>
        </is>
      </c>
      <c r="S864">
        <f>HYPERLINK("https://klasma.github.io/Logging_0881/artfynd/A 14858-2022 artfynd.xlsx", "A 14858-2022")</f>
        <v/>
      </c>
      <c r="T864">
        <f>HYPERLINK("https://klasma.github.io/Logging_0881/kartor/A 14858-2022 karta.png", "A 14858-2022")</f>
        <v/>
      </c>
      <c r="V864">
        <f>HYPERLINK("https://klasma.github.io/Logging_0881/klagomål/A 14858-2022 FSC-klagomål.docx", "A 14858-2022")</f>
        <v/>
      </c>
      <c r="W864">
        <f>HYPERLINK("https://klasma.github.io/Logging_0881/klagomålsmail/A 14858-2022 FSC-klagomål mail.docx", "A 14858-2022")</f>
        <v/>
      </c>
      <c r="X864">
        <f>HYPERLINK("https://klasma.github.io/Logging_0881/tillsyn/A 14858-2022 tillsynsbegäran.docx", "A 14858-2022")</f>
        <v/>
      </c>
      <c r="Y864">
        <f>HYPERLINK("https://klasma.github.io/Logging_0881/tillsynsmail/A 14858-2022 tillsynsbegäran mail.docx", "A 14858-2022")</f>
        <v/>
      </c>
    </row>
    <row r="865" ht="15" customHeight="1">
      <c r="A865" t="inlineStr">
        <is>
          <t>A 15378-2022</t>
        </is>
      </c>
      <c r="B865" s="1" t="n">
        <v>44659</v>
      </c>
      <c r="C865" s="1" t="n">
        <v>45715</v>
      </c>
      <c r="D865" t="inlineStr">
        <is>
          <t>KALMAR LÄN</t>
        </is>
      </c>
      <c r="E865" t="inlineStr">
        <is>
          <t>VÄSTERVIK</t>
        </is>
      </c>
      <c r="G865" t="n">
        <v>1.4</v>
      </c>
      <c r="H865" t="n">
        <v>0</v>
      </c>
      <c r="I865" t="n">
        <v>0</v>
      </c>
      <c r="J865" t="n">
        <v>1</v>
      </c>
      <c r="K865" t="n">
        <v>0</v>
      </c>
      <c r="L865" t="n">
        <v>0</v>
      </c>
      <c r="M865" t="n">
        <v>0</v>
      </c>
      <c r="N865" t="n">
        <v>0</v>
      </c>
      <c r="O865" t="n">
        <v>1</v>
      </c>
      <c r="P865" t="n">
        <v>0</v>
      </c>
      <c r="Q865" t="n">
        <v>1</v>
      </c>
      <c r="R865" s="2" t="inlineStr">
        <is>
          <t>Klofibbla</t>
        </is>
      </c>
      <c r="S865">
        <f>HYPERLINK("https://klasma.github.io/Logging_0883/artfynd/A 15378-2022 artfynd.xlsx", "A 15378-2022")</f>
        <v/>
      </c>
      <c r="T865">
        <f>HYPERLINK("https://klasma.github.io/Logging_0883/kartor/A 15378-2022 karta.png", "A 15378-2022")</f>
        <v/>
      </c>
      <c r="V865">
        <f>HYPERLINK("https://klasma.github.io/Logging_0883/klagomål/A 15378-2022 FSC-klagomål.docx", "A 15378-2022")</f>
        <v/>
      </c>
      <c r="W865">
        <f>HYPERLINK("https://klasma.github.io/Logging_0883/klagomålsmail/A 15378-2022 FSC-klagomål mail.docx", "A 15378-2022")</f>
        <v/>
      </c>
      <c r="X865">
        <f>HYPERLINK("https://klasma.github.io/Logging_0883/tillsyn/A 15378-2022 tillsynsbegäran.docx", "A 15378-2022")</f>
        <v/>
      </c>
      <c r="Y865">
        <f>HYPERLINK("https://klasma.github.io/Logging_0883/tillsynsmail/A 15378-2022 tillsynsbegäran mail.docx", "A 15378-2022")</f>
        <v/>
      </c>
    </row>
    <row r="866" ht="15" customHeight="1">
      <c r="A866" t="inlineStr">
        <is>
          <t>A 19384-2022</t>
        </is>
      </c>
      <c r="B866" s="1" t="n">
        <v>44692</v>
      </c>
      <c r="C866" s="1" t="n">
        <v>45715</v>
      </c>
      <c r="D866" t="inlineStr">
        <is>
          <t>KALMAR LÄN</t>
        </is>
      </c>
      <c r="E866" t="inlineStr">
        <is>
          <t>NYBRO</t>
        </is>
      </c>
      <c r="G866" t="n">
        <v>3.2</v>
      </c>
      <c r="H866" t="n">
        <v>0</v>
      </c>
      <c r="I866" t="n">
        <v>1</v>
      </c>
      <c r="J866" t="n">
        <v>0</v>
      </c>
      <c r="K866" t="n">
        <v>0</v>
      </c>
      <c r="L866" t="n">
        <v>0</v>
      </c>
      <c r="M866" t="n">
        <v>0</v>
      </c>
      <c r="N866" t="n">
        <v>0</v>
      </c>
      <c r="O866" t="n">
        <v>0</v>
      </c>
      <c r="P866" t="n">
        <v>0</v>
      </c>
      <c r="Q866" t="n">
        <v>1</v>
      </c>
      <c r="R866" s="2" t="inlineStr">
        <is>
          <t>Sotlav</t>
        </is>
      </c>
      <c r="S866">
        <f>HYPERLINK("https://klasma.github.io/Logging_0881/artfynd/A 19384-2022 artfynd.xlsx", "A 19384-2022")</f>
        <v/>
      </c>
      <c r="T866">
        <f>HYPERLINK("https://klasma.github.io/Logging_0881/kartor/A 19384-2022 karta.png", "A 19384-2022")</f>
        <v/>
      </c>
      <c r="V866">
        <f>HYPERLINK("https://klasma.github.io/Logging_0881/klagomål/A 19384-2022 FSC-klagomål.docx", "A 19384-2022")</f>
        <v/>
      </c>
      <c r="W866">
        <f>HYPERLINK("https://klasma.github.io/Logging_0881/klagomålsmail/A 19384-2022 FSC-klagomål mail.docx", "A 19384-2022")</f>
        <v/>
      </c>
      <c r="X866">
        <f>HYPERLINK("https://klasma.github.io/Logging_0881/tillsyn/A 19384-2022 tillsynsbegäran.docx", "A 19384-2022")</f>
        <v/>
      </c>
      <c r="Y866">
        <f>HYPERLINK("https://klasma.github.io/Logging_0881/tillsynsmail/A 19384-2022 tillsynsbegäran mail.docx", "A 19384-2022")</f>
        <v/>
      </c>
    </row>
    <row r="867" ht="15" customHeight="1">
      <c r="A867" t="inlineStr">
        <is>
          <t>A 19900-2022</t>
        </is>
      </c>
      <c r="B867" s="1" t="n">
        <v>44697</v>
      </c>
      <c r="C867" s="1" t="n">
        <v>45715</v>
      </c>
      <c r="D867" t="inlineStr">
        <is>
          <t>KALMAR LÄN</t>
        </is>
      </c>
      <c r="E867" t="inlineStr">
        <is>
          <t>VÄSTERVIK</t>
        </is>
      </c>
      <c r="G867" t="n">
        <v>2.4</v>
      </c>
      <c r="H867" t="n">
        <v>1</v>
      </c>
      <c r="I867" t="n">
        <v>0</v>
      </c>
      <c r="J867" t="n">
        <v>0</v>
      </c>
      <c r="K867" t="n">
        <v>1</v>
      </c>
      <c r="L867" t="n">
        <v>0</v>
      </c>
      <c r="M867" t="n">
        <v>0</v>
      </c>
      <c r="N867" t="n">
        <v>0</v>
      </c>
      <c r="O867" t="n">
        <v>1</v>
      </c>
      <c r="P867" t="n">
        <v>1</v>
      </c>
      <c r="Q867" t="n">
        <v>1</v>
      </c>
      <c r="R867" s="2" t="inlineStr">
        <is>
          <t>Knärot</t>
        </is>
      </c>
      <c r="S867">
        <f>HYPERLINK("https://klasma.github.io/Logging_0883/artfynd/A 19900-2022 artfynd.xlsx", "A 19900-2022")</f>
        <v/>
      </c>
      <c r="T867">
        <f>HYPERLINK("https://klasma.github.io/Logging_0883/kartor/A 19900-2022 karta.png", "A 19900-2022")</f>
        <v/>
      </c>
      <c r="U867">
        <f>HYPERLINK("https://klasma.github.io/Logging_0883/knärot/A 19900-2022 karta knärot.png", "A 19900-2022")</f>
        <v/>
      </c>
      <c r="V867">
        <f>HYPERLINK("https://klasma.github.io/Logging_0883/klagomål/A 19900-2022 FSC-klagomål.docx", "A 19900-2022")</f>
        <v/>
      </c>
      <c r="W867">
        <f>HYPERLINK("https://klasma.github.io/Logging_0883/klagomålsmail/A 19900-2022 FSC-klagomål mail.docx", "A 19900-2022")</f>
        <v/>
      </c>
      <c r="X867">
        <f>HYPERLINK("https://klasma.github.io/Logging_0883/tillsyn/A 19900-2022 tillsynsbegäran.docx", "A 19900-2022")</f>
        <v/>
      </c>
      <c r="Y867">
        <f>HYPERLINK("https://klasma.github.io/Logging_0883/tillsynsmail/A 19900-2022 tillsynsbegäran mail.docx", "A 19900-2022")</f>
        <v/>
      </c>
    </row>
    <row r="868" ht="15" customHeight="1">
      <c r="A868" t="inlineStr">
        <is>
          <t>A 21489-2022</t>
        </is>
      </c>
      <c r="B868" s="1" t="n">
        <v>44706</v>
      </c>
      <c r="C868" s="1" t="n">
        <v>45715</v>
      </c>
      <c r="D868" t="inlineStr">
        <is>
          <t>KALMAR LÄN</t>
        </is>
      </c>
      <c r="E868" t="inlineStr">
        <is>
          <t>VIMMERBY</t>
        </is>
      </c>
      <c r="G868" t="n">
        <v>4.8</v>
      </c>
      <c r="H868" t="n">
        <v>0</v>
      </c>
      <c r="I868" t="n">
        <v>0</v>
      </c>
      <c r="J868" t="n">
        <v>0</v>
      </c>
      <c r="K868" t="n">
        <v>1</v>
      </c>
      <c r="L868" t="n">
        <v>0</v>
      </c>
      <c r="M868" t="n">
        <v>0</v>
      </c>
      <c r="N868" t="n">
        <v>0</v>
      </c>
      <c r="O868" t="n">
        <v>1</v>
      </c>
      <c r="P868" t="n">
        <v>1</v>
      </c>
      <c r="Q868" t="n">
        <v>1</v>
      </c>
      <c r="R868" s="2" t="inlineStr">
        <is>
          <t>Späd fetfibbla</t>
        </is>
      </c>
      <c r="S868">
        <f>HYPERLINK("https://klasma.github.io/Logging_0884/artfynd/A 21489-2022 artfynd.xlsx", "A 21489-2022")</f>
        <v/>
      </c>
      <c r="T868">
        <f>HYPERLINK("https://klasma.github.io/Logging_0884/kartor/A 21489-2022 karta.png", "A 21489-2022")</f>
        <v/>
      </c>
      <c r="V868">
        <f>HYPERLINK("https://klasma.github.io/Logging_0884/klagomål/A 21489-2022 FSC-klagomål.docx", "A 21489-2022")</f>
        <v/>
      </c>
      <c r="W868">
        <f>HYPERLINK("https://klasma.github.io/Logging_0884/klagomålsmail/A 21489-2022 FSC-klagomål mail.docx", "A 21489-2022")</f>
        <v/>
      </c>
      <c r="X868">
        <f>HYPERLINK("https://klasma.github.io/Logging_0884/tillsyn/A 21489-2022 tillsynsbegäran.docx", "A 21489-2022")</f>
        <v/>
      </c>
      <c r="Y868">
        <f>HYPERLINK("https://klasma.github.io/Logging_0884/tillsynsmail/A 21489-2022 tillsynsbegäran mail.docx", "A 21489-2022")</f>
        <v/>
      </c>
    </row>
    <row r="869" ht="15" customHeight="1">
      <c r="A869" t="inlineStr">
        <is>
          <t>A 24096-2022</t>
        </is>
      </c>
      <c r="B869" s="1" t="n">
        <v>44725</v>
      </c>
      <c r="C869" s="1" t="n">
        <v>45715</v>
      </c>
      <c r="D869" t="inlineStr">
        <is>
          <t>KALMAR LÄN</t>
        </is>
      </c>
      <c r="E869" t="inlineStr">
        <is>
          <t>BORGHOLM</t>
        </is>
      </c>
      <c r="G869" t="n">
        <v>1.9</v>
      </c>
      <c r="H869" t="n">
        <v>0</v>
      </c>
      <c r="I869" t="n">
        <v>1</v>
      </c>
      <c r="J869" t="n">
        <v>0</v>
      </c>
      <c r="K869" t="n">
        <v>0</v>
      </c>
      <c r="L869" t="n">
        <v>0</v>
      </c>
      <c r="M869" t="n">
        <v>0</v>
      </c>
      <c r="N869" t="n">
        <v>0</v>
      </c>
      <c r="O869" t="n">
        <v>0</v>
      </c>
      <c r="P869" t="n">
        <v>0</v>
      </c>
      <c r="Q869" t="n">
        <v>1</v>
      </c>
      <c r="R869" s="2" t="inlineStr">
        <is>
          <t>Sårläka</t>
        </is>
      </c>
      <c r="S869">
        <f>HYPERLINK("https://klasma.github.io/Logging_0885/artfynd/A 24096-2022 artfynd.xlsx", "A 24096-2022")</f>
        <v/>
      </c>
      <c r="T869">
        <f>HYPERLINK("https://klasma.github.io/Logging_0885/kartor/A 24096-2022 karta.png", "A 24096-2022")</f>
        <v/>
      </c>
      <c r="V869">
        <f>HYPERLINK("https://klasma.github.io/Logging_0885/klagomål/A 24096-2022 FSC-klagomål.docx", "A 24096-2022")</f>
        <v/>
      </c>
      <c r="W869">
        <f>HYPERLINK("https://klasma.github.io/Logging_0885/klagomålsmail/A 24096-2022 FSC-klagomål mail.docx", "A 24096-2022")</f>
        <v/>
      </c>
      <c r="X869">
        <f>HYPERLINK("https://klasma.github.io/Logging_0885/tillsyn/A 24096-2022 tillsynsbegäran.docx", "A 24096-2022")</f>
        <v/>
      </c>
      <c r="Y869">
        <f>HYPERLINK("https://klasma.github.io/Logging_0885/tillsynsmail/A 24096-2022 tillsynsbegäran mail.docx", "A 24096-2022")</f>
        <v/>
      </c>
    </row>
    <row r="870" ht="15" customHeight="1">
      <c r="A870" t="inlineStr">
        <is>
          <t>A 24437-2022</t>
        </is>
      </c>
      <c r="B870" s="1" t="n">
        <v>44726</v>
      </c>
      <c r="C870" s="1" t="n">
        <v>45715</v>
      </c>
      <c r="D870" t="inlineStr">
        <is>
          <t>KALMAR LÄN</t>
        </is>
      </c>
      <c r="E870" t="inlineStr">
        <is>
          <t>KALMAR</t>
        </is>
      </c>
      <c r="G870" t="n">
        <v>21.2</v>
      </c>
      <c r="H870" t="n">
        <v>0</v>
      </c>
      <c r="I870" t="n">
        <v>0</v>
      </c>
      <c r="J870" t="n">
        <v>1</v>
      </c>
      <c r="K870" t="n">
        <v>0</v>
      </c>
      <c r="L870" t="n">
        <v>0</v>
      </c>
      <c r="M870" t="n">
        <v>0</v>
      </c>
      <c r="N870" t="n">
        <v>0</v>
      </c>
      <c r="O870" t="n">
        <v>1</v>
      </c>
      <c r="P870" t="n">
        <v>0</v>
      </c>
      <c r="Q870" t="n">
        <v>1</v>
      </c>
      <c r="R870" s="2" t="inlineStr">
        <is>
          <t>Paddfot</t>
        </is>
      </c>
      <c r="S870">
        <f>HYPERLINK("https://klasma.github.io/Logging_0880/artfynd/A 24437-2022 artfynd.xlsx", "A 24437-2022")</f>
        <v/>
      </c>
      <c r="T870">
        <f>HYPERLINK("https://klasma.github.io/Logging_0880/kartor/A 24437-2022 karta.png", "A 24437-2022")</f>
        <v/>
      </c>
      <c r="V870">
        <f>HYPERLINK("https://klasma.github.io/Logging_0880/klagomål/A 24437-2022 FSC-klagomål.docx", "A 24437-2022")</f>
        <v/>
      </c>
      <c r="W870">
        <f>HYPERLINK("https://klasma.github.io/Logging_0880/klagomålsmail/A 24437-2022 FSC-klagomål mail.docx", "A 24437-2022")</f>
        <v/>
      </c>
      <c r="X870">
        <f>HYPERLINK("https://klasma.github.io/Logging_0880/tillsyn/A 24437-2022 tillsynsbegäran.docx", "A 24437-2022")</f>
        <v/>
      </c>
      <c r="Y870">
        <f>HYPERLINK("https://klasma.github.io/Logging_0880/tillsynsmail/A 24437-2022 tillsynsbegäran mail.docx", "A 24437-2022")</f>
        <v/>
      </c>
    </row>
    <row r="871" ht="15" customHeight="1">
      <c r="A871" t="inlineStr">
        <is>
          <t>A 26056-2022</t>
        </is>
      </c>
      <c r="B871" s="1" t="n">
        <v>44734</v>
      </c>
      <c r="C871" s="1" t="n">
        <v>45715</v>
      </c>
      <c r="D871" t="inlineStr">
        <is>
          <t>KALMAR LÄN</t>
        </is>
      </c>
      <c r="E871" t="inlineStr">
        <is>
          <t>VÄSTERVIK</t>
        </is>
      </c>
      <c r="G871" t="n">
        <v>1.1</v>
      </c>
      <c r="H871" t="n">
        <v>0</v>
      </c>
      <c r="I871" t="n">
        <v>0</v>
      </c>
      <c r="J871" t="n">
        <v>1</v>
      </c>
      <c r="K871" t="n">
        <v>0</v>
      </c>
      <c r="L871" t="n">
        <v>0</v>
      </c>
      <c r="M871" t="n">
        <v>0</v>
      </c>
      <c r="N871" t="n">
        <v>0</v>
      </c>
      <c r="O871" t="n">
        <v>1</v>
      </c>
      <c r="P871" t="n">
        <v>0</v>
      </c>
      <c r="Q871" t="n">
        <v>1</v>
      </c>
      <c r="R871" s="2" t="inlineStr">
        <is>
          <t>Slåtterfibbla</t>
        </is>
      </c>
      <c r="S871">
        <f>HYPERLINK("https://klasma.github.io/Logging_0883/artfynd/A 26056-2022 artfynd.xlsx", "A 26056-2022")</f>
        <v/>
      </c>
      <c r="T871">
        <f>HYPERLINK("https://klasma.github.io/Logging_0883/kartor/A 26056-2022 karta.png", "A 26056-2022")</f>
        <v/>
      </c>
      <c r="V871">
        <f>HYPERLINK("https://klasma.github.io/Logging_0883/klagomål/A 26056-2022 FSC-klagomål.docx", "A 26056-2022")</f>
        <v/>
      </c>
      <c r="W871">
        <f>HYPERLINK("https://klasma.github.io/Logging_0883/klagomålsmail/A 26056-2022 FSC-klagomål mail.docx", "A 26056-2022")</f>
        <v/>
      </c>
      <c r="X871">
        <f>HYPERLINK("https://klasma.github.io/Logging_0883/tillsyn/A 26056-2022 tillsynsbegäran.docx", "A 26056-2022")</f>
        <v/>
      </c>
      <c r="Y871">
        <f>HYPERLINK("https://klasma.github.io/Logging_0883/tillsynsmail/A 26056-2022 tillsynsbegäran mail.docx", "A 26056-2022")</f>
        <v/>
      </c>
    </row>
    <row r="872" ht="15" customHeight="1">
      <c r="A872" t="inlineStr">
        <is>
          <t>A 30473-2022</t>
        </is>
      </c>
      <c r="B872" s="1" t="n">
        <v>44761</v>
      </c>
      <c r="C872" s="1" t="n">
        <v>45715</v>
      </c>
      <c r="D872" t="inlineStr">
        <is>
          <t>KALMAR LÄN</t>
        </is>
      </c>
      <c r="E872" t="inlineStr">
        <is>
          <t>VIMMERBY</t>
        </is>
      </c>
      <c r="G872" t="n">
        <v>4.2</v>
      </c>
      <c r="H872" t="n">
        <v>1</v>
      </c>
      <c r="I872" t="n">
        <v>0</v>
      </c>
      <c r="J872" t="n">
        <v>1</v>
      </c>
      <c r="K872" t="n">
        <v>0</v>
      </c>
      <c r="L872" t="n">
        <v>0</v>
      </c>
      <c r="M872" t="n">
        <v>0</v>
      </c>
      <c r="N872" t="n">
        <v>0</v>
      </c>
      <c r="O872" t="n">
        <v>1</v>
      </c>
      <c r="P872" t="n">
        <v>0</v>
      </c>
      <c r="Q872" t="n">
        <v>1</v>
      </c>
      <c r="R872" s="2" t="inlineStr">
        <is>
          <t>Talltita</t>
        </is>
      </c>
      <c r="S872">
        <f>HYPERLINK("https://klasma.github.io/Logging_0884/artfynd/A 30473-2022 artfynd.xlsx", "A 30473-2022")</f>
        <v/>
      </c>
      <c r="T872">
        <f>HYPERLINK("https://klasma.github.io/Logging_0884/kartor/A 30473-2022 karta.png", "A 30473-2022")</f>
        <v/>
      </c>
      <c r="V872">
        <f>HYPERLINK("https://klasma.github.io/Logging_0884/klagomål/A 30473-2022 FSC-klagomål.docx", "A 30473-2022")</f>
        <v/>
      </c>
      <c r="W872">
        <f>HYPERLINK("https://klasma.github.io/Logging_0884/klagomålsmail/A 30473-2022 FSC-klagomål mail.docx", "A 30473-2022")</f>
        <v/>
      </c>
      <c r="X872">
        <f>HYPERLINK("https://klasma.github.io/Logging_0884/tillsyn/A 30473-2022 tillsynsbegäran.docx", "A 30473-2022")</f>
        <v/>
      </c>
      <c r="Y872">
        <f>HYPERLINK("https://klasma.github.io/Logging_0884/tillsynsmail/A 30473-2022 tillsynsbegäran mail.docx", "A 30473-2022")</f>
        <v/>
      </c>
      <c r="Z872">
        <f>HYPERLINK("https://klasma.github.io/Logging_0884/fåglar/A 30473-2022 prioriterade fågelarter.docx", "A 30473-2022")</f>
        <v/>
      </c>
    </row>
    <row r="873" ht="15" customHeight="1">
      <c r="A873" t="inlineStr">
        <is>
          <t>A 30597-2022</t>
        </is>
      </c>
      <c r="B873" s="1" t="n">
        <v>44762</v>
      </c>
      <c r="C873" s="1" t="n">
        <v>45715</v>
      </c>
      <c r="D873" t="inlineStr">
        <is>
          <t>KALMAR LÄN</t>
        </is>
      </c>
      <c r="E873" t="inlineStr">
        <is>
          <t>EMMABODA</t>
        </is>
      </c>
      <c r="G873" t="n">
        <v>0.9</v>
      </c>
      <c r="H873" t="n">
        <v>1</v>
      </c>
      <c r="I873" t="n">
        <v>0</v>
      </c>
      <c r="J873" t="n">
        <v>0</v>
      </c>
      <c r="K873" t="n">
        <v>0</v>
      </c>
      <c r="L873" t="n">
        <v>0</v>
      </c>
      <c r="M873" t="n">
        <v>0</v>
      </c>
      <c r="N873" t="n">
        <v>0</v>
      </c>
      <c r="O873" t="n">
        <v>0</v>
      </c>
      <c r="P873" t="n">
        <v>0</v>
      </c>
      <c r="Q873" t="n">
        <v>1</v>
      </c>
      <c r="R873" s="2" t="inlineStr">
        <is>
          <t>Hasselmus</t>
        </is>
      </c>
      <c r="S873">
        <f>HYPERLINK("https://klasma.github.io/Logging_0862/artfynd/A 30597-2022 artfynd.xlsx", "A 30597-2022")</f>
        <v/>
      </c>
      <c r="T873">
        <f>HYPERLINK("https://klasma.github.io/Logging_0862/kartor/A 30597-2022 karta.png", "A 30597-2022")</f>
        <v/>
      </c>
      <c r="V873">
        <f>HYPERLINK("https://klasma.github.io/Logging_0862/klagomål/A 30597-2022 FSC-klagomål.docx", "A 30597-2022")</f>
        <v/>
      </c>
      <c r="W873">
        <f>HYPERLINK("https://klasma.github.io/Logging_0862/klagomålsmail/A 30597-2022 FSC-klagomål mail.docx", "A 30597-2022")</f>
        <v/>
      </c>
      <c r="X873">
        <f>HYPERLINK("https://klasma.github.io/Logging_0862/tillsyn/A 30597-2022 tillsynsbegäran.docx", "A 30597-2022")</f>
        <v/>
      </c>
      <c r="Y873">
        <f>HYPERLINK("https://klasma.github.io/Logging_0862/tillsynsmail/A 30597-2022 tillsynsbegäran mail.docx", "A 30597-2022")</f>
        <v/>
      </c>
    </row>
    <row r="874" ht="15" customHeight="1">
      <c r="A874" t="inlineStr">
        <is>
          <t>A 31295-2022</t>
        </is>
      </c>
      <c r="B874" s="1" t="n">
        <v>44772</v>
      </c>
      <c r="C874" s="1" t="n">
        <v>45715</v>
      </c>
      <c r="D874" t="inlineStr">
        <is>
          <t>KALMAR LÄN</t>
        </is>
      </c>
      <c r="E874" t="inlineStr">
        <is>
          <t>BORGHOLM</t>
        </is>
      </c>
      <c r="F874" t="inlineStr">
        <is>
          <t>Sveaskog</t>
        </is>
      </c>
      <c r="G874" t="n">
        <v>6.1</v>
      </c>
      <c r="H874" t="n">
        <v>0</v>
      </c>
      <c r="I874" t="n">
        <v>0</v>
      </c>
      <c r="J874" t="n">
        <v>0</v>
      </c>
      <c r="K874" t="n">
        <v>0</v>
      </c>
      <c r="L874" t="n">
        <v>1</v>
      </c>
      <c r="M874" t="n">
        <v>0</v>
      </c>
      <c r="N874" t="n">
        <v>0</v>
      </c>
      <c r="O874" t="n">
        <v>1</v>
      </c>
      <c r="P874" t="n">
        <v>1</v>
      </c>
      <c r="Q874" t="n">
        <v>1</v>
      </c>
      <c r="R874" s="2" t="inlineStr">
        <is>
          <t>Skärrande gräshoppa</t>
        </is>
      </c>
      <c r="S874">
        <f>HYPERLINK("https://klasma.github.io/Logging_0885/artfynd/A 31295-2022 artfynd.xlsx", "A 31295-2022")</f>
        <v/>
      </c>
      <c r="T874">
        <f>HYPERLINK("https://klasma.github.io/Logging_0885/kartor/A 31295-2022 karta.png", "A 31295-2022")</f>
        <v/>
      </c>
      <c r="V874">
        <f>HYPERLINK("https://klasma.github.io/Logging_0885/klagomål/A 31295-2022 FSC-klagomål.docx", "A 31295-2022")</f>
        <v/>
      </c>
      <c r="W874">
        <f>HYPERLINK("https://klasma.github.io/Logging_0885/klagomålsmail/A 31295-2022 FSC-klagomål mail.docx", "A 31295-2022")</f>
        <v/>
      </c>
      <c r="X874">
        <f>HYPERLINK("https://klasma.github.io/Logging_0885/tillsyn/A 31295-2022 tillsynsbegäran.docx", "A 31295-2022")</f>
        <v/>
      </c>
      <c r="Y874">
        <f>HYPERLINK("https://klasma.github.io/Logging_0885/tillsynsmail/A 31295-2022 tillsynsbegäran mail.docx", "A 31295-2022")</f>
        <v/>
      </c>
    </row>
    <row r="875" ht="15" customHeight="1">
      <c r="A875" t="inlineStr">
        <is>
          <t>A 32030-2022</t>
        </is>
      </c>
      <c r="B875" s="1" t="n">
        <v>44778</v>
      </c>
      <c r="C875" s="1" t="n">
        <v>45715</v>
      </c>
      <c r="D875" t="inlineStr">
        <is>
          <t>KALMAR LÄN</t>
        </is>
      </c>
      <c r="E875" t="inlineStr">
        <is>
          <t>OSKARSHAMN</t>
        </is>
      </c>
      <c r="G875" t="n">
        <v>2.4</v>
      </c>
      <c r="H875" t="n">
        <v>1</v>
      </c>
      <c r="I875" t="n">
        <v>0</v>
      </c>
      <c r="J875" t="n">
        <v>0</v>
      </c>
      <c r="K875" t="n">
        <v>0</v>
      </c>
      <c r="L875" t="n">
        <v>0</v>
      </c>
      <c r="M875" t="n">
        <v>0</v>
      </c>
      <c r="N875" t="n">
        <v>0</v>
      </c>
      <c r="O875" t="n">
        <v>0</v>
      </c>
      <c r="P875" t="n">
        <v>0</v>
      </c>
      <c r="Q875" t="n">
        <v>1</v>
      </c>
      <c r="R875" s="2" t="inlineStr">
        <is>
          <t>Blåsippa</t>
        </is>
      </c>
      <c r="S875">
        <f>HYPERLINK("https://klasma.github.io/Logging_0882/artfynd/A 32030-2022 artfynd.xlsx", "A 32030-2022")</f>
        <v/>
      </c>
      <c r="T875">
        <f>HYPERLINK("https://klasma.github.io/Logging_0882/kartor/A 32030-2022 karta.png", "A 32030-2022")</f>
        <v/>
      </c>
      <c r="V875">
        <f>HYPERLINK("https://klasma.github.io/Logging_0882/klagomål/A 32030-2022 FSC-klagomål.docx", "A 32030-2022")</f>
        <v/>
      </c>
      <c r="W875">
        <f>HYPERLINK("https://klasma.github.io/Logging_0882/klagomålsmail/A 32030-2022 FSC-klagomål mail.docx", "A 32030-2022")</f>
        <v/>
      </c>
      <c r="X875">
        <f>HYPERLINK("https://klasma.github.io/Logging_0882/tillsyn/A 32030-2022 tillsynsbegäran.docx", "A 32030-2022")</f>
        <v/>
      </c>
      <c r="Y875">
        <f>HYPERLINK("https://klasma.github.io/Logging_0882/tillsynsmail/A 32030-2022 tillsynsbegäran mail.docx", "A 32030-2022")</f>
        <v/>
      </c>
    </row>
    <row r="876" ht="15" customHeight="1">
      <c r="A876" t="inlineStr">
        <is>
          <t>A 33209-2022</t>
        </is>
      </c>
      <c r="B876" s="1" t="n">
        <v>44785</v>
      </c>
      <c r="C876" s="1" t="n">
        <v>45715</v>
      </c>
      <c r="D876" t="inlineStr">
        <is>
          <t>KALMAR LÄN</t>
        </is>
      </c>
      <c r="E876" t="inlineStr">
        <is>
          <t>VÄSTERVIK</t>
        </is>
      </c>
      <c r="G876" t="n">
        <v>1.4</v>
      </c>
      <c r="H876" t="n">
        <v>0</v>
      </c>
      <c r="I876" t="n">
        <v>0</v>
      </c>
      <c r="J876" t="n">
        <v>1</v>
      </c>
      <c r="K876" t="n">
        <v>0</v>
      </c>
      <c r="L876" t="n">
        <v>0</v>
      </c>
      <c r="M876" t="n">
        <v>0</v>
      </c>
      <c r="N876" t="n">
        <v>0</v>
      </c>
      <c r="O876" t="n">
        <v>1</v>
      </c>
      <c r="P876" t="n">
        <v>0</v>
      </c>
      <c r="Q876" t="n">
        <v>1</v>
      </c>
      <c r="R876" s="2" t="inlineStr">
        <is>
          <t>Slåtterfibbla</t>
        </is>
      </c>
      <c r="S876">
        <f>HYPERLINK("https://klasma.github.io/Logging_0883/artfynd/A 33209-2022 artfynd.xlsx", "A 33209-2022")</f>
        <v/>
      </c>
      <c r="T876">
        <f>HYPERLINK("https://klasma.github.io/Logging_0883/kartor/A 33209-2022 karta.png", "A 33209-2022")</f>
        <v/>
      </c>
      <c r="V876">
        <f>HYPERLINK("https://klasma.github.io/Logging_0883/klagomål/A 33209-2022 FSC-klagomål.docx", "A 33209-2022")</f>
        <v/>
      </c>
      <c r="W876">
        <f>HYPERLINK("https://klasma.github.io/Logging_0883/klagomålsmail/A 33209-2022 FSC-klagomål mail.docx", "A 33209-2022")</f>
        <v/>
      </c>
      <c r="X876">
        <f>HYPERLINK("https://klasma.github.io/Logging_0883/tillsyn/A 33209-2022 tillsynsbegäran.docx", "A 33209-2022")</f>
        <v/>
      </c>
      <c r="Y876">
        <f>HYPERLINK("https://klasma.github.io/Logging_0883/tillsynsmail/A 33209-2022 tillsynsbegäran mail.docx", "A 33209-2022")</f>
        <v/>
      </c>
    </row>
    <row r="877" ht="15" customHeight="1">
      <c r="A877" t="inlineStr">
        <is>
          <t>A 33241-2022</t>
        </is>
      </c>
      <c r="B877" s="1" t="n">
        <v>44786</v>
      </c>
      <c r="C877" s="1" t="n">
        <v>45715</v>
      </c>
      <c r="D877" t="inlineStr">
        <is>
          <t>KALMAR LÄN</t>
        </is>
      </c>
      <c r="E877" t="inlineStr">
        <is>
          <t>OSKARSHAMN</t>
        </is>
      </c>
      <c r="G877" t="n">
        <v>3</v>
      </c>
      <c r="H877" t="n">
        <v>0</v>
      </c>
      <c r="I877" t="n">
        <v>1</v>
      </c>
      <c r="J877" t="n">
        <v>0</v>
      </c>
      <c r="K877" t="n">
        <v>0</v>
      </c>
      <c r="L877" t="n">
        <v>0</v>
      </c>
      <c r="M877" t="n">
        <v>0</v>
      </c>
      <c r="N877" t="n">
        <v>0</v>
      </c>
      <c r="O877" t="n">
        <v>0</v>
      </c>
      <c r="P877" t="n">
        <v>0</v>
      </c>
      <c r="Q877" t="n">
        <v>1</v>
      </c>
      <c r="R877" s="2" t="inlineStr">
        <is>
          <t>Fällmossa</t>
        </is>
      </c>
      <c r="S877">
        <f>HYPERLINK("https://klasma.github.io/Logging_0882/artfynd/A 33241-2022 artfynd.xlsx", "A 33241-2022")</f>
        <v/>
      </c>
      <c r="T877">
        <f>HYPERLINK("https://klasma.github.io/Logging_0882/kartor/A 33241-2022 karta.png", "A 33241-2022")</f>
        <v/>
      </c>
      <c r="V877">
        <f>HYPERLINK("https://klasma.github.io/Logging_0882/klagomål/A 33241-2022 FSC-klagomål.docx", "A 33241-2022")</f>
        <v/>
      </c>
      <c r="W877">
        <f>HYPERLINK("https://klasma.github.io/Logging_0882/klagomålsmail/A 33241-2022 FSC-klagomål mail.docx", "A 33241-2022")</f>
        <v/>
      </c>
      <c r="X877">
        <f>HYPERLINK("https://klasma.github.io/Logging_0882/tillsyn/A 33241-2022 tillsynsbegäran.docx", "A 33241-2022")</f>
        <v/>
      </c>
      <c r="Y877">
        <f>HYPERLINK("https://klasma.github.io/Logging_0882/tillsynsmail/A 33241-2022 tillsynsbegäran mail.docx", "A 33241-2022")</f>
        <v/>
      </c>
    </row>
    <row r="878" ht="15" customHeight="1">
      <c r="A878" t="inlineStr">
        <is>
          <t>A 34081-2022</t>
        </is>
      </c>
      <c r="B878" s="1" t="n">
        <v>44791</v>
      </c>
      <c r="C878" s="1" t="n">
        <v>45715</v>
      </c>
      <c r="D878" t="inlineStr">
        <is>
          <t>KALMAR LÄN</t>
        </is>
      </c>
      <c r="E878" t="inlineStr">
        <is>
          <t>MÖNSTERÅS</t>
        </is>
      </c>
      <c r="G878" t="n">
        <v>1.9</v>
      </c>
      <c r="H878" t="n">
        <v>1</v>
      </c>
      <c r="I878" t="n">
        <v>0</v>
      </c>
      <c r="J878" t="n">
        <v>0</v>
      </c>
      <c r="K878" t="n">
        <v>1</v>
      </c>
      <c r="L878" t="n">
        <v>0</v>
      </c>
      <c r="M878" t="n">
        <v>0</v>
      </c>
      <c r="N878" t="n">
        <v>0</v>
      </c>
      <c r="O878" t="n">
        <v>1</v>
      </c>
      <c r="P878" t="n">
        <v>1</v>
      </c>
      <c r="Q878" t="n">
        <v>1</v>
      </c>
      <c r="R878" s="2" t="inlineStr">
        <is>
          <t>Knärot</t>
        </is>
      </c>
      <c r="S878">
        <f>HYPERLINK("https://klasma.github.io/Logging_0861/artfynd/A 34081-2022 artfynd.xlsx", "A 34081-2022")</f>
        <v/>
      </c>
      <c r="T878">
        <f>HYPERLINK("https://klasma.github.io/Logging_0861/kartor/A 34081-2022 karta.png", "A 34081-2022")</f>
        <v/>
      </c>
      <c r="U878">
        <f>HYPERLINK("https://klasma.github.io/Logging_0861/knärot/A 34081-2022 karta knärot.png", "A 34081-2022")</f>
        <v/>
      </c>
      <c r="V878">
        <f>HYPERLINK("https://klasma.github.io/Logging_0861/klagomål/A 34081-2022 FSC-klagomål.docx", "A 34081-2022")</f>
        <v/>
      </c>
      <c r="W878">
        <f>HYPERLINK("https://klasma.github.io/Logging_0861/klagomålsmail/A 34081-2022 FSC-klagomål mail.docx", "A 34081-2022")</f>
        <v/>
      </c>
      <c r="X878">
        <f>HYPERLINK("https://klasma.github.io/Logging_0861/tillsyn/A 34081-2022 tillsynsbegäran.docx", "A 34081-2022")</f>
        <v/>
      </c>
      <c r="Y878">
        <f>HYPERLINK("https://klasma.github.io/Logging_0861/tillsynsmail/A 34081-2022 tillsynsbegäran mail.docx", "A 34081-2022")</f>
        <v/>
      </c>
    </row>
    <row r="879" ht="15" customHeight="1">
      <c r="A879" t="inlineStr">
        <is>
          <t>A 36625-2022</t>
        </is>
      </c>
      <c r="B879" s="1" t="n">
        <v>44804</v>
      </c>
      <c r="C879" s="1" t="n">
        <v>45715</v>
      </c>
      <c r="D879" t="inlineStr">
        <is>
          <t>KALMAR LÄN</t>
        </is>
      </c>
      <c r="E879" t="inlineStr">
        <is>
          <t>TORSÅS</t>
        </is>
      </c>
      <c r="G879" t="n">
        <v>7.5</v>
      </c>
      <c r="H879" t="n">
        <v>0</v>
      </c>
      <c r="I879" t="n">
        <v>1</v>
      </c>
      <c r="J879" t="n">
        <v>0</v>
      </c>
      <c r="K879" t="n">
        <v>0</v>
      </c>
      <c r="L879" t="n">
        <v>0</v>
      </c>
      <c r="M879" t="n">
        <v>0</v>
      </c>
      <c r="N879" t="n">
        <v>0</v>
      </c>
      <c r="O879" t="n">
        <v>0</v>
      </c>
      <c r="P879" t="n">
        <v>0</v>
      </c>
      <c r="Q879" t="n">
        <v>1</v>
      </c>
      <c r="R879" s="2" t="inlineStr">
        <is>
          <t>Stor revmossa</t>
        </is>
      </c>
      <c r="S879">
        <f>HYPERLINK("https://klasma.github.io/Logging_0834/artfynd/A 36625-2022 artfynd.xlsx", "A 36625-2022")</f>
        <v/>
      </c>
      <c r="T879">
        <f>HYPERLINK("https://klasma.github.io/Logging_0834/kartor/A 36625-2022 karta.png", "A 36625-2022")</f>
        <v/>
      </c>
      <c r="V879">
        <f>HYPERLINK("https://klasma.github.io/Logging_0834/klagomål/A 36625-2022 FSC-klagomål.docx", "A 36625-2022")</f>
        <v/>
      </c>
      <c r="W879">
        <f>HYPERLINK("https://klasma.github.io/Logging_0834/klagomålsmail/A 36625-2022 FSC-klagomål mail.docx", "A 36625-2022")</f>
        <v/>
      </c>
      <c r="X879">
        <f>HYPERLINK("https://klasma.github.io/Logging_0834/tillsyn/A 36625-2022 tillsynsbegäran.docx", "A 36625-2022")</f>
        <v/>
      </c>
      <c r="Y879">
        <f>HYPERLINK("https://klasma.github.io/Logging_0834/tillsynsmail/A 36625-2022 tillsynsbegäran mail.docx", "A 36625-2022")</f>
        <v/>
      </c>
    </row>
    <row r="880" ht="15" customHeight="1">
      <c r="A880" t="inlineStr">
        <is>
          <t>A 39199-2022</t>
        </is>
      </c>
      <c r="B880" s="1" t="n">
        <v>44817</v>
      </c>
      <c r="C880" s="1" t="n">
        <v>45715</v>
      </c>
      <c r="D880" t="inlineStr">
        <is>
          <t>KALMAR LÄN</t>
        </is>
      </c>
      <c r="E880" t="inlineStr">
        <is>
          <t>MÖNSTERÅS</t>
        </is>
      </c>
      <c r="G880" t="n">
        <v>5.2</v>
      </c>
      <c r="H880" t="n">
        <v>0</v>
      </c>
      <c r="I880" t="n">
        <v>0</v>
      </c>
      <c r="J880" t="n">
        <v>0</v>
      </c>
      <c r="K880" t="n">
        <v>0</v>
      </c>
      <c r="L880" t="n">
        <v>1</v>
      </c>
      <c r="M880" t="n">
        <v>0</v>
      </c>
      <c r="N880" t="n">
        <v>0</v>
      </c>
      <c r="O880" t="n">
        <v>1</v>
      </c>
      <c r="P880" t="n">
        <v>1</v>
      </c>
      <c r="Q880" t="n">
        <v>1</v>
      </c>
      <c r="R880" s="2" t="inlineStr">
        <is>
          <t>Ask</t>
        </is>
      </c>
      <c r="S880">
        <f>HYPERLINK("https://klasma.github.io/Logging_0861/artfynd/A 39199-2022 artfynd.xlsx", "A 39199-2022")</f>
        <v/>
      </c>
      <c r="T880">
        <f>HYPERLINK("https://klasma.github.io/Logging_0861/kartor/A 39199-2022 karta.png", "A 39199-2022")</f>
        <v/>
      </c>
      <c r="V880">
        <f>HYPERLINK("https://klasma.github.io/Logging_0861/klagomål/A 39199-2022 FSC-klagomål.docx", "A 39199-2022")</f>
        <v/>
      </c>
      <c r="W880">
        <f>HYPERLINK("https://klasma.github.io/Logging_0861/klagomålsmail/A 39199-2022 FSC-klagomål mail.docx", "A 39199-2022")</f>
        <v/>
      </c>
      <c r="X880">
        <f>HYPERLINK("https://klasma.github.io/Logging_0861/tillsyn/A 39199-2022 tillsynsbegäran.docx", "A 39199-2022")</f>
        <v/>
      </c>
      <c r="Y880">
        <f>HYPERLINK("https://klasma.github.io/Logging_0861/tillsynsmail/A 39199-2022 tillsynsbegäran mail.docx", "A 39199-2022")</f>
        <v/>
      </c>
    </row>
    <row r="881" ht="15" customHeight="1">
      <c r="A881" t="inlineStr">
        <is>
          <t>A 40258-2022</t>
        </is>
      </c>
      <c r="B881" s="1" t="n">
        <v>44820</v>
      </c>
      <c r="C881" s="1" t="n">
        <v>45715</v>
      </c>
      <c r="D881" t="inlineStr">
        <is>
          <t>KALMAR LÄN</t>
        </is>
      </c>
      <c r="E881" t="inlineStr">
        <is>
          <t>OSKARSHAMN</t>
        </is>
      </c>
      <c r="G881" t="n">
        <v>2.8</v>
      </c>
      <c r="H881" t="n">
        <v>0</v>
      </c>
      <c r="I881" t="n">
        <v>0</v>
      </c>
      <c r="J881" t="n">
        <v>1</v>
      </c>
      <c r="K881" t="n">
        <v>0</v>
      </c>
      <c r="L881" t="n">
        <v>0</v>
      </c>
      <c r="M881" t="n">
        <v>0</v>
      </c>
      <c r="N881" t="n">
        <v>0</v>
      </c>
      <c r="O881" t="n">
        <v>1</v>
      </c>
      <c r="P881" t="n">
        <v>0</v>
      </c>
      <c r="Q881" t="n">
        <v>1</v>
      </c>
      <c r="R881" s="2" t="inlineStr">
        <is>
          <t>Orange taggsvamp</t>
        </is>
      </c>
      <c r="S881">
        <f>HYPERLINK("https://klasma.github.io/Logging_0882/artfynd/A 40258-2022 artfynd.xlsx", "A 40258-2022")</f>
        <v/>
      </c>
      <c r="T881">
        <f>HYPERLINK("https://klasma.github.io/Logging_0882/kartor/A 40258-2022 karta.png", "A 40258-2022")</f>
        <v/>
      </c>
      <c r="V881">
        <f>HYPERLINK("https://klasma.github.io/Logging_0882/klagomål/A 40258-2022 FSC-klagomål.docx", "A 40258-2022")</f>
        <v/>
      </c>
      <c r="W881">
        <f>HYPERLINK("https://klasma.github.io/Logging_0882/klagomålsmail/A 40258-2022 FSC-klagomål mail.docx", "A 40258-2022")</f>
        <v/>
      </c>
      <c r="X881">
        <f>HYPERLINK("https://klasma.github.io/Logging_0882/tillsyn/A 40258-2022 tillsynsbegäran.docx", "A 40258-2022")</f>
        <v/>
      </c>
      <c r="Y881">
        <f>HYPERLINK("https://klasma.github.io/Logging_0882/tillsynsmail/A 40258-2022 tillsynsbegäran mail.docx", "A 40258-2022")</f>
        <v/>
      </c>
    </row>
    <row r="882" ht="15" customHeight="1">
      <c r="A882" t="inlineStr">
        <is>
          <t>A 40924-2022</t>
        </is>
      </c>
      <c r="B882" s="1" t="n">
        <v>44825</v>
      </c>
      <c r="C882" s="1" t="n">
        <v>45715</v>
      </c>
      <c r="D882" t="inlineStr">
        <is>
          <t>KALMAR LÄN</t>
        </is>
      </c>
      <c r="E882" t="inlineStr">
        <is>
          <t>VÄSTERVIK</t>
        </is>
      </c>
      <c r="F882" t="inlineStr">
        <is>
          <t>Sveaskog</t>
        </is>
      </c>
      <c r="G882" t="n">
        <v>0.5</v>
      </c>
      <c r="H882" t="n">
        <v>1</v>
      </c>
      <c r="I882" t="n">
        <v>0</v>
      </c>
      <c r="J882" t="n">
        <v>1</v>
      </c>
      <c r="K882" t="n">
        <v>0</v>
      </c>
      <c r="L882" t="n">
        <v>0</v>
      </c>
      <c r="M882" t="n">
        <v>0</v>
      </c>
      <c r="N882" t="n">
        <v>0</v>
      </c>
      <c r="O882" t="n">
        <v>1</v>
      </c>
      <c r="P882" t="n">
        <v>0</v>
      </c>
      <c r="Q882" t="n">
        <v>1</v>
      </c>
      <c r="R882" s="2" t="inlineStr">
        <is>
          <t>Barbastell</t>
        </is>
      </c>
      <c r="S882">
        <f>HYPERLINK("https://klasma.github.io/Logging_0883/artfynd/A 40924-2022 artfynd.xlsx", "A 40924-2022")</f>
        <v/>
      </c>
      <c r="T882">
        <f>HYPERLINK("https://klasma.github.io/Logging_0883/kartor/A 40924-2022 karta.png", "A 40924-2022")</f>
        <v/>
      </c>
      <c r="V882">
        <f>HYPERLINK("https://klasma.github.io/Logging_0883/klagomål/A 40924-2022 FSC-klagomål.docx", "A 40924-2022")</f>
        <v/>
      </c>
      <c r="W882">
        <f>HYPERLINK("https://klasma.github.io/Logging_0883/klagomålsmail/A 40924-2022 FSC-klagomål mail.docx", "A 40924-2022")</f>
        <v/>
      </c>
      <c r="X882">
        <f>HYPERLINK("https://klasma.github.io/Logging_0883/tillsyn/A 40924-2022 tillsynsbegäran.docx", "A 40924-2022")</f>
        <v/>
      </c>
      <c r="Y882">
        <f>HYPERLINK("https://klasma.github.io/Logging_0883/tillsynsmail/A 40924-2022 tillsynsbegäran mail.docx", "A 40924-2022")</f>
        <v/>
      </c>
    </row>
    <row r="883" ht="15" customHeight="1">
      <c r="A883" t="inlineStr">
        <is>
          <t>A 41879-2022</t>
        </is>
      </c>
      <c r="B883" s="1" t="n">
        <v>44827</v>
      </c>
      <c r="C883" s="1" t="n">
        <v>45715</v>
      </c>
      <c r="D883" t="inlineStr">
        <is>
          <t>KALMAR LÄN</t>
        </is>
      </c>
      <c r="E883" t="inlineStr">
        <is>
          <t>MÖNSTERÅS</t>
        </is>
      </c>
      <c r="F883" t="inlineStr">
        <is>
          <t>Kyrkan</t>
        </is>
      </c>
      <c r="G883" t="n">
        <v>1</v>
      </c>
      <c r="H883" t="n">
        <v>0</v>
      </c>
      <c r="I883" t="n">
        <v>0</v>
      </c>
      <c r="J883" t="n">
        <v>1</v>
      </c>
      <c r="K883" t="n">
        <v>0</v>
      </c>
      <c r="L883" t="n">
        <v>0</v>
      </c>
      <c r="M883" t="n">
        <v>0</v>
      </c>
      <c r="N883" t="n">
        <v>0</v>
      </c>
      <c r="O883" t="n">
        <v>1</v>
      </c>
      <c r="P883" t="n">
        <v>0</v>
      </c>
      <c r="Q883" t="n">
        <v>1</v>
      </c>
      <c r="R883" s="2" t="inlineStr">
        <is>
          <t>Brunag</t>
        </is>
      </c>
      <c r="S883">
        <f>HYPERLINK("https://klasma.github.io/Logging_0861/artfynd/A 41879-2022 artfynd.xlsx", "A 41879-2022")</f>
        <v/>
      </c>
      <c r="T883">
        <f>HYPERLINK("https://klasma.github.io/Logging_0861/kartor/A 41879-2022 karta.png", "A 41879-2022")</f>
        <v/>
      </c>
      <c r="V883">
        <f>HYPERLINK("https://klasma.github.io/Logging_0861/klagomål/A 41879-2022 FSC-klagomål.docx", "A 41879-2022")</f>
        <v/>
      </c>
      <c r="W883">
        <f>HYPERLINK("https://klasma.github.io/Logging_0861/klagomålsmail/A 41879-2022 FSC-klagomål mail.docx", "A 41879-2022")</f>
        <v/>
      </c>
      <c r="X883">
        <f>HYPERLINK("https://klasma.github.io/Logging_0861/tillsyn/A 41879-2022 tillsynsbegäran.docx", "A 41879-2022")</f>
        <v/>
      </c>
      <c r="Y883">
        <f>HYPERLINK("https://klasma.github.io/Logging_0861/tillsynsmail/A 41879-2022 tillsynsbegäran mail.docx", "A 41879-2022")</f>
        <v/>
      </c>
    </row>
    <row r="884" ht="15" customHeight="1">
      <c r="A884" t="inlineStr">
        <is>
          <t>A 42052-2022</t>
        </is>
      </c>
      <c r="B884" s="1" t="n">
        <v>44830</v>
      </c>
      <c r="C884" s="1" t="n">
        <v>45715</v>
      </c>
      <c r="D884" t="inlineStr">
        <is>
          <t>KALMAR LÄN</t>
        </is>
      </c>
      <c r="E884" t="inlineStr">
        <is>
          <t>KALMAR</t>
        </is>
      </c>
      <c r="G884" t="n">
        <v>5.1</v>
      </c>
      <c r="H884" t="n">
        <v>1</v>
      </c>
      <c r="I884" t="n">
        <v>0</v>
      </c>
      <c r="J884" t="n">
        <v>0</v>
      </c>
      <c r="K884" t="n">
        <v>0</v>
      </c>
      <c r="L884" t="n">
        <v>0</v>
      </c>
      <c r="M884" t="n">
        <v>0</v>
      </c>
      <c r="N884" t="n">
        <v>0</v>
      </c>
      <c r="O884" t="n">
        <v>0</v>
      </c>
      <c r="P884" t="n">
        <v>0</v>
      </c>
      <c r="Q884" t="n">
        <v>1</v>
      </c>
      <c r="R884" s="2" t="inlineStr">
        <is>
          <t>Brudsporre</t>
        </is>
      </c>
      <c r="S884">
        <f>HYPERLINK("https://klasma.github.io/Logging_0880/artfynd/A 42052-2022 artfynd.xlsx", "A 42052-2022")</f>
        <v/>
      </c>
      <c r="T884">
        <f>HYPERLINK("https://klasma.github.io/Logging_0880/kartor/A 42052-2022 karta.png", "A 42052-2022")</f>
        <v/>
      </c>
      <c r="V884">
        <f>HYPERLINK("https://klasma.github.io/Logging_0880/klagomål/A 42052-2022 FSC-klagomål.docx", "A 42052-2022")</f>
        <v/>
      </c>
      <c r="W884">
        <f>HYPERLINK("https://klasma.github.io/Logging_0880/klagomålsmail/A 42052-2022 FSC-klagomål mail.docx", "A 42052-2022")</f>
        <v/>
      </c>
      <c r="X884">
        <f>HYPERLINK("https://klasma.github.io/Logging_0880/tillsyn/A 42052-2022 tillsynsbegäran.docx", "A 42052-2022")</f>
        <v/>
      </c>
      <c r="Y884">
        <f>HYPERLINK("https://klasma.github.io/Logging_0880/tillsynsmail/A 42052-2022 tillsynsbegäran mail.docx", "A 42052-2022")</f>
        <v/>
      </c>
    </row>
    <row r="885" ht="15" customHeight="1">
      <c r="A885" t="inlineStr">
        <is>
          <t>A 46559-2022</t>
        </is>
      </c>
      <c r="B885" s="1" t="n">
        <v>44848</v>
      </c>
      <c r="C885" s="1" t="n">
        <v>45715</v>
      </c>
      <c r="D885" t="inlineStr">
        <is>
          <t>KALMAR LÄN</t>
        </is>
      </c>
      <c r="E885" t="inlineStr">
        <is>
          <t>VÄSTERVIK</t>
        </is>
      </c>
      <c r="F885" t="inlineStr">
        <is>
          <t>Sveaskog</t>
        </is>
      </c>
      <c r="G885" t="n">
        <v>2.2</v>
      </c>
      <c r="H885" t="n">
        <v>1</v>
      </c>
      <c r="I885" t="n">
        <v>0</v>
      </c>
      <c r="J885" t="n">
        <v>0</v>
      </c>
      <c r="K885" t="n">
        <v>0</v>
      </c>
      <c r="L885" t="n">
        <v>0</v>
      </c>
      <c r="M885" t="n">
        <v>0</v>
      </c>
      <c r="N885" t="n">
        <v>0</v>
      </c>
      <c r="O885" t="n">
        <v>0</v>
      </c>
      <c r="P885" t="n">
        <v>0</v>
      </c>
      <c r="Q885" t="n">
        <v>1</v>
      </c>
      <c r="R885" s="2" t="inlineStr">
        <is>
          <t>Blåsippa</t>
        </is>
      </c>
      <c r="S885">
        <f>HYPERLINK("https://klasma.github.io/Logging_0883/artfynd/A 46559-2022 artfynd.xlsx", "A 46559-2022")</f>
        <v/>
      </c>
      <c r="T885">
        <f>HYPERLINK("https://klasma.github.io/Logging_0883/kartor/A 46559-2022 karta.png", "A 46559-2022")</f>
        <v/>
      </c>
      <c r="V885">
        <f>HYPERLINK("https://klasma.github.io/Logging_0883/klagomål/A 46559-2022 FSC-klagomål.docx", "A 46559-2022")</f>
        <v/>
      </c>
      <c r="W885">
        <f>HYPERLINK("https://klasma.github.io/Logging_0883/klagomålsmail/A 46559-2022 FSC-klagomål mail.docx", "A 46559-2022")</f>
        <v/>
      </c>
      <c r="X885">
        <f>HYPERLINK("https://klasma.github.io/Logging_0883/tillsyn/A 46559-2022 tillsynsbegäran.docx", "A 46559-2022")</f>
        <v/>
      </c>
      <c r="Y885">
        <f>HYPERLINK("https://klasma.github.io/Logging_0883/tillsynsmail/A 46559-2022 tillsynsbegäran mail.docx", "A 46559-2022")</f>
        <v/>
      </c>
    </row>
    <row r="886" ht="15" customHeight="1">
      <c r="A886" t="inlineStr">
        <is>
          <t>A 46556-2022</t>
        </is>
      </c>
      <c r="B886" s="1" t="n">
        <v>44848</v>
      </c>
      <c r="C886" s="1" t="n">
        <v>45715</v>
      </c>
      <c r="D886" t="inlineStr">
        <is>
          <t>KALMAR LÄN</t>
        </is>
      </c>
      <c r="E886" t="inlineStr">
        <is>
          <t>VÄSTERVIK</t>
        </is>
      </c>
      <c r="F886" t="inlineStr">
        <is>
          <t>Sveaskog</t>
        </is>
      </c>
      <c r="G886" t="n">
        <v>1.5</v>
      </c>
      <c r="H886" t="n">
        <v>0</v>
      </c>
      <c r="I886" t="n">
        <v>1</v>
      </c>
      <c r="J886" t="n">
        <v>0</v>
      </c>
      <c r="K886" t="n">
        <v>0</v>
      </c>
      <c r="L886" t="n">
        <v>0</v>
      </c>
      <c r="M886" t="n">
        <v>0</v>
      </c>
      <c r="N886" t="n">
        <v>0</v>
      </c>
      <c r="O886" t="n">
        <v>0</v>
      </c>
      <c r="P886" t="n">
        <v>0</v>
      </c>
      <c r="Q886" t="n">
        <v>1</v>
      </c>
      <c r="R886" s="2" t="inlineStr">
        <is>
          <t>Fjällig taggsvamp s.str.</t>
        </is>
      </c>
      <c r="S886">
        <f>HYPERLINK("https://klasma.github.io/Logging_0883/artfynd/A 46556-2022 artfynd.xlsx", "A 46556-2022")</f>
        <v/>
      </c>
      <c r="T886">
        <f>HYPERLINK("https://klasma.github.io/Logging_0883/kartor/A 46556-2022 karta.png", "A 46556-2022")</f>
        <v/>
      </c>
      <c r="V886">
        <f>HYPERLINK("https://klasma.github.io/Logging_0883/klagomål/A 46556-2022 FSC-klagomål.docx", "A 46556-2022")</f>
        <v/>
      </c>
      <c r="W886">
        <f>HYPERLINK("https://klasma.github.io/Logging_0883/klagomålsmail/A 46556-2022 FSC-klagomål mail.docx", "A 46556-2022")</f>
        <v/>
      </c>
      <c r="X886">
        <f>HYPERLINK("https://klasma.github.io/Logging_0883/tillsyn/A 46556-2022 tillsynsbegäran.docx", "A 46556-2022")</f>
        <v/>
      </c>
      <c r="Y886">
        <f>HYPERLINK("https://klasma.github.io/Logging_0883/tillsynsmail/A 46556-2022 tillsynsbegäran mail.docx", "A 46556-2022")</f>
        <v/>
      </c>
    </row>
    <row r="887" ht="15" customHeight="1">
      <c r="A887" t="inlineStr">
        <is>
          <t>A 48263-2022</t>
        </is>
      </c>
      <c r="B887" s="1" t="n">
        <v>44853</v>
      </c>
      <c r="C887" s="1" t="n">
        <v>45715</v>
      </c>
      <c r="D887" t="inlineStr">
        <is>
          <t>KALMAR LÄN</t>
        </is>
      </c>
      <c r="E887" t="inlineStr">
        <is>
          <t>HÖGSBY</t>
        </is>
      </c>
      <c r="G887" t="n">
        <v>8.199999999999999</v>
      </c>
      <c r="H887" t="n">
        <v>1</v>
      </c>
      <c r="I887" t="n">
        <v>0</v>
      </c>
      <c r="J887" t="n">
        <v>1</v>
      </c>
      <c r="K887" t="n">
        <v>0</v>
      </c>
      <c r="L887" t="n">
        <v>0</v>
      </c>
      <c r="M887" t="n">
        <v>0</v>
      </c>
      <c r="N887" t="n">
        <v>0</v>
      </c>
      <c r="O887" t="n">
        <v>1</v>
      </c>
      <c r="P887" t="n">
        <v>0</v>
      </c>
      <c r="Q887" t="n">
        <v>1</v>
      </c>
      <c r="R887" s="2" t="inlineStr">
        <is>
          <t>Talltita</t>
        </is>
      </c>
      <c r="S887">
        <f>HYPERLINK("https://klasma.github.io/Logging_0821/artfynd/A 48263-2022 artfynd.xlsx", "A 48263-2022")</f>
        <v/>
      </c>
      <c r="T887">
        <f>HYPERLINK("https://klasma.github.io/Logging_0821/kartor/A 48263-2022 karta.png", "A 48263-2022")</f>
        <v/>
      </c>
      <c r="V887">
        <f>HYPERLINK("https://klasma.github.io/Logging_0821/klagomål/A 48263-2022 FSC-klagomål.docx", "A 48263-2022")</f>
        <v/>
      </c>
      <c r="W887">
        <f>HYPERLINK("https://klasma.github.io/Logging_0821/klagomålsmail/A 48263-2022 FSC-klagomål mail.docx", "A 48263-2022")</f>
        <v/>
      </c>
      <c r="X887">
        <f>HYPERLINK("https://klasma.github.io/Logging_0821/tillsyn/A 48263-2022 tillsynsbegäran.docx", "A 48263-2022")</f>
        <v/>
      </c>
      <c r="Y887">
        <f>HYPERLINK("https://klasma.github.io/Logging_0821/tillsynsmail/A 48263-2022 tillsynsbegäran mail.docx", "A 48263-2022")</f>
        <v/>
      </c>
      <c r="Z887">
        <f>HYPERLINK("https://klasma.github.io/Logging_0821/fåglar/A 48263-2022 prioriterade fågelarter.docx", "A 48263-2022")</f>
        <v/>
      </c>
    </row>
    <row r="888" ht="15" customHeight="1">
      <c r="A888" t="inlineStr">
        <is>
          <t>A 47672-2022</t>
        </is>
      </c>
      <c r="B888" s="1" t="n">
        <v>44854</v>
      </c>
      <c r="C888" s="1" t="n">
        <v>45715</v>
      </c>
      <c r="D888" t="inlineStr">
        <is>
          <t>KALMAR LÄN</t>
        </is>
      </c>
      <c r="E888" t="inlineStr">
        <is>
          <t>MÖNSTERÅS</t>
        </is>
      </c>
      <c r="G888" t="n">
        <v>4.6</v>
      </c>
      <c r="H888" t="n">
        <v>1</v>
      </c>
      <c r="I888" t="n">
        <v>0</v>
      </c>
      <c r="J888" t="n">
        <v>0</v>
      </c>
      <c r="K888" t="n">
        <v>1</v>
      </c>
      <c r="L888" t="n">
        <v>0</v>
      </c>
      <c r="M888" t="n">
        <v>0</v>
      </c>
      <c r="N888" t="n">
        <v>0</v>
      </c>
      <c r="O888" t="n">
        <v>1</v>
      </c>
      <c r="P888" t="n">
        <v>1</v>
      </c>
      <c r="Q888" t="n">
        <v>1</v>
      </c>
      <c r="R888" s="2" t="inlineStr">
        <is>
          <t>Knärot</t>
        </is>
      </c>
      <c r="S888">
        <f>HYPERLINK("https://klasma.github.io/Logging_0861/artfynd/A 47672-2022 artfynd.xlsx", "A 47672-2022")</f>
        <v/>
      </c>
      <c r="T888">
        <f>HYPERLINK("https://klasma.github.io/Logging_0861/kartor/A 47672-2022 karta.png", "A 47672-2022")</f>
        <v/>
      </c>
      <c r="U888">
        <f>HYPERLINK("https://klasma.github.io/Logging_0861/knärot/A 47672-2022 karta knärot.png", "A 47672-2022")</f>
        <v/>
      </c>
      <c r="V888">
        <f>HYPERLINK("https://klasma.github.io/Logging_0861/klagomål/A 47672-2022 FSC-klagomål.docx", "A 47672-2022")</f>
        <v/>
      </c>
      <c r="W888">
        <f>HYPERLINK("https://klasma.github.io/Logging_0861/klagomålsmail/A 47672-2022 FSC-klagomål mail.docx", "A 47672-2022")</f>
        <v/>
      </c>
      <c r="X888">
        <f>HYPERLINK("https://klasma.github.io/Logging_0861/tillsyn/A 47672-2022 tillsynsbegäran.docx", "A 47672-2022")</f>
        <v/>
      </c>
      <c r="Y888">
        <f>HYPERLINK("https://klasma.github.io/Logging_0861/tillsynsmail/A 47672-2022 tillsynsbegäran mail.docx", "A 47672-2022")</f>
        <v/>
      </c>
    </row>
    <row r="889" ht="15" customHeight="1">
      <c r="A889" t="inlineStr">
        <is>
          <t>A 48442-2022</t>
        </is>
      </c>
      <c r="B889" s="1" t="n">
        <v>44858</v>
      </c>
      <c r="C889" s="1" t="n">
        <v>45715</v>
      </c>
      <c r="D889" t="inlineStr">
        <is>
          <t>KALMAR LÄN</t>
        </is>
      </c>
      <c r="E889" t="inlineStr">
        <is>
          <t>OSKARSHAMN</t>
        </is>
      </c>
      <c r="G889" t="n">
        <v>2.9</v>
      </c>
      <c r="H889" t="n">
        <v>1</v>
      </c>
      <c r="I889" t="n">
        <v>1</v>
      </c>
      <c r="J889" t="n">
        <v>0</v>
      </c>
      <c r="K889" t="n">
        <v>0</v>
      </c>
      <c r="L889" t="n">
        <v>0</v>
      </c>
      <c r="M889" t="n">
        <v>0</v>
      </c>
      <c r="N889" t="n">
        <v>0</v>
      </c>
      <c r="O889" t="n">
        <v>0</v>
      </c>
      <c r="P889" t="n">
        <v>0</v>
      </c>
      <c r="Q889" t="n">
        <v>1</v>
      </c>
      <c r="R889" s="2" t="inlineStr">
        <is>
          <t>Ekoxe</t>
        </is>
      </c>
      <c r="S889">
        <f>HYPERLINK("https://klasma.github.io/Logging_0882/artfynd/A 48442-2022 artfynd.xlsx", "A 48442-2022")</f>
        <v/>
      </c>
      <c r="T889">
        <f>HYPERLINK("https://klasma.github.io/Logging_0882/kartor/A 48442-2022 karta.png", "A 48442-2022")</f>
        <v/>
      </c>
      <c r="V889">
        <f>HYPERLINK("https://klasma.github.io/Logging_0882/klagomål/A 48442-2022 FSC-klagomål.docx", "A 48442-2022")</f>
        <v/>
      </c>
      <c r="W889">
        <f>HYPERLINK("https://klasma.github.io/Logging_0882/klagomålsmail/A 48442-2022 FSC-klagomål mail.docx", "A 48442-2022")</f>
        <v/>
      </c>
      <c r="X889">
        <f>HYPERLINK("https://klasma.github.io/Logging_0882/tillsyn/A 48442-2022 tillsynsbegäran.docx", "A 48442-2022")</f>
        <v/>
      </c>
      <c r="Y889">
        <f>HYPERLINK("https://klasma.github.io/Logging_0882/tillsynsmail/A 48442-2022 tillsynsbegäran mail.docx", "A 48442-2022")</f>
        <v/>
      </c>
    </row>
    <row r="890" ht="15" customHeight="1">
      <c r="A890" t="inlineStr">
        <is>
          <t>A 51024-2022</t>
        </is>
      </c>
      <c r="B890" s="1" t="n">
        <v>44867</v>
      </c>
      <c r="C890" s="1" t="n">
        <v>45715</v>
      </c>
      <c r="D890" t="inlineStr">
        <is>
          <t>KALMAR LÄN</t>
        </is>
      </c>
      <c r="E890" t="inlineStr">
        <is>
          <t>VÄSTERVIK</t>
        </is>
      </c>
      <c r="F890" t="inlineStr">
        <is>
          <t>Holmen skog AB</t>
        </is>
      </c>
      <c r="G890" t="n">
        <v>7.6</v>
      </c>
      <c r="H890" t="n">
        <v>1</v>
      </c>
      <c r="I890" t="n">
        <v>0</v>
      </c>
      <c r="J890" t="n">
        <v>1</v>
      </c>
      <c r="K890" t="n">
        <v>0</v>
      </c>
      <c r="L890" t="n">
        <v>0</v>
      </c>
      <c r="M890" t="n">
        <v>0</v>
      </c>
      <c r="N890" t="n">
        <v>0</v>
      </c>
      <c r="O890" t="n">
        <v>1</v>
      </c>
      <c r="P890" t="n">
        <v>0</v>
      </c>
      <c r="Q890" t="n">
        <v>1</v>
      </c>
      <c r="R890" s="2" t="inlineStr">
        <is>
          <t>Talltita</t>
        </is>
      </c>
      <c r="S890">
        <f>HYPERLINK("https://klasma.github.io/Logging_0883/artfynd/A 51024-2022 artfynd.xlsx", "A 51024-2022")</f>
        <v/>
      </c>
      <c r="T890">
        <f>HYPERLINK("https://klasma.github.io/Logging_0883/kartor/A 51024-2022 karta.png", "A 51024-2022")</f>
        <v/>
      </c>
      <c r="V890">
        <f>HYPERLINK("https://klasma.github.io/Logging_0883/klagomål/A 51024-2022 FSC-klagomål.docx", "A 51024-2022")</f>
        <v/>
      </c>
      <c r="W890">
        <f>HYPERLINK("https://klasma.github.io/Logging_0883/klagomålsmail/A 51024-2022 FSC-klagomål mail.docx", "A 51024-2022")</f>
        <v/>
      </c>
      <c r="X890">
        <f>HYPERLINK("https://klasma.github.io/Logging_0883/tillsyn/A 51024-2022 tillsynsbegäran.docx", "A 51024-2022")</f>
        <v/>
      </c>
      <c r="Y890">
        <f>HYPERLINK("https://klasma.github.io/Logging_0883/tillsynsmail/A 51024-2022 tillsynsbegäran mail.docx", "A 51024-2022")</f>
        <v/>
      </c>
      <c r="Z890">
        <f>HYPERLINK("https://klasma.github.io/Logging_0883/fåglar/A 51024-2022 prioriterade fågelarter.docx", "A 51024-2022")</f>
        <v/>
      </c>
    </row>
    <row r="891" ht="15" customHeight="1">
      <c r="A891" t="inlineStr">
        <is>
          <t>A 52750-2022</t>
        </is>
      </c>
      <c r="B891" s="1" t="n">
        <v>44874</v>
      </c>
      <c r="C891" s="1" t="n">
        <v>45715</v>
      </c>
      <c r="D891" t="inlineStr">
        <is>
          <t>KALMAR LÄN</t>
        </is>
      </c>
      <c r="E891" t="inlineStr">
        <is>
          <t>NYBRO</t>
        </is>
      </c>
      <c r="G891" t="n">
        <v>15.6</v>
      </c>
      <c r="H891" t="n">
        <v>0</v>
      </c>
      <c r="I891" t="n">
        <v>0</v>
      </c>
      <c r="J891" t="n">
        <v>0</v>
      </c>
      <c r="K891" t="n">
        <v>1</v>
      </c>
      <c r="L891" t="n">
        <v>0</v>
      </c>
      <c r="M891" t="n">
        <v>0</v>
      </c>
      <c r="N891" t="n">
        <v>0</v>
      </c>
      <c r="O891" t="n">
        <v>1</v>
      </c>
      <c r="P891" t="n">
        <v>1</v>
      </c>
      <c r="Q891" t="n">
        <v>1</v>
      </c>
      <c r="R891" s="2" t="inlineStr">
        <is>
          <t>Ljungögontröst</t>
        </is>
      </c>
      <c r="S891">
        <f>HYPERLINK("https://klasma.github.io/Logging_0881/artfynd/A 52750-2022 artfynd.xlsx", "A 52750-2022")</f>
        <v/>
      </c>
      <c r="T891">
        <f>HYPERLINK("https://klasma.github.io/Logging_0881/kartor/A 52750-2022 karta.png", "A 52750-2022")</f>
        <v/>
      </c>
      <c r="V891">
        <f>HYPERLINK("https://klasma.github.io/Logging_0881/klagomål/A 52750-2022 FSC-klagomål.docx", "A 52750-2022")</f>
        <v/>
      </c>
      <c r="W891">
        <f>HYPERLINK("https://klasma.github.io/Logging_0881/klagomålsmail/A 52750-2022 FSC-klagomål mail.docx", "A 52750-2022")</f>
        <v/>
      </c>
      <c r="X891">
        <f>HYPERLINK("https://klasma.github.io/Logging_0881/tillsyn/A 52750-2022 tillsynsbegäran.docx", "A 52750-2022")</f>
        <v/>
      </c>
      <c r="Y891">
        <f>HYPERLINK("https://klasma.github.io/Logging_0881/tillsynsmail/A 52750-2022 tillsynsbegäran mail.docx", "A 52750-2022")</f>
        <v/>
      </c>
    </row>
    <row r="892" ht="15" customHeight="1">
      <c r="A892" t="inlineStr">
        <is>
          <t>A 53173-2022</t>
        </is>
      </c>
      <c r="B892" s="1" t="n">
        <v>44876</v>
      </c>
      <c r="C892" s="1" t="n">
        <v>45715</v>
      </c>
      <c r="D892" t="inlineStr">
        <is>
          <t>KALMAR LÄN</t>
        </is>
      </c>
      <c r="E892" t="inlineStr">
        <is>
          <t>MÖNSTERÅS</t>
        </is>
      </c>
      <c r="G892" t="n">
        <v>1.4</v>
      </c>
      <c r="H892" t="n">
        <v>1</v>
      </c>
      <c r="I892" t="n">
        <v>0</v>
      </c>
      <c r="J892" t="n">
        <v>1</v>
      </c>
      <c r="K892" t="n">
        <v>0</v>
      </c>
      <c r="L892" t="n">
        <v>0</v>
      </c>
      <c r="M892" t="n">
        <v>0</v>
      </c>
      <c r="N892" t="n">
        <v>0</v>
      </c>
      <c r="O892" t="n">
        <v>1</v>
      </c>
      <c r="P892" t="n">
        <v>0</v>
      </c>
      <c r="Q892" t="n">
        <v>1</v>
      </c>
      <c r="R892" s="2" t="inlineStr">
        <is>
          <t>Havsörn</t>
        </is>
      </c>
      <c r="S892">
        <f>HYPERLINK("https://klasma.github.io/Logging_0861/artfynd/A 53173-2022 artfynd.xlsx", "A 53173-2022")</f>
        <v/>
      </c>
      <c r="T892">
        <f>HYPERLINK("https://klasma.github.io/Logging_0861/kartor/A 53173-2022 karta.png", "A 53173-2022")</f>
        <v/>
      </c>
      <c r="V892">
        <f>HYPERLINK("https://klasma.github.io/Logging_0861/klagomål/A 53173-2022 FSC-klagomål.docx", "A 53173-2022")</f>
        <v/>
      </c>
      <c r="W892">
        <f>HYPERLINK("https://klasma.github.io/Logging_0861/klagomålsmail/A 53173-2022 FSC-klagomål mail.docx", "A 53173-2022")</f>
        <v/>
      </c>
      <c r="X892">
        <f>HYPERLINK("https://klasma.github.io/Logging_0861/tillsyn/A 53173-2022 tillsynsbegäran.docx", "A 53173-2022")</f>
        <v/>
      </c>
      <c r="Y892">
        <f>HYPERLINK("https://klasma.github.io/Logging_0861/tillsynsmail/A 53173-2022 tillsynsbegäran mail.docx", "A 53173-2022")</f>
        <v/>
      </c>
      <c r="Z892">
        <f>HYPERLINK("https://klasma.github.io/Logging_0861/fåglar/A 53173-2022 prioriterade fågelarter.docx", "A 53173-2022")</f>
        <v/>
      </c>
    </row>
    <row r="893" ht="15" customHeight="1">
      <c r="A893" t="inlineStr">
        <is>
          <t>A 53862-2022</t>
        </is>
      </c>
      <c r="B893" s="1" t="n">
        <v>44876</v>
      </c>
      <c r="C893" s="1" t="n">
        <v>45715</v>
      </c>
      <c r="D893" t="inlineStr">
        <is>
          <t>KALMAR LÄN</t>
        </is>
      </c>
      <c r="E893" t="inlineStr">
        <is>
          <t>HULTSFRED</t>
        </is>
      </c>
      <c r="F893" t="inlineStr">
        <is>
          <t>Kommuner</t>
        </is>
      </c>
      <c r="G893" t="n">
        <v>1.7</v>
      </c>
      <c r="H893" t="n">
        <v>1</v>
      </c>
      <c r="I893" t="n">
        <v>0</v>
      </c>
      <c r="J893" t="n">
        <v>0</v>
      </c>
      <c r="K893" t="n">
        <v>0</v>
      </c>
      <c r="L893" t="n">
        <v>0</v>
      </c>
      <c r="M893" t="n">
        <v>0</v>
      </c>
      <c r="N893" t="n">
        <v>0</v>
      </c>
      <c r="O893" t="n">
        <v>0</v>
      </c>
      <c r="P893" t="n">
        <v>0</v>
      </c>
      <c r="Q893" t="n">
        <v>1</v>
      </c>
      <c r="R893" s="2" t="inlineStr">
        <is>
          <t>Blåsippa</t>
        </is>
      </c>
      <c r="S893">
        <f>HYPERLINK("https://klasma.github.io/Logging_0860/artfynd/A 53862-2022 artfynd.xlsx", "A 53862-2022")</f>
        <v/>
      </c>
      <c r="T893">
        <f>HYPERLINK("https://klasma.github.io/Logging_0860/kartor/A 53862-2022 karta.png", "A 53862-2022")</f>
        <v/>
      </c>
      <c r="V893">
        <f>HYPERLINK("https://klasma.github.io/Logging_0860/klagomål/A 53862-2022 FSC-klagomål.docx", "A 53862-2022")</f>
        <v/>
      </c>
      <c r="W893">
        <f>HYPERLINK("https://klasma.github.io/Logging_0860/klagomålsmail/A 53862-2022 FSC-klagomål mail.docx", "A 53862-2022")</f>
        <v/>
      </c>
      <c r="X893">
        <f>HYPERLINK("https://klasma.github.io/Logging_0860/tillsyn/A 53862-2022 tillsynsbegäran.docx", "A 53862-2022")</f>
        <v/>
      </c>
      <c r="Y893">
        <f>HYPERLINK("https://klasma.github.io/Logging_0860/tillsynsmail/A 53862-2022 tillsynsbegäran mail.docx", "A 53862-2022")</f>
        <v/>
      </c>
    </row>
    <row r="894" ht="15" customHeight="1">
      <c r="A894" t="inlineStr">
        <is>
          <t>A 54193-2022</t>
        </is>
      </c>
      <c r="B894" s="1" t="n">
        <v>44881</v>
      </c>
      <c r="C894" s="1" t="n">
        <v>45715</v>
      </c>
      <c r="D894" t="inlineStr">
        <is>
          <t>KALMAR LÄN</t>
        </is>
      </c>
      <c r="E894" t="inlineStr">
        <is>
          <t>VÄSTERVIK</t>
        </is>
      </c>
      <c r="G894" t="n">
        <v>1.7</v>
      </c>
      <c r="H894" t="n">
        <v>0</v>
      </c>
      <c r="I894" t="n">
        <v>1</v>
      </c>
      <c r="J894" t="n">
        <v>0</v>
      </c>
      <c r="K894" t="n">
        <v>0</v>
      </c>
      <c r="L894" t="n">
        <v>0</v>
      </c>
      <c r="M894" t="n">
        <v>0</v>
      </c>
      <c r="N894" t="n">
        <v>0</v>
      </c>
      <c r="O894" t="n">
        <v>0</v>
      </c>
      <c r="P894" t="n">
        <v>0</v>
      </c>
      <c r="Q894" t="n">
        <v>1</v>
      </c>
      <c r="R894" s="2" t="inlineStr">
        <is>
          <t>Murgröna</t>
        </is>
      </c>
      <c r="S894">
        <f>HYPERLINK("https://klasma.github.io/Logging_0883/artfynd/A 54193-2022 artfynd.xlsx", "A 54193-2022")</f>
        <v/>
      </c>
      <c r="T894">
        <f>HYPERLINK("https://klasma.github.io/Logging_0883/kartor/A 54193-2022 karta.png", "A 54193-2022")</f>
        <v/>
      </c>
      <c r="U894">
        <f>HYPERLINK("https://klasma.github.io/Logging_0883/knärot/A 54193-2022 karta knärot.png", "A 54193-2022")</f>
        <v/>
      </c>
      <c r="V894">
        <f>HYPERLINK("https://klasma.github.io/Logging_0883/klagomål/A 54193-2022 FSC-klagomål.docx", "A 54193-2022")</f>
        <v/>
      </c>
      <c r="W894">
        <f>HYPERLINK("https://klasma.github.io/Logging_0883/klagomålsmail/A 54193-2022 FSC-klagomål mail.docx", "A 54193-2022")</f>
        <v/>
      </c>
      <c r="X894">
        <f>HYPERLINK("https://klasma.github.io/Logging_0883/tillsyn/A 54193-2022 tillsynsbegäran.docx", "A 54193-2022")</f>
        <v/>
      </c>
      <c r="Y894">
        <f>HYPERLINK("https://klasma.github.io/Logging_0883/tillsynsmail/A 54193-2022 tillsynsbegäran mail.docx", "A 54193-2022")</f>
        <v/>
      </c>
    </row>
    <row r="895" ht="15" customHeight="1">
      <c r="A895" t="inlineStr">
        <is>
          <t>A 54675-2022</t>
        </is>
      </c>
      <c r="B895" s="1" t="n">
        <v>44883</v>
      </c>
      <c r="C895" s="1" t="n">
        <v>45715</v>
      </c>
      <c r="D895" t="inlineStr">
        <is>
          <t>KALMAR LÄN</t>
        </is>
      </c>
      <c r="E895" t="inlineStr">
        <is>
          <t>HULTSFRED</t>
        </is>
      </c>
      <c r="G895" t="n">
        <v>1.1</v>
      </c>
      <c r="H895" t="n">
        <v>1</v>
      </c>
      <c r="I895" t="n">
        <v>0</v>
      </c>
      <c r="J895" t="n">
        <v>1</v>
      </c>
      <c r="K895" t="n">
        <v>0</v>
      </c>
      <c r="L895" t="n">
        <v>0</v>
      </c>
      <c r="M895" t="n">
        <v>0</v>
      </c>
      <c r="N895" t="n">
        <v>0</v>
      </c>
      <c r="O895" t="n">
        <v>1</v>
      </c>
      <c r="P895" t="n">
        <v>0</v>
      </c>
      <c r="Q895" t="n">
        <v>1</v>
      </c>
      <c r="R895" s="2" t="inlineStr">
        <is>
          <t>Talltita</t>
        </is>
      </c>
      <c r="S895">
        <f>HYPERLINK("https://klasma.github.io/Logging_0860/artfynd/A 54675-2022 artfynd.xlsx", "A 54675-2022")</f>
        <v/>
      </c>
      <c r="T895">
        <f>HYPERLINK("https://klasma.github.io/Logging_0860/kartor/A 54675-2022 karta.png", "A 54675-2022")</f>
        <v/>
      </c>
      <c r="V895">
        <f>HYPERLINK("https://klasma.github.io/Logging_0860/klagomål/A 54675-2022 FSC-klagomål.docx", "A 54675-2022")</f>
        <v/>
      </c>
      <c r="W895">
        <f>HYPERLINK("https://klasma.github.io/Logging_0860/klagomålsmail/A 54675-2022 FSC-klagomål mail.docx", "A 54675-2022")</f>
        <v/>
      </c>
      <c r="X895">
        <f>HYPERLINK("https://klasma.github.io/Logging_0860/tillsyn/A 54675-2022 tillsynsbegäran.docx", "A 54675-2022")</f>
        <v/>
      </c>
      <c r="Y895">
        <f>HYPERLINK("https://klasma.github.io/Logging_0860/tillsynsmail/A 54675-2022 tillsynsbegäran mail.docx", "A 54675-2022")</f>
        <v/>
      </c>
      <c r="Z895">
        <f>HYPERLINK("https://klasma.github.io/Logging_0860/fåglar/A 54675-2022 prioriterade fågelarter.docx", "A 54675-2022")</f>
        <v/>
      </c>
    </row>
    <row r="896" ht="15" customHeight="1">
      <c r="A896" t="inlineStr">
        <is>
          <t>A 54924-2022</t>
        </is>
      </c>
      <c r="B896" s="1" t="n">
        <v>44886</v>
      </c>
      <c r="C896" s="1" t="n">
        <v>45715</v>
      </c>
      <c r="D896" t="inlineStr">
        <is>
          <t>KALMAR LÄN</t>
        </is>
      </c>
      <c r="E896" t="inlineStr">
        <is>
          <t>MÖNSTERÅS</t>
        </is>
      </c>
      <c r="G896" t="n">
        <v>5</v>
      </c>
      <c r="H896" t="n">
        <v>1</v>
      </c>
      <c r="I896" t="n">
        <v>0</v>
      </c>
      <c r="J896" t="n">
        <v>0</v>
      </c>
      <c r="K896" t="n">
        <v>1</v>
      </c>
      <c r="L896" t="n">
        <v>0</v>
      </c>
      <c r="M896" t="n">
        <v>0</v>
      </c>
      <c r="N896" t="n">
        <v>0</v>
      </c>
      <c r="O896" t="n">
        <v>1</v>
      </c>
      <c r="P896" t="n">
        <v>1</v>
      </c>
      <c r="Q896" t="n">
        <v>1</v>
      </c>
      <c r="R896" s="2" t="inlineStr">
        <is>
          <t>Knärot</t>
        </is>
      </c>
      <c r="S896">
        <f>HYPERLINK("https://klasma.github.io/Logging_0861/artfynd/A 54924-2022 artfynd.xlsx", "A 54924-2022")</f>
        <v/>
      </c>
      <c r="T896">
        <f>HYPERLINK("https://klasma.github.io/Logging_0861/kartor/A 54924-2022 karta.png", "A 54924-2022")</f>
        <v/>
      </c>
      <c r="U896">
        <f>HYPERLINK("https://klasma.github.io/Logging_0861/knärot/A 54924-2022 karta knärot.png", "A 54924-2022")</f>
        <v/>
      </c>
      <c r="V896">
        <f>HYPERLINK("https://klasma.github.io/Logging_0861/klagomål/A 54924-2022 FSC-klagomål.docx", "A 54924-2022")</f>
        <v/>
      </c>
      <c r="W896">
        <f>HYPERLINK("https://klasma.github.io/Logging_0861/klagomålsmail/A 54924-2022 FSC-klagomål mail.docx", "A 54924-2022")</f>
        <v/>
      </c>
      <c r="X896">
        <f>HYPERLINK("https://klasma.github.io/Logging_0861/tillsyn/A 54924-2022 tillsynsbegäran.docx", "A 54924-2022")</f>
        <v/>
      </c>
      <c r="Y896">
        <f>HYPERLINK("https://klasma.github.io/Logging_0861/tillsynsmail/A 54924-2022 tillsynsbegäran mail.docx", "A 54924-2022")</f>
        <v/>
      </c>
    </row>
    <row r="897" ht="15" customHeight="1">
      <c r="A897" t="inlineStr">
        <is>
          <t>A 59178-2022</t>
        </is>
      </c>
      <c r="B897" s="1" t="n">
        <v>44904</v>
      </c>
      <c r="C897" s="1" t="n">
        <v>45715</v>
      </c>
      <c r="D897" t="inlineStr">
        <is>
          <t>KALMAR LÄN</t>
        </is>
      </c>
      <c r="E897" t="inlineStr">
        <is>
          <t>VÄSTERVIK</t>
        </is>
      </c>
      <c r="G897" t="n">
        <v>3.3</v>
      </c>
      <c r="H897" t="n">
        <v>0</v>
      </c>
      <c r="I897" t="n">
        <v>0</v>
      </c>
      <c r="J897" t="n">
        <v>1</v>
      </c>
      <c r="K897" t="n">
        <v>0</v>
      </c>
      <c r="L897" t="n">
        <v>0</v>
      </c>
      <c r="M897" t="n">
        <v>0</v>
      </c>
      <c r="N897" t="n">
        <v>0</v>
      </c>
      <c r="O897" t="n">
        <v>1</v>
      </c>
      <c r="P897" t="n">
        <v>0</v>
      </c>
      <c r="Q897" t="n">
        <v>1</v>
      </c>
      <c r="R897" s="2" t="inlineStr">
        <is>
          <t>Tallticka</t>
        </is>
      </c>
      <c r="S897">
        <f>HYPERLINK("https://klasma.github.io/Logging_0883/artfynd/A 59178-2022 artfynd.xlsx", "A 59178-2022")</f>
        <v/>
      </c>
      <c r="T897">
        <f>HYPERLINK("https://klasma.github.io/Logging_0883/kartor/A 59178-2022 karta.png", "A 59178-2022")</f>
        <v/>
      </c>
      <c r="V897">
        <f>HYPERLINK("https://klasma.github.io/Logging_0883/klagomål/A 59178-2022 FSC-klagomål.docx", "A 59178-2022")</f>
        <v/>
      </c>
      <c r="W897">
        <f>HYPERLINK("https://klasma.github.io/Logging_0883/klagomålsmail/A 59178-2022 FSC-klagomål mail.docx", "A 59178-2022")</f>
        <v/>
      </c>
      <c r="X897">
        <f>HYPERLINK("https://klasma.github.io/Logging_0883/tillsyn/A 59178-2022 tillsynsbegäran.docx", "A 59178-2022")</f>
        <v/>
      </c>
      <c r="Y897">
        <f>HYPERLINK("https://klasma.github.io/Logging_0883/tillsynsmail/A 59178-2022 tillsynsbegäran mail.docx", "A 59178-2022")</f>
        <v/>
      </c>
    </row>
    <row r="898" ht="15" customHeight="1">
      <c r="A898" t="inlineStr">
        <is>
          <t>A 59407-2022</t>
        </is>
      </c>
      <c r="B898" s="1" t="n">
        <v>44907</v>
      </c>
      <c r="C898" s="1" t="n">
        <v>45715</v>
      </c>
      <c r="D898" t="inlineStr">
        <is>
          <t>KALMAR LÄN</t>
        </is>
      </c>
      <c r="E898" t="inlineStr">
        <is>
          <t>HÖGSBY</t>
        </is>
      </c>
      <c r="G898" t="n">
        <v>1</v>
      </c>
      <c r="H898" t="n">
        <v>1</v>
      </c>
      <c r="I898" t="n">
        <v>0</v>
      </c>
      <c r="J898" t="n">
        <v>0</v>
      </c>
      <c r="K898" t="n">
        <v>0</v>
      </c>
      <c r="L898" t="n">
        <v>0</v>
      </c>
      <c r="M898" t="n">
        <v>0</v>
      </c>
      <c r="N898" t="n">
        <v>0</v>
      </c>
      <c r="O898" t="n">
        <v>0</v>
      </c>
      <c r="P898" t="n">
        <v>0</v>
      </c>
      <c r="Q898" t="n">
        <v>1</v>
      </c>
      <c r="R898" s="2" t="inlineStr">
        <is>
          <t>Blåsippa</t>
        </is>
      </c>
      <c r="S898">
        <f>HYPERLINK("https://klasma.github.io/Logging_0821/artfynd/A 59407-2022 artfynd.xlsx", "A 59407-2022")</f>
        <v/>
      </c>
      <c r="T898">
        <f>HYPERLINK("https://klasma.github.io/Logging_0821/kartor/A 59407-2022 karta.png", "A 59407-2022")</f>
        <v/>
      </c>
      <c r="V898">
        <f>HYPERLINK("https://klasma.github.io/Logging_0821/klagomål/A 59407-2022 FSC-klagomål.docx", "A 59407-2022")</f>
        <v/>
      </c>
      <c r="W898">
        <f>HYPERLINK("https://klasma.github.io/Logging_0821/klagomålsmail/A 59407-2022 FSC-klagomål mail.docx", "A 59407-2022")</f>
        <v/>
      </c>
      <c r="X898">
        <f>HYPERLINK("https://klasma.github.io/Logging_0821/tillsyn/A 59407-2022 tillsynsbegäran.docx", "A 59407-2022")</f>
        <v/>
      </c>
      <c r="Y898">
        <f>HYPERLINK("https://klasma.github.io/Logging_0821/tillsynsmail/A 59407-2022 tillsynsbegäran mail.docx", "A 59407-2022")</f>
        <v/>
      </c>
    </row>
    <row r="899" ht="15" customHeight="1">
      <c r="A899" t="inlineStr">
        <is>
          <t>A 60036-2022</t>
        </is>
      </c>
      <c r="B899" s="1" t="n">
        <v>44909</v>
      </c>
      <c r="C899" s="1" t="n">
        <v>45715</v>
      </c>
      <c r="D899" t="inlineStr">
        <is>
          <t>KALMAR LÄN</t>
        </is>
      </c>
      <c r="E899" t="inlineStr">
        <is>
          <t>NYBRO</t>
        </is>
      </c>
      <c r="G899" t="n">
        <v>8.699999999999999</v>
      </c>
      <c r="H899" t="n">
        <v>1</v>
      </c>
      <c r="I899" t="n">
        <v>0</v>
      </c>
      <c r="J899" t="n">
        <v>0</v>
      </c>
      <c r="K899" t="n">
        <v>1</v>
      </c>
      <c r="L899" t="n">
        <v>0</v>
      </c>
      <c r="M899" t="n">
        <v>0</v>
      </c>
      <c r="N899" t="n">
        <v>0</v>
      </c>
      <c r="O899" t="n">
        <v>1</v>
      </c>
      <c r="P899" t="n">
        <v>1</v>
      </c>
      <c r="Q899" t="n">
        <v>1</v>
      </c>
      <c r="R899" s="2" t="inlineStr">
        <is>
          <t>Knärot</t>
        </is>
      </c>
      <c r="S899">
        <f>HYPERLINK("https://klasma.github.io/Logging_0881/artfynd/A 60036-2022 artfynd.xlsx", "A 60036-2022")</f>
        <v/>
      </c>
      <c r="T899">
        <f>HYPERLINK("https://klasma.github.io/Logging_0881/kartor/A 60036-2022 karta.png", "A 60036-2022")</f>
        <v/>
      </c>
      <c r="U899">
        <f>HYPERLINK("https://klasma.github.io/Logging_0881/knärot/A 60036-2022 karta knärot.png", "A 60036-2022")</f>
        <v/>
      </c>
      <c r="V899">
        <f>HYPERLINK("https://klasma.github.io/Logging_0881/klagomål/A 60036-2022 FSC-klagomål.docx", "A 60036-2022")</f>
        <v/>
      </c>
      <c r="W899">
        <f>HYPERLINK("https://klasma.github.io/Logging_0881/klagomålsmail/A 60036-2022 FSC-klagomål mail.docx", "A 60036-2022")</f>
        <v/>
      </c>
      <c r="X899">
        <f>HYPERLINK("https://klasma.github.io/Logging_0881/tillsyn/A 60036-2022 tillsynsbegäran.docx", "A 60036-2022")</f>
        <v/>
      </c>
      <c r="Y899">
        <f>HYPERLINK("https://klasma.github.io/Logging_0881/tillsynsmail/A 60036-2022 tillsynsbegäran mail.docx", "A 60036-2022")</f>
        <v/>
      </c>
    </row>
    <row r="900" ht="15" customHeight="1">
      <c r="A900" t="inlineStr">
        <is>
          <t>A 61236-2022</t>
        </is>
      </c>
      <c r="B900" s="1" t="n">
        <v>44915</v>
      </c>
      <c r="C900" s="1" t="n">
        <v>45715</v>
      </c>
      <c r="D900" t="inlineStr">
        <is>
          <t>KALMAR LÄN</t>
        </is>
      </c>
      <c r="E900" t="inlineStr">
        <is>
          <t>KALMAR</t>
        </is>
      </c>
      <c r="G900" t="n">
        <v>1.4</v>
      </c>
      <c r="H900" t="n">
        <v>0</v>
      </c>
      <c r="I900" t="n">
        <v>1</v>
      </c>
      <c r="J900" t="n">
        <v>0</v>
      </c>
      <c r="K900" t="n">
        <v>0</v>
      </c>
      <c r="L900" t="n">
        <v>0</v>
      </c>
      <c r="M900" t="n">
        <v>0</v>
      </c>
      <c r="N900" t="n">
        <v>0</v>
      </c>
      <c r="O900" t="n">
        <v>0</v>
      </c>
      <c r="P900" t="n">
        <v>0</v>
      </c>
      <c r="Q900" t="n">
        <v>1</v>
      </c>
      <c r="R900" s="2" t="inlineStr">
        <is>
          <t>Murgröna</t>
        </is>
      </c>
      <c r="S900">
        <f>HYPERLINK("https://klasma.github.io/Logging_0880/artfynd/A 61236-2022 artfynd.xlsx", "A 61236-2022")</f>
        <v/>
      </c>
      <c r="T900">
        <f>HYPERLINK("https://klasma.github.io/Logging_0880/kartor/A 61236-2022 karta.png", "A 61236-2022")</f>
        <v/>
      </c>
      <c r="V900">
        <f>HYPERLINK("https://klasma.github.io/Logging_0880/klagomål/A 61236-2022 FSC-klagomål.docx", "A 61236-2022")</f>
        <v/>
      </c>
      <c r="W900">
        <f>HYPERLINK("https://klasma.github.io/Logging_0880/klagomålsmail/A 61236-2022 FSC-klagomål mail.docx", "A 61236-2022")</f>
        <v/>
      </c>
      <c r="X900">
        <f>HYPERLINK("https://klasma.github.io/Logging_0880/tillsyn/A 61236-2022 tillsynsbegäran.docx", "A 61236-2022")</f>
        <v/>
      </c>
      <c r="Y900">
        <f>HYPERLINK("https://klasma.github.io/Logging_0880/tillsynsmail/A 61236-2022 tillsynsbegäran mail.docx", "A 61236-2022")</f>
        <v/>
      </c>
    </row>
    <row r="901" ht="15" customHeight="1">
      <c r="A901" t="inlineStr">
        <is>
          <t>A 61790-2022</t>
        </is>
      </c>
      <c r="B901" s="1" t="n">
        <v>44917</v>
      </c>
      <c r="C901" s="1" t="n">
        <v>45715</v>
      </c>
      <c r="D901" t="inlineStr">
        <is>
          <t>KALMAR LÄN</t>
        </is>
      </c>
      <c r="E901" t="inlineStr">
        <is>
          <t>NYBRO</t>
        </is>
      </c>
      <c r="F901" t="inlineStr">
        <is>
          <t>Kommuner</t>
        </is>
      </c>
      <c r="G901" t="n">
        <v>3.7</v>
      </c>
      <c r="H901" t="n">
        <v>0</v>
      </c>
      <c r="I901" t="n">
        <v>1</v>
      </c>
      <c r="J901" t="n">
        <v>0</v>
      </c>
      <c r="K901" t="n">
        <v>0</v>
      </c>
      <c r="L901" t="n">
        <v>0</v>
      </c>
      <c r="M901" t="n">
        <v>0</v>
      </c>
      <c r="N901" t="n">
        <v>0</v>
      </c>
      <c r="O901" t="n">
        <v>0</v>
      </c>
      <c r="P901" t="n">
        <v>0</v>
      </c>
      <c r="Q901" t="n">
        <v>1</v>
      </c>
      <c r="R901" s="2" t="inlineStr">
        <is>
          <t>Grönpyrola</t>
        </is>
      </c>
      <c r="S901">
        <f>HYPERLINK("https://klasma.github.io/Logging_0881/artfynd/A 61790-2022 artfynd.xlsx", "A 61790-2022")</f>
        <v/>
      </c>
      <c r="T901">
        <f>HYPERLINK("https://klasma.github.io/Logging_0881/kartor/A 61790-2022 karta.png", "A 61790-2022")</f>
        <v/>
      </c>
      <c r="V901">
        <f>HYPERLINK("https://klasma.github.io/Logging_0881/klagomål/A 61790-2022 FSC-klagomål.docx", "A 61790-2022")</f>
        <v/>
      </c>
      <c r="W901">
        <f>HYPERLINK("https://klasma.github.io/Logging_0881/klagomålsmail/A 61790-2022 FSC-klagomål mail.docx", "A 61790-2022")</f>
        <v/>
      </c>
      <c r="X901">
        <f>HYPERLINK("https://klasma.github.io/Logging_0881/tillsyn/A 61790-2022 tillsynsbegäran.docx", "A 61790-2022")</f>
        <v/>
      </c>
      <c r="Y901">
        <f>HYPERLINK("https://klasma.github.io/Logging_0881/tillsynsmail/A 61790-2022 tillsynsbegäran mail.docx", "A 61790-2022")</f>
        <v/>
      </c>
    </row>
    <row r="902" ht="15" customHeight="1">
      <c r="A902" t="inlineStr">
        <is>
          <t>A 61771-2022</t>
        </is>
      </c>
      <c r="B902" s="1" t="n">
        <v>44917</v>
      </c>
      <c r="C902" s="1" t="n">
        <v>45715</v>
      </c>
      <c r="D902" t="inlineStr">
        <is>
          <t>KALMAR LÄN</t>
        </is>
      </c>
      <c r="E902" t="inlineStr">
        <is>
          <t>NYBRO</t>
        </is>
      </c>
      <c r="F902" t="inlineStr">
        <is>
          <t>Kommuner</t>
        </is>
      </c>
      <c r="G902" t="n">
        <v>10.4</v>
      </c>
      <c r="H902" t="n">
        <v>1</v>
      </c>
      <c r="I902" t="n">
        <v>0</v>
      </c>
      <c r="J902" t="n">
        <v>1</v>
      </c>
      <c r="K902" t="n">
        <v>0</v>
      </c>
      <c r="L902" t="n">
        <v>0</v>
      </c>
      <c r="M902" t="n">
        <v>0</v>
      </c>
      <c r="N902" t="n">
        <v>0</v>
      </c>
      <c r="O902" t="n">
        <v>1</v>
      </c>
      <c r="P902" t="n">
        <v>0</v>
      </c>
      <c r="Q902" t="n">
        <v>1</v>
      </c>
      <c r="R902" s="2" t="inlineStr">
        <is>
          <t>Talltita</t>
        </is>
      </c>
      <c r="S902">
        <f>HYPERLINK("https://klasma.github.io/Logging_0881/artfynd/A 61771-2022 artfynd.xlsx", "A 61771-2022")</f>
        <v/>
      </c>
      <c r="T902">
        <f>HYPERLINK("https://klasma.github.io/Logging_0881/kartor/A 61771-2022 karta.png", "A 61771-2022")</f>
        <v/>
      </c>
      <c r="V902">
        <f>HYPERLINK("https://klasma.github.io/Logging_0881/klagomål/A 61771-2022 FSC-klagomål.docx", "A 61771-2022")</f>
        <v/>
      </c>
      <c r="W902">
        <f>HYPERLINK("https://klasma.github.io/Logging_0881/klagomålsmail/A 61771-2022 FSC-klagomål mail.docx", "A 61771-2022")</f>
        <v/>
      </c>
      <c r="X902">
        <f>HYPERLINK("https://klasma.github.io/Logging_0881/tillsyn/A 61771-2022 tillsynsbegäran.docx", "A 61771-2022")</f>
        <v/>
      </c>
      <c r="Y902">
        <f>HYPERLINK("https://klasma.github.io/Logging_0881/tillsynsmail/A 61771-2022 tillsynsbegäran mail.docx", "A 61771-2022")</f>
        <v/>
      </c>
      <c r="Z902">
        <f>HYPERLINK("https://klasma.github.io/Logging_0881/fåglar/A 61771-2022 prioriterade fågelarter.docx", "A 61771-2022")</f>
        <v/>
      </c>
    </row>
    <row r="903" ht="15" customHeight="1">
      <c r="A903" t="inlineStr">
        <is>
          <t>A 141-2023</t>
        </is>
      </c>
      <c r="B903" s="1" t="n">
        <v>44928</v>
      </c>
      <c r="C903" s="1" t="n">
        <v>45715</v>
      </c>
      <c r="D903" t="inlineStr">
        <is>
          <t>KALMAR LÄN</t>
        </is>
      </c>
      <c r="E903" t="inlineStr">
        <is>
          <t>HULTSFRED</t>
        </is>
      </c>
      <c r="F903" t="inlineStr">
        <is>
          <t>Sveaskog</t>
        </is>
      </c>
      <c r="G903" t="n">
        <v>7.6</v>
      </c>
      <c r="H903" t="n">
        <v>0</v>
      </c>
      <c r="I903" t="n">
        <v>0</v>
      </c>
      <c r="J903" t="n">
        <v>1</v>
      </c>
      <c r="K903" t="n">
        <v>0</v>
      </c>
      <c r="L903" t="n">
        <v>0</v>
      </c>
      <c r="M903" t="n">
        <v>0</v>
      </c>
      <c r="N903" t="n">
        <v>0</v>
      </c>
      <c r="O903" t="n">
        <v>1</v>
      </c>
      <c r="P903" t="n">
        <v>0</v>
      </c>
      <c r="Q903" t="n">
        <v>1</v>
      </c>
      <c r="R903" s="2" t="inlineStr">
        <is>
          <t>Vedtrappmossa</t>
        </is>
      </c>
      <c r="S903">
        <f>HYPERLINK("https://klasma.github.io/Logging_0860/artfynd/A 141-2023 artfynd.xlsx", "A 141-2023")</f>
        <v/>
      </c>
      <c r="T903">
        <f>HYPERLINK("https://klasma.github.io/Logging_0860/kartor/A 141-2023 karta.png", "A 141-2023")</f>
        <v/>
      </c>
      <c r="V903">
        <f>HYPERLINK("https://klasma.github.io/Logging_0860/klagomål/A 141-2023 FSC-klagomål.docx", "A 141-2023")</f>
        <v/>
      </c>
      <c r="W903">
        <f>HYPERLINK("https://klasma.github.io/Logging_0860/klagomålsmail/A 141-2023 FSC-klagomål mail.docx", "A 141-2023")</f>
        <v/>
      </c>
      <c r="X903">
        <f>HYPERLINK("https://klasma.github.io/Logging_0860/tillsyn/A 141-2023 tillsynsbegäran.docx", "A 141-2023")</f>
        <v/>
      </c>
      <c r="Y903">
        <f>HYPERLINK("https://klasma.github.io/Logging_0860/tillsynsmail/A 141-2023 tillsynsbegäran mail.docx", "A 141-2023")</f>
        <v/>
      </c>
    </row>
    <row r="904" ht="15" customHeight="1">
      <c r="A904" t="inlineStr">
        <is>
          <t>A 183-2023</t>
        </is>
      </c>
      <c r="B904" s="1" t="n">
        <v>44928</v>
      </c>
      <c r="C904" s="1" t="n">
        <v>45715</v>
      </c>
      <c r="D904" t="inlineStr">
        <is>
          <t>KALMAR LÄN</t>
        </is>
      </c>
      <c r="E904" t="inlineStr">
        <is>
          <t>KALMAR</t>
        </is>
      </c>
      <c r="F904" t="inlineStr">
        <is>
          <t>Sveaskog</t>
        </is>
      </c>
      <c r="G904" t="n">
        <v>16.2</v>
      </c>
      <c r="H904" t="n">
        <v>1</v>
      </c>
      <c r="I904" t="n">
        <v>0</v>
      </c>
      <c r="J904" t="n">
        <v>1</v>
      </c>
      <c r="K904" t="n">
        <v>0</v>
      </c>
      <c r="L904" t="n">
        <v>0</v>
      </c>
      <c r="M904" t="n">
        <v>0</v>
      </c>
      <c r="N904" t="n">
        <v>0</v>
      </c>
      <c r="O904" t="n">
        <v>1</v>
      </c>
      <c r="P904" t="n">
        <v>0</v>
      </c>
      <c r="Q904" t="n">
        <v>1</v>
      </c>
      <c r="R904" s="2" t="inlineStr">
        <is>
          <t>Talltita</t>
        </is>
      </c>
      <c r="S904">
        <f>HYPERLINK("https://klasma.github.io/Logging_0880/artfynd/A 183-2023 artfynd.xlsx", "A 183-2023")</f>
        <v/>
      </c>
      <c r="T904">
        <f>HYPERLINK("https://klasma.github.io/Logging_0880/kartor/A 183-2023 karta.png", "A 183-2023")</f>
        <v/>
      </c>
      <c r="V904">
        <f>HYPERLINK("https://klasma.github.io/Logging_0880/klagomål/A 183-2023 FSC-klagomål.docx", "A 183-2023")</f>
        <v/>
      </c>
      <c r="W904">
        <f>HYPERLINK("https://klasma.github.io/Logging_0880/klagomålsmail/A 183-2023 FSC-klagomål mail.docx", "A 183-2023")</f>
        <v/>
      </c>
      <c r="X904">
        <f>HYPERLINK("https://klasma.github.io/Logging_0880/tillsyn/A 183-2023 tillsynsbegäran.docx", "A 183-2023")</f>
        <v/>
      </c>
      <c r="Y904">
        <f>HYPERLINK("https://klasma.github.io/Logging_0880/tillsynsmail/A 183-2023 tillsynsbegäran mail.docx", "A 183-2023")</f>
        <v/>
      </c>
      <c r="Z904">
        <f>HYPERLINK("https://klasma.github.io/Logging_0880/fåglar/A 183-2023 prioriterade fågelarter.docx", "A 183-2023")</f>
        <v/>
      </c>
    </row>
    <row r="905" ht="15" customHeight="1">
      <c r="A905" t="inlineStr">
        <is>
          <t>A 764-2023</t>
        </is>
      </c>
      <c r="B905" s="1" t="n">
        <v>44931</v>
      </c>
      <c r="C905" s="1" t="n">
        <v>45715</v>
      </c>
      <c r="D905" t="inlineStr">
        <is>
          <t>KALMAR LÄN</t>
        </is>
      </c>
      <c r="E905" t="inlineStr">
        <is>
          <t>KALMAR</t>
        </is>
      </c>
      <c r="G905" t="n">
        <v>4.1</v>
      </c>
      <c r="H905" t="n">
        <v>0</v>
      </c>
      <c r="I905" t="n">
        <v>1</v>
      </c>
      <c r="J905" t="n">
        <v>0</v>
      </c>
      <c r="K905" t="n">
        <v>0</v>
      </c>
      <c r="L905" t="n">
        <v>0</v>
      </c>
      <c r="M905" t="n">
        <v>0</v>
      </c>
      <c r="N905" t="n">
        <v>0</v>
      </c>
      <c r="O905" t="n">
        <v>0</v>
      </c>
      <c r="P905" t="n">
        <v>0</v>
      </c>
      <c r="Q905" t="n">
        <v>1</v>
      </c>
      <c r="R905" s="2" t="inlineStr">
        <is>
          <t>Blåmossa</t>
        </is>
      </c>
      <c r="S905">
        <f>HYPERLINK("https://klasma.github.io/Logging_0880/artfynd/A 764-2023 artfynd.xlsx", "A 764-2023")</f>
        <v/>
      </c>
      <c r="T905">
        <f>HYPERLINK("https://klasma.github.io/Logging_0880/kartor/A 764-2023 karta.png", "A 764-2023")</f>
        <v/>
      </c>
      <c r="V905">
        <f>HYPERLINK("https://klasma.github.io/Logging_0880/klagomål/A 764-2023 FSC-klagomål.docx", "A 764-2023")</f>
        <v/>
      </c>
      <c r="W905">
        <f>HYPERLINK("https://klasma.github.io/Logging_0880/klagomålsmail/A 764-2023 FSC-klagomål mail.docx", "A 764-2023")</f>
        <v/>
      </c>
      <c r="X905">
        <f>HYPERLINK("https://klasma.github.io/Logging_0880/tillsyn/A 764-2023 tillsynsbegäran.docx", "A 764-2023")</f>
        <v/>
      </c>
      <c r="Y905">
        <f>HYPERLINK("https://klasma.github.io/Logging_0880/tillsynsmail/A 764-2023 tillsynsbegäran mail.docx", "A 764-2023")</f>
        <v/>
      </c>
    </row>
    <row r="906" ht="15" customHeight="1">
      <c r="A906" t="inlineStr">
        <is>
          <t>A 975-2023</t>
        </is>
      </c>
      <c r="B906" s="1" t="n">
        <v>44935</v>
      </c>
      <c r="C906" s="1" t="n">
        <v>45715</v>
      </c>
      <c r="D906" t="inlineStr">
        <is>
          <t>KALMAR LÄN</t>
        </is>
      </c>
      <c r="E906" t="inlineStr">
        <is>
          <t>VÄSTERVIK</t>
        </is>
      </c>
      <c r="G906" t="n">
        <v>1.7</v>
      </c>
      <c r="H906" t="n">
        <v>1</v>
      </c>
      <c r="I906" t="n">
        <v>0</v>
      </c>
      <c r="J906" t="n">
        <v>0</v>
      </c>
      <c r="K906" t="n">
        <v>1</v>
      </c>
      <c r="L906" t="n">
        <v>0</v>
      </c>
      <c r="M906" t="n">
        <v>0</v>
      </c>
      <c r="N906" t="n">
        <v>0</v>
      </c>
      <c r="O906" t="n">
        <v>1</v>
      </c>
      <c r="P906" t="n">
        <v>1</v>
      </c>
      <c r="Q906" t="n">
        <v>1</v>
      </c>
      <c r="R906" s="2" t="inlineStr">
        <is>
          <t>Läderbagge</t>
        </is>
      </c>
      <c r="S906">
        <f>HYPERLINK("https://klasma.github.io/Logging_0883/artfynd/A 975-2023 artfynd.xlsx", "A 975-2023")</f>
        <v/>
      </c>
      <c r="T906">
        <f>HYPERLINK("https://klasma.github.io/Logging_0883/kartor/A 975-2023 karta.png", "A 975-2023")</f>
        <v/>
      </c>
      <c r="V906">
        <f>HYPERLINK("https://klasma.github.io/Logging_0883/klagomål/A 975-2023 FSC-klagomål.docx", "A 975-2023")</f>
        <v/>
      </c>
      <c r="W906">
        <f>HYPERLINK("https://klasma.github.io/Logging_0883/klagomålsmail/A 975-2023 FSC-klagomål mail.docx", "A 975-2023")</f>
        <v/>
      </c>
      <c r="X906">
        <f>HYPERLINK("https://klasma.github.io/Logging_0883/tillsyn/A 975-2023 tillsynsbegäran.docx", "A 975-2023")</f>
        <v/>
      </c>
      <c r="Y906">
        <f>HYPERLINK("https://klasma.github.io/Logging_0883/tillsynsmail/A 975-2023 tillsynsbegäran mail.docx", "A 975-2023")</f>
        <v/>
      </c>
    </row>
    <row r="907" ht="15" customHeight="1">
      <c r="A907" t="inlineStr">
        <is>
          <t>A 1024-2023</t>
        </is>
      </c>
      <c r="B907" s="1" t="n">
        <v>44935</v>
      </c>
      <c r="C907" s="1" t="n">
        <v>45715</v>
      </c>
      <c r="D907" t="inlineStr">
        <is>
          <t>KALMAR LÄN</t>
        </is>
      </c>
      <c r="E907" t="inlineStr">
        <is>
          <t>VÄSTERVIK</t>
        </is>
      </c>
      <c r="F907" t="inlineStr">
        <is>
          <t>Holmen skog AB</t>
        </is>
      </c>
      <c r="G907" t="n">
        <v>1.9</v>
      </c>
      <c r="H907" t="n">
        <v>0</v>
      </c>
      <c r="I907" t="n">
        <v>0</v>
      </c>
      <c r="J907" t="n">
        <v>1</v>
      </c>
      <c r="K907" t="n">
        <v>0</v>
      </c>
      <c r="L907" t="n">
        <v>0</v>
      </c>
      <c r="M907" t="n">
        <v>0</v>
      </c>
      <c r="N907" t="n">
        <v>0</v>
      </c>
      <c r="O907" t="n">
        <v>1</v>
      </c>
      <c r="P907" t="n">
        <v>0</v>
      </c>
      <c r="Q907" t="n">
        <v>1</v>
      </c>
      <c r="R907" s="2" t="inlineStr">
        <is>
          <t>Ekticka</t>
        </is>
      </c>
      <c r="S907">
        <f>HYPERLINK("https://klasma.github.io/Logging_0883/artfynd/A 1024-2023 artfynd.xlsx", "A 1024-2023")</f>
        <v/>
      </c>
      <c r="T907">
        <f>HYPERLINK("https://klasma.github.io/Logging_0883/kartor/A 1024-2023 karta.png", "A 1024-2023")</f>
        <v/>
      </c>
      <c r="V907">
        <f>HYPERLINK("https://klasma.github.io/Logging_0883/klagomål/A 1024-2023 FSC-klagomål.docx", "A 1024-2023")</f>
        <v/>
      </c>
      <c r="W907">
        <f>HYPERLINK("https://klasma.github.io/Logging_0883/klagomålsmail/A 1024-2023 FSC-klagomål mail.docx", "A 1024-2023")</f>
        <v/>
      </c>
      <c r="X907">
        <f>HYPERLINK("https://klasma.github.io/Logging_0883/tillsyn/A 1024-2023 tillsynsbegäran.docx", "A 1024-2023")</f>
        <v/>
      </c>
      <c r="Y907">
        <f>HYPERLINK("https://klasma.github.io/Logging_0883/tillsynsmail/A 1024-2023 tillsynsbegäran mail.docx", "A 1024-2023")</f>
        <v/>
      </c>
    </row>
    <row r="908" ht="15" customHeight="1">
      <c r="A908" t="inlineStr">
        <is>
          <t>A 2637-2023</t>
        </is>
      </c>
      <c r="B908" s="1" t="n">
        <v>44942</v>
      </c>
      <c r="C908" s="1" t="n">
        <v>45715</v>
      </c>
      <c r="D908" t="inlineStr">
        <is>
          <t>KALMAR LÄN</t>
        </is>
      </c>
      <c r="E908" t="inlineStr">
        <is>
          <t>HULTSFRED</t>
        </is>
      </c>
      <c r="G908" t="n">
        <v>13.1</v>
      </c>
      <c r="H908" t="n">
        <v>0</v>
      </c>
      <c r="I908" t="n">
        <v>1</v>
      </c>
      <c r="J908" t="n">
        <v>0</v>
      </c>
      <c r="K908" t="n">
        <v>0</v>
      </c>
      <c r="L908" t="n">
        <v>0</v>
      </c>
      <c r="M908" t="n">
        <v>0</v>
      </c>
      <c r="N908" t="n">
        <v>0</v>
      </c>
      <c r="O908" t="n">
        <v>0</v>
      </c>
      <c r="P908" t="n">
        <v>0</v>
      </c>
      <c r="Q908" t="n">
        <v>1</v>
      </c>
      <c r="R908" s="2" t="inlineStr">
        <is>
          <t>Björksplintborre</t>
        </is>
      </c>
      <c r="S908">
        <f>HYPERLINK("https://klasma.github.io/Logging_0860/artfynd/A 2637-2023 artfynd.xlsx", "A 2637-2023")</f>
        <v/>
      </c>
      <c r="T908">
        <f>HYPERLINK("https://klasma.github.io/Logging_0860/kartor/A 2637-2023 karta.png", "A 2637-2023")</f>
        <v/>
      </c>
      <c r="V908">
        <f>HYPERLINK("https://klasma.github.io/Logging_0860/klagomål/A 2637-2023 FSC-klagomål.docx", "A 2637-2023")</f>
        <v/>
      </c>
      <c r="W908">
        <f>HYPERLINK("https://klasma.github.io/Logging_0860/klagomålsmail/A 2637-2023 FSC-klagomål mail.docx", "A 2637-2023")</f>
        <v/>
      </c>
      <c r="X908">
        <f>HYPERLINK("https://klasma.github.io/Logging_0860/tillsyn/A 2637-2023 tillsynsbegäran.docx", "A 2637-2023")</f>
        <v/>
      </c>
      <c r="Y908">
        <f>HYPERLINK("https://klasma.github.io/Logging_0860/tillsynsmail/A 2637-2023 tillsynsbegäran mail.docx", "A 2637-2023")</f>
        <v/>
      </c>
    </row>
    <row r="909" ht="15" customHeight="1">
      <c r="A909" t="inlineStr">
        <is>
          <t>A 3404-2023</t>
        </is>
      </c>
      <c r="B909" s="1" t="n">
        <v>44949</v>
      </c>
      <c r="C909" s="1" t="n">
        <v>45715</v>
      </c>
      <c r="D909" t="inlineStr">
        <is>
          <t>KALMAR LÄN</t>
        </is>
      </c>
      <c r="E909" t="inlineStr">
        <is>
          <t>KALMAR</t>
        </is>
      </c>
      <c r="G909" t="n">
        <v>2</v>
      </c>
      <c r="H909" t="n">
        <v>0</v>
      </c>
      <c r="I909" t="n">
        <v>1</v>
      </c>
      <c r="J909" t="n">
        <v>0</v>
      </c>
      <c r="K909" t="n">
        <v>0</v>
      </c>
      <c r="L909" t="n">
        <v>0</v>
      </c>
      <c r="M909" t="n">
        <v>0</v>
      </c>
      <c r="N909" t="n">
        <v>0</v>
      </c>
      <c r="O909" t="n">
        <v>0</v>
      </c>
      <c r="P909" t="n">
        <v>0</v>
      </c>
      <c r="Q909" t="n">
        <v>1</v>
      </c>
      <c r="R909" s="2" t="inlineStr">
        <is>
          <t>Murgröna</t>
        </is>
      </c>
      <c r="S909">
        <f>HYPERLINK("https://klasma.github.io/Logging_0880/artfynd/A 3404-2023 artfynd.xlsx", "A 3404-2023")</f>
        <v/>
      </c>
      <c r="T909">
        <f>HYPERLINK("https://klasma.github.io/Logging_0880/kartor/A 3404-2023 karta.png", "A 3404-2023")</f>
        <v/>
      </c>
      <c r="V909">
        <f>HYPERLINK("https://klasma.github.io/Logging_0880/klagomål/A 3404-2023 FSC-klagomål.docx", "A 3404-2023")</f>
        <v/>
      </c>
      <c r="W909">
        <f>HYPERLINK("https://klasma.github.io/Logging_0880/klagomålsmail/A 3404-2023 FSC-klagomål mail.docx", "A 3404-2023")</f>
        <v/>
      </c>
      <c r="X909">
        <f>HYPERLINK("https://klasma.github.io/Logging_0880/tillsyn/A 3404-2023 tillsynsbegäran.docx", "A 3404-2023")</f>
        <v/>
      </c>
      <c r="Y909">
        <f>HYPERLINK("https://klasma.github.io/Logging_0880/tillsynsmail/A 3404-2023 tillsynsbegäran mail.docx", "A 3404-2023")</f>
        <v/>
      </c>
    </row>
    <row r="910" ht="15" customHeight="1">
      <c r="A910" t="inlineStr">
        <is>
          <t>A 4371-2023</t>
        </is>
      </c>
      <c r="B910" s="1" t="n">
        <v>44955</v>
      </c>
      <c r="C910" s="1" t="n">
        <v>45715</v>
      </c>
      <c r="D910" t="inlineStr">
        <is>
          <t>KALMAR LÄN</t>
        </is>
      </c>
      <c r="E910" t="inlineStr">
        <is>
          <t>MÖNSTERÅS</t>
        </is>
      </c>
      <c r="G910" t="n">
        <v>2.3</v>
      </c>
      <c r="H910" t="n">
        <v>0</v>
      </c>
      <c r="I910" t="n">
        <v>0</v>
      </c>
      <c r="J910" t="n">
        <v>1</v>
      </c>
      <c r="K910" t="n">
        <v>0</v>
      </c>
      <c r="L910" t="n">
        <v>0</v>
      </c>
      <c r="M910" t="n">
        <v>0</v>
      </c>
      <c r="N910" t="n">
        <v>0</v>
      </c>
      <c r="O910" t="n">
        <v>1</v>
      </c>
      <c r="P910" t="n">
        <v>0</v>
      </c>
      <c r="Q910" t="n">
        <v>1</v>
      </c>
      <c r="R910" s="2" t="inlineStr">
        <is>
          <t>Svinrot</t>
        </is>
      </c>
      <c r="S910">
        <f>HYPERLINK("https://klasma.github.io/Logging_0861/artfynd/A 4371-2023 artfynd.xlsx", "A 4371-2023")</f>
        <v/>
      </c>
      <c r="T910">
        <f>HYPERLINK("https://klasma.github.io/Logging_0861/kartor/A 4371-2023 karta.png", "A 4371-2023")</f>
        <v/>
      </c>
      <c r="V910">
        <f>HYPERLINK("https://klasma.github.io/Logging_0861/klagomål/A 4371-2023 FSC-klagomål.docx", "A 4371-2023")</f>
        <v/>
      </c>
      <c r="W910">
        <f>HYPERLINK("https://klasma.github.io/Logging_0861/klagomålsmail/A 4371-2023 FSC-klagomål mail.docx", "A 4371-2023")</f>
        <v/>
      </c>
      <c r="X910">
        <f>HYPERLINK("https://klasma.github.io/Logging_0861/tillsyn/A 4371-2023 tillsynsbegäran.docx", "A 4371-2023")</f>
        <v/>
      </c>
      <c r="Y910">
        <f>HYPERLINK("https://klasma.github.io/Logging_0861/tillsynsmail/A 4371-2023 tillsynsbegäran mail.docx", "A 4371-2023")</f>
        <v/>
      </c>
    </row>
    <row r="911" ht="15" customHeight="1">
      <c r="A911" t="inlineStr">
        <is>
          <t>A 6612-2023</t>
        </is>
      </c>
      <c r="B911" s="1" t="n">
        <v>44966</v>
      </c>
      <c r="C911" s="1" t="n">
        <v>45715</v>
      </c>
      <c r="D911" t="inlineStr">
        <is>
          <t>KALMAR LÄN</t>
        </is>
      </c>
      <c r="E911" t="inlineStr">
        <is>
          <t>EMMABODA</t>
        </is>
      </c>
      <c r="G911" t="n">
        <v>1</v>
      </c>
      <c r="H911" t="n">
        <v>1</v>
      </c>
      <c r="I911" t="n">
        <v>1</v>
      </c>
      <c r="J911" t="n">
        <v>0</v>
      </c>
      <c r="K911" t="n">
        <v>0</v>
      </c>
      <c r="L911" t="n">
        <v>0</v>
      </c>
      <c r="M911" t="n">
        <v>0</v>
      </c>
      <c r="N911" t="n">
        <v>0</v>
      </c>
      <c r="O911" t="n">
        <v>0</v>
      </c>
      <c r="P911" t="n">
        <v>0</v>
      </c>
      <c r="Q911" t="n">
        <v>1</v>
      </c>
      <c r="R911" s="2" t="inlineStr">
        <is>
          <t>Korallrot</t>
        </is>
      </c>
      <c r="S911">
        <f>HYPERLINK("https://klasma.github.io/Logging_0862/artfynd/A 6612-2023 artfynd.xlsx", "A 6612-2023")</f>
        <v/>
      </c>
      <c r="T911">
        <f>HYPERLINK("https://klasma.github.io/Logging_0862/kartor/A 6612-2023 karta.png", "A 6612-2023")</f>
        <v/>
      </c>
      <c r="V911">
        <f>HYPERLINK("https://klasma.github.io/Logging_0862/klagomål/A 6612-2023 FSC-klagomål.docx", "A 6612-2023")</f>
        <v/>
      </c>
      <c r="W911">
        <f>HYPERLINK("https://klasma.github.io/Logging_0862/klagomålsmail/A 6612-2023 FSC-klagomål mail.docx", "A 6612-2023")</f>
        <v/>
      </c>
      <c r="X911">
        <f>HYPERLINK("https://klasma.github.io/Logging_0862/tillsyn/A 6612-2023 tillsynsbegäran.docx", "A 6612-2023")</f>
        <v/>
      </c>
      <c r="Y911">
        <f>HYPERLINK("https://klasma.github.io/Logging_0862/tillsynsmail/A 6612-2023 tillsynsbegäran mail.docx", "A 6612-2023")</f>
        <v/>
      </c>
    </row>
    <row r="912" ht="15" customHeight="1">
      <c r="A912" t="inlineStr">
        <is>
          <t>A 6676-2023</t>
        </is>
      </c>
      <c r="B912" s="1" t="n">
        <v>44966</v>
      </c>
      <c r="C912" s="1" t="n">
        <v>45715</v>
      </c>
      <c r="D912" t="inlineStr">
        <is>
          <t>KALMAR LÄN</t>
        </is>
      </c>
      <c r="E912" t="inlineStr">
        <is>
          <t>NYBRO</t>
        </is>
      </c>
      <c r="G912" t="n">
        <v>0.7</v>
      </c>
      <c r="H912" t="n">
        <v>0</v>
      </c>
      <c r="I912" t="n">
        <v>0</v>
      </c>
      <c r="J912" t="n">
        <v>1</v>
      </c>
      <c r="K912" t="n">
        <v>0</v>
      </c>
      <c r="L912" t="n">
        <v>0</v>
      </c>
      <c r="M912" t="n">
        <v>0</v>
      </c>
      <c r="N912" t="n">
        <v>0</v>
      </c>
      <c r="O912" t="n">
        <v>1</v>
      </c>
      <c r="P912" t="n">
        <v>0</v>
      </c>
      <c r="Q912" t="n">
        <v>1</v>
      </c>
      <c r="R912" s="2" t="inlineStr">
        <is>
          <t>Etternässla</t>
        </is>
      </c>
      <c r="S912">
        <f>HYPERLINK("https://klasma.github.io/Logging_0881/artfynd/A 6676-2023 artfynd.xlsx", "A 6676-2023")</f>
        <v/>
      </c>
      <c r="T912">
        <f>HYPERLINK("https://klasma.github.io/Logging_0881/kartor/A 6676-2023 karta.png", "A 6676-2023")</f>
        <v/>
      </c>
      <c r="V912">
        <f>HYPERLINK("https://klasma.github.io/Logging_0881/klagomål/A 6676-2023 FSC-klagomål.docx", "A 6676-2023")</f>
        <v/>
      </c>
      <c r="W912">
        <f>HYPERLINK("https://klasma.github.io/Logging_0881/klagomålsmail/A 6676-2023 FSC-klagomål mail.docx", "A 6676-2023")</f>
        <v/>
      </c>
      <c r="X912">
        <f>HYPERLINK("https://klasma.github.io/Logging_0881/tillsyn/A 6676-2023 tillsynsbegäran.docx", "A 6676-2023")</f>
        <v/>
      </c>
      <c r="Y912">
        <f>HYPERLINK("https://klasma.github.io/Logging_0881/tillsynsmail/A 6676-2023 tillsynsbegäran mail.docx", "A 6676-2023")</f>
        <v/>
      </c>
    </row>
    <row r="913" ht="15" customHeight="1">
      <c r="A913" t="inlineStr">
        <is>
          <t>A 8722-2023</t>
        </is>
      </c>
      <c r="B913" s="1" t="n">
        <v>44978</v>
      </c>
      <c r="C913" s="1" t="n">
        <v>45715</v>
      </c>
      <c r="D913" t="inlineStr">
        <is>
          <t>KALMAR LÄN</t>
        </is>
      </c>
      <c r="E913" t="inlineStr">
        <is>
          <t>OSKARSHAMN</t>
        </is>
      </c>
      <c r="G913" t="n">
        <v>1.3</v>
      </c>
      <c r="H913" t="n">
        <v>1</v>
      </c>
      <c r="I913" t="n">
        <v>0</v>
      </c>
      <c r="J913" t="n">
        <v>0</v>
      </c>
      <c r="K913" t="n">
        <v>0</v>
      </c>
      <c r="L913" t="n">
        <v>0</v>
      </c>
      <c r="M913" t="n">
        <v>0</v>
      </c>
      <c r="N913" t="n">
        <v>0</v>
      </c>
      <c r="O913" t="n">
        <v>0</v>
      </c>
      <c r="P913" t="n">
        <v>0</v>
      </c>
      <c r="Q913" t="n">
        <v>1</v>
      </c>
      <c r="R913" s="2" t="inlineStr">
        <is>
          <t>Blåsippa</t>
        </is>
      </c>
      <c r="S913">
        <f>HYPERLINK("https://klasma.github.io/Logging_0882/artfynd/A 8722-2023 artfynd.xlsx", "A 8722-2023")</f>
        <v/>
      </c>
      <c r="T913">
        <f>HYPERLINK("https://klasma.github.io/Logging_0882/kartor/A 8722-2023 karta.png", "A 8722-2023")</f>
        <v/>
      </c>
      <c r="V913">
        <f>HYPERLINK("https://klasma.github.io/Logging_0882/klagomål/A 8722-2023 FSC-klagomål.docx", "A 8722-2023")</f>
        <v/>
      </c>
      <c r="W913">
        <f>HYPERLINK("https://klasma.github.io/Logging_0882/klagomålsmail/A 8722-2023 FSC-klagomål mail.docx", "A 8722-2023")</f>
        <v/>
      </c>
      <c r="X913">
        <f>HYPERLINK("https://klasma.github.io/Logging_0882/tillsyn/A 8722-2023 tillsynsbegäran.docx", "A 8722-2023")</f>
        <v/>
      </c>
      <c r="Y913">
        <f>HYPERLINK("https://klasma.github.io/Logging_0882/tillsynsmail/A 8722-2023 tillsynsbegäran mail.docx", "A 8722-2023")</f>
        <v/>
      </c>
    </row>
    <row r="914" ht="15" customHeight="1">
      <c r="A914" t="inlineStr">
        <is>
          <t>A 8886-2023</t>
        </is>
      </c>
      <c r="B914" s="1" t="n">
        <v>44979</v>
      </c>
      <c r="C914" s="1" t="n">
        <v>45715</v>
      </c>
      <c r="D914" t="inlineStr">
        <is>
          <t>KALMAR LÄN</t>
        </is>
      </c>
      <c r="E914" t="inlineStr">
        <is>
          <t>MÖNSTERÅS</t>
        </is>
      </c>
      <c r="G914" t="n">
        <v>3.4</v>
      </c>
      <c r="H914" t="n">
        <v>1</v>
      </c>
      <c r="I914" t="n">
        <v>0</v>
      </c>
      <c r="J914" t="n">
        <v>0</v>
      </c>
      <c r="K914" t="n">
        <v>1</v>
      </c>
      <c r="L914" t="n">
        <v>0</v>
      </c>
      <c r="M914" t="n">
        <v>0</v>
      </c>
      <c r="N914" t="n">
        <v>0</v>
      </c>
      <c r="O914" t="n">
        <v>1</v>
      </c>
      <c r="P914" t="n">
        <v>1</v>
      </c>
      <c r="Q914" t="n">
        <v>1</v>
      </c>
      <c r="R914" s="2" t="inlineStr">
        <is>
          <t>Knärot</t>
        </is>
      </c>
      <c r="S914">
        <f>HYPERLINK("https://klasma.github.io/Logging_0861/artfynd/A 8886-2023 artfynd.xlsx", "A 8886-2023")</f>
        <v/>
      </c>
      <c r="T914">
        <f>HYPERLINK("https://klasma.github.io/Logging_0861/kartor/A 8886-2023 karta.png", "A 8886-2023")</f>
        <v/>
      </c>
      <c r="U914">
        <f>HYPERLINK("https://klasma.github.io/Logging_0861/knärot/A 8886-2023 karta knärot.png", "A 8886-2023")</f>
        <v/>
      </c>
      <c r="V914">
        <f>HYPERLINK("https://klasma.github.io/Logging_0861/klagomål/A 8886-2023 FSC-klagomål.docx", "A 8886-2023")</f>
        <v/>
      </c>
      <c r="W914">
        <f>HYPERLINK("https://klasma.github.io/Logging_0861/klagomålsmail/A 8886-2023 FSC-klagomål mail.docx", "A 8886-2023")</f>
        <v/>
      </c>
      <c r="X914">
        <f>HYPERLINK("https://klasma.github.io/Logging_0861/tillsyn/A 8886-2023 tillsynsbegäran.docx", "A 8886-2023")</f>
        <v/>
      </c>
      <c r="Y914">
        <f>HYPERLINK("https://klasma.github.io/Logging_0861/tillsynsmail/A 8886-2023 tillsynsbegäran mail.docx", "A 8886-2023")</f>
        <v/>
      </c>
    </row>
    <row r="915" ht="15" customHeight="1">
      <c r="A915" t="inlineStr">
        <is>
          <t>A 10333-2023</t>
        </is>
      </c>
      <c r="B915" s="1" t="n">
        <v>44980</v>
      </c>
      <c r="C915" s="1" t="n">
        <v>45715</v>
      </c>
      <c r="D915" t="inlineStr">
        <is>
          <t>KALMAR LÄN</t>
        </is>
      </c>
      <c r="E915" t="inlineStr">
        <is>
          <t>HULTSFRED</t>
        </is>
      </c>
      <c r="G915" t="n">
        <v>5</v>
      </c>
      <c r="H915" t="n">
        <v>1</v>
      </c>
      <c r="I915" t="n">
        <v>0</v>
      </c>
      <c r="J915" t="n">
        <v>0</v>
      </c>
      <c r="K915" t="n">
        <v>0</v>
      </c>
      <c r="L915" t="n">
        <v>0</v>
      </c>
      <c r="M915" t="n">
        <v>0</v>
      </c>
      <c r="N915" t="n">
        <v>0</v>
      </c>
      <c r="O915" t="n">
        <v>0</v>
      </c>
      <c r="P915" t="n">
        <v>0</v>
      </c>
      <c r="Q915" t="n">
        <v>1</v>
      </c>
      <c r="R915" s="2" t="inlineStr">
        <is>
          <t>Blåsippa</t>
        </is>
      </c>
      <c r="S915">
        <f>HYPERLINK("https://klasma.github.io/Logging_0860/artfynd/A 10333-2023 artfynd.xlsx", "A 10333-2023")</f>
        <v/>
      </c>
      <c r="T915">
        <f>HYPERLINK("https://klasma.github.io/Logging_0860/kartor/A 10333-2023 karta.png", "A 10333-2023")</f>
        <v/>
      </c>
      <c r="V915">
        <f>HYPERLINK("https://klasma.github.io/Logging_0860/klagomål/A 10333-2023 FSC-klagomål.docx", "A 10333-2023")</f>
        <v/>
      </c>
      <c r="W915">
        <f>HYPERLINK("https://klasma.github.io/Logging_0860/klagomålsmail/A 10333-2023 FSC-klagomål mail.docx", "A 10333-2023")</f>
        <v/>
      </c>
      <c r="X915">
        <f>HYPERLINK("https://klasma.github.io/Logging_0860/tillsyn/A 10333-2023 tillsynsbegäran.docx", "A 10333-2023")</f>
        <v/>
      </c>
      <c r="Y915">
        <f>HYPERLINK("https://klasma.github.io/Logging_0860/tillsynsmail/A 10333-2023 tillsynsbegäran mail.docx", "A 10333-2023")</f>
        <v/>
      </c>
    </row>
    <row r="916" ht="15" customHeight="1">
      <c r="A916" t="inlineStr">
        <is>
          <t>A 9565-2023</t>
        </is>
      </c>
      <c r="B916" s="1" t="n">
        <v>44982</v>
      </c>
      <c r="C916" s="1" t="n">
        <v>45715</v>
      </c>
      <c r="D916" t="inlineStr">
        <is>
          <t>KALMAR LÄN</t>
        </is>
      </c>
      <c r="E916" t="inlineStr">
        <is>
          <t>HÖGSBY</t>
        </is>
      </c>
      <c r="F916" t="inlineStr">
        <is>
          <t>Sveaskog</t>
        </is>
      </c>
      <c r="G916" t="n">
        <v>3.6</v>
      </c>
      <c r="H916" t="n">
        <v>0</v>
      </c>
      <c r="I916" t="n">
        <v>0</v>
      </c>
      <c r="J916" t="n">
        <v>1</v>
      </c>
      <c r="K916" t="n">
        <v>0</v>
      </c>
      <c r="L916" t="n">
        <v>0</v>
      </c>
      <c r="M916" t="n">
        <v>0</v>
      </c>
      <c r="N916" t="n">
        <v>0</v>
      </c>
      <c r="O916" t="n">
        <v>1</v>
      </c>
      <c r="P916" t="n">
        <v>0</v>
      </c>
      <c r="Q916" t="n">
        <v>1</v>
      </c>
      <c r="R916" s="2" t="inlineStr">
        <is>
          <t>Thamiaraea hospita</t>
        </is>
      </c>
      <c r="S916">
        <f>HYPERLINK("https://klasma.github.io/Logging_0821/artfynd/A 9565-2023 artfynd.xlsx", "A 9565-2023")</f>
        <v/>
      </c>
      <c r="T916">
        <f>HYPERLINK("https://klasma.github.io/Logging_0821/kartor/A 9565-2023 karta.png", "A 9565-2023")</f>
        <v/>
      </c>
      <c r="V916">
        <f>HYPERLINK("https://klasma.github.io/Logging_0821/klagomål/A 9565-2023 FSC-klagomål.docx", "A 9565-2023")</f>
        <v/>
      </c>
      <c r="W916">
        <f>HYPERLINK("https://klasma.github.io/Logging_0821/klagomålsmail/A 9565-2023 FSC-klagomål mail.docx", "A 9565-2023")</f>
        <v/>
      </c>
      <c r="X916">
        <f>HYPERLINK("https://klasma.github.io/Logging_0821/tillsyn/A 9565-2023 tillsynsbegäran.docx", "A 9565-2023")</f>
        <v/>
      </c>
      <c r="Y916">
        <f>HYPERLINK("https://klasma.github.io/Logging_0821/tillsynsmail/A 9565-2023 tillsynsbegäran mail.docx", "A 9565-2023")</f>
        <v/>
      </c>
    </row>
    <row r="917" ht="15" customHeight="1">
      <c r="A917" t="inlineStr">
        <is>
          <t>A 9638-2023</t>
        </is>
      </c>
      <c r="B917" s="1" t="n">
        <v>44984</v>
      </c>
      <c r="C917" s="1" t="n">
        <v>45715</v>
      </c>
      <c r="D917" t="inlineStr">
        <is>
          <t>KALMAR LÄN</t>
        </is>
      </c>
      <c r="E917" t="inlineStr">
        <is>
          <t>VIMMERBY</t>
        </is>
      </c>
      <c r="G917" t="n">
        <v>6.3</v>
      </c>
      <c r="H917" t="n">
        <v>0</v>
      </c>
      <c r="I917" t="n">
        <v>1</v>
      </c>
      <c r="J917" t="n">
        <v>0</v>
      </c>
      <c r="K917" t="n">
        <v>0</v>
      </c>
      <c r="L917" t="n">
        <v>0</v>
      </c>
      <c r="M917" t="n">
        <v>0</v>
      </c>
      <c r="N917" t="n">
        <v>0</v>
      </c>
      <c r="O917" t="n">
        <v>0</v>
      </c>
      <c r="P917" t="n">
        <v>0</v>
      </c>
      <c r="Q917" t="n">
        <v>1</v>
      </c>
      <c r="R917" s="2" t="inlineStr">
        <is>
          <t>Fällmossa</t>
        </is>
      </c>
      <c r="S917">
        <f>HYPERLINK("https://klasma.github.io/Logging_0884/artfynd/A 9638-2023 artfynd.xlsx", "A 9638-2023")</f>
        <v/>
      </c>
      <c r="T917">
        <f>HYPERLINK("https://klasma.github.io/Logging_0884/kartor/A 9638-2023 karta.png", "A 9638-2023")</f>
        <v/>
      </c>
      <c r="V917">
        <f>HYPERLINK("https://klasma.github.io/Logging_0884/klagomål/A 9638-2023 FSC-klagomål.docx", "A 9638-2023")</f>
        <v/>
      </c>
      <c r="W917">
        <f>HYPERLINK("https://klasma.github.io/Logging_0884/klagomålsmail/A 9638-2023 FSC-klagomål mail.docx", "A 9638-2023")</f>
        <v/>
      </c>
      <c r="X917">
        <f>HYPERLINK("https://klasma.github.io/Logging_0884/tillsyn/A 9638-2023 tillsynsbegäran.docx", "A 9638-2023")</f>
        <v/>
      </c>
      <c r="Y917">
        <f>HYPERLINK("https://klasma.github.io/Logging_0884/tillsynsmail/A 9638-2023 tillsynsbegäran mail.docx", "A 9638-2023")</f>
        <v/>
      </c>
    </row>
    <row r="918" ht="15" customHeight="1">
      <c r="A918" t="inlineStr">
        <is>
          <t>A 9642-2023</t>
        </is>
      </c>
      <c r="B918" s="1" t="n">
        <v>44984</v>
      </c>
      <c r="C918" s="1" t="n">
        <v>45715</v>
      </c>
      <c r="D918" t="inlineStr">
        <is>
          <t>KALMAR LÄN</t>
        </is>
      </c>
      <c r="E918" t="inlineStr">
        <is>
          <t>VIMMERBY</t>
        </is>
      </c>
      <c r="G918" t="n">
        <v>4</v>
      </c>
      <c r="H918" t="n">
        <v>1</v>
      </c>
      <c r="I918" t="n">
        <v>0</v>
      </c>
      <c r="J918" t="n">
        <v>1</v>
      </c>
      <c r="K918" t="n">
        <v>0</v>
      </c>
      <c r="L918" t="n">
        <v>0</v>
      </c>
      <c r="M918" t="n">
        <v>0</v>
      </c>
      <c r="N918" t="n">
        <v>0</v>
      </c>
      <c r="O918" t="n">
        <v>1</v>
      </c>
      <c r="P918" t="n">
        <v>0</v>
      </c>
      <c r="Q918" t="n">
        <v>1</v>
      </c>
      <c r="R918" s="2" t="inlineStr">
        <is>
          <t>Spillkråka</t>
        </is>
      </c>
      <c r="S918">
        <f>HYPERLINK("https://klasma.github.io/Logging_0884/artfynd/A 9642-2023 artfynd.xlsx", "A 9642-2023")</f>
        <v/>
      </c>
      <c r="T918">
        <f>HYPERLINK("https://klasma.github.io/Logging_0884/kartor/A 9642-2023 karta.png", "A 9642-2023")</f>
        <v/>
      </c>
      <c r="V918">
        <f>HYPERLINK("https://klasma.github.io/Logging_0884/klagomål/A 9642-2023 FSC-klagomål.docx", "A 9642-2023")</f>
        <v/>
      </c>
      <c r="W918">
        <f>HYPERLINK("https://klasma.github.io/Logging_0884/klagomålsmail/A 9642-2023 FSC-klagomål mail.docx", "A 9642-2023")</f>
        <v/>
      </c>
      <c r="X918">
        <f>HYPERLINK("https://klasma.github.io/Logging_0884/tillsyn/A 9642-2023 tillsynsbegäran.docx", "A 9642-2023")</f>
        <v/>
      </c>
      <c r="Y918">
        <f>HYPERLINK("https://klasma.github.io/Logging_0884/tillsynsmail/A 9642-2023 tillsynsbegäran mail.docx", "A 9642-2023")</f>
        <v/>
      </c>
      <c r="Z918">
        <f>HYPERLINK("https://klasma.github.io/Logging_0884/fåglar/A 9642-2023 prioriterade fågelarter.docx", "A 9642-2023")</f>
        <v/>
      </c>
    </row>
    <row r="919" ht="15" customHeight="1">
      <c r="A919" t="inlineStr">
        <is>
          <t>A 9633-2023</t>
        </is>
      </c>
      <c r="B919" s="1" t="n">
        <v>44984</v>
      </c>
      <c r="C919" s="1" t="n">
        <v>45715</v>
      </c>
      <c r="D919" t="inlineStr">
        <is>
          <t>KALMAR LÄN</t>
        </is>
      </c>
      <c r="E919" t="inlineStr">
        <is>
          <t>EMMABODA</t>
        </is>
      </c>
      <c r="G919" t="n">
        <v>3.5</v>
      </c>
      <c r="H919" t="n">
        <v>0</v>
      </c>
      <c r="I919" t="n">
        <v>0</v>
      </c>
      <c r="J919" t="n">
        <v>1</v>
      </c>
      <c r="K919" t="n">
        <v>0</v>
      </c>
      <c r="L919" t="n">
        <v>0</v>
      </c>
      <c r="M919" t="n">
        <v>0</v>
      </c>
      <c r="N919" t="n">
        <v>0</v>
      </c>
      <c r="O919" t="n">
        <v>1</v>
      </c>
      <c r="P919" t="n">
        <v>0</v>
      </c>
      <c r="Q919" t="n">
        <v>1</v>
      </c>
      <c r="R919" s="2" t="inlineStr">
        <is>
          <t>Småjungfrukam</t>
        </is>
      </c>
      <c r="S919">
        <f>HYPERLINK("https://klasma.github.io/Logging_0862/artfynd/A 9633-2023 artfynd.xlsx", "A 9633-2023")</f>
        <v/>
      </c>
      <c r="T919">
        <f>HYPERLINK("https://klasma.github.io/Logging_0862/kartor/A 9633-2023 karta.png", "A 9633-2023")</f>
        <v/>
      </c>
      <c r="V919">
        <f>HYPERLINK("https://klasma.github.io/Logging_0862/klagomål/A 9633-2023 FSC-klagomål.docx", "A 9633-2023")</f>
        <v/>
      </c>
      <c r="W919">
        <f>HYPERLINK("https://klasma.github.io/Logging_0862/klagomålsmail/A 9633-2023 FSC-klagomål mail.docx", "A 9633-2023")</f>
        <v/>
      </c>
      <c r="X919">
        <f>HYPERLINK("https://klasma.github.io/Logging_0862/tillsyn/A 9633-2023 tillsynsbegäran.docx", "A 9633-2023")</f>
        <v/>
      </c>
      <c r="Y919">
        <f>HYPERLINK("https://klasma.github.io/Logging_0862/tillsynsmail/A 9633-2023 tillsynsbegäran mail.docx", "A 9633-2023")</f>
        <v/>
      </c>
    </row>
    <row r="920" ht="15" customHeight="1">
      <c r="A920" t="inlineStr">
        <is>
          <t>A 9688-2023</t>
        </is>
      </c>
      <c r="B920" s="1" t="n">
        <v>44984</v>
      </c>
      <c r="C920" s="1" t="n">
        <v>45715</v>
      </c>
      <c r="D920" t="inlineStr">
        <is>
          <t>KALMAR LÄN</t>
        </is>
      </c>
      <c r="E920" t="inlineStr">
        <is>
          <t>TORSÅS</t>
        </is>
      </c>
      <c r="G920" t="n">
        <v>3.3</v>
      </c>
      <c r="H920" t="n">
        <v>1</v>
      </c>
      <c r="I920" t="n">
        <v>0</v>
      </c>
      <c r="J920" t="n">
        <v>0</v>
      </c>
      <c r="K920" t="n">
        <v>0</v>
      </c>
      <c r="L920" t="n">
        <v>0</v>
      </c>
      <c r="M920" t="n">
        <v>0</v>
      </c>
      <c r="N920" t="n">
        <v>0</v>
      </c>
      <c r="O920" t="n">
        <v>0</v>
      </c>
      <c r="P920" t="n">
        <v>0</v>
      </c>
      <c r="Q920" t="n">
        <v>1</v>
      </c>
      <c r="R920" s="2" t="inlineStr">
        <is>
          <t>Gullviva</t>
        </is>
      </c>
      <c r="S920">
        <f>HYPERLINK("https://klasma.github.io/Logging_0834/artfynd/A 9688-2023 artfynd.xlsx", "A 9688-2023")</f>
        <v/>
      </c>
      <c r="T920">
        <f>HYPERLINK("https://klasma.github.io/Logging_0834/kartor/A 9688-2023 karta.png", "A 9688-2023")</f>
        <v/>
      </c>
      <c r="V920">
        <f>HYPERLINK("https://klasma.github.io/Logging_0834/klagomål/A 9688-2023 FSC-klagomål.docx", "A 9688-2023")</f>
        <v/>
      </c>
      <c r="W920">
        <f>HYPERLINK("https://klasma.github.io/Logging_0834/klagomålsmail/A 9688-2023 FSC-klagomål mail.docx", "A 9688-2023")</f>
        <v/>
      </c>
      <c r="X920">
        <f>HYPERLINK("https://klasma.github.io/Logging_0834/tillsyn/A 9688-2023 tillsynsbegäran.docx", "A 9688-2023")</f>
        <v/>
      </c>
      <c r="Y920">
        <f>HYPERLINK("https://klasma.github.io/Logging_0834/tillsynsmail/A 9688-2023 tillsynsbegäran mail.docx", "A 9688-2023")</f>
        <v/>
      </c>
    </row>
    <row r="921" ht="15" customHeight="1">
      <c r="A921" t="inlineStr">
        <is>
          <t>A 9745-2023</t>
        </is>
      </c>
      <c r="B921" s="1" t="n">
        <v>44984</v>
      </c>
      <c r="C921" s="1" t="n">
        <v>45715</v>
      </c>
      <c r="D921" t="inlineStr">
        <is>
          <t>KALMAR LÄN</t>
        </is>
      </c>
      <c r="E921" t="inlineStr">
        <is>
          <t>BORGHOLM</t>
        </is>
      </c>
      <c r="G921" t="n">
        <v>1.2</v>
      </c>
      <c r="H921" t="n">
        <v>1</v>
      </c>
      <c r="I921" t="n">
        <v>1</v>
      </c>
      <c r="J921" t="n">
        <v>0</v>
      </c>
      <c r="K921" t="n">
        <v>0</v>
      </c>
      <c r="L921" t="n">
        <v>0</v>
      </c>
      <c r="M921" t="n">
        <v>0</v>
      </c>
      <c r="N921" t="n">
        <v>0</v>
      </c>
      <c r="O921" t="n">
        <v>0</v>
      </c>
      <c r="P921" t="n">
        <v>0</v>
      </c>
      <c r="Q921" t="n">
        <v>1</v>
      </c>
      <c r="R921" s="2" t="inlineStr">
        <is>
          <t>Skogsknipprot</t>
        </is>
      </c>
      <c r="S921">
        <f>HYPERLINK("https://klasma.github.io/Logging_0885/artfynd/A 9745-2023 artfynd.xlsx", "A 9745-2023")</f>
        <v/>
      </c>
      <c r="T921">
        <f>HYPERLINK("https://klasma.github.io/Logging_0885/kartor/A 9745-2023 karta.png", "A 9745-2023")</f>
        <v/>
      </c>
      <c r="V921">
        <f>HYPERLINK("https://klasma.github.io/Logging_0885/klagomål/A 9745-2023 FSC-klagomål.docx", "A 9745-2023")</f>
        <v/>
      </c>
      <c r="W921">
        <f>HYPERLINK("https://klasma.github.io/Logging_0885/klagomålsmail/A 9745-2023 FSC-klagomål mail.docx", "A 9745-2023")</f>
        <v/>
      </c>
      <c r="X921">
        <f>HYPERLINK("https://klasma.github.io/Logging_0885/tillsyn/A 9745-2023 tillsynsbegäran.docx", "A 9745-2023")</f>
        <v/>
      </c>
      <c r="Y921">
        <f>HYPERLINK("https://klasma.github.io/Logging_0885/tillsynsmail/A 9745-2023 tillsynsbegäran mail.docx", "A 9745-2023")</f>
        <v/>
      </c>
    </row>
    <row r="922" ht="15" customHeight="1">
      <c r="A922" t="inlineStr">
        <is>
          <t>A 10924-2023</t>
        </is>
      </c>
      <c r="B922" s="1" t="n">
        <v>44991</v>
      </c>
      <c r="C922" s="1" t="n">
        <v>45715</v>
      </c>
      <c r="D922" t="inlineStr">
        <is>
          <t>KALMAR LÄN</t>
        </is>
      </c>
      <c r="E922" t="inlineStr">
        <is>
          <t>KALMAR</t>
        </is>
      </c>
      <c r="G922" t="n">
        <v>0.5</v>
      </c>
      <c r="H922" t="n">
        <v>1</v>
      </c>
      <c r="I922" t="n">
        <v>0</v>
      </c>
      <c r="J922" t="n">
        <v>0</v>
      </c>
      <c r="K922" t="n">
        <v>0</v>
      </c>
      <c r="L922" t="n">
        <v>0</v>
      </c>
      <c r="M922" t="n">
        <v>0</v>
      </c>
      <c r="N922" t="n">
        <v>0</v>
      </c>
      <c r="O922" t="n">
        <v>0</v>
      </c>
      <c r="P922" t="n">
        <v>0</v>
      </c>
      <c r="Q922" t="n">
        <v>1</v>
      </c>
      <c r="R922" s="2" t="inlineStr">
        <is>
          <t>Nattviol</t>
        </is>
      </c>
      <c r="S922">
        <f>HYPERLINK("https://klasma.github.io/Logging_0880/artfynd/A 10924-2023 artfynd.xlsx", "A 10924-2023")</f>
        <v/>
      </c>
      <c r="T922">
        <f>HYPERLINK("https://klasma.github.io/Logging_0880/kartor/A 10924-2023 karta.png", "A 10924-2023")</f>
        <v/>
      </c>
      <c r="V922">
        <f>HYPERLINK("https://klasma.github.io/Logging_0880/klagomål/A 10924-2023 FSC-klagomål.docx", "A 10924-2023")</f>
        <v/>
      </c>
      <c r="W922">
        <f>HYPERLINK("https://klasma.github.io/Logging_0880/klagomålsmail/A 10924-2023 FSC-klagomål mail.docx", "A 10924-2023")</f>
        <v/>
      </c>
      <c r="X922">
        <f>HYPERLINK("https://klasma.github.io/Logging_0880/tillsyn/A 10924-2023 tillsynsbegäran.docx", "A 10924-2023")</f>
        <v/>
      </c>
      <c r="Y922">
        <f>HYPERLINK("https://klasma.github.io/Logging_0880/tillsynsmail/A 10924-2023 tillsynsbegäran mail.docx", "A 10924-2023")</f>
        <v/>
      </c>
    </row>
    <row r="923" ht="15" customHeight="1">
      <c r="A923" t="inlineStr">
        <is>
          <t>A 11589-2023</t>
        </is>
      </c>
      <c r="B923" s="1" t="n">
        <v>44994</v>
      </c>
      <c r="C923" s="1" t="n">
        <v>45715</v>
      </c>
      <c r="D923" t="inlineStr">
        <is>
          <t>KALMAR LÄN</t>
        </is>
      </c>
      <c r="E923" t="inlineStr">
        <is>
          <t>VÄSTERVIK</t>
        </is>
      </c>
      <c r="G923" t="n">
        <v>7.7</v>
      </c>
      <c r="H923" t="n">
        <v>1</v>
      </c>
      <c r="I923" t="n">
        <v>0</v>
      </c>
      <c r="J923" t="n">
        <v>0</v>
      </c>
      <c r="K923" t="n">
        <v>0</v>
      </c>
      <c r="L923" t="n">
        <v>0</v>
      </c>
      <c r="M923" t="n">
        <v>0</v>
      </c>
      <c r="N923" t="n">
        <v>0</v>
      </c>
      <c r="O923" t="n">
        <v>0</v>
      </c>
      <c r="P923" t="n">
        <v>0</v>
      </c>
      <c r="Q923" t="n">
        <v>1</v>
      </c>
      <c r="R923" s="2" t="inlineStr">
        <is>
          <t>Revlummer</t>
        </is>
      </c>
      <c r="S923">
        <f>HYPERLINK("https://klasma.github.io/Logging_0883/artfynd/A 11589-2023 artfynd.xlsx", "A 11589-2023")</f>
        <v/>
      </c>
      <c r="T923">
        <f>HYPERLINK("https://klasma.github.io/Logging_0883/kartor/A 11589-2023 karta.png", "A 11589-2023")</f>
        <v/>
      </c>
      <c r="V923">
        <f>HYPERLINK("https://klasma.github.io/Logging_0883/klagomål/A 11589-2023 FSC-klagomål.docx", "A 11589-2023")</f>
        <v/>
      </c>
      <c r="W923">
        <f>HYPERLINK("https://klasma.github.io/Logging_0883/klagomålsmail/A 11589-2023 FSC-klagomål mail.docx", "A 11589-2023")</f>
        <v/>
      </c>
      <c r="X923">
        <f>HYPERLINK("https://klasma.github.io/Logging_0883/tillsyn/A 11589-2023 tillsynsbegäran.docx", "A 11589-2023")</f>
        <v/>
      </c>
      <c r="Y923">
        <f>HYPERLINK("https://klasma.github.io/Logging_0883/tillsynsmail/A 11589-2023 tillsynsbegäran mail.docx", "A 11589-2023")</f>
        <v/>
      </c>
    </row>
    <row r="924" ht="15" customHeight="1">
      <c r="A924" t="inlineStr">
        <is>
          <t>A 11729-2023</t>
        </is>
      </c>
      <c r="B924" s="1" t="n">
        <v>44994</v>
      </c>
      <c r="C924" s="1" t="n">
        <v>45715</v>
      </c>
      <c r="D924" t="inlineStr">
        <is>
          <t>KALMAR LÄN</t>
        </is>
      </c>
      <c r="E924" t="inlineStr">
        <is>
          <t>VÄSTERVIK</t>
        </is>
      </c>
      <c r="F924" t="inlineStr">
        <is>
          <t>Sveaskog</t>
        </is>
      </c>
      <c r="G924" t="n">
        <v>4.1</v>
      </c>
      <c r="H924" t="n">
        <v>0</v>
      </c>
      <c r="I924" t="n">
        <v>0</v>
      </c>
      <c r="J924" t="n">
        <v>1</v>
      </c>
      <c r="K924" t="n">
        <v>0</v>
      </c>
      <c r="L924" t="n">
        <v>0</v>
      </c>
      <c r="M924" t="n">
        <v>0</v>
      </c>
      <c r="N924" t="n">
        <v>0</v>
      </c>
      <c r="O924" t="n">
        <v>1</v>
      </c>
      <c r="P924" t="n">
        <v>0</v>
      </c>
      <c r="Q924" t="n">
        <v>1</v>
      </c>
      <c r="R924" s="2" t="inlineStr">
        <is>
          <t>Bredbrämad bastardsvärmare</t>
        </is>
      </c>
      <c r="S924">
        <f>HYPERLINK("https://klasma.github.io/Logging_0883/artfynd/A 11729-2023 artfynd.xlsx", "A 11729-2023")</f>
        <v/>
      </c>
      <c r="T924">
        <f>HYPERLINK("https://klasma.github.io/Logging_0883/kartor/A 11729-2023 karta.png", "A 11729-2023")</f>
        <v/>
      </c>
      <c r="V924">
        <f>HYPERLINK("https://klasma.github.io/Logging_0883/klagomål/A 11729-2023 FSC-klagomål.docx", "A 11729-2023")</f>
        <v/>
      </c>
      <c r="W924">
        <f>HYPERLINK("https://klasma.github.io/Logging_0883/klagomålsmail/A 11729-2023 FSC-klagomål mail.docx", "A 11729-2023")</f>
        <v/>
      </c>
      <c r="X924">
        <f>HYPERLINK("https://klasma.github.io/Logging_0883/tillsyn/A 11729-2023 tillsynsbegäran.docx", "A 11729-2023")</f>
        <v/>
      </c>
      <c r="Y924">
        <f>HYPERLINK("https://klasma.github.io/Logging_0883/tillsynsmail/A 11729-2023 tillsynsbegäran mail.docx", "A 11729-2023")</f>
        <v/>
      </c>
    </row>
    <row r="925" ht="15" customHeight="1">
      <c r="A925" t="inlineStr">
        <is>
          <t>A 13725-2023</t>
        </is>
      </c>
      <c r="B925" s="1" t="n">
        <v>45007</v>
      </c>
      <c r="C925" s="1" t="n">
        <v>45715</v>
      </c>
      <c r="D925" t="inlineStr">
        <is>
          <t>KALMAR LÄN</t>
        </is>
      </c>
      <c r="E925" t="inlineStr">
        <is>
          <t>KALMAR</t>
        </is>
      </c>
      <c r="G925" t="n">
        <v>2.2</v>
      </c>
      <c r="H925" t="n">
        <v>1</v>
      </c>
      <c r="I925" t="n">
        <v>0</v>
      </c>
      <c r="J925" t="n">
        <v>1</v>
      </c>
      <c r="K925" t="n">
        <v>0</v>
      </c>
      <c r="L925" t="n">
        <v>0</v>
      </c>
      <c r="M925" t="n">
        <v>0</v>
      </c>
      <c r="N925" t="n">
        <v>0</v>
      </c>
      <c r="O925" t="n">
        <v>1</v>
      </c>
      <c r="P925" t="n">
        <v>0</v>
      </c>
      <c r="Q925" t="n">
        <v>1</v>
      </c>
      <c r="R925" s="2" t="inlineStr">
        <is>
          <t>Gulsparv</t>
        </is>
      </c>
      <c r="S925">
        <f>HYPERLINK("https://klasma.github.io/Logging_0880/artfynd/A 13725-2023 artfynd.xlsx", "A 13725-2023")</f>
        <v/>
      </c>
      <c r="T925">
        <f>HYPERLINK("https://klasma.github.io/Logging_0880/kartor/A 13725-2023 karta.png", "A 13725-2023")</f>
        <v/>
      </c>
      <c r="V925">
        <f>HYPERLINK("https://klasma.github.io/Logging_0880/klagomål/A 13725-2023 FSC-klagomål.docx", "A 13725-2023")</f>
        <v/>
      </c>
      <c r="W925">
        <f>HYPERLINK("https://klasma.github.io/Logging_0880/klagomålsmail/A 13725-2023 FSC-klagomål mail.docx", "A 13725-2023")</f>
        <v/>
      </c>
      <c r="X925">
        <f>HYPERLINK("https://klasma.github.io/Logging_0880/tillsyn/A 13725-2023 tillsynsbegäran.docx", "A 13725-2023")</f>
        <v/>
      </c>
      <c r="Y925">
        <f>HYPERLINK("https://klasma.github.io/Logging_0880/tillsynsmail/A 13725-2023 tillsynsbegäran mail.docx", "A 13725-2023")</f>
        <v/>
      </c>
      <c r="Z925">
        <f>HYPERLINK("https://klasma.github.io/Logging_0880/fåglar/A 13725-2023 prioriterade fågelarter.docx", "A 13725-2023")</f>
        <v/>
      </c>
    </row>
    <row r="926" ht="15" customHeight="1">
      <c r="A926" t="inlineStr">
        <is>
          <t>A 13721-2023</t>
        </is>
      </c>
      <c r="B926" s="1" t="n">
        <v>45007</v>
      </c>
      <c r="C926" s="1" t="n">
        <v>45715</v>
      </c>
      <c r="D926" t="inlineStr">
        <is>
          <t>KALMAR LÄN</t>
        </is>
      </c>
      <c r="E926" t="inlineStr">
        <is>
          <t>KALMAR</t>
        </is>
      </c>
      <c r="G926" t="n">
        <v>5.2</v>
      </c>
      <c r="H926" t="n">
        <v>0</v>
      </c>
      <c r="I926" t="n">
        <v>1</v>
      </c>
      <c r="J926" t="n">
        <v>0</v>
      </c>
      <c r="K926" t="n">
        <v>0</v>
      </c>
      <c r="L926" t="n">
        <v>0</v>
      </c>
      <c r="M926" t="n">
        <v>0</v>
      </c>
      <c r="N926" t="n">
        <v>0</v>
      </c>
      <c r="O926" t="n">
        <v>0</v>
      </c>
      <c r="P926" t="n">
        <v>0</v>
      </c>
      <c r="Q926" t="n">
        <v>1</v>
      </c>
      <c r="R926" s="2" t="inlineStr">
        <is>
          <t>Ögonpyrola</t>
        </is>
      </c>
      <c r="S926">
        <f>HYPERLINK("https://klasma.github.io/Logging_0880/artfynd/A 13721-2023 artfynd.xlsx", "A 13721-2023")</f>
        <v/>
      </c>
      <c r="T926">
        <f>HYPERLINK("https://klasma.github.io/Logging_0880/kartor/A 13721-2023 karta.png", "A 13721-2023")</f>
        <v/>
      </c>
      <c r="V926">
        <f>HYPERLINK("https://klasma.github.io/Logging_0880/klagomål/A 13721-2023 FSC-klagomål.docx", "A 13721-2023")</f>
        <v/>
      </c>
      <c r="W926">
        <f>HYPERLINK("https://klasma.github.io/Logging_0880/klagomålsmail/A 13721-2023 FSC-klagomål mail.docx", "A 13721-2023")</f>
        <v/>
      </c>
      <c r="X926">
        <f>HYPERLINK("https://klasma.github.io/Logging_0880/tillsyn/A 13721-2023 tillsynsbegäran.docx", "A 13721-2023")</f>
        <v/>
      </c>
      <c r="Y926">
        <f>HYPERLINK("https://klasma.github.io/Logging_0880/tillsynsmail/A 13721-2023 tillsynsbegäran mail.docx", "A 13721-2023")</f>
        <v/>
      </c>
    </row>
    <row r="927" ht="15" customHeight="1">
      <c r="A927" t="inlineStr">
        <is>
          <t>A 14095-2023</t>
        </is>
      </c>
      <c r="B927" s="1" t="n">
        <v>45009</v>
      </c>
      <c r="C927" s="1" t="n">
        <v>45715</v>
      </c>
      <c r="D927" t="inlineStr">
        <is>
          <t>KALMAR LÄN</t>
        </is>
      </c>
      <c r="E927" t="inlineStr">
        <is>
          <t>HULTSFRED</t>
        </is>
      </c>
      <c r="G927" t="n">
        <v>5.7</v>
      </c>
      <c r="H927" t="n">
        <v>0</v>
      </c>
      <c r="I927" t="n">
        <v>1</v>
      </c>
      <c r="J927" t="n">
        <v>0</v>
      </c>
      <c r="K927" t="n">
        <v>0</v>
      </c>
      <c r="L927" t="n">
        <v>0</v>
      </c>
      <c r="M927" t="n">
        <v>0</v>
      </c>
      <c r="N927" t="n">
        <v>0</v>
      </c>
      <c r="O927" t="n">
        <v>0</v>
      </c>
      <c r="P927" t="n">
        <v>0</v>
      </c>
      <c r="Q927" t="n">
        <v>1</v>
      </c>
      <c r="R927" s="2" t="inlineStr">
        <is>
          <t>Dvärgkällmossa</t>
        </is>
      </c>
      <c r="S927">
        <f>HYPERLINK("https://klasma.github.io/Logging_0860/artfynd/A 14095-2023 artfynd.xlsx", "A 14095-2023")</f>
        <v/>
      </c>
      <c r="T927">
        <f>HYPERLINK("https://klasma.github.io/Logging_0860/kartor/A 14095-2023 karta.png", "A 14095-2023")</f>
        <v/>
      </c>
      <c r="V927">
        <f>HYPERLINK("https://klasma.github.io/Logging_0860/klagomål/A 14095-2023 FSC-klagomål.docx", "A 14095-2023")</f>
        <v/>
      </c>
      <c r="W927">
        <f>HYPERLINK("https://klasma.github.io/Logging_0860/klagomålsmail/A 14095-2023 FSC-klagomål mail.docx", "A 14095-2023")</f>
        <v/>
      </c>
      <c r="X927">
        <f>HYPERLINK("https://klasma.github.io/Logging_0860/tillsyn/A 14095-2023 tillsynsbegäran.docx", "A 14095-2023")</f>
        <v/>
      </c>
      <c r="Y927">
        <f>HYPERLINK("https://klasma.github.io/Logging_0860/tillsynsmail/A 14095-2023 tillsynsbegäran mail.docx", "A 14095-2023")</f>
        <v/>
      </c>
    </row>
    <row r="928" ht="15" customHeight="1">
      <c r="A928" t="inlineStr">
        <is>
          <t>A 14720-2023</t>
        </is>
      </c>
      <c r="B928" s="1" t="n">
        <v>45014</v>
      </c>
      <c r="C928" s="1" t="n">
        <v>45715</v>
      </c>
      <c r="D928" t="inlineStr">
        <is>
          <t>KALMAR LÄN</t>
        </is>
      </c>
      <c r="E928" t="inlineStr">
        <is>
          <t>VÄSTERVIK</t>
        </is>
      </c>
      <c r="G928" t="n">
        <v>3.5</v>
      </c>
      <c r="H928" t="n">
        <v>1</v>
      </c>
      <c r="I928" t="n">
        <v>0</v>
      </c>
      <c r="J928" t="n">
        <v>0</v>
      </c>
      <c r="K928" t="n">
        <v>1</v>
      </c>
      <c r="L928" t="n">
        <v>0</v>
      </c>
      <c r="M928" t="n">
        <v>0</v>
      </c>
      <c r="N928" t="n">
        <v>0</v>
      </c>
      <c r="O928" t="n">
        <v>1</v>
      </c>
      <c r="P928" t="n">
        <v>1</v>
      </c>
      <c r="Q928" t="n">
        <v>1</v>
      </c>
      <c r="R928" s="2" t="inlineStr">
        <is>
          <t>Knärot</t>
        </is>
      </c>
      <c r="S928">
        <f>HYPERLINK("https://klasma.github.io/Logging_0883/artfynd/A 14720-2023 artfynd.xlsx", "A 14720-2023")</f>
        <v/>
      </c>
      <c r="T928">
        <f>HYPERLINK("https://klasma.github.io/Logging_0883/kartor/A 14720-2023 karta.png", "A 14720-2023")</f>
        <v/>
      </c>
      <c r="U928">
        <f>HYPERLINK("https://klasma.github.io/Logging_0883/knärot/A 14720-2023 karta knärot.png", "A 14720-2023")</f>
        <v/>
      </c>
      <c r="V928">
        <f>HYPERLINK("https://klasma.github.io/Logging_0883/klagomål/A 14720-2023 FSC-klagomål.docx", "A 14720-2023")</f>
        <v/>
      </c>
      <c r="W928">
        <f>HYPERLINK("https://klasma.github.io/Logging_0883/klagomålsmail/A 14720-2023 FSC-klagomål mail.docx", "A 14720-2023")</f>
        <v/>
      </c>
      <c r="X928">
        <f>HYPERLINK("https://klasma.github.io/Logging_0883/tillsyn/A 14720-2023 tillsynsbegäran.docx", "A 14720-2023")</f>
        <v/>
      </c>
      <c r="Y928">
        <f>HYPERLINK("https://klasma.github.io/Logging_0883/tillsynsmail/A 14720-2023 tillsynsbegäran mail.docx", "A 14720-2023")</f>
        <v/>
      </c>
    </row>
    <row r="929" ht="15" customHeight="1">
      <c r="A929" t="inlineStr">
        <is>
          <t>A 15440-2023</t>
        </is>
      </c>
      <c r="B929" s="1" t="n">
        <v>45016</v>
      </c>
      <c r="C929" s="1" t="n">
        <v>45715</v>
      </c>
      <c r="D929" t="inlineStr">
        <is>
          <t>KALMAR LÄN</t>
        </is>
      </c>
      <c r="E929" t="inlineStr">
        <is>
          <t>HULTSFRED</t>
        </is>
      </c>
      <c r="G929" t="n">
        <v>3.1</v>
      </c>
      <c r="H929" t="n">
        <v>1</v>
      </c>
      <c r="I929" t="n">
        <v>0</v>
      </c>
      <c r="J929" t="n">
        <v>1</v>
      </c>
      <c r="K929" t="n">
        <v>0</v>
      </c>
      <c r="L929" t="n">
        <v>0</v>
      </c>
      <c r="M929" t="n">
        <v>0</v>
      </c>
      <c r="N929" t="n">
        <v>0</v>
      </c>
      <c r="O929" t="n">
        <v>1</v>
      </c>
      <c r="P929" t="n">
        <v>0</v>
      </c>
      <c r="Q929" t="n">
        <v>1</v>
      </c>
      <c r="R929" s="2" t="inlineStr">
        <is>
          <t>Spillkråka</t>
        </is>
      </c>
      <c r="S929">
        <f>HYPERLINK("https://klasma.github.io/Logging_0860/artfynd/A 15440-2023 artfynd.xlsx", "A 15440-2023")</f>
        <v/>
      </c>
      <c r="T929">
        <f>HYPERLINK("https://klasma.github.io/Logging_0860/kartor/A 15440-2023 karta.png", "A 15440-2023")</f>
        <v/>
      </c>
      <c r="V929">
        <f>HYPERLINK("https://klasma.github.io/Logging_0860/klagomål/A 15440-2023 FSC-klagomål.docx", "A 15440-2023")</f>
        <v/>
      </c>
      <c r="W929">
        <f>HYPERLINK("https://klasma.github.io/Logging_0860/klagomålsmail/A 15440-2023 FSC-klagomål mail.docx", "A 15440-2023")</f>
        <v/>
      </c>
      <c r="X929">
        <f>HYPERLINK("https://klasma.github.io/Logging_0860/tillsyn/A 15440-2023 tillsynsbegäran.docx", "A 15440-2023")</f>
        <v/>
      </c>
      <c r="Y929">
        <f>HYPERLINK("https://klasma.github.io/Logging_0860/tillsynsmail/A 15440-2023 tillsynsbegäran mail.docx", "A 15440-2023")</f>
        <v/>
      </c>
      <c r="Z929">
        <f>HYPERLINK("https://klasma.github.io/Logging_0860/fåglar/A 15440-2023 prioriterade fågelarter.docx", "A 15440-2023")</f>
        <v/>
      </c>
    </row>
    <row r="930" ht="15" customHeight="1">
      <c r="A930" t="inlineStr">
        <is>
          <t>A 15279-2023</t>
        </is>
      </c>
      <c r="B930" s="1" t="n">
        <v>45019</v>
      </c>
      <c r="C930" s="1" t="n">
        <v>45715</v>
      </c>
      <c r="D930" t="inlineStr">
        <is>
          <t>KALMAR LÄN</t>
        </is>
      </c>
      <c r="E930" t="inlineStr">
        <is>
          <t>NYBRO</t>
        </is>
      </c>
      <c r="G930" t="n">
        <v>4.1</v>
      </c>
      <c r="H930" t="n">
        <v>1</v>
      </c>
      <c r="I930" t="n">
        <v>0</v>
      </c>
      <c r="J930" t="n">
        <v>0</v>
      </c>
      <c r="K930" t="n">
        <v>0</v>
      </c>
      <c r="L930" t="n">
        <v>0</v>
      </c>
      <c r="M930" t="n">
        <v>0</v>
      </c>
      <c r="N930" t="n">
        <v>0</v>
      </c>
      <c r="O930" t="n">
        <v>0</v>
      </c>
      <c r="P930" t="n">
        <v>0</v>
      </c>
      <c r="Q930" t="n">
        <v>1</v>
      </c>
      <c r="R930" s="2" t="inlineStr">
        <is>
          <t>Kungsfågel</t>
        </is>
      </c>
      <c r="S930">
        <f>HYPERLINK("https://klasma.github.io/Logging_0881/artfynd/A 15279-2023 artfynd.xlsx", "A 15279-2023")</f>
        <v/>
      </c>
      <c r="T930">
        <f>HYPERLINK("https://klasma.github.io/Logging_0881/kartor/A 15279-2023 karta.png", "A 15279-2023")</f>
        <v/>
      </c>
      <c r="V930">
        <f>HYPERLINK("https://klasma.github.io/Logging_0881/klagomål/A 15279-2023 FSC-klagomål.docx", "A 15279-2023")</f>
        <v/>
      </c>
      <c r="W930">
        <f>HYPERLINK("https://klasma.github.io/Logging_0881/klagomålsmail/A 15279-2023 FSC-klagomål mail.docx", "A 15279-2023")</f>
        <v/>
      </c>
      <c r="X930">
        <f>HYPERLINK("https://klasma.github.io/Logging_0881/tillsyn/A 15279-2023 tillsynsbegäran.docx", "A 15279-2023")</f>
        <v/>
      </c>
      <c r="Y930">
        <f>HYPERLINK("https://klasma.github.io/Logging_0881/tillsynsmail/A 15279-2023 tillsynsbegäran mail.docx", "A 15279-2023")</f>
        <v/>
      </c>
      <c r="Z930">
        <f>HYPERLINK("https://klasma.github.io/Logging_0881/fåglar/A 15279-2023 prioriterade fågelarter.docx", "A 15279-2023")</f>
        <v/>
      </c>
    </row>
    <row r="931" ht="15" customHeight="1">
      <c r="A931" t="inlineStr">
        <is>
          <t>A 15277-2023</t>
        </is>
      </c>
      <c r="B931" s="1" t="n">
        <v>45019</v>
      </c>
      <c r="C931" s="1" t="n">
        <v>45715</v>
      </c>
      <c r="D931" t="inlineStr">
        <is>
          <t>KALMAR LÄN</t>
        </is>
      </c>
      <c r="E931" t="inlineStr">
        <is>
          <t>NYBRO</t>
        </is>
      </c>
      <c r="G931" t="n">
        <v>4</v>
      </c>
      <c r="H931" t="n">
        <v>1</v>
      </c>
      <c r="I931" t="n">
        <v>0</v>
      </c>
      <c r="J931" t="n">
        <v>0</v>
      </c>
      <c r="K931" t="n">
        <v>0</v>
      </c>
      <c r="L931" t="n">
        <v>0</v>
      </c>
      <c r="M931" t="n">
        <v>0</v>
      </c>
      <c r="N931" t="n">
        <v>0</v>
      </c>
      <c r="O931" t="n">
        <v>0</v>
      </c>
      <c r="P931" t="n">
        <v>0</v>
      </c>
      <c r="Q931" t="n">
        <v>1</v>
      </c>
      <c r="R931" s="2" t="inlineStr">
        <is>
          <t>Kungsfågel</t>
        </is>
      </c>
      <c r="S931">
        <f>HYPERLINK("https://klasma.github.io/Logging_0881/artfynd/A 15277-2023 artfynd.xlsx", "A 15277-2023")</f>
        <v/>
      </c>
      <c r="T931">
        <f>HYPERLINK("https://klasma.github.io/Logging_0881/kartor/A 15277-2023 karta.png", "A 15277-2023")</f>
        <v/>
      </c>
      <c r="V931">
        <f>HYPERLINK("https://klasma.github.io/Logging_0881/klagomål/A 15277-2023 FSC-klagomål.docx", "A 15277-2023")</f>
        <v/>
      </c>
      <c r="W931">
        <f>HYPERLINK("https://klasma.github.io/Logging_0881/klagomålsmail/A 15277-2023 FSC-klagomål mail.docx", "A 15277-2023")</f>
        <v/>
      </c>
      <c r="X931">
        <f>HYPERLINK("https://klasma.github.io/Logging_0881/tillsyn/A 15277-2023 tillsynsbegäran.docx", "A 15277-2023")</f>
        <v/>
      </c>
      <c r="Y931">
        <f>HYPERLINK("https://klasma.github.io/Logging_0881/tillsynsmail/A 15277-2023 tillsynsbegäran mail.docx", "A 15277-2023")</f>
        <v/>
      </c>
      <c r="Z931">
        <f>HYPERLINK("https://klasma.github.io/Logging_0881/fåglar/A 15277-2023 prioriterade fågelarter.docx", "A 15277-2023")</f>
        <v/>
      </c>
    </row>
    <row r="932" ht="15" customHeight="1">
      <c r="A932" t="inlineStr">
        <is>
          <t>A 15349-2023</t>
        </is>
      </c>
      <c r="B932" s="1" t="n">
        <v>45019</v>
      </c>
      <c r="C932" s="1" t="n">
        <v>45715</v>
      </c>
      <c r="D932" t="inlineStr">
        <is>
          <t>KALMAR LÄN</t>
        </is>
      </c>
      <c r="E932" t="inlineStr">
        <is>
          <t>NYBRO</t>
        </is>
      </c>
      <c r="F932" t="inlineStr">
        <is>
          <t>Sveaskog</t>
        </is>
      </c>
      <c r="G932" t="n">
        <v>5</v>
      </c>
      <c r="H932" t="n">
        <v>1</v>
      </c>
      <c r="I932" t="n">
        <v>0</v>
      </c>
      <c r="J932" t="n">
        <v>0</v>
      </c>
      <c r="K932" t="n">
        <v>0</v>
      </c>
      <c r="L932" t="n">
        <v>0</v>
      </c>
      <c r="M932" t="n">
        <v>0</v>
      </c>
      <c r="N932" t="n">
        <v>0</v>
      </c>
      <c r="O932" t="n">
        <v>0</v>
      </c>
      <c r="P932" t="n">
        <v>0</v>
      </c>
      <c r="Q932" t="n">
        <v>1</v>
      </c>
      <c r="R932" s="2" t="inlineStr">
        <is>
          <t>Tjäder</t>
        </is>
      </c>
      <c r="S932">
        <f>HYPERLINK("https://klasma.github.io/Logging_0881/artfynd/A 15349-2023 artfynd.xlsx", "A 15349-2023")</f>
        <v/>
      </c>
      <c r="T932">
        <f>HYPERLINK("https://klasma.github.io/Logging_0881/kartor/A 15349-2023 karta.png", "A 15349-2023")</f>
        <v/>
      </c>
      <c r="V932">
        <f>HYPERLINK("https://klasma.github.io/Logging_0881/klagomål/A 15349-2023 FSC-klagomål.docx", "A 15349-2023")</f>
        <v/>
      </c>
      <c r="W932">
        <f>HYPERLINK("https://klasma.github.io/Logging_0881/klagomålsmail/A 15349-2023 FSC-klagomål mail.docx", "A 15349-2023")</f>
        <v/>
      </c>
      <c r="X932">
        <f>HYPERLINK("https://klasma.github.io/Logging_0881/tillsyn/A 15349-2023 tillsynsbegäran.docx", "A 15349-2023")</f>
        <v/>
      </c>
      <c r="Y932">
        <f>HYPERLINK("https://klasma.github.io/Logging_0881/tillsynsmail/A 15349-2023 tillsynsbegäran mail.docx", "A 15349-2023")</f>
        <v/>
      </c>
      <c r="Z932">
        <f>HYPERLINK("https://klasma.github.io/Logging_0881/fåglar/A 15349-2023 prioriterade fågelarter.docx", "A 15349-2023")</f>
        <v/>
      </c>
    </row>
    <row r="933" ht="15" customHeight="1">
      <c r="A933" t="inlineStr">
        <is>
          <t>A 15353-2023</t>
        </is>
      </c>
      <c r="B933" s="1" t="n">
        <v>45019</v>
      </c>
      <c r="C933" s="1" t="n">
        <v>45715</v>
      </c>
      <c r="D933" t="inlineStr">
        <is>
          <t>KALMAR LÄN</t>
        </is>
      </c>
      <c r="E933" t="inlineStr">
        <is>
          <t>NYBRO</t>
        </is>
      </c>
      <c r="F933" t="inlineStr">
        <is>
          <t>Sveaskog</t>
        </is>
      </c>
      <c r="G933" t="n">
        <v>1.4</v>
      </c>
      <c r="H933" t="n">
        <v>1</v>
      </c>
      <c r="I933" t="n">
        <v>0</v>
      </c>
      <c r="J933" t="n">
        <v>0</v>
      </c>
      <c r="K933" t="n">
        <v>0</v>
      </c>
      <c r="L933" t="n">
        <v>0</v>
      </c>
      <c r="M933" t="n">
        <v>0</v>
      </c>
      <c r="N933" t="n">
        <v>0</v>
      </c>
      <c r="O933" t="n">
        <v>0</v>
      </c>
      <c r="P933" t="n">
        <v>0</v>
      </c>
      <c r="Q933" t="n">
        <v>1</v>
      </c>
      <c r="R933" s="2" t="inlineStr">
        <is>
          <t>Tjäder</t>
        </is>
      </c>
      <c r="S933">
        <f>HYPERLINK("https://klasma.github.io/Logging_0881/artfynd/A 15353-2023 artfynd.xlsx", "A 15353-2023")</f>
        <v/>
      </c>
      <c r="T933">
        <f>HYPERLINK("https://klasma.github.io/Logging_0881/kartor/A 15353-2023 karta.png", "A 15353-2023")</f>
        <v/>
      </c>
      <c r="V933">
        <f>HYPERLINK("https://klasma.github.io/Logging_0881/klagomål/A 15353-2023 FSC-klagomål.docx", "A 15353-2023")</f>
        <v/>
      </c>
      <c r="W933">
        <f>HYPERLINK("https://klasma.github.io/Logging_0881/klagomålsmail/A 15353-2023 FSC-klagomål mail.docx", "A 15353-2023")</f>
        <v/>
      </c>
      <c r="X933">
        <f>HYPERLINK("https://klasma.github.io/Logging_0881/tillsyn/A 15353-2023 tillsynsbegäran.docx", "A 15353-2023")</f>
        <v/>
      </c>
      <c r="Y933">
        <f>HYPERLINK("https://klasma.github.io/Logging_0881/tillsynsmail/A 15353-2023 tillsynsbegäran mail.docx", "A 15353-2023")</f>
        <v/>
      </c>
      <c r="Z933">
        <f>HYPERLINK("https://klasma.github.io/Logging_0881/fåglar/A 15353-2023 prioriterade fågelarter.docx", "A 15353-2023")</f>
        <v/>
      </c>
    </row>
    <row r="934" ht="15" customHeight="1">
      <c r="A934" t="inlineStr">
        <is>
          <t>A 15376-2023</t>
        </is>
      </c>
      <c r="B934" s="1" t="n">
        <v>45019</v>
      </c>
      <c r="C934" s="1" t="n">
        <v>45715</v>
      </c>
      <c r="D934" t="inlineStr">
        <is>
          <t>KALMAR LÄN</t>
        </is>
      </c>
      <c r="E934" t="inlineStr">
        <is>
          <t>TORSÅS</t>
        </is>
      </c>
      <c r="G934" t="n">
        <v>1.8</v>
      </c>
      <c r="H934" t="n">
        <v>1</v>
      </c>
      <c r="I934" t="n">
        <v>0</v>
      </c>
      <c r="J934" t="n">
        <v>1</v>
      </c>
      <c r="K934" t="n">
        <v>0</v>
      </c>
      <c r="L934" t="n">
        <v>0</v>
      </c>
      <c r="M934" t="n">
        <v>0</v>
      </c>
      <c r="N934" t="n">
        <v>0</v>
      </c>
      <c r="O934" t="n">
        <v>1</v>
      </c>
      <c r="P934" t="n">
        <v>0</v>
      </c>
      <c r="Q934" t="n">
        <v>1</v>
      </c>
      <c r="R934" s="2" t="inlineStr">
        <is>
          <t>Långbensgroda</t>
        </is>
      </c>
      <c r="S934">
        <f>HYPERLINK("https://klasma.github.io/Logging_0834/artfynd/A 15376-2023 artfynd.xlsx", "A 15376-2023")</f>
        <v/>
      </c>
      <c r="T934">
        <f>HYPERLINK("https://klasma.github.io/Logging_0834/kartor/A 15376-2023 karta.png", "A 15376-2023")</f>
        <v/>
      </c>
      <c r="V934">
        <f>HYPERLINK("https://klasma.github.io/Logging_0834/klagomål/A 15376-2023 FSC-klagomål.docx", "A 15376-2023")</f>
        <v/>
      </c>
      <c r="W934">
        <f>HYPERLINK("https://klasma.github.io/Logging_0834/klagomålsmail/A 15376-2023 FSC-klagomål mail.docx", "A 15376-2023")</f>
        <v/>
      </c>
      <c r="X934">
        <f>HYPERLINK("https://klasma.github.io/Logging_0834/tillsyn/A 15376-2023 tillsynsbegäran.docx", "A 15376-2023")</f>
        <v/>
      </c>
      <c r="Y934">
        <f>HYPERLINK("https://klasma.github.io/Logging_0834/tillsynsmail/A 15376-2023 tillsynsbegäran mail.docx", "A 15376-2023")</f>
        <v/>
      </c>
    </row>
    <row r="935" ht="15" customHeight="1">
      <c r="A935" t="inlineStr">
        <is>
          <t>A 16173-2023</t>
        </is>
      </c>
      <c r="B935" s="1" t="n">
        <v>45027</v>
      </c>
      <c r="C935" s="1" t="n">
        <v>45715</v>
      </c>
      <c r="D935" t="inlineStr">
        <is>
          <t>KALMAR LÄN</t>
        </is>
      </c>
      <c r="E935" t="inlineStr">
        <is>
          <t>BORGHOLM</t>
        </is>
      </c>
      <c r="G935" t="n">
        <v>1.9</v>
      </c>
      <c r="H935" t="n">
        <v>0</v>
      </c>
      <c r="I935" t="n">
        <v>0</v>
      </c>
      <c r="J935" t="n">
        <v>0</v>
      </c>
      <c r="K935" t="n">
        <v>0</v>
      </c>
      <c r="L935" t="n">
        <v>1</v>
      </c>
      <c r="M935" t="n">
        <v>0</v>
      </c>
      <c r="N935" t="n">
        <v>0</v>
      </c>
      <c r="O935" t="n">
        <v>1</v>
      </c>
      <c r="P935" t="n">
        <v>1</v>
      </c>
      <c r="Q935" t="n">
        <v>1</v>
      </c>
      <c r="R935" s="2" t="inlineStr">
        <is>
          <t>Ädellav</t>
        </is>
      </c>
      <c r="S935">
        <f>HYPERLINK("https://klasma.github.io/Logging_0885/artfynd/A 16173-2023 artfynd.xlsx", "A 16173-2023")</f>
        <v/>
      </c>
      <c r="T935">
        <f>HYPERLINK("https://klasma.github.io/Logging_0885/kartor/A 16173-2023 karta.png", "A 16173-2023")</f>
        <v/>
      </c>
      <c r="V935">
        <f>HYPERLINK("https://klasma.github.io/Logging_0885/klagomål/A 16173-2023 FSC-klagomål.docx", "A 16173-2023")</f>
        <v/>
      </c>
      <c r="W935">
        <f>HYPERLINK("https://klasma.github.io/Logging_0885/klagomålsmail/A 16173-2023 FSC-klagomål mail.docx", "A 16173-2023")</f>
        <v/>
      </c>
      <c r="X935">
        <f>HYPERLINK("https://klasma.github.io/Logging_0885/tillsyn/A 16173-2023 tillsynsbegäran.docx", "A 16173-2023")</f>
        <v/>
      </c>
      <c r="Y935">
        <f>HYPERLINK("https://klasma.github.io/Logging_0885/tillsynsmail/A 16173-2023 tillsynsbegäran mail.docx", "A 16173-2023")</f>
        <v/>
      </c>
    </row>
    <row r="936" ht="15" customHeight="1">
      <c r="A936" t="inlineStr">
        <is>
          <t>A 18475-2023</t>
        </is>
      </c>
      <c r="B936" s="1" t="n">
        <v>45042</v>
      </c>
      <c r="C936" s="1" t="n">
        <v>45715</v>
      </c>
      <c r="D936" t="inlineStr">
        <is>
          <t>KALMAR LÄN</t>
        </is>
      </c>
      <c r="E936" t="inlineStr">
        <is>
          <t>KALMAR</t>
        </is>
      </c>
      <c r="G936" t="n">
        <v>7.8</v>
      </c>
      <c r="H936" t="n">
        <v>0</v>
      </c>
      <c r="I936" t="n">
        <v>1</v>
      </c>
      <c r="J936" t="n">
        <v>0</v>
      </c>
      <c r="K936" t="n">
        <v>0</v>
      </c>
      <c r="L936" t="n">
        <v>0</v>
      </c>
      <c r="M936" t="n">
        <v>0</v>
      </c>
      <c r="N936" t="n">
        <v>0</v>
      </c>
      <c r="O936" t="n">
        <v>0</v>
      </c>
      <c r="P936" t="n">
        <v>0</v>
      </c>
      <c r="Q936" t="n">
        <v>1</v>
      </c>
      <c r="R936" s="2" t="inlineStr">
        <is>
          <t>Grönpyrola</t>
        </is>
      </c>
      <c r="S936">
        <f>HYPERLINK("https://klasma.github.io/Logging_0880/artfynd/A 18475-2023 artfynd.xlsx", "A 18475-2023")</f>
        <v/>
      </c>
      <c r="T936">
        <f>HYPERLINK("https://klasma.github.io/Logging_0880/kartor/A 18475-2023 karta.png", "A 18475-2023")</f>
        <v/>
      </c>
      <c r="V936">
        <f>HYPERLINK("https://klasma.github.io/Logging_0880/klagomål/A 18475-2023 FSC-klagomål.docx", "A 18475-2023")</f>
        <v/>
      </c>
      <c r="W936">
        <f>HYPERLINK("https://klasma.github.io/Logging_0880/klagomålsmail/A 18475-2023 FSC-klagomål mail.docx", "A 18475-2023")</f>
        <v/>
      </c>
      <c r="X936">
        <f>HYPERLINK("https://klasma.github.io/Logging_0880/tillsyn/A 18475-2023 tillsynsbegäran.docx", "A 18475-2023")</f>
        <v/>
      </c>
      <c r="Y936">
        <f>HYPERLINK("https://klasma.github.io/Logging_0880/tillsynsmail/A 18475-2023 tillsynsbegäran mail.docx", "A 18475-2023")</f>
        <v/>
      </c>
    </row>
    <row r="937" ht="15" customHeight="1">
      <c r="A937" t="inlineStr">
        <is>
          <t>A 18404-2023</t>
        </is>
      </c>
      <c r="B937" s="1" t="n">
        <v>45042</v>
      </c>
      <c r="C937" s="1" t="n">
        <v>45715</v>
      </c>
      <c r="D937" t="inlineStr">
        <is>
          <t>KALMAR LÄN</t>
        </is>
      </c>
      <c r="E937" t="inlineStr">
        <is>
          <t>NYBRO</t>
        </is>
      </c>
      <c r="G937" t="n">
        <v>5.3</v>
      </c>
      <c r="H937" t="n">
        <v>1</v>
      </c>
      <c r="I937" t="n">
        <v>0</v>
      </c>
      <c r="J937" t="n">
        <v>1</v>
      </c>
      <c r="K937" t="n">
        <v>0</v>
      </c>
      <c r="L937" t="n">
        <v>0</v>
      </c>
      <c r="M937" t="n">
        <v>0</v>
      </c>
      <c r="N937" t="n">
        <v>0</v>
      </c>
      <c r="O937" t="n">
        <v>1</v>
      </c>
      <c r="P937" t="n">
        <v>0</v>
      </c>
      <c r="Q937" t="n">
        <v>1</v>
      </c>
      <c r="R937" s="2" t="inlineStr">
        <is>
          <t>Havsörn</t>
        </is>
      </c>
      <c r="S937">
        <f>HYPERLINK("https://klasma.github.io/Logging_0881/artfynd/A 18404-2023 artfynd.xlsx", "A 18404-2023")</f>
        <v/>
      </c>
      <c r="T937">
        <f>HYPERLINK("https://klasma.github.io/Logging_0881/kartor/A 18404-2023 karta.png", "A 18404-2023")</f>
        <v/>
      </c>
      <c r="V937">
        <f>HYPERLINK("https://klasma.github.io/Logging_0881/klagomål/A 18404-2023 FSC-klagomål.docx", "A 18404-2023")</f>
        <v/>
      </c>
      <c r="W937">
        <f>HYPERLINK("https://klasma.github.io/Logging_0881/klagomålsmail/A 18404-2023 FSC-klagomål mail.docx", "A 18404-2023")</f>
        <v/>
      </c>
      <c r="X937">
        <f>HYPERLINK("https://klasma.github.io/Logging_0881/tillsyn/A 18404-2023 tillsynsbegäran.docx", "A 18404-2023")</f>
        <v/>
      </c>
      <c r="Y937">
        <f>HYPERLINK("https://klasma.github.io/Logging_0881/tillsynsmail/A 18404-2023 tillsynsbegäran mail.docx", "A 18404-2023")</f>
        <v/>
      </c>
      <c r="Z937">
        <f>HYPERLINK("https://klasma.github.io/Logging_0881/fåglar/A 18404-2023 prioriterade fågelarter.docx", "A 18404-2023")</f>
        <v/>
      </c>
    </row>
    <row r="938" ht="15" customHeight="1">
      <c r="A938" t="inlineStr">
        <is>
          <t>A 19459-2023</t>
        </is>
      </c>
      <c r="B938" s="1" t="n">
        <v>45049</v>
      </c>
      <c r="C938" s="1" t="n">
        <v>45715</v>
      </c>
      <c r="D938" t="inlineStr">
        <is>
          <t>KALMAR LÄN</t>
        </is>
      </c>
      <c r="E938" t="inlineStr">
        <is>
          <t>MÖRBYLÅNGA</t>
        </is>
      </c>
      <c r="G938" t="n">
        <v>1.6</v>
      </c>
      <c r="H938" t="n">
        <v>0</v>
      </c>
      <c r="I938" t="n">
        <v>0</v>
      </c>
      <c r="J938" t="n">
        <v>0</v>
      </c>
      <c r="K938" t="n">
        <v>1</v>
      </c>
      <c r="L938" t="n">
        <v>0</v>
      </c>
      <c r="M938" t="n">
        <v>0</v>
      </c>
      <c r="N938" t="n">
        <v>0</v>
      </c>
      <c r="O938" t="n">
        <v>1</v>
      </c>
      <c r="P938" t="n">
        <v>1</v>
      </c>
      <c r="Q938" t="n">
        <v>1</v>
      </c>
      <c r="R938" s="2" t="inlineStr">
        <is>
          <t>Luddvicker</t>
        </is>
      </c>
      <c r="S938">
        <f>HYPERLINK("https://klasma.github.io/Logging_0840/artfynd/A 19459-2023 artfynd.xlsx", "A 19459-2023")</f>
        <v/>
      </c>
      <c r="T938">
        <f>HYPERLINK("https://klasma.github.io/Logging_0840/kartor/A 19459-2023 karta.png", "A 19459-2023")</f>
        <v/>
      </c>
      <c r="V938">
        <f>HYPERLINK("https://klasma.github.io/Logging_0840/klagomål/A 19459-2023 FSC-klagomål.docx", "A 19459-2023")</f>
        <v/>
      </c>
      <c r="W938">
        <f>HYPERLINK("https://klasma.github.io/Logging_0840/klagomålsmail/A 19459-2023 FSC-klagomål mail.docx", "A 19459-2023")</f>
        <v/>
      </c>
      <c r="X938">
        <f>HYPERLINK("https://klasma.github.io/Logging_0840/tillsyn/A 19459-2023 tillsynsbegäran.docx", "A 19459-2023")</f>
        <v/>
      </c>
      <c r="Y938">
        <f>HYPERLINK("https://klasma.github.io/Logging_0840/tillsynsmail/A 19459-2023 tillsynsbegäran mail.docx", "A 19459-2023")</f>
        <v/>
      </c>
    </row>
    <row r="939" ht="15" customHeight="1">
      <c r="A939" t="inlineStr">
        <is>
          <t>A 21518-2023</t>
        </is>
      </c>
      <c r="B939" s="1" t="n">
        <v>45063</v>
      </c>
      <c r="C939" s="1" t="n">
        <v>45715</v>
      </c>
      <c r="D939" t="inlineStr">
        <is>
          <t>KALMAR LÄN</t>
        </is>
      </c>
      <c r="E939" t="inlineStr">
        <is>
          <t>KALMAR</t>
        </is>
      </c>
      <c r="F939" t="inlineStr">
        <is>
          <t>Sveaskog</t>
        </is>
      </c>
      <c r="G939" t="n">
        <v>16.5</v>
      </c>
      <c r="H939" t="n">
        <v>1</v>
      </c>
      <c r="I939" t="n">
        <v>0</v>
      </c>
      <c r="J939" t="n">
        <v>1</v>
      </c>
      <c r="K939" t="n">
        <v>0</v>
      </c>
      <c r="L939" t="n">
        <v>0</v>
      </c>
      <c r="M939" t="n">
        <v>0</v>
      </c>
      <c r="N939" t="n">
        <v>0</v>
      </c>
      <c r="O939" t="n">
        <v>1</v>
      </c>
      <c r="P939" t="n">
        <v>0</v>
      </c>
      <c r="Q939" t="n">
        <v>1</v>
      </c>
      <c r="R939" s="2" t="inlineStr">
        <is>
          <t>Spillkråka</t>
        </is>
      </c>
      <c r="S939">
        <f>HYPERLINK("https://klasma.github.io/Logging_0880/artfynd/A 21518-2023 artfynd.xlsx", "A 21518-2023")</f>
        <v/>
      </c>
      <c r="T939">
        <f>HYPERLINK("https://klasma.github.io/Logging_0880/kartor/A 21518-2023 karta.png", "A 21518-2023")</f>
        <v/>
      </c>
      <c r="V939">
        <f>HYPERLINK("https://klasma.github.io/Logging_0880/klagomål/A 21518-2023 FSC-klagomål.docx", "A 21518-2023")</f>
        <v/>
      </c>
      <c r="W939">
        <f>HYPERLINK("https://klasma.github.io/Logging_0880/klagomålsmail/A 21518-2023 FSC-klagomål mail.docx", "A 21518-2023")</f>
        <v/>
      </c>
      <c r="X939">
        <f>HYPERLINK("https://klasma.github.io/Logging_0880/tillsyn/A 21518-2023 tillsynsbegäran.docx", "A 21518-2023")</f>
        <v/>
      </c>
      <c r="Y939">
        <f>HYPERLINK("https://klasma.github.io/Logging_0880/tillsynsmail/A 21518-2023 tillsynsbegäran mail.docx", "A 21518-2023")</f>
        <v/>
      </c>
      <c r="Z939">
        <f>HYPERLINK("https://klasma.github.io/Logging_0880/fåglar/A 21518-2023 prioriterade fågelarter.docx", "A 21518-2023")</f>
        <v/>
      </c>
    </row>
    <row r="940" ht="15" customHeight="1">
      <c r="A940" t="inlineStr">
        <is>
          <t>A 21828-2023</t>
        </is>
      </c>
      <c r="B940" s="1" t="n">
        <v>45068</v>
      </c>
      <c r="C940" s="1" t="n">
        <v>45715</v>
      </c>
      <c r="D940" t="inlineStr">
        <is>
          <t>KALMAR LÄN</t>
        </is>
      </c>
      <c r="E940" t="inlineStr">
        <is>
          <t>VÄSTERVIK</t>
        </is>
      </c>
      <c r="G940" t="n">
        <v>0.7</v>
      </c>
      <c r="H940" t="n">
        <v>0</v>
      </c>
      <c r="I940" t="n">
        <v>1</v>
      </c>
      <c r="J940" t="n">
        <v>0</v>
      </c>
      <c r="K940" t="n">
        <v>0</v>
      </c>
      <c r="L940" t="n">
        <v>0</v>
      </c>
      <c r="M940" t="n">
        <v>0</v>
      </c>
      <c r="N940" t="n">
        <v>0</v>
      </c>
      <c r="O940" t="n">
        <v>0</v>
      </c>
      <c r="P940" t="n">
        <v>0</v>
      </c>
      <c r="Q940" t="n">
        <v>1</v>
      </c>
      <c r="R940" s="2" t="inlineStr">
        <is>
          <t>Grönpyrola</t>
        </is>
      </c>
      <c r="S940">
        <f>HYPERLINK("https://klasma.github.io/Logging_0883/artfynd/A 21828-2023 artfynd.xlsx", "A 21828-2023")</f>
        <v/>
      </c>
      <c r="T940">
        <f>HYPERLINK("https://klasma.github.io/Logging_0883/kartor/A 21828-2023 karta.png", "A 21828-2023")</f>
        <v/>
      </c>
      <c r="V940">
        <f>HYPERLINK("https://klasma.github.io/Logging_0883/klagomål/A 21828-2023 FSC-klagomål.docx", "A 21828-2023")</f>
        <v/>
      </c>
      <c r="W940">
        <f>HYPERLINK("https://klasma.github.io/Logging_0883/klagomålsmail/A 21828-2023 FSC-klagomål mail.docx", "A 21828-2023")</f>
        <v/>
      </c>
      <c r="X940">
        <f>HYPERLINK("https://klasma.github.io/Logging_0883/tillsyn/A 21828-2023 tillsynsbegäran.docx", "A 21828-2023")</f>
        <v/>
      </c>
      <c r="Y940">
        <f>HYPERLINK("https://klasma.github.io/Logging_0883/tillsynsmail/A 21828-2023 tillsynsbegäran mail.docx", "A 21828-2023")</f>
        <v/>
      </c>
    </row>
    <row r="941" ht="15" customHeight="1">
      <c r="A941" t="inlineStr">
        <is>
          <t>A 21846-2023</t>
        </is>
      </c>
      <c r="B941" s="1" t="n">
        <v>45068</v>
      </c>
      <c r="C941" s="1" t="n">
        <v>45715</v>
      </c>
      <c r="D941" t="inlineStr">
        <is>
          <t>KALMAR LÄN</t>
        </is>
      </c>
      <c r="E941" t="inlineStr">
        <is>
          <t>EMMABODA</t>
        </is>
      </c>
      <c r="F941" t="inlineStr">
        <is>
          <t>Kommuner</t>
        </is>
      </c>
      <c r="G941" t="n">
        <v>1.4</v>
      </c>
      <c r="H941" t="n">
        <v>0</v>
      </c>
      <c r="I941" t="n">
        <v>0</v>
      </c>
      <c r="J941" t="n">
        <v>1</v>
      </c>
      <c r="K941" t="n">
        <v>0</v>
      </c>
      <c r="L941" t="n">
        <v>0</v>
      </c>
      <c r="M941" t="n">
        <v>0</v>
      </c>
      <c r="N941" t="n">
        <v>0</v>
      </c>
      <c r="O941" t="n">
        <v>1</v>
      </c>
      <c r="P941" t="n">
        <v>0</v>
      </c>
      <c r="Q941" t="n">
        <v>1</v>
      </c>
      <c r="R941" s="2" t="inlineStr">
        <is>
          <t>Åkerkål</t>
        </is>
      </c>
      <c r="S941">
        <f>HYPERLINK("https://klasma.github.io/Logging_0862/artfynd/A 21846-2023 artfynd.xlsx", "A 21846-2023")</f>
        <v/>
      </c>
      <c r="T941">
        <f>HYPERLINK("https://klasma.github.io/Logging_0862/kartor/A 21846-2023 karta.png", "A 21846-2023")</f>
        <v/>
      </c>
      <c r="V941">
        <f>HYPERLINK("https://klasma.github.io/Logging_0862/klagomål/A 21846-2023 FSC-klagomål.docx", "A 21846-2023")</f>
        <v/>
      </c>
      <c r="W941">
        <f>HYPERLINK("https://klasma.github.io/Logging_0862/klagomålsmail/A 21846-2023 FSC-klagomål mail.docx", "A 21846-2023")</f>
        <v/>
      </c>
      <c r="X941">
        <f>HYPERLINK("https://klasma.github.io/Logging_0862/tillsyn/A 21846-2023 tillsynsbegäran.docx", "A 21846-2023")</f>
        <v/>
      </c>
      <c r="Y941">
        <f>HYPERLINK("https://klasma.github.io/Logging_0862/tillsynsmail/A 21846-2023 tillsynsbegäran mail.docx", "A 21846-2023")</f>
        <v/>
      </c>
    </row>
    <row r="942" ht="15" customHeight="1">
      <c r="A942" t="inlineStr">
        <is>
          <t>A 23602-2023</t>
        </is>
      </c>
      <c r="B942" s="1" t="n">
        <v>45077</v>
      </c>
      <c r="C942" s="1" t="n">
        <v>45715</v>
      </c>
      <c r="D942" t="inlineStr">
        <is>
          <t>KALMAR LÄN</t>
        </is>
      </c>
      <c r="E942" t="inlineStr">
        <is>
          <t>VIMMERBY</t>
        </is>
      </c>
      <c r="G942" t="n">
        <v>1.6</v>
      </c>
      <c r="H942" t="n">
        <v>0</v>
      </c>
      <c r="I942" t="n">
        <v>0</v>
      </c>
      <c r="J942" t="n">
        <v>1</v>
      </c>
      <c r="K942" t="n">
        <v>0</v>
      </c>
      <c r="L942" t="n">
        <v>0</v>
      </c>
      <c r="M942" t="n">
        <v>0</v>
      </c>
      <c r="N942" t="n">
        <v>0</v>
      </c>
      <c r="O942" t="n">
        <v>1</v>
      </c>
      <c r="P942" t="n">
        <v>0</v>
      </c>
      <c r="Q942" t="n">
        <v>1</v>
      </c>
      <c r="R942" s="2" t="inlineStr">
        <is>
          <t>Vedtrappmossa</t>
        </is>
      </c>
      <c r="S942">
        <f>HYPERLINK("https://klasma.github.io/Logging_0884/artfynd/A 23602-2023 artfynd.xlsx", "A 23602-2023")</f>
        <v/>
      </c>
      <c r="T942">
        <f>HYPERLINK("https://klasma.github.io/Logging_0884/kartor/A 23602-2023 karta.png", "A 23602-2023")</f>
        <v/>
      </c>
      <c r="V942">
        <f>HYPERLINK("https://klasma.github.io/Logging_0884/klagomål/A 23602-2023 FSC-klagomål.docx", "A 23602-2023")</f>
        <v/>
      </c>
      <c r="W942">
        <f>HYPERLINK("https://klasma.github.io/Logging_0884/klagomålsmail/A 23602-2023 FSC-klagomål mail.docx", "A 23602-2023")</f>
        <v/>
      </c>
      <c r="X942">
        <f>HYPERLINK("https://klasma.github.io/Logging_0884/tillsyn/A 23602-2023 tillsynsbegäran.docx", "A 23602-2023")</f>
        <v/>
      </c>
      <c r="Y942">
        <f>HYPERLINK("https://klasma.github.io/Logging_0884/tillsynsmail/A 23602-2023 tillsynsbegäran mail.docx", "A 23602-2023")</f>
        <v/>
      </c>
    </row>
    <row r="943" ht="15" customHeight="1">
      <c r="A943" t="inlineStr">
        <is>
          <t>A 23849-2023</t>
        </is>
      </c>
      <c r="B943" s="1" t="n">
        <v>45078</v>
      </c>
      <c r="C943" s="1" t="n">
        <v>45715</v>
      </c>
      <c r="D943" t="inlineStr">
        <is>
          <t>KALMAR LÄN</t>
        </is>
      </c>
      <c r="E943" t="inlineStr">
        <is>
          <t>HÖGSBY</t>
        </is>
      </c>
      <c r="G943" t="n">
        <v>1.5</v>
      </c>
      <c r="H943" t="n">
        <v>0</v>
      </c>
      <c r="I943" t="n">
        <v>0</v>
      </c>
      <c r="J943" t="n">
        <v>1</v>
      </c>
      <c r="K943" t="n">
        <v>0</v>
      </c>
      <c r="L943" t="n">
        <v>0</v>
      </c>
      <c r="M943" t="n">
        <v>0</v>
      </c>
      <c r="N943" t="n">
        <v>0</v>
      </c>
      <c r="O943" t="n">
        <v>1</v>
      </c>
      <c r="P943" t="n">
        <v>0</v>
      </c>
      <c r="Q943" t="n">
        <v>1</v>
      </c>
      <c r="R943" s="2" t="inlineStr">
        <is>
          <t>Vippärt</t>
        </is>
      </c>
      <c r="S943">
        <f>HYPERLINK("https://klasma.github.io/Logging_0821/artfynd/A 23849-2023 artfynd.xlsx", "A 23849-2023")</f>
        <v/>
      </c>
      <c r="T943">
        <f>HYPERLINK("https://klasma.github.io/Logging_0821/kartor/A 23849-2023 karta.png", "A 23849-2023")</f>
        <v/>
      </c>
      <c r="V943">
        <f>HYPERLINK("https://klasma.github.io/Logging_0821/klagomål/A 23849-2023 FSC-klagomål.docx", "A 23849-2023")</f>
        <v/>
      </c>
      <c r="W943">
        <f>HYPERLINK("https://klasma.github.io/Logging_0821/klagomålsmail/A 23849-2023 FSC-klagomål mail.docx", "A 23849-2023")</f>
        <v/>
      </c>
      <c r="X943">
        <f>HYPERLINK("https://klasma.github.io/Logging_0821/tillsyn/A 23849-2023 tillsynsbegäran.docx", "A 23849-2023")</f>
        <v/>
      </c>
      <c r="Y943">
        <f>HYPERLINK("https://klasma.github.io/Logging_0821/tillsynsmail/A 23849-2023 tillsynsbegäran mail.docx", "A 23849-2023")</f>
        <v/>
      </c>
    </row>
    <row r="944" ht="15" customHeight="1">
      <c r="A944" t="inlineStr">
        <is>
          <t>A 24157-2023</t>
        </is>
      </c>
      <c r="B944" s="1" t="n">
        <v>45079</v>
      </c>
      <c r="C944" s="1" t="n">
        <v>45715</v>
      </c>
      <c r="D944" t="inlineStr">
        <is>
          <t>KALMAR LÄN</t>
        </is>
      </c>
      <c r="E944" t="inlineStr">
        <is>
          <t>TORSÅS</t>
        </is>
      </c>
      <c r="G944" t="n">
        <v>7</v>
      </c>
      <c r="H944" t="n">
        <v>0</v>
      </c>
      <c r="I944" t="n">
        <v>1</v>
      </c>
      <c r="J944" t="n">
        <v>0</v>
      </c>
      <c r="K944" t="n">
        <v>0</v>
      </c>
      <c r="L944" t="n">
        <v>0</v>
      </c>
      <c r="M944" t="n">
        <v>0</v>
      </c>
      <c r="N944" t="n">
        <v>0</v>
      </c>
      <c r="O944" t="n">
        <v>0</v>
      </c>
      <c r="P944" t="n">
        <v>0</v>
      </c>
      <c r="Q944" t="n">
        <v>1</v>
      </c>
      <c r="R944" s="2" t="inlineStr">
        <is>
          <t>Grovticka</t>
        </is>
      </c>
      <c r="S944">
        <f>HYPERLINK("https://klasma.github.io/Logging_0834/artfynd/A 24157-2023 artfynd.xlsx", "A 24157-2023")</f>
        <v/>
      </c>
      <c r="T944">
        <f>HYPERLINK("https://klasma.github.io/Logging_0834/kartor/A 24157-2023 karta.png", "A 24157-2023")</f>
        <v/>
      </c>
      <c r="V944">
        <f>HYPERLINK("https://klasma.github.io/Logging_0834/klagomål/A 24157-2023 FSC-klagomål.docx", "A 24157-2023")</f>
        <v/>
      </c>
      <c r="W944">
        <f>HYPERLINK("https://klasma.github.io/Logging_0834/klagomålsmail/A 24157-2023 FSC-klagomål mail.docx", "A 24157-2023")</f>
        <v/>
      </c>
      <c r="X944">
        <f>HYPERLINK("https://klasma.github.io/Logging_0834/tillsyn/A 24157-2023 tillsynsbegäran.docx", "A 24157-2023")</f>
        <v/>
      </c>
      <c r="Y944">
        <f>HYPERLINK("https://klasma.github.io/Logging_0834/tillsynsmail/A 24157-2023 tillsynsbegäran mail.docx", "A 24157-2023")</f>
        <v/>
      </c>
    </row>
    <row r="945" ht="15" customHeight="1">
      <c r="A945" t="inlineStr">
        <is>
          <t>A 24700-2023</t>
        </is>
      </c>
      <c r="B945" s="1" t="n">
        <v>45084</v>
      </c>
      <c r="C945" s="1" t="n">
        <v>45715</v>
      </c>
      <c r="D945" t="inlineStr">
        <is>
          <t>KALMAR LÄN</t>
        </is>
      </c>
      <c r="E945" t="inlineStr">
        <is>
          <t>MÖRBYLÅNGA</t>
        </is>
      </c>
      <c r="G945" t="n">
        <v>3</v>
      </c>
      <c r="H945" t="n">
        <v>0</v>
      </c>
      <c r="I945" t="n">
        <v>1</v>
      </c>
      <c r="J945" t="n">
        <v>0</v>
      </c>
      <c r="K945" t="n">
        <v>0</v>
      </c>
      <c r="L945" t="n">
        <v>0</v>
      </c>
      <c r="M945" t="n">
        <v>0</v>
      </c>
      <c r="N945" t="n">
        <v>0</v>
      </c>
      <c r="O945" t="n">
        <v>0</v>
      </c>
      <c r="P945" t="n">
        <v>0</v>
      </c>
      <c r="Q945" t="n">
        <v>1</v>
      </c>
      <c r="R945" s="2" t="inlineStr">
        <is>
          <t>Sårläka</t>
        </is>
      </c>
      <c r="S945">
        <f>HYPERLINK("https://klasma.github.io/Logging_0840/artfynd/A 24700-2023 artfynd.xlsx", "A 24700-2023")</f>
        <v/>
      </c>
      <c r="T945">
        <f>HYPERLINK("https://klasma.github.io/Logging_0840/kartor/A 24700-2023 karta.png", "A 24700-2023")</f>
        <v/>
      </c>
      <c r="V945">
        <f>HYPERLINK("https://klasma.github.io/Logging_0840/klagomål/A 24700-2023 FSC-klagomål.docx", "A 24700-2023")</f>
        <v/>
      </c>
      <c r="W945">
        <f>HYPERLINK("https://klasma.github.io/Logging_0840/klagomålsmail/A 24700-2023 FSC-klagomål mail.docx", "A 24700-2023")</f>
        <v/>
      </c>
      <c r="X945">
        <f>HYPERLINK("https://klasma.github.io/Logging_0840/tillsyn/A 24700-2023 tillsynsbegäran.docx", "A 24700-2023")</f>
        <v/>
      </c>
      <c r="Y945">
        <f>HYPERLINK("https://klasma.github.io/Logging_0840/tillsynsmail/A 24700-2023 tillsynsbegäran mail.docx", "A 24700-2023")</f>
        <v/>
      </c>
    </row>
    <row r="946" ht="15" customHeight="1">
      <c r="A946" t="inlineStr">
        <is>
          <t>A 24704-2023</t>
        </is>
      </c>
      <c r="B946" s="1" t="n">
        <v>45084</v>
      </c>
      <c r="C946" s="1" t="n">
        <v>45715</v>
      </c>
      <c r="D946" t="inlineStr">
        <is>
          <t>KALMAR LÄN</t>
        </is>
      </c>
      <c r="E946" t="inlineStr">
        <is>
          <t>BORGHOLM</t>
        </is>
      </c>
      <c r="G946" t="n">
        <v>3.5</v>
      </c>
      <c r="H946" t="n">
        <v>0</v>
      </c>
      <c r="I946" t="n">
        <v>0</v>
      </c>
      <c r="J946" t="n">
        <v>0</v>
      </c>
      <c r="K946" t="n">
        <v>0</v>
      </c>
      <c r="L946" t="n">
        <v>1</v>
      </c>
      <c r="M946" t="n">
        <v>0</v>
      </c>
      <c r="N946" t="n">
        <v>0</v>
      </c>
      <c r="O946" t="n">
        <v>1</v>
      </c>
      <c r="P946" t="n">
        <v>1</v>
      </c>
      <c r="Q946" t="n">
        <v>1</v>
      </c>
      <c r="R946" s="2" t="inlineStr">
        <is>
          <t>Ask</t>
        </is>
      </c>
      <c r="S946">
        <f>HYPERLINK("https://klasma.github.io/Logging_0885/artfynd/A 24704-2023 artfynd.xlsx", "A 24704-2023")</f>
        <v/>
      </c>
      <c r="T946">
        <f>HYPERLINK("https://klasma.github.io/Logging_0885/kartor/A 24704-2023 karta.png", "A 24704-2023")</f>
        <v/>
      </c>
      <c r="V946">
        <f>HYPERLINK("https://klasma.github.io/Logging_0885/klagomål/A 24704-2023 FSC-klagomål.docx", "A 24704-2023")</f>
        <v/>
      </c>
      <c r="W946">
        <f>HYPERLINK("https://klasma.github.io/Logging_0885/klagomålsmail/A 24704-2023 FSC-klagomål mail.docx", "A 24704-2023")</f>
        <v/>
      </c>
      <c r="X946">
        <f>HYPERLINK("https://klasma.github.io/Logging_0885/tillsyn/A 24704-2023 tillsynsbegäran.docx", "A 24704-2023")</f>
        <v/>
      </c>
      <c r="Y946">
        <f>HYPERLINK("https://klasma.github.io/Logging_0885/tillsynsmail/A 24704-2023 tillsynsbegäran mail.docx", "A 24704-2023")</f>
        <v/>
      </c>
    </row>
    <row r="947" ht="15" customHeight="1">
      <c r="A947" t="inlineStr">
        <is>
          <t>A 24701-2023</t>
        </is>
      </c>
      <c r="B947" s="1" t="n">
        <v>45084</v>
      </c>
      <c r="C947" s="1" t="n">
        <v>45715</v>
      </c>
      <c r="D947" t="inlineStr">
        <is>
          <t>KALMAR LÄN</t>
        </is>
      </c>
      <c r="E947" t="inlineStr">
        <is>
          <t>BORGHOLM</t>
        </is>
      </c>
      <c r="G947" t="n">
        <v>3</v>
      </c>
      <c r="H947" t="n">
        <v>0</v>
      </c>
      <c r="I947" t="n">
        <v>0</v>
      </c>
      <c r="J947" t="n">
        <v>0</v>
      </c>
      <c r="K947" t="n">
        <v>0</v>
      </c>
      <c r="L947" t="n">
        <v>1</v>
      </c>
      <c r="M947" t="n">
        <v>0</v>
      </c>
      <c r="N947" t="n">
        <v>0</v>
      </c>
      <c r="O947" t="n">
        <v>1</v>
      </c>
      <c r="P947" t="n">
        <v>1</v>
      </c>
      <c r="Q947" t="n">
        <v>1</v>
      </c>
      <c r="R947" s="2" t="inlineStr">
        <is>
          <t>Ask</t>
        </is>
      </c>
      <c r="S947">
        <f>HYPERLINK("https://klasma.github.io/Logging_0885/artfynd/A 24701-2023 artfynd.xlsx", "A 24701-2023")</f>
        <v/>
      </c>
      <c r="T947">
        <f>HYPERLINK("https://klasma.github.io/Logging_0885/kartor/A 24701-2023 karta.png", "A 24701-2023")</f>
        <v/>
      </c>
      <c r="V947">
        <f>HYPERLINK("https://klasma.github.io/Logging_0885/klagomål/A 24701-2023 FSC-klagomål.docx", "A 24701-2023")</f>
        <v/>
      </c>
      <c r="W947">
        <f>HYPERLINK("https://klasma.github.io/Logging_0885/klagomålsmail/A 24701-2023 FSC-klagomål mail.docx", "A 24701-2023")</f>
        <v/>
      </c>
      <c r="X947">
        <f>HYPERLINK("https://klasma.github.io/Logging_0885/tillsyn/A 24701-2023 tillsynsbegäran.docx", "A 24701-2023")</f>
        <v/>
      </c>
      <c r="Y947">
        <f>HYPERLINK("https://klasma.github.io/Logging_0885/tillsynsmail/A 24701-2023 tillsynsbegäran mail.docx", "A 24701-2023")</f>
        <v/>
      </c>
    </row>
    <row r="948" ht="15" customHeight="1">
      <c r="A948" t="inlineStr">
        <is>
          <t>A 24695-2023</t>
        </is>
      </c>
      <c r="B948" s="1" t="n">
        <v>45084</v>
      </c>
      <c r="C948" s="1" t="n">
        <v>45715</v>
      </c>
      <c r="D948" t="inlineStr">
        <is>
          <t>KALMAR LÄN</t>
        </is>
      </c>
      <c r="E948" t="inlineStr">
        <is>
          <t>MÖRBYLÅNGA</t>
        </is>
      </c>
      <c r="G948" t="n">
        <v>8.5</v>
      </c>
      <c r="H948" t="n">
        <v>0</v>
      </c>
      <c r="I948" t="n">
        <v>0</v>
      </c>
      <c r="J948" t="n">
        <v>0</v>
      </c>
      <c r="K948" t="n">
        <v>0</v>
      </c>
      <c r="L948" t="n">
        <v>1</v>
      </c>
      <c r="M948" t="n">
        <v>0</v>
      </c>
      <c r="N948" t="n">
        <v>0</v>
      </c>
      <c r="O948" t="n">
        <v>1</v>
      </c>
      <c r="P948" t="n">
        <v>1</v>
      </c>
      <c r="Q948" t="n">
        <v>1</v>
      </c>
      <c r="R948" s="2" t="inlineStr">
        <is>
          <t>Ask</t>
        </is>
      </c>
      <c r="S948">
        <f>HYPERLINK("https://klasma.github.io/Logging_0840/artfynd/A 24695-2023 artfynd.xlsx", "A 24695-2023")</f>
        <v/>
      </c>
      <c r="T948">
        <f>HYPERLINK("https://klasma.github.io/Logging_0840/kartor/A 24695-2023 karta.png", "A 24695-2023")</f>
        <v/>
      </c>
      <c r="V948">
        <f>HYPERLINK("https://klasma.github.io/Logging_0840/klagomål/A 24695-2023 FSC-klagomål.docx", "A 24695-2023")</f>
        <v/>
      </c>
      <c r="W948">
        <f>HYPERLINK("https://klasma.github.io/Logging_0840/klagomålsmail/A 24695-2023 FSC-klagomål mail.docx", "A 24695-2023")</f>
        <v/>
      </c>
      <c r="X948">
        <f>HYPERLINK("https://klasma.github.io/Logging_0840/tillsyn/A 24695-2023 tillsynsbegäran.docx", "A 24695-2023")</f>
        <v/>
      </c>
      <c r="Y948">
        <f>HYPERLINK("https://klasma.github.io/Logging_0840/tillsynsmail/A 24695-2023 tillsynsbegäran mail.docx", "A 24695-2023")</f>
        <v/>
      </c>
    </row>
    <row r="949" ht="15" customHeight="1">
      <c r="A949" t="inlineStr">
        <is>
          <t>A 24698-2023</t>
        </is>
      </c>
      <c r="B949" s="1" t="n">
        <v>45084</v>
      </c>
      <c r="C949" s="1" t="n">
        <v>45715</v>
      </c>
      <c r="D949" t="inlineStr">
        <is>
          <t>KALMAR LÄN</t>
        </is>
      </c>
      <c r="E949" t="inlineStr">
        <is>
          <t>MÖRBYLÅNGA</t>
        </is>
      </c>
      <c r="G949" t="n">
        <v>5.5</v>
      </c>
      <c r="H949" t="n">
        <v>0</v>
      </c>
      <c r="I949" t="n">
        <v>1</v>
      </c>
      <c r="J949" t="n">
        <v>0</v>
      </c>
      <c r="K949" t="n">
        <v>0</v>
      </c>
      <c r="L949" t="n">
        <v>0</v>
      </c>
      <c r="M949" t="n">
        <v>0</v>
      </c>
      <c r="N949" t="n">
        <v>0</v>
      </c>
      <c r="O949" t="n">
        <v>0</v>
      </c>
      <c r="P949" t="n">
        <v>0</v>
      </c>
      <c r="Q949" t="n">
        <v>1</v>
      </c>
      <c r="R949" s="2" t="inlineStr">
        <is>
          <t>Sårläka</t>
        </is>
      </c>
      <c r="S949">
        <f>HYPERLINK("https://klasma.github.io/Logging_0840/artfynd/A 24698-2023 artfynd.xlsx", "A 24698-2023")</f>
        <v/>
      </c>
      <c r="T949">
        <f>HYPERLINK("https://klasma.github.io/Logging_0840/kartor/A 24698-2023 karta.png", "A 24698-2023")</f>
        <v/>
      </c>
      <c r="V949">
        <f>HYPERLINK("https://klasma.github.io/Logging_0840/klagomål/A 24698-2023 FSC-klagomål.docx", "A 24698-2023")</f>
        <v/>
      </c>
      <c r="W949">
        <f>HYPERLINK("https://klasma.github.io/Logging_0840/klagomålsmail/A 24698-2023 FSC-klagomål mail.docx", "A 24698-2023")</f>
        <v/>
      </c>
      <c r="X949">
        <f>HYPERLINK("https://klasma.github.io/Logging_0840/tillsyn/A 24698-2023 tillsynsbegäran.docx", "A 24698-2023")</f>
        <v/>
      </c>
      <c r="Y949">
        <f>HYPERLINK("https://klasma.github.io/Logging_0840/tillsynsmail/A 24698-2023 tillsynsbegäran mail.docx", "A 24698-2023")</f>
        <v/>
      </c>
    </row>
    <row r="950" ht="15" customHeight="1">
      <c r="A950" t="inlineStr">
        <is>
          <t>A 25231-2023</t>
        </is>
      </c>
      <c r="B950" s="1" t="n">
        <v>45086</v>
      </c>
      <c r="C950" s="1" t="n">
        <v>45715</v>
      </c>
      <c r="D950" t="inlineStr">
        <is>
          <t>KALMAR LÄN</t>
        </is>
      </c>
      <c r="E950" t="inlineStr">
        <is>
          <t>MÖNSTERÅS</t>
        </is>
      </c>
      <c r="G950" t="n">
        <v>6.4</v>
      </c>
      <c r="H950" t="n">
        <v>1</v>
      </c>
      <c r="I950" t="n">
        <v>0</v>
      </c>
      <c r="J950" t="n">
        <v>0</v>
      </c>
      <c r="K950" t="n">
        <v>0</v>
      </c>
      <c r="L950" t="n">
        <v>0</v>
      </c>
      <c r="M950" t="n">
        <v>0</v>
      </c>
      <c r="N950" t="n">
        <v>0</v>
      </c>
      <c r="O950" t="n">
        <v>0</v>
      </c>
      <c r="P950" t="n">
        <v>0</v>
      </c>
      <c r="Q950" t="n">
        <v>1</v>
      </c>
      <c r="R950" s="2" t="inlineStr">
        <is>
          <t>Hasselmus</t>
        </is>
      </c>
      <c r="S950">
        <f>HYPERLINK("https://klasma.github.io/Logging_0861/artfynd/A 25231-2023 artfynd.xlsx", "A 25231-2023")</f>
        <v/>
      </c>
      <c r="T950">
        <f>HYPERLINK("https://klasma.github.io/Logging_0861/kartor/A 25231-2023 karta.png", "A 25231-2023")</f>
        <v/>
      </c>
      <c r="V950">
        <f>HYPERLINK("https://klasma.github.io/Logging_0861/klagomål/A 25231-2023 FSC-klagomål.docx", "A 25231-2023")</f>
        <v/>
      </c>
      <c r="W950">
        <f>HYPERLINK("https://klasma.github.io/Logging_0861/klagomålsmail/A 25231-2023 FSC-klagomål mail.docx", "A 25231-2023")</f>
        <v/>
      </c>
      <c r="X950">
        <f>HYPERLINK("https://klasma.github.io/Logging_0861/tillsyn/A 25231-2023 tillsynsbegäran.docx", "A 25231-2023")</f>
        <v/>
      </c>
      <c r="Y950">
        <f>HYPERLINK("https://klasma.github.io/Logging_0861/tillsynsmail/A 25231-2023 tillsynsbegäran mail.docx", "A 25231-2023")</f>
        <v/>
      </c>
    </row>
    <row r="951" ht="15" customHeight="1">
      <c r="A951" t="inlineStr">
        <is>
          <t>A 25218-2023</t>
        </is>
      </c>
      <c r="B951" s="1" t="n">
        <v>45086</v>
      </c>
      <c r="C951" s="1" t="n">
        <v>45715</v>
      </c>
      <c r="D951" t="inlineStr">
        <is>
          <t>KALMAR LÄN</t>
        </is>
      </c>
      <c r="E951" t="inlineStr">
        <is>
          <t>MÖNSTERÅS</t>
        </is>
      </c>
      <c r="G951" t="n">
        <v>1.5</v>
      </c>
      <c r="H951" t="n">
        <v>1</v>
      </c>
      <c r="I951" t="n">
        <v>0</v>
      </c>
      <c r="J951" t="n">
        <v>0</v>
      </c>
      <c r="K951" t="n">
        <v>0</v>
      </c>
      <c r="L951" t="n">
        <v>0</v>
      </c>
      <c r="M951" t="n">
        <v>0</v>
      </c>
      <c r="N951" t="n">
        <v>0</v>
      </c>
      <c r="O951" t="n">
        <v>0</v>
      </c>
      <c r="P951" t="n">
        <v>0</v>
      </c>
      <c r="Q951" t="n">
        <v>1</v>
      </c>
      <c r="R951" s="2" t="inlineStr">
        <is>
          <t>Hasselmus</t>
        </is>
      </c>
      <c r="S951">
        <f>HYPERLINK("https://klasma.github.io/Logging_0861/artfynd/A 25218-2023 artfynd.xlsx", "A 25218-2023")</f>
        <v/>
      </c>
      <c r="T951">
        <f>HYPERLINK("https://klasma.github.io/Logging_0861/kartor/A 25218-2023 karta.png", "A 25218-2023")</f>
        <v/>
      </c>
      <c r="V951">
        <f>HYPERLINK("https://klasma.github.io/Logging_0861/klagomål/A 25218-2023 FSC-klagomål.docx", "A 25218-2023")</f>
        <v/>
      </c>
      <c r="W951">
        <f>HYPERLINK("https://klasma.github.io/Logging_0861/klagomålsmail/A 25218-2023 FSC-klagomål mail.docx", "A 25218-2023")</f>
        <v/>
      </c>
      <c r="X951">
        <f>HYPERLINK("https://klasma.github.io/Logging_0861/tillsyn/A 25218-2023 tillsynsbegäran.docx", "A 25218-2023")</f>
        <v/>
      </c>
      <c r="Y951">
        <f>HYPERLINK("https://klasma.github.io/Logging_0861/tillsynsmail/A 25218-2023 tillsynsbegäran mail.docx", "A 25218-2023")</f>
        <v/>
      </c>
    </row>
    <row r="952" ht="15" customHeight="1">
      <c r="A952" t="inlineStr">
        <is>
          <t>A 25436-2023</t>
        </is>
      </c>
      <c r="B952" s="1" t="n">
        <v>45089</v>
      </c>
      <c r="C952" s="1" t="n">
        <v>45715</v>
      </c>
      <c r="D952" t="inlineStr">
        <is>
          <t>KALMAR LÄN</t>
        </is>
      </c>
      <c r="E952" t="inlineStr">
        <is>
          <t>VÄSTERVIK</t>
        </is>
      </c>
      <c r="G952" t="n">
        <v>1.6</v>
      </c>
      <c r="H952" t="n">
        <v>1</v>
      </c>
      <c r="I952" t="n">
        <v>0</v>
      </c>
      <c r="J952" t="n">
        <v>0</v>
      </c>
      <c r="K952" t="n">
        <v>1</v>
      </c>
      <c r="L952" t="n">
        <v>0</v>
      </c>
      <c r="M952" t="n">
        <v>0</v>
      </c>
      <c r="N952" t="n">
        <v>0</v>
      </c>
      <c r="O952" t="n">
        <v>1</v>
      </c>
      <c r="P952" t="n">
        <v>1</v>
      </c>
      <c r="Q952" t="n">
        <v>1</v>
      </c>
      <c r="R952" s="2" t="inlineStr">
        <is>
          <t>Knärot</t>
        </is>
      </c>
      <c r="S952">
        <f>HYPERLINK("https://klasma.github.io/Logging_0883/artfynd/A 25436-2023 artfynd.xlsx", "A 25436-2023")</f>
        <v/>
      </c>
      <c r="T952">
        <f>HYPERLINK("https://klasma.github.io/Logging_0883/kartor/A 25436-2023 karta.png", "A 25436-2023")</f>
        <v/>
      </c>
      <c r="U952">
        <f>HYPERLINK("https://klasma.github.io/Logging_0883/knärot/A 25436-2023 karta knärot.png", "A 25436-2023")</f>
        <v/>
      </c>
      <c r="V952">
        <f>HYPERLINK("https://klasma.github.io/Logging_0883/klagomål/A 25436-2023 FSC-klagomål.docx", "A 25436-2023")</f>
        <v/>
      </c>
      <c r="W952">
        <f>HYPERLINK("https://klasma.github.io/Logging_0883/klagomålsmail/A 25436-2023 FSC-klagomål mail.docx", "A 25436-2023")</f>
        <v/>
      </c>
      <c r="X952">
        <f>HYPERLINK("https://klasma.github.io/Logging_0883/tillsyn/A 25436-2023 tillsynsbegäran.docx", "A 25436-2023")</f>
        <v/>
      </c>
      <c r="Y952">
        <f>HYPERLINK("https://klasma.github.io/Logging_0883/tillsynsmail/A 25436-2023 tillsynsbegäran mail.docx", "A 25436-2023")</f>
        <v/>
      </c>
    </row>
    <row r="953" ht="15" customHeight="1">
      <c r="A953" t="inlineStr">
        <is>
          <t>A 25433-2023</t>
        </is>
      </c>
      <c r="B953" s="1" t="n">
        <v>45089</v>
      </c>
      <c r="C953" s="1" t="n">
        <v>45715</v>
      </c>
      <c r="D953" t="inlineStr">
        <is>
          <t>KALMAR LÄN</t>
        </is>
      </c>
      <c r="E953" t="inlineStr">
        <is>
          <t>VÄSTERVIK</t>
        </is>
      </c>
      <c r="G953" t="n">
        <v>2.3</v>
      </c>
      <c r="H953" t="n">
        <v>1</v>
      </c>
      <c r="I953" t="n">
        <v>0</v>
      </c>
      <c r="J953" t="n">
        <v>0</v>
      </c>
      <c r="K953" t="n">
        <v>1</v>
      </c>
      <c r="L953" t="n">
        <v>0</v>
      </c>
      <c r="M953" t="n">
        <v>0</v>
      </c>
      <c r="N953" t="n">
        <v>0</v>
      </c>
      <c r="O953" t="n">
        <v>1</v>
      </c>
      <c r="P953" t="n">
        <v>1</v>
      </c>
      <c r="Q953" t="n">
        <v>1</v>
      </c>
      <c r="R953" s="2" t="inlineStr">
        <is>
          <t>Knärot</t>
        </is>
      </c>
      <c r="S953">
        <f>HYPERLINK("https://klasma.github.io/Logging_0883/artfynd/A 25433-2023 artfynd.xlsx", "A 25433-2023")</f>
        <v/>
      </c>
      <c r="T953">
        <f>HYPERLINK("https://klasma.github.io/Logging_0883/kartor/A 25433-2023 karta.png", "A 25433-2023")</f>
        <v/>
      </c>
      <c r="U953">
        <f>HYPERLINK("https://klasma.github.io/Logging_0883/knärot/A 25433-2023 karta knärot.png", "A 25433-2023")</f>
        <v/>
      </c>
      <c r="V953">
        <f>HYPERLINK("https://klasma.github.io/Logging_0883/klagomål/A 25433-2023 FSC-klagomål.docx", "A 25433-2023")</f>
        <v/>
      </c>
      <c r="W953">
        <f>HYPERLINK("https://klasma.github.io/Logging_0883/klagomålsmail/A 25433-2023 FSC-klagomål mail.docx", "A 25433-2023")</f>
        <v/>
      </c>
      <c r="X953">
        <f>HYPERLINK("https://klasma.github.io/Logging_0883/tillsyn/A 25433-2023 tillsynsbegäran.docx", "A 25433-2023")</f>
        <v/>
      </c>
      <c r="Y953">
        <f>HYPERLINK("https://klasma.github.io/Logging_0883/tillsynsmail/A 25433-2023 tillsynsbegäran mail.docx", "A 25433-2023")</f>
        <v/>
      </c>
    </row>
    <row r="954" ht="15" customHeight="1">
      <c r="A954" t="inlineStr">
        <is>
          <t>A 25563-2023</t>
        </is>
      </c>
      <c r="B954" s="1" t="n">
        <v>45089</v>
      </c>
      <c r="C954" s="1" t="n">
        <v>45715</v>
      </c>
      <c r="D954" t="inlineStr">
        <is>
          <t>KALMAR LÄN</t>
        </is>
      </c>
      <c r="E954" t="inlineStr">
        <is>
          <t>VÄSTERVIK</t>
        </is>
      </c>
      <c r="G954" t="n">
        <v>1.6</v>
      </c>
      <c r="H954" t="n">
        <v>1</v>
      </c>
      <c r="I954" t="n">
        <v>0</v>
      </c>
      <c r="J954" t="n">
        <v>1</v>
      </c>
      <c r="K954" t="n">
        <v>0</v>
      </c>
      <c r="L954" t="n">
        <v>0</v>
      </c>
      <c r="M954" t="n">
        <v>0</v>
      </c>
      <c r="N954" t="n">
        <v>0</v>
      </c>
      <c r="O954" t="n">
        <v>1</v>
      </c>
      <c r="P954" t="n">
        <v>0</v>
      </c>
      <c r="Q954" t="n">
        <v>1</v>
      </c>
      <c r="R954" s="2" t="inlineStr">
        <is>
          <t>Talltita</t>
        </is>
      </c>
      <c r="S954">
        <f>HYPERLINK("https://klasma.github.io/Logging_0883/artfynd/A 25563-2023 artfynd.xlsx", "A 25563-2023")</f>
        <v/>
      </c>
      <c r="T954">
        <f>HYPERLINK("https://klasma.github.io/Logging_0883/kartor/A 25563-2023 karta.png", "A 25563-2023")</f>
        <v/>
      </c>
      <c r="V954">
        <f>HYPERLINK("https://klasma.github.io/Logging_0883/klagomål/A 25563-2023 FSC-klagomål.docx", "A 25563-2023")</f>
        <v/>
      </c>
      <c r="W954">
        <f>HYPERLINK("https://klasma.github.io/Logging_0883/klagomålsmail/A 25563-2023 FSC-klagomål mail.docx", "A 25563-2023")</f>
        <v/>
      </c>
      <c r="X954">
        <f>HYPERLINK("https://klasma.github.io/Logging_0883/tillsyn/A 25563-2023 tillsynsbegäran.docx", "A 25563-2023")</f>
        <v/>
      </c>
      <c r="Y954">
        <f>HYPERLINK("https://klasma.github.io/Logging_0883/tillsynsmail/A 25563-2023 tillsynsbegäran mail.docx", "A 25563-2023")</f>
        <v/>
      </c>
      <c r="Z954">
        <f>HYPERLINK("https://klasma.github.io/Logging_0883/fåglar/A 25563-2023 prioriterade fågelarter.docx", "A 25563-2023")</f>
        <v/>
      </c>
    </row>
    <row r="955" ht="15" customHeight="1">
      <c r="A955" t="inlineStr">
        <is>
          <t>A 26274-2023</t>
        </is>
      </c>
      <c r="B955" s="1" t="n">
        <v>45091</v>
      </c>
      <c r="C955" s="1" t="n">
        <v>45715</v>
      </c>
      <c r="D955" t="inlineStr">
        <is>
          <t>KALMAR LÄN</t>
        </is>
      </c>
      <c r="E955" t="inlineStr">
        <is>
          <t>MÖNSTERÅS</t>
        </is>
      </c>
      <c r="G955" t="n">
        <v>2.1</v>
      </c>
      <c r="H955" t="n">
        <v>1</v>
      </c>
      <c r="I955" t="n">
        <v>0</v>
      </c>
      <c r="J955" t="n">
        <v>1</v>
      </c>
      <c r="K955" t="n">
        <v>0</v>
      </c>
      <c r="L955" t="n">
        <v>0</v>
      </c>
      <c r="M955" t="n">
        <v>0</v>
      </c>
      <c r="N955" t="n">
        <v>0</v>
      </c>
      <c r="O955" t="n">
        <v>1</v>
      </c>
      <c r="P955" t="n">
        <v>0</v>
      </c>
      <c r="Q955" t="n">
        <v>1</v>
      </c>
      <c r="R955" s="2" t="inlineStr">
        <is>
          <t>Havsörn</t>
        </is>
      </c>
      <c r="S955">
        <f>HYPERLINK("https://klasma.github.io/Logging_0861/artfynd/A 26274-2023 artfynd.xlsx", "A 26274-2023")</f>
        <v/>
      </c>
      <c r="T955">
        <f>HYPERLINK("https://klasma.github.io/Logging_0861/kartor/A 26274-2023 karta.png", "A 26274-2023")</f>
        <v/>
      </c>
      <c r="V955">
        <f>HYPERLINK("https://klasma.github.io/Logging_0861/klagomål/A 26274-2023 FSC-klagomål.docx", "A 26274-2023")</f>
        <v/>
      </c>
      <c r="W955">
        <f>HYPERLINK("https://klasma.github.io/Logging_0861/klagomålsmail/A 26274-2023 FSC-klagomål mail.docx", "A 26274-2023")</f>
        <v/>
      </c>
      <c r="X955">
        <f>HYPERLINK("https://klasma.github.io/Logging_0861/tillsyn/A 26274-2023 tillsynsbegäran.docx", "A 26274-2023")</f>
        <v/>
      </c>
      <c r="Y955">
        <f>HYPERLINK("https://klasma.github.io/Logging_0861/tillsynsmail/A 26274-2023 tillsynsbegäran mail.docx", "A 26274-2023")</f>
        <v/>
      </c>
      <c r="Z955">
        <f>HYPERLINK("https://klasma.github.io/Logging_0861/fåglar/A 26274-2023 prioriterade fågelarter.docx", "A 26274-2023")</f>
        <v/>
      </c>
    </row>
    <row r="956" ht="15" customHeight="1">
      <c r="A956" t="inlineStr">
        <is>
          <t>A 26278-2023</t>
        </is>
      </c>
      <c r="B956" s="1" t="n">
        <v>45091</v>
      </c>
      <c r="C956" s="1" t="n">
        <v>45715</v>
      </c>
      <c r="D956" t="inlineStr">
        <is>
          <t>KALMAR LÄN</t>
        </is>
      </c>
      <c r="E956" t="inlineStr">
        <is>
          <t>VÄSTERVIK</t>
        </is>
      </c>
      <c r="G956" t="n">
        <v>3.1</v>
      </c>
      <c r="H956" t="n">
        <v>1</v>
      </c>
      <c r="I956" t="n">
        <v>0</v>
      </c>
      <c r="J956" t="n">
        <v>0</v>
      </c>
      <c r="K956" t="n">
        <v>1</v>
      </c>
      <c r="L956" t="n">
        <v>0</v>
      </c>
      <c r="M956" t="n">
        <v>0</v>
      </c>
      <c r="N956" t="n">
        <v>0</v>
      </c>
      <c r="O956" t="n">
        <v>1</v>
      </c>
      <c r="P956" t="n">
        <v>1</v>
      </c>
      <c r="Q956" t="n">
        <v>1</v>
      </c>
      <c r="R956" s="2" t="inlineStr">
        <is>
          <t>Knärot</t>
        </is>
      </c>
      <c r="S956">
        <f>HYPERLINK("https://klasma.github.io/Logging_0883/artfynd/A 26278-2023 artfynd.xlsx", "A 26278-2023")</f>
        <v/>
      </c>
      <c r="T956">
        <f>HYPERLINK("https://klasma.github.io/Logging_0883/kartor/A 26278-2023 karta.png", "A 26278-2023")</f>
        <v/>
      </c>
      <c r="U956">
        <f>HYPERLINK("https://klasma.github.io/Logging_0883/knärot/A 26278-2023 karta knärot.png", "A 26278-2023")</f>
        <v/>
      </c>
      <c r="V956">
        <f>HYPERLINK("https://klasma.github.io/Logging_0883/klagomål/A 26278-2023 FSC-klagomål.docx", "A 26278-2023")</f>
        <v/>
      </c>
      <c r="W956">
        <f>HYPERLINK("https://klasma.github.io/Logging_0883/klagomålsmail/A 26278-2023 FSC-klagomål mail.docx", "A 26278-2023")</f>
        <v/>
      </c>
      <c r="X956">
        <f>HYPERLINK("https://klasma.github.io/Logging_0883/tillsyn/A 26278-2023 tillsynsbegäran.docx", "A 26278-2023")</f>
        <v/>
      </c>
      <c r="Y956">
        <f>HYPERLINK("https://klasma.github.io/Logging_0883/tillsynsmail/A 26278-2023 tillsynsbegäran mail.docx", "A 26278-2023")</f>
        <v/>
      </c>
    </row>
    <row r="957" ht="15" customHeight="1">
      <c r="A957" t="inlineStr">
        <is>
          <t>A 26685-2023</t>
        </is>
      </c>
      <c r="B957" s="1" t="n">
        <v>45093</v>
      </c>
      <c r="C957" s="1" t="n">
        <v>45715</v>
      </c>
      <c r="D957" t="inlineStr">
        <is>
          <t>KALMAR LÄN</t>
        </is>
      </c>
      <c r="E957" t="inlineStr">
        <is>
          <t>HULTSFRED</t>
        </is>
      </c>
      <c r="G957" t="n">
        <v>2.3</v>
      </c>
      <c r="H957" t="n">
        <v>1</v>
      </c>
      <c r="I957" t="n">
        <v>0</v>
      </c>
      <c r="J957" t="n">
        <v>0</v>
      </c>
      <c r="K957" t="n">
        <v>0</v>
      </c>
      <c r="L957" t="n">
        <v>0</v>
      </c>
      <c r="M957" t="n">
        <v>0</v>
      </c>
      <c r="N957" t="n">
        <v>0</v>
      </c>
      <c r="O957" t="n">
        <v>0</v>
      </c>
      <c r="P957" t="n">
        <v>0</v>
      </c>
      <c r="Q957" t="n">
        <v>1</v>
      </c>
      <c r="R957" s="2" t="inlineStr">
        <is>
          <t>Blåsippa</t>
        </is>
      </c>
      <c r="S957">
        <f>HYPERLINK("https://klasma.github.io/Logging_0860/artfynd/A 26685-2023 artfynd.xlsx", "A 26685-2023")</f>
        <v/>
      </c>
      <c r="T957">
        <f>HYPERLINK("https://klasma.github.io/Logging_0860/kartor/A 26685-2023 karta.png", "A 26685-2023")</f>
        <v/>
      </c>
      <c r="V957">
        <f>HYPERLINK("https://klasma.github.io/Logging_0860/klagomål/A 26685-2023 FSC-klagomål.docx", "A 26685-2023")</f>
        <v/>
      </c>
      <c r="W957">
        <f>HYPERLINK("https://klasma.github.io/Logging_0860/klagomålsmail/A 26685-2023 FSC-klagomål mail.docx", "A 26685-2023")</f>
        <v/>
      </c>
      <c r="X957">
        <f>HYPERLINK("https://klasma.github.io/Logging_0860/tillsyn/A 26685-2023 tillsynsbegäran.docx", "A 26685-2023")</f>
        <v/>
      </c>
      <c r="Y957">
        <f>HYPERLINK("https://klasma.github.io/Logging_0860/tillsynsmail/A 26685-2023 tillsynsbegäran mail.docx", "A 26685-2023")</f>
        <v/>
      </c>
    </row>
    <row r="958" ht="15" customHeight="1">
      <c r="A958" t="inlineStr">
        <is>
          <t>A 27346-2023</t>
        </is>
      </c>
      <c r="B958" s="1" t="n">
        <v>45096</v>
      </c>
      <c r="C958" s="1" t="n">
        <v>45715</v>
      </c>
      <c r="D958" t="inlineStr">
        <is>
          <t>KALMAR LÄN</t>
        </is>
      </c>
      <c r="E958" t="inlineStr">
        <is>
          <t>NYBRO</t>
        </is>
      </c>
      <c r="G958" t="n">
        <v>1.2</v>
      </c>
      <c r="H958" t="n">
        <v>0</v>
      </c>
      <c r="I958" t="n">
        <v>1</v>
      </c>
      <c r="J958" t="n">
        <v>0</v>
      </c>
      <c r="K958" t="n">
        <v>0</v>
      </c>
      <c r="L958" t="n">
        <v>0</v>
      </c>
      <c r="M958" t="n">
        <v>0</v>
      </c>
      <c r="N958" t="n">
        <v>0</v>
      </c>
      <c r="O958" t="n">
        <v>0</v>
      </c>
      <c r="P958" t="n">
        <v>0</v>
      </c>
      <c r="Q958" t="n">
        <v>1</v>
      </c>
      <c r="R958" s="2" t="inlineStr">
        <is>
          <t>Blanksvart trämyra</t>
        </is>
      </c>
      <c r="S958">
        <f>HYPERLINK("https://klasma.github.io/Logging_0881/artfynd/A 27346-2023 artfynd.xlsx", "A 27346-2023")</f>
        <v/>
      </c>
      <c r="T958">
        <f>HYPERLINK("https://klasma.github.io/Logging_0881/kartor/A 27346-2023 karta.png", "A 27346-2023")</f>
        <v/>
      </c>
      <c r="V958">
        <f>HYPERLINK("https://klasma.github.io/Logging_0881/klagomål/A 27346-2023 FSC-klagomål.docx", "A 27346-2023")</f>
        <v/>
      </c>
      <c r="W958">
        <f>HYPERLINK("https://klasma.github.io/Logging_0881/klagomålsmail/A 27346-2023 FSC-klagomål mail.docx", "A 27346-2023")</f>
        <v/>
      </c>
      <c r="X958">
        <f>HYPERLINK("https://klasma.github.io/Logging_0881/tillsyn/A 27346-2023 tillsynsbegäran.docx", "A 27346-2023")</f>
        <v/>
      </c>
      <c r="Y958">
        <f>HYPERLINK("https://klasma.github.io/Logging_0881/tillsynsmail/A 27346-2023 tillsynsbegäran mail.docx", "A 27346-2023")</f>
        <v/>
      </c>
    </row>
    <row r="959" ht="15" customHeight="1">
      <c r="A959" t="inlineStr">
        <is>
          <t>A 27546-2023</t>
        </is>
      </c>
      <c r="B959" s="1" t="n">
        <v>45097</v>
      </c>
      <c r="C959" s="1" t="n">
        <v>45715</v>
      </c>
      <c r="D959" t="inlineStr">
        <is>
          <t>KALMAR LÄN</t>
        </is>
      </c>
      <c r="E959" t="inlineStr">
        <is>
          <t>MÖNSTERÅS</t>
        </is>
      </c>
      <c r="G959" t="n">
        <v>1.1</v>
      </c>
      <c r="H959" t="n">
        <v>0</v>
      </c>
      <c r="I959" t="n">
        <v>1</v>
      </c>
      <c r="J959" t="n">
        <v>0</v>
      </c>
      <c r="K959" t="n">
        <v>0</v>
      </c>
      <c r="L959" t="n">
        <v>0</v>
      </c>
      <c r="M959" t="n">
        <v>0</v>
      </c>
      <c r="N959" t="n">
        <v>0</v>
      </c>
      <c r="O959" t="n">
        <v>0</v>
      </c>
      <c r="P959" t="n">
        <v>0</v>
      </c>
      <c r="Q959" t="n">
        <v>1</v>
      </c>
      <c r="R959" s="2" t="inlineStr">
        <is>
          <t>Grovticka</t>
        </is>
      </c>
      <c r="S959">
        <f>HYPERLINK("https://klasma.github.io/Logging_0861/artfynd/A 27546-2023 artfynd.xlsx", "A 27546-2023")</f>
        <v/>
      </c>
      <c r="T959">
        <f>HYPERLINK("https://klasma.github.io/Logging_0861/kartor/A 27546-2023 karta.png", "A 27546-2023")</f>
        <v/>
      </c>
      <c r="V959">
        <f>HYPERLINK("https://klasma.github.io/Logging_0861/klagomål/A 27546-2023 FSC-klagomål.docx", "A 27546-2023")</f>
        <v/>
      </c>
      <c r="W959">
        <f>HYPERLINK("https://klasma.github.io/Logging_0861/klagomålsmail/A 27546-2023 FSC-klagomål mail.docx", "A 27546-2023")</f>
        <v/>
      </c>
      <c r="X959">
        <f>HYPERLINK("https://klasma.github.io/Logging_0861/tillsyn/A 27546-2023 tillsynsbegäran.docx", "A 27546-2023")</f>
        <v/>
      </c>
      <c r="Y959">
        <f>HYPERLINK("https://klasma.github.io/Logging_0861/tillsynsmail/A 27546-2023 tillsynsbegäran mail.docx", "A 27546-2023")</f>
        <v/>
      </c>
    </row>
    <row r="960" ht="15" customHeight="1">
      <c r="A960" t="inlineStr">
        <is>
          <t>A 27854-2023</t>
        </is>
      </c>
      <c r="B960" s="1" t="n">
        <v>45098</v>
      </c>
      <c r="C960" s="1" t="n">
        <v>45715</v>
      </c>
      <c r="D960" t="inlineStr">
        <is>
          <t>KALMAR LÄN</t>
        </is>
      </c>
      <c r="E960" t="inlineStr">
        <is>
          <t>OSKARSHAMN</t>
        </is>
      </c>
      <c r="G960" t="n">
        <v>3.3</v>
      </c>
      <c r="H960" t="n">
        <v>0</v>
      </c>
      <c r="I960" t="n">
        <v>0</v>
      </c>
      <c r="J960" t="n">
        <v>1</v>
      </c>
      <c r="K960" t="n">
        <v>0</v>
      </c>
      <c r="L960" t="n">
        <v>0</v>
      </c>
      <c r="M960" t="n">
        <v>0</v>
      </c>
      <c r="N960" t="n">
        <v>0</v>
      </c>
      <c r="O960" t="n">
        <v>1</v>
      </c>
      <c r="P960" t="n">
        <v>0</v>
      </c>
      <c r="Q960" t="n">
        <v>1</v>
      </c>
      <c r="R960" s="2" t="inlineStr">
        <is>
          <t>Åkerkål</t>
        </is>
      </c>
      <c r="S960">
        <f>HYPERLINK("https://klasma.github.io/Logging_0882/artfynd/A 27854-2023 artfynd.xlsx", "A 27854-2023")</f>
        <v/>
      </c>
      <c r="T960">
        <f>HYPERLINK("https://klasma.github.io/Logging_0882/kartor/A 27854-2023 karta.png", "A 27854-2023")</f>
        <v/>
      </c>
      <c r="V960">
        <f>HYPERLINK("https://klasma.github.io/Logging_0882/klagomål/A 27854-2023 FSC-klagomål.docx", "A 27854-2023")</f>
        <v/>
      </c>
      <c r="W960">
        <f>HYPERLINK("https://klasma.github.io/Logging_0882/klagomålsmail/A 27854-2023 FSC-klagomål mail.docx", "A 27854-2023")</f>
        <v/>
      </c>
      <c r="X960">
        <f>HYPERLINK("https://klasma.github.io/Logging_0882/tillsyn/A 27854-2023 tillsynsbegäran.docx", "A 27854-2023")</f>
        <v/>
      </c>
      <c r="Y960">
        <f>HYPERLINK("https://klasma.github.io/Logging_0882/tillsynsmail/A 27854-2023 tillsynsbegäran mail.docx", "A 27854-2023")</f>
        <v/>
      </c>
    </row>
    <row r="961" ht="15" customHeight="1">
      <c r="A961" t="inlineStr">
        <is>
          <t>A 28495-2023</t>
        </is>
      </c>
      <c r="B961" s="1" t="n">
        <v>45103</v>
      </c>
      <c r="C961" s="1" t="n">
        <v>45715</v>
      </c>
      <c r="D961" t="inlineStr">
        <is>
          <t>KALMAR LÄN</t>
        </is>
      </c>
      <c r="E961" t="inlineStr">
        <is>
          <t>VÄSTERVIK</t>
        </is>
      </c>
      <c r="G961" t="n">
        <v>3.1</v>
      </c>
      <c r="H961" t="n">
        <v>1</v>
      </c>
      <c r="I961" t="n">
        <v>0</v>
      </c>
      <c r="J961" t="n">
        <v>0</v>
      </c>
      <c r="K961" t="n">
        <v>1</v>
      </c>
      <c r="L961" t="n">
        <v>0</v>
      </c>
      <c r="M961" t="n">
        <v>0</v>
      </c>
      <c r="N961" t="n">
        <v>0</v>
      </c>
      <c r="O961" t="n">
        <v>1</v>
      </c>
      <c r="P961" t="n">
        <v>1</v>
      </c>
      <c r="Q961" t="n">
        <v>1</v>
      </c>
      <c r="R961" s="2" t="inlineStr">
        <is>
          <t>Knärot</t>
        </is>
      </c>
      <c r="S961">
        <f>HYPERLINK("https://klasma.github.io/Logging_0883/artfynd/A 28495-2023 artfynd.xlsx", "A 28495-2023")</f>
        <v/>
      </c>
      <c r="T961">
        <f>HYPERLINK("https://klasma.github.io/Logging_0883/kartor/A 28495-2023 karta.png", "A 28495-2023")</f>
        <v/>
      </c>
      <c r="U961">
        <f>HYPERLINK("https://klasma.github.io/Logging_0883/knärot/A 28495-2023 karta knärot.png", "A 28495-2023")</f>
        <v/>
      </c>
      <c r="V961">
        <f>HYPERLINK("https://klasma.github.io/Logging_0883/klagomål/A 28495-2023 FSC-klagomål.docx", "A 28495-2023")</f>
        <v/>
      </c>
      <c r="W961">
        <f>HYPERLINK("https://klasma.github.io/Logging_0883/klagomålsmail/A 28495-2023 FSC-klagomål mail.docx", "A 28495-2023")</f>
        <v/>
      </c>
      <c r="X961">
        <f>HYPERLINK("https://klasma.github.io/Logging_0883/tillsyn/A 28495-2023 tillsynsbegäran.docx", "A 28495-2023")</f>
        <v/>
      </c>
      <c r="Y961">
        <f>HYPERLINK("https://klasma.github.io/Logging_0883/tillsynsmail/A 28495-2023 tillsynsbegäran mail.docx", "A 28495-2023")</f>
        <v/>
      </c>
    </row>
    <row r="962" ht="15" customHeight="1">
      <c r="A962" t="inlineStr">
        <is>
          <t>A 28456-2023</t>
        </is>
      </c>
      <c r="B962" s="1" t="n">
        <v>45103</v>
      </c>
      <c r="C962" s="1" t="n">
        <v>45715</v>
      </c>
      <c r="D962" t="inlineStr">
        <is>
          <t>KALMAR LÄN</t>
        </is>
      </c>
      <c r="E962" t="inlineStr">
        <is>
          <t>TORSÅS</t>
        </is>
      </c>
      <c r="G962" t="n">
        <v>1.3</v>
      </c>
      <c r="H962" t="n">
        <v>0</v>
      </c>
      <c r="I962" t="n">
        <v>0</v>
      </c>
      <c r="J962" t="n">
        <v>1</v>
      </c>
      <c r="K962" t="n">
        <v>0</v>
      </c>
      <c r="L962" t="n">
        <v>0</v>
      </c>
      <c r="M962" t="n">
        <v>0</v>
      </c>
      <c r="N962" t="n">
        <v>0</v>
      </c>
      <c r="O962" t="n">
        <v>1</v>
      </c>
      <c r="P962" t="n">
        <v>0</v>
      </c>
      <c r="Q962" t="n">
        <v>1</v>
      </c>
      <c r="R962" s="2" t="inlineStr">
        <is>
          <t>Mörk dunört</t>
        </is>
      </c>
      <c r="S962">
        <f>HYPERLINK("https://klasma.github.io/Logging_0834/artfynd/A 28456-2023 artfynd.xlsx", "A 28456-2023")</f>
        <v/>
      </c>
      <c r="T962">
        <f>HYPERLINK("https://klasma.github.io/Logging_0834/kartor/A 28456-2023 karta.png", "A 28456-2023")</f>
        <v/>
      </c>
      <c r="V962">
        <f>HYPERLINK("https://klasma.github.io/Logging_0834/klagomål/A 28456-2023 FSC-klagomål.docx", "A 28456-2023")</f>
        <v/>
      </c>
      <c r="W962">
        <f>HYPERLINK("https://klasma.github.io/Logging_0834/klagomålsmail/A 28456-2023 FSC-klagomål mail.docx", "A 28456-2023")</f>
        <v/>
      </c>
      <c r="X962">
        <f>HYPERLINK("https://klasma.github.io/Logging_0834/tillsyn/A 28456-2023 tillsynsbegäran.docx", "A 28456-2023")</f>
        <v/>
      </c>
      <c r="Y962">
        <f>HYPERLINK("https://klasma.github.io/Logging_0834/tillsynsmail/A 28456-2023 tillsynsbegäran mail.docx", "A 28456-2023")</f>
        <v/>
      </c>
    </row>
    <row r="963" ht="15" customHeight="1">
      <c r="A963" t="inlineStr">
        <is>
          <t>A 28678-2023</t>
        </is>
      </c>
      <c r="B963" s="1" t="n">
        <v>45103</v>
      </c>
      <c r="C963" s="1" t="n">
        <v>45715</v>
      </c>
      <c r="D963" t="inlineStr">
        <is>
          <t>KALMAR LÄN</t>
        </is>
      </c>
      <c r="E963" t="inlineStr">
        <is>
          <t>NYBRO</t>
        </is>
      </c>
      <c r="G963" t="n">
        <v>10.3</v>
      </c>
      <c r="H963" t="n">
        <v>0</v>
      </c>
      <c r="I963" t="n">
        <v>1</v>
      </c>
      <c r="J963" t="n">
        <v>0</v>
      </c>
      <c r="K963" t="n">
        <v>0</v>
      </c>
      <c r="L963" t="n">
        <v>0</v>
      </c>
      <c r="M963" t="n">
        <v>0</v>
      </c>
      <c r="N963" t="n">
        <v>0</v>
      </c>
      <c r="O963" t="n">
        <v>0</v>
      </c>
      <c r="P963" t="n">
        <v>0</v>
      </c>
      <c r="Q963" t="n">
        <v>1</v>
      </c>
      <c r="R963" s="2" t="inlineStr">
        <is>
          <t>Åttafläckig praktbagge</t>
        </is>
      </c>
      <c r="S963">
        <f>HYPERLINK("https://klasma.github.io/Logging_0881/artfynd/A 28678-2023 artfynd.xlsx", "A 28678-2023")</f>
        <v/>
      </c>
      <c r="T963">
        <f>HYPERLINK("https://klasma.github.io/Logging_0881/kartor/A 28678-2023 karta.png", "A 28678-2023")</f>
        <v/>
      </c>
      <c r="V963">
        <f>HYPERLINK("https://klasma.github.io/Logging_0881/klagomål/A 28678-2023 FSC-klagomål.docx", "A 28678-2023")</f>
        <v/>
      </c>
      <c r="W963">
        <f>HYPERLINK("https://klasma.github.io/Logging_0881/klagomålsmail/A 28678-2023 FSC-klagomål mail.docx", "A 28678-2023")</f>
        <v/>
      </c>
      <c r="X963">
        <f>HYPERLINK("https://klasma.github.io/Logging_0881/tillsyn/A 28678-2023 tillsynsbegäran.docx", "A 28678-2023")</f>
        <v/>
      </c>
      <c r="Y963">
        <f>HYPERLINK("https://klasma.github.io/Logging_0881/tillsynsmail/A 28678-2023 tillsynsbegäran mail.docx", "A 28678-2023")</f>
        <v/>
      </c>
    </row>
    <row r="964" ht="15" customHeight="1">
      <c r="A964" t="inlineStr">
        <is>
          <t>A 28647-2023</t>
        </is>
      </c>
      <c r="B964" s="1" t="n">
        <v>45103</v>
      </c>
      <c r="C964" s="1" t="n">
        <v>45715</v>
      </c>
      <c r="D964" t="inlineStr">
        <is>
          <t>KALMAR LÄN</t>
        </is>
      </c>
      <c r="E964" t="inlineStr">
        <is>
          <t>NYBRO</t>
        </is>
      </c>
      <c r="G964" t="n">
        <v>5.6</v>
      </c>
      <c r="H964" t="n">
        <v>0</v>
      </c>
      <c r="I964" t="n">
        <v>0</v>
      </c>
      <c r="J964" t="n">
        <v>0</v>
      </c>
      <c r="K964" t="n">
        <v>1</v>
      </c>
      <c r="L964" t="n">
        <v>0</v>
      </c>
      <c r="M964" t="n">
        <v>0</v>
      </c>
      <c r="N964" t="n">
        <v>0</v>
      </c>
      <c r="O964" t="n">
        <v>1</v>
      </c>
      <c r="P964" t="n">
        <v>1</v>
      </c>
      <c r="Q964" t="n">
        <v>1</v>
      </c>
      <c r="R964" s="2" t="inlineStr">
        <is>
          <t>Gulfläckig praktbagge</t>
        </is>
      </c>
      <c r="S964">
        <f>HYPERLINK("https://klasma.github.io/Logging_0881/artfynd/A 28647-2023 artfynd.xlsx", "A 28647-2023")</f>
        <v/>
      </c>
      <c r="T964">
        <f>HYPERLINK("https://klasma.github.io/Logging_0881/kartor/A 28647-2023 karta.png", "A 28647-2023")</f>
        <v/>
      </c>
      <c r="V964">
        <f>HYPERLINK("https://klasma.github.io/Logging_0881/klagomål/A 28647-2023 FSC-klagomål.docx", "A 28647-2023")</f>
        <v/>
      </c>
      <c r="W964">
        <f>HYPERLINK("https://klasma.github.io/Logging_0881/klagomålsmail/A 28647-2023 FSC-klagomål mail.docx", "A 28647-2023")</f>
        <v/>
      </c>
      <c r="X964">
        <f>HYPERLINK("https://klasma.github.io/Logging_0881/tillsyn/A 28647-2023 tillsynsbegäran.docx", "A 28647-2023")</f>
        <v/>
      </c>
      <c r="Y964">
        <f>HYPERLINK("https://klasma.github.io/Logging_0881/tillsynsmail/A 28647-2023 tillsynsbegäran mail.docx", "A 28647-2023")</f>
        <v/>
      </c>
    </row>
    <row r="965" ht="15" customHeight="1">
      <c r="A965" t="inlineStr">
        <is>
          <t>A 28852-2023</t>
        </is>
      </c>
      <c r="B965" s="1" t="n">
        <v>45104</v>
      </c>
      <c r="C965" s="1" t="n">
        <v>45715</v>
      </c>
      <c r="D965" t="inlineStr">
        <is>
          <t>KALMAR LÄN</t>
        </is>
      </c>
      <c r="E965" t="inlineStr">
        <is>
          <t>VIMMERBY</t>
        </is>
      </c>
      <c r="G965" t="n">
        <v>0.7</v>
      </c>
      <c r="H965" t="n">
        <v>0</v>
      </c>
      <c r="I965" t="n">
        <v>1</v>
      </c>
      <c r="J965" t="n">
        <v>0</v>
      </c>
      <c r="K965" t="n">
        <v>0</v>
      </c>
      <c r="L965" t="n">
        <v>0</v>
      </c>
      <c r="M965" t="n">
        <v>0</v>
      </c>
      <c r="N965" t="n">
        <v>0</v>
      </c>
      <c r="O965" t="n">
        <v>0</v>
      </c>
      <c r="P965" t="n">
        <v>0</v>
      </c>
      <c r="Q965" t="n">
        <v>1</v>
      </c>
      <c r="R965" s="2" t="inlineStr">
        <is>
          <t>Tibast</t>
        </is>
      </c>
      <c r="S965">
        <f>HYPERLINK("https://klasma.github.io/Logging_0884/artfynd/A 28852-2023 artfynd.xlsx", "A 28852-2023")</f>
        <v/>
      </c>
      <c r="T965">
        <f>HYPERLINK("https://klasma.github.io/Logging_0884/kartor/A 28852-2023 karta.png", "A 28852-2023")</f>
        <v/>
      </c>
      <c r="V965">
        <f>HYPERLINK("https://klasma.github.io/Logging_0884/klagomål/A 28852-2023 FSC-klagomål.docx", "A 28852-2023")</f>
        <v/>
      </c>
      <c r="W965">
        <f>HYPERLINK("https://klasma.github.io/Logging_0884/klagomålsmail/A 28852-2023 FSC-klagomål mail.docx", "A 28852-2023")</f>
        <v/>
      </c>
      <c r="X965">
        <f>HYPERLINK("https://klasma.github.io/Logging_0884/tillsyn/A 28852-2023 tillsynsbegäran.docx", "A 28852-2023")</f>
        <v/>
      </c>
      <c r="Y965">
        <f>HYPERLINK("https://klasma.github.io/Logging_0884/tillsynsmail/A 28852-2023 tillsynsbegäran mail.docx", "A 28852-2023")</f>
        <v/>
      </c>
    </row>
    <row r="966" ht="15" customHeight="1">
      <c r="A966" t="inlineStr">
        <is>
          <t>A 30121-2023</t>
        </is>
      </c>
      <c r="B966" s="1" t="n">
        <v>45110</v>
      </c>
      <c r="C966" s="1" t="n">
        <v>45715</v>
      </c>
      <c r="D966" t="inlineStr">
        <is>
          <t>KALMAR LÄN</t>
        </is>
      </c>
      <c r="E966" t="inlineStr">
        <is>
          <t>NYBRO</t>
        </is>
      </c>
      <c r="F966" t="inlineStr">
        <is>
          <t>Kommuner</t>
        </is>
      </c>
      <c r="G966" t="n">
        <v>4.9</v>
      </c>
      <c r="H966" t="n">
        <v>0</v>
      </c>
      <c r="I966" t="n">
        <v>1</v>
      </c>
      <c r="J966" t="n">
        <v>0</v>
      </c>
      <c r="K966" t="n">
        <v>0</v>
      </c>
      <c r="L966" t="n">
        <v>0</v>
      </c>
      <c r="M966" t="n">
        <v>0</v>
      </c>
      <c r="N966" t="n">
        <v>0</v>
      </c>
      <c r="O966" t="n">
        <v>0</v>
      </c>
      <c r="P966" t="n">
        <v>0</v>
      </c>
      <c r="Q966" t="n">
        <v>1</v>
      </c>
      <c r="R966" s="2" t="inlineStr">
        <is>
          <t>Vanlig flatbagge</t>
        </is>
      </c>
      <c r="S966">
        <f>HYPERLINK("https://klasma.github.io/Logging_0881/artfynd/A 30121-2023 artfynd.xlsx", "A 30121-2023")</f>
        <v/>
      </c>
      <c r="T966">
        <f>HYPERLINK("https://klasma.github.io/Logging_0881/kartor/A 30121-2023 karta.png", "A 30121-2023")</f>
        <v/>
      </c>
      <c r="V966">
        <f>HYPERLINK("https://klasma.github.io/Logging_0881/klagomål/A 30121-2023 FSC-klagomål.docx", "A 30121-2023")</f>
        <v/>
      </c>
      <c r="W966">
        <f>HYPERLINK("https://klasma.github.io/Logging_0881/klagomålsmail/A 30121-2023 FSC-klagomål mail.docx", "A 30121-2023")</f>
        <v/>
      </c>
      <c r="X966">
        <f>HYPERLINK("https://klasma.github.io/Logging_0881/tillsyn/A 30121-2023 tillsynsbegäran.docx", "A 30121-2023")</f>
        <v/>
      </c>
      <c r="Y966">
        <f>HYPERLINK("https://klasma.github.io/Logging_0881/tillsynsmail/A 30121-2023 tillsynsbegäran mail.docx", "A 30121-2023")</f>
        <v/>
      </c>
    </row>
    <row r="967" ht="15" customHeight="1">
      <c r="A967" t="inlineStr">
        <is>
          <t>A 30532-2023</t>
        </is>
      </c>
      <c r="B967" s="1" t="n">
        <v>45111</v>
      </c>
      <c r="C967" s="1" t="n">
        <v>45715</v>
      </c>
      <c r="D967" t="inlineStr">
        <is>
          <t>KALMAR LÄN</t>
        </is>
      </c>
      <c r="E967" t="inlineStr">
        <is>
          <t>NYBRO</t>
        </is>
      </c>
      <c r="G967" t="n">
        <v>13.1</v>
      </c>
      <c r="H967" t="n">
        <v>0</v>
      </c>
      <c r="I967" t="n">
        <v>0</v>
      </c>
      <c r="J967" t="n">
        <v>0</v>
      </c>
      <c r="K967" t="n">
        <v>1</v>
      </c>
      <c r="L967" t="n">
        <v>0</v>
      </c>
      <c r="M967" t="n">
        <v>0</v>
      </c>
      <c r="N967" t="n">
        <v>0</v>
      </c>
      <c r="O967" t="n">
        <v>1</v>
      </c>
      <c r="P967" t="n">
        <v>1</v>
      </c>
      <c r="Q967" t="n">
        <v>1</v>
      </c>
      <c r="R967" s="2" t="inlineStr">
        <is>
          <t>Raggbock</t>
        </is>
      </c>
      <c r="S967">
        <f>HYPERLINK("https://klasma.github.io/Logging_0881/artfynd/A 30532-2023 artfynd.xlsx", "A 30532-2023")</f>
        <v/>
      </c>
      <c r="T967">
        <f>HYPERLINK("https://klasma.github.io/Logging_0881/kartor/A 30532-2023 karta.png", "A 30532-2023")</f>
        <v/>
      </c>
      <c r="V967">
        <f>HYPERLINK("https://klasma.github.io/Logging_0881/klagomål/A 30532-2023 FSC-klagomål.docx", "A 30532-2023")</f>
        <v/>
      </c>
      <c r="W967">
        <f>HYPERLINK("https://klasma.github.io/Logging_0881/klagomålsmail/A 30532-2023 FSC-klagomål mail.docx", "A 30532-2023")</f>
        <v/>
      </c>
      <c r="X967">
        <f>HYPERLINK("https://klasma.github.io/Logging_0881/tillsyn/A 30532-2023 tillsynsbegäran.docx", "A 30532-2023")</f>
        <v/>
      </c>
      <c r="Y967">
        <f>HYPERLINK("https://klasma.github.io/Logging_0881/tillsynsmail/A 30532-2023 tillsynsbegäran mail.docx", "A 30532-2023")</f>
        <v/>
      </c>
    </row>
    <row r="968" ht="15" customHeight="1">
      <c r="A968" t="inlineStr">
        <is>
          <t>A 31556-2023</t>
        </is>
      </c>
      <c r="B968" s="1" t="n">
        <v>45117</v>
      </c>
      <c r="C968" s="1" t="n">
        <v>45715</v>
      </c>
      <c r="D968" t="inlineStr">
        <is>
          <t>KALMAR LÄN</t>
        </is>
      </c>
      <c r="E968" t="inlineStr">
        <is>
          <t>KALMAR</t>
        </is>
      </c>
      <c r="G968" t="n">
        <v>11</v>
      </c>
      <c r="H968" t="n">
        <v>0</v>
      </c>
      <c r="I968" t="n">
        <v>1</v>
      </c>
      <c r="J968" t="n">
        <v>0</v>
      </c>
      <c r="K968" t="n">
        <v>0</v>
      </c>
      <c r="L968" t="n">
        <v>0</v>
      </c>
      <c r="M968" t="n">
        <v>0</v>
      </c>
      <c r="N968" t="n">
        <v>0</v>
      </c>
      <c r="O968" t="n">
        <v>0</v>
      </c>
      <c r="P968" t="n">
        <v>0</v>
      </c>
      <c r="Q968" t="n">
        <v>1</v>
      </c>
      <c r="R968" s="2" t="inlineStr">
        <is>
          <t>Murgröna</t>
        </is>
      </c>
      <c r="S968">
        <f>HYPERLINK("https://klasma.github.io/Logging_0880/artfynd/A 31556-2023 artfynd.xlsx", "A 31556-2023")</f>
        <v/>
      </c>
      <c r="T968">
        <f>HYPERLINK("https://klasma.github.io/Logging_0880/kartor/A 31556-2023 karta.png", "A 31556-2023")</f>
        <v/>
      </c>
      <c r="V968">
        <f>HYPERLINK("https://klasma.github.io/Logging_0880/klagomål/A 31556-2023 FSC-klagomål.docx", "A 31556-2023")</f>
        <v/>
      </c>
      <c r="W968">
        <f>HYPERLINK("https://klasma.github.io/Logging_0880/klagomålsmail/A 31556-2023 FSC-klagomål mail.docx", "A 31556-2023")</f>
        <v/>
      </c>
      <c r="X968">
        <f>HYPERLINK("https://klasma.github.io/Logging_0880/tillsyn/A 31556-2023 tillsynsbegäran.docx", "A 31556-2023")</f>
        <v/>
      </c>
      <c r="Y968">
        <f>HYPERLINK("https://klasma.github.io/Logging_0880/tillsynsmail/A 31556-2023 tillsynsbegäran mail.docx", "A 31556-2023")</f>
        <v/>
      </c>
    </row>
    <row r="969" ht="15" customHeight="1">
      <c r="A969" t="inlineStr">
        <is>
          <t>A 32141-2023</t>
        </is>
      </c>
      <c r="B969" s="1" t="n">
        <v>45119</v>
      </c>
      <c r="C969" s="1" t="n">
        <v>45715</v>
      </c>
      <c r="D969" t="inlineStr">
        <is>
          <t>KALMAR LÄN</t>
        </is>
      </c>
      <c r="E969" t="inlineStr">
        <is>
          <t>KALMAR</t>
        </is>
      </c>
      <c r="G969" t="n">
        <v>2.4</v>
      </c>
      <c r="H969" t="n">
        <v>0</v>
      </c>
      <c r="I969" t="n">
        <v>0</v>
      </c>
      <c r="J969" t="n">
        <v>0</v>
      </c>
      <c r="K969" t="n">
        <v>1</v>
      </c>
      <c r="L969" t="n">
        <v>0</v>
      </c>
      <c r="M969" t="n">
        <v>0</v>
      </c>
      <c r="N969" t="n">
        <v>0</v>
      </c>
      <c r="O969" t="n">
        <v>1</v>
      </c>
      <c r="P969" t="n">
        <v>1</v>
      </c>
      <c r="Q969" t="n">
        <v>1</v>
      </c>
      <c r="R969" s="2" t="inlineStr">
        <is>
          <t>Luddvicker</t>
        </is>
      </c>
      <c r="S969">
        <f>HYPERLINK("https://klasma.github.io/Logging_0880/artfynd/A 32141-2023 artfynd.xlsx", "A 32141-2023")</f>
        <v/>
      </c>
      <c r="T969">
        <f>HYPERLINK("https://klasma.github.io/Logging_0880/kartor/A 32141-2023 karta.png", "A 32141-2023")</f>
        <v/>
      </c>
      <c r="V969">
        <f>HYPERLINK("https://klasma.github.io/Logging_0880/klagomål/A 32141-2023 FSC-klagomål.docx", "A 32141-2023")</f>
        <v/>
      </c>
      <c r="W969">
        <f>HYPERLINK("https://klasma.github.io/Logging_0880/klagomålsmail/A 32141-2023 FSC-klagomål mail.docx", "A 32141-2023")</f>
        <v/>
      </c>
      <c r="X969">
        <f>HYPERLINK("https://klasma.github.io/Logging_0880/tillsyn/A 32141-2023 tillsynsbegäran.docx", "A 32141-2023")</f>
        <v/>
      </c>
      <c r="Y969">
        <f>HYPERLINK("https://klasma.github.io/Logging_0880/tillsynsmail/A 32141-2023 tillsynsbegäran mail.docx", "A 32141-2023")</f>
        <v/>
      </c>
    </row>
    <row r="970" ht="15" customHeight="1">
      <c r="A970" t="inlineStr">
        <is>
          <t>A 32653-2023</t>
        </is>
      </c>
      <c r="B970" s="1" t="n">
        <v>45121</v>
      </c>
      <c r="C970" s="1" t="n">
        <v>45715</v>
      </c>
      <c r="D970" t="inlineStr">
        <is>
          <t>KALMAR LÄN</t>
        </is>
      </c>
      <c r="E970" t="inlineStr">
        <is>
          <t>VÄSTERVIK</t>
        </is>
      </c>
      <c r="G970" t="n">
        <v>1.4</v>
      </c>
      <c r="H970" t="n">
        <v>1</v>
      </c>
      <c r="I970" t="n">
        <v>0</v>
      </c>
      <c r="J970" t="n">
        <v>0</v>
      </c>
      <c r="K970" t="n">
        <v>1</v>
      </c>
      <c r="L970" t="n">
        <v>0</v>
      </c>
      <c r="M970" t="n">
        <v>0</v>
      </c>
      <c r="N970" t="n">
        <v>0</v>
      </c>
      <c r="O970" t="n">
        <v>1</v>
      </c>
      <c r="P970" t="n">
        <v>1</v>
      </c>
      <c r="Q970" t="n">
        <v>1</v>
      </c>
      <c r="R970" s="2" t="inlineStr">
        <is>
          <t>Knärot</t>
        </is>
      </c>
      <c r="S970">
        <f>HYPERLINK("https://klasma.github.io/Logging_0883/artfynd/A 32653-2023 artfynd.xlsx", "A 32653-2023")</f>
        <v/>
      </c>
      <c r="T970">
        <f>HYPERLINK("https://klasma.github.io/Logging_0883/kartor/A 32653-2023 karta.png", "A 32653-2023")</f>
        <v/>
      </c>
      <c r="U970">
        <f>HYPERLINK("https://klasma.github.io/Logging_0883/knärot/A 32653-2023 karta knärot.png", "A 32653-2023")</f>
        <v/>
      </c>
      <c r="V970">
        <f>HYPERLINK("https://klasma.github.io/Logging_0883/klagomål/A 32653-2023 FSC-klagomål.docx", "A 32653-2023")</f>
        <v/>
      </c>
      <c r="W970">
        <f>HYPERLINK("https://klasma.github.io/Logging_0883/klagomålsmail/A 32653-2023 FSC-klagomål mail.docx", "A 32653-2023")</f>
        <v/>
      </c>
      <c r="X970">
        <f>HYPERLINK("https://klasma.github.io/Logging_0883/tillsyn/A 32653-2023 tillsynsbegäran.docx", "A 32653-2023")</f>
        <v/>
      </c>
      <c r="Y970">
        <f>HYPERLINK("https://klasma.github.io/Logging_0883/tillsynsmail/A 32653-2023 tillsynsbegäran mail.docx", "A 32653-2023")</f>
        <v/>
      </c>
    </row>
    <row r="971" ht="15" customHeight="1">
      <c r="A971" t="inlineStr">
        <is>
          <t>A 32985-2023</t>
        </is>
      </c>
      <c r="B971" s="1" t="n">
        <v>45125</v>
      </c>
      <c r="C971" s="1" t="n">
        <v>45715</v>
      </c>
      <c r="D971" t="inlineStr">
        <is>
          <t>KALMAR LÄN</t>
        </is>
      </c>
      <c r="E971" t="inlineStr">
        <is>
          <t>VIMMERBY</t>
        </is>
      </c>
      <c r="G971" t="n">
        <v>1.9</v>
      </c>
      <c r="H971" t="n">
        <v>0</v>
      </c>
      <c r="I971" t="n">
        <v>0</v>
      </c>
      <c r="J971" t="n">
        <v>0</v>
      </c>
      <c r="K971" t="n">
        <v>0</v>
      </c>
      <c r="L971" t="n">
        <v>1</v>
      </c>
      <c r="M971" t="n">
        <v>0</v>
      </c>
      <c r="N971" t="n">
        <v>0</v>
      </c>
      <c r="O971" t="n">
        <v>1</v>
      </c>
      <c r="P971" t="n">
        <v>1</v>
      </c>
      <c r="Q971" t="n">
        <v>1</v>
      </c>
      <c r="R971" s="2" t="inlineStr">
        <is>
          <t>Ryl</t>
        </is>
      </c>
      <c r="S971">
        <f>HYPERLINK("https://klasma.github.io/Logging_0884/artfynd/A 32985-2023 artfynd.xlsx", "A 32985-2023")</f>
        <v/>
      </c>
      <c r="T971">
        <f>HYPERLINK("https://klasma.github.io/Logging_0884/kartor/A 32985-2023 karta.png", "A 32985-2023")</f>
        <v/>
      </c>
      <c r="V971">
        <f>HYPERLINK("https://klasma.github.io/Logging_0884/klagomål/A 32985-2023 FSC-klagomål.docx", "A 32985-2023")</f>
        <v/>
      </c>
      <c r="W971">
        <f>HYPERLINK("https://klasma.github.io/Logging_0884/klagomålsmail/A 32985-2023 FSC-klagomål mail.docx", "A 32985-2023")</f>
        <v/>
      </c>
      <c r="X971">
        <f>HYPERLINK("https://klasma.github.io/Logging_0884/tillsyn/A 32985-2023 tillsynsbegäran.docx", "A 32985-2023")</f>
        <v/>
      </c>
      <c r="Y971">
        <f>HYPERLINK("https://klasma.github.io/Logging_0884/tillsynsmail/A 32985-2023 tillsynsbegäran mail.docx", "A 32985-2023")</f>
        <v/>
      </c>
    </row>
    <row r="972" ht="15" customHeight="1">
      <c r="A972" t="inlineStr">
        <is>
          <t>A 33422-2023</t>
        </is>
      </c>
      <c r="B972" s="1" t="n">
        <v>45128</v>
      </c>
      <c r="C972" s="1" t="n">
        <v>45715</v>
      </c>
      <c r="D972" t="inlineStr">
        <is>
          <t>KALMAR LÄN</t>
        </is>
      </c>
      <c r="E972" t="inlineStr">
        <is>
          <t>NYBRO</t>
        </is>
      </c>
      <c r="G972" t="n">
        <v>7.2</v>
      </c>
      <c r="H972" t="n">
        <v>0</v>
      </c>
      <c r="I972" t="n">
        <v>1</v>
      </c>
      <c r="J972" t="n">
        <v>0</v>
      </c>
      <c r="K972" t="n">
        <v>0</v>
      </c>
      <c r="L972" t="n">
        <v>0</v>
      </c>
      <c r="M972" t="n">
        <v>0</v>
      </c>
      <c r="N972" t="n">
        <v>0</v>
      </c>
      <c r="O972" t="n">
        <v>0</v>
      </c>
      <c r="P972" t="n">
        <v>0</v>
      </c>
      <c r="Q972" t="n">
        <v>1</v>
      </c>
      <c r="R972" s="2" t="inlineStr">
        <is>
          <t>Murgröna</t>
        </is>
      </c>
      <c r="S972">
        <f>HYPERLINK("https://klasma.github.io/Logging_0881/artfynd/A 33422-2023 artfynd.xlsx", "A 33422-2023")</f>
        <v/>
      </c>
      <c r="T972">
        <f>HYPERLINK("https://klasma.github.io/Logging_0881/kartor/A 33422-2023 karta.png", "A 33422-2023")</f>
        <v/>
      </c>
      <c r="V972">
        <f>HYPERLINK("https://klasma.github.io/Logging_0881/klagomål/A 33422-2023 FSC-klagomål.docx", "A 33422-2023")</f>
        <v/>
      </c>
      <c r="W972">
        <f>HYPERLINK("https://klasma.github.io/Logging_0881/klagomålsmail/A 33422-2023 FSC-klagomål mail.docx", "A 33422-2023")</f>
        <v/>
      </c>
      <c r="X972">
        <f>HYPERLINK("https://klasma.github.io/Logging_0881/tillsyn/A 33422-2023 tillsynsbegäran.docx", "A 33422-2023")</f>
        <v/>
      </c>
      <c r="Y972">
        <f>HYPERLINK("https://klasma.github.io/Logging_0881/tillsynsmail/A 33422-2023 tillsynsbegäran mail.docx", "A 33422-2023")</f>
        <v/>
      </c>
    </row>
    <row r="973" ht="15" customHeight="1">
      <c r="A973" t="inlineStr">
        <is>
          <t>A 33816-2023</t>
        </is>
      </c>
      <c r="B973" s="1" t="n">
        <v>45133</v>
      </c>
      <c r="C973" s="1" t="n">
        <v>45715</v>
      </c>
      <c r="D973" t="inlineStr">
        <is>
          <t>KALMAR LÄN</t>
        </is>
      </c>
      <c r="E973" t="inlineStr">
        <is>
          <t>VÄSTERVIK</t>
        </is>
      </c>
      <c r="G973" t="n">
        <v>4.9</v>
      </c>
      <c r="H973" t="n">
        <v>0</v>
      </c>
      <c r="I973" t="n">
        <v>0</v>
      </c>
      <c r="J973" t="n">
        <v>1</v>
      </c>
      <c r="K973" t="n">
        <v>0</v>
      </c>
      <c r="L973" t="n">
        <v>0</v>
      </c>
      <c r="M973" t="n">
        <v>0</v>
      </c>
      <c r="N973" t="n">
        <v>0</v>
      </c>
      <c r="O973" t="n">
        <v>1</v>
      </c>
      <c r="P973" t="n">
        <v>0</v>
      </c>
      <c r="Q973" t="n">
        <v>1</v>
      </c>
      <c r="R973" s="2" t="inlineStr">
        <is>
          <t>Tallticka</t>
        </is>
      </c>
      <c r="S973">
        <f>HYPERLINK("https://klasma.github.io/Logging_0883/artfynd/A 33816-2023 artfynd.xlsx", "A 33816-2023")</f>
        <v/>
      </c>
      <c r="T973">
        <f>HYPERLINK("https://klasma.github.io/Logging_0883/kartor/A 33816-2023 karta.png", "A 33816-2023")</f>
        <v/>
      </c>
      <c r="V973">
        <f>HYPERLINK("https://klasma.github.io/Logging_0883/klagomål/A 33816-2023 FSC-klagomål.docx", "A 33816-2023")</f>
        <v/>
      </c>
      <c r="W973">
        <f>HYPERLINK("https://klasma.github.io/Logging_0883/klagomålsmail/A 33816-2023 FSC-klagomål mail.docx", "A 33816-2023")</f>
        <v/>
      </c>
      <c r="X973">
        <f>HYPERLINK("https://klasma.github.io/Logging_0883/tillsyn/A 33816-2023 tillsynsbegäran.docx", "A 33816-2023")</f>
        <v/>
      </c>
      <c r="Y973">
        <f>HYPERLINK("https://klasma.github.io/Logging_0883/tillsynsmail/A 33816-2023 tillsynsbegäran mail.docx", "A 33816-2023")</f>
        <v/>
      </c>
    </row>
    <row r="974" ht="15" customHeight="1">
      <c r="A974" t="inlineStr">
        <is>
          <t>A 33815-2023</t>
        </is>
      </c>
      <c r="B974" s="1" t="n">
        <v>45133</v>
      </c>
      <c r="C974" s="1" t="n">
        <v>45715</v>
      </c>
      <c r="D974" t="inlineStr">
        <is>
          <t>KALMAR LÄN</t>
        </is>
      </c>
      <c r="E974" t="inlineStr">
        <is>
          <t>VÄSTERVIK</t>
        </is>
      </c>
      <c r="G974" t="n">
        <v>3.4</v>
      </c>
      <c r="H974" t="n">
        <v>0</v>
      </c>
      <c r="I974" t="n">
        <v>1</v>
      </c>
      <c r="J974" t="n">
        <v>0</v>
      </c>
      <c r="K974" t="n">
        <v>0</v>
      </c>
      <c r="L974" t="n">
        <v>0</v>
      </c>
      <c r="M974" t="n">
        <v>0</v>
      </c>
      <c r="N974" t="n">
        <v>0</v>
      </c>
      <c r="O974" t="n">
        <v>0</v>
      </c>
      <c r="P974" t="n">
        <v>0</v>
      </c>
      <c r="Q974" t="n">
        <v>1</v>
      </c>
      <c r="R974" s="2" t="inlineStr">
        <is>
          <t>Grönpyrola</t>
        </is>
      </c>
      <c r="S974">
        <f>HYPERLINK("https://klasma.github.io/Logging_0883/artfynd/A 33815-2023 artfynd.xlsx", "A 33815-2023")</f>
        <v/>
      </c>
      <c r="T974">
        <f>HYPERLINK("https://klasma.github.io/Logging_0883/kartor/A 33815-2023 karta.png", "A 33815-2023")</f>
        <v/>
      </c>
      <c r="V974">
        <f>HYPERLINK("https://klasma.github.io/Logging_0883/klagomål/A 33815-2023 FSC-klagomål.docx", "A 33815-2023")</f>
        <v/>
      </c>
      <c r="W974">
        <f>HYPERLINK("https://klasma.github.io/Logging_0883/klagomålsmail/A 33815-2023 FSC-klagomål mail.docx", "A 33815-2023")</f>
        <v/>
      </c>
      <c r="X974">
        <f>HYPERLINK("https://klasma.github.io/Logging_0883/tillsyn/A 33815-2023 tillsynsbegäran.docx", "A 33815-2023")</f>
        <v/>
      </c>
      <c r="Y974">
        <f>HYPERLINK("https://klasma.github.io/Logging_0883/tillsynsmail/A 33815-2023 tillsynsbegäran mail.docx", "A 33815-2023")</f>
        <v/>
      </c>
    </row>
    <row r="975" ht="15" customHeight="1">
      <c r="A975" t="inlineStr">
        <is>
          <t>A 34563-2023</t>
        </is>
      </c>
      <c r="B975" s="1" t="n">
        <v>45140</v>
      </c>
      <c r="C975" s="1" t="n">
        <v>45715</v>
      </c>
      <c r="D975" t="inlineStr">
        <is>
          <t>KALMAR LÄN</t>
        </is>
      </c>
      <c r="E975" t="inlineStr">
        <is>
          <t>VÄSTERVIK</t>
        </is>
      </c>
      <c r="G975" t="n">
        <v>1.4</v>
      </c>
      <c r="H975" t="n">
        <v>0</v>
      </c>
      <c r="I975" t="n">
        <v>1</v>
      </c>
      <c r="J975" t="n">
        <v>0</v>
      </c>
      <c r="K975" t="n">
        <v>0</v>
      </c>
      <c r="L975" t="n">
        <v>0</v>
      </c>
      <c r="M975" t="n">
        <v>0</v>
      </c>
      <c r="N975" t="n">
        <v>0</v>
      </c>
      <c r="O975" t="n">
        <v>0</v>
      </c>
      <c r="P975" t="n">
        <v>0</v>
      </c>
      <c r="Q975" t="n">
        <v>1</v>
      </c>
      <c r="R975" s="2" t="inlineStr">
        <is>
          <t>Fjällig taggsvamp s.str.</t>
        </is>
      </c>
      <c r="S975">
        <f>HYPERLINK("https://klasma.github.io/Logging_0883/artfynd/A 34563-2023 artfynd.xlsx", "A 34563-2023")</f>
        <v/>
      </c>
      <c r="T975">
        <f>HYPERLINK("https://klasma.github.io/Logging_0883/kartor/A 34563-2023 karta.png", "A 34563-2023")</f>
        <v/>
      </c>
      <c r="U975">
        <f>HYPERLINK("https://klasma.github.io/Logging_0883/knärot/A 34563-2023 karta knärot.png", "A 34563-2023")</f>
        <v/>
      </c>
      <c r="V975">
        <f>HYPERLINK("https://klasma.github.io/Logging_0883/klagomål/A 34563-2023 FSC-klagomål.docx", "A 34563-2023")</f>
        <v/>
      </c>
      <c r="W975">
        <f>HYPERLINK("https://klasma.github.io/Logging_0883/klagomålsmail/A 34563-2023 FSC-klagomål mail.docx", "A 34563-2023")</f>
        <v/>
      </c>
      <c r="X975">
        <f>HYPERLINK("https://klasma.github.io/Logging_0883/tillsyn/A 34563-2023 tillsynsbegäran.docx", "A 34563-2023")</f>
        <v/>
      </c>
      <c r="Y975">
        <f>HYPERLINK("https://klasma.github.io/Logging_0883/tillsynsmail/A 34563-2023 tillsynsbegäran mail.docx", "A 34563-2023")</f>
        <v/>
      </c>
    </row>
    <row r="976" ht="15" customHeight="1">
      <c r="A976" t="inlineStr">
        <is>
          <t>A 35072-2023</t>
        </is>
      </c>
      <c r="B976" s="1" t="n">
        <v>45145</v>
      </c>
      <c r="C976" s="1" t="n">
        <v>45715</v>
      </c>
      <c r="D976" t="inlineStr">
        <is>
          <t>KALMAR LÄN</t>
        </is>
      </c>
      <c r="E976" t="inlineStr">
        <is>
          <t>HÖGSBY</t>
        </is>
      </c>
      <c r="G976" t="n">
        <v>1.3</v>
      </c>
      <c r="H976" t="n">
        <v>1</v>
      </c>
      <c r="I976" t="n">
        <v>0</v>
      </c>
      <c r="J976" t="n">
        <v>0</v>
      </c>
      <c r="K976" t="n">
        <v>0</v>
      </c>
      <c r="L976" t="n">
        <v>0</v>
      </c>
      <c r="M976" t="n">
        <v>0</v>
      </c>
      <c r="N976" t="n">
        <v>0</v>
      </c>
      <c r="O976" t="n">
        <v>0</v>
      </c>
      <c r="P976" t="n">
        <v>0</v>
      </c>
      <c r="Q976" t="n">
        <v>1</v>
      </c>
      <c r="R976" s="2" t="inlineStr">
        <is>
          <t>Blåsippa</t>
        </is>
      </c>
      <c r="S976">
        <f>HYPERLINK("https://klasma.github.io/Logging_0821/artfynd/A 35072-2023 artfynd.xlsx", "A 35072-2023")</f>
        <v/>
      </c>
      <c r="T976">
        <f>HYPERLINK("https://klasma.github.io/Logging_0821/kartor/A 35072-2023 karta.png", "A 35072-2023")</f>
        <v/>
      </c>
      <c r="V976">
        <f>HYPERLINK("https://klasma.github.io/Logging_0821/klagomål/A 35072-2023 FSC-klagomål.docx", "A 35072-2023")</f>
        <v/>
      </c>
      <c r="W976">
        <f>HYPERLINK("https://klasma.github.io/Logging_0821/klagomålsmail/A 35072-2023 FSC-klagomål mail.docx", "A 35072-2023")</f>
        <v/>
      </c>
      <c r="X976">
        <f>HYPERLINK("https://klasma.github.io/Logging_0821/tillsyn/A 35072-2023 tillsynsbegäran.docx", "A 35072-2023")</f>
        <v/>
      </c>
      <c r="Y976">
        <f>HYPERLINK("https://klasma.github.io/Logging_0821/tillsynsmail/A 35072-2023 tillsynsbegäran mail.docx", "A 35072-2023")</f>
        <v/>
      </c>
    </row>
    <row r="977" ht="15" customHeight="1">
      <c r="A977" t="inlineStr">
        <is>
          <t>A 35075-2023</t>
        </is>
      </c>
      <c r="B977" s="1" t="n">
        <v>45145</v>
      </c>
      <c r="C977" s="1" t="n">
        <v>45715</v>
      </c>
      <c r="D977" t="inlineStr">
        <is>
          <t>KALMAR LÄN</t>
        </is>
      </c>
      <c r="E977" t="inlineStr">
        <is>
          <t>HÖGSBY</t>
        </is>
      </c>
      <c r="G977" t="n">
        <v>0.7</v>
      </c>
      <c r="H977" t="n">
        <v>1</v>
      </c>
      <c r="I977" t="n">
        <v>0</v>
      </c>
      <c r="J977" t="n">
        <v>0</v>
      </c>
      <c r="K977" t="n">
        <v>0</v>
      </c>
      <c r="L977" t="n">
        <v>0</v>
      </c>
      <c r="M977" t="n">
        <v>0</v>
      </c>
      <c r="N977" t="n">
        <v>0</v>
      </c>
      <c r="O977" t="n">
        <v>0</v>
      </c>
      <c r="P977" t="n">
        <v>0</v>
      </c>
      <c r="Q977" t="n">
        <v>1</v>
      </c>
      <c r="R977" s="2" t="inlineStr">
        <is>
          <t>Blåsippa</t>
        </is>
      </c>
      <c r="S977">
        <f>HYPERLINK("https://klasma.github.io/Logging_0821/artfynd/A 35075-2023 artfynd.xlsx", "A 35075-2023")</f>
        <v/>
      </c>
      <c r="T977">
        <f>HYPERLINK("https://klasma.github.io/Logging_0821/kartor/A 35075-2023 karta.png", "A 35075-2023")</f>
        <v/>
      </c>
      <c r="V977">
        <f>HYPERLINK("https://klasma.github.io/Logging_0821/klagomål/A 35075-2023 FSC-klagomål.docx", "A 35075-2023")</f>
        <v/>
      </c>
      <c r="W977">
        <f>HYPERLINK("https://klasma.github.io/Logging_0821/klagomålsmail/A 35075-2023 FSC-klagomål mail.docx", "A 35075-2023")</f>
        <v/>
      </c>
      <c r="X977">
        <f>HYPERLINK("https://klasma.github.io/Logging_0821/tillsyn/A 35075-2023 tillsynsbegäran.docx", "A 35075-2023")</f>
        <v/>
      </c>
      <c r="Y977">
        <f>HYPERLINK("https://klasma.github.io/Logging_0821/tillsynsmail/A 35075-2023 tillsynsbegäran mail.docx", "A 35075-2023")</f>
        <v/>
      </c>
    </row>
    <row r="978" ht="15" customHeight="1">
      <c r="A978" t="inlineStr">
        <is>
          <t>A 35517-2023</t>
        </is>
      </c>
      <c r="B978" s="1" t="n">
        <v>45147</v>
      </c>
      <c r="C978" s="1" t="n">
        <v>45715</v>
      </c>
      <c r="D978" t="inlineStr">
        <is>
          <t>KALMAR LÄN</t>
        </is>
      </c>
      <c r="E978" t="inlineStr">
        <is>
          <t>HULTSFRED</t>
        </is>
      </c>
      <c r="G978" t="n">
        <v>3.5</v>
      </c>
      <c r="H978" t="n">
        <v>1</v>
      </c>
      <c r="I978" t="n">
        <v>0</v>
      </c>
      <c r="J978" t="n">
        <v>0</v>
      </c>
      <c r="K978" t="n">
        <v>0</v>
      </c>
      <c r="L978" t="n">
        <v>0</v>
      </c>
      <c r="M978" t="n">
        <v>0</v>
      </c>
      <c r="N978" t="n">
        <v>0</v>
      </c>
      <c r="O978" t="n">
        <v>0</v>
      </c>
      <c r="P978" t="n">
        <v>0</v>
      </c>
      <c r="Q978" t="n">
        <v>1</v>
      </c>
      <c r="R978" s="2" t="inlineStr">
        <is>
          <t>Revlummer</t>
        </is>
      </c>
      <c r="S978">
        <f>HYPERLINK("https://klasma.github.io/Logging_0860/artfynd/A 35517-2023 artfynd.xlsx", "A 35517-2023")</f>
        <v/>
      </c>
      <c r="T978">
        <f>HYPERLINK("https://klasma.github.io/Logging_0860/kartor/A 35517-2023 karta.png", "A 35517-2023")</f>
        <v/>
      </c>
      <c r="V978">
        <f>HYPERLINK("https://klasma.github.io/Logging_0860/klagomål/A 35517-2023 FSC-klagomål.docx", "A 35517-2023")</f>
        <v/>
      </c>
      <c r="W978">
        <f>HYPERLINK("https://klasma.github.io/Logging_0860/klagomålsmail/A 35517-2023 FSC-klagomål mail.docx", "A 35517-2023")</f>
        <v/>
      </c>
      <c r="X978">
        <f>HYPERLINK("https://klasma.github.io/Logging_0860/tillsyn/A 35517-2023 tillsynsbegäran.docx", "A 35517-2023")</f>
        <v/>
      </c>
      <c r="Y978">
        <f>HYPERLINK("https://klasma.github.io/Logging_0860/tillsynsmail/A 35517-2023 tillsynsbegäran mail.docx", "A 35517-2023")</f>
        <v/>
      </c>
    </row>
    <row r="979" ht="15" customHeight="1">
      <c r="A979" t="inlineStr">
        <is>
          <t>A 36400-2023</t>
        </is>
      </c>
      <c r="B979" s="1" t="n">
        <v>45152</v>
      </c>
      <c r="C979" s="1" t="n">
        <v>45715</v>
      </c>
      <c r="D979" t="inlineStr">
        <is>
          <t>KALMAR LÄN</t>
        </is>
      </c>
      <c r="E979" t="inlineStr">
        <is>
          <t>VÄSTERVIK</t>
        </is>
      </c>
      <c r="G979" t="n">
        <v>1.4</v>
      </c>
      <c r="H979" t="n">
        <v>0</v>
      </c>
      <c r="I979" t="n">
        <v>1</v>
      </c>
      <c r="J979" t="n">
        <v>0</v>
      </c>
      <c r="K979" t="n">
        <v>0</v>
      </c>
      <c r="L979" t="n">
        <v>0</v>
      </c>
      <c r="M979" t="n">
        <v>0</v>
      </c>
      <c r="N979" t="n">
        <v>0</v>
      </c>
      <c r="O979" t="n">
        <v>0</v>
      </c>
      <c r="P979" t="n">
        <v>0</v>
      </c>
      <c r="Q979" t="n">
        <v>1</v>
      </c>
      <c r="R979" s="2" t="inlineStr">
        <is>
          <t>Fjällig taggsvamp s.str.</t>
        </is>
      </c>
      <c r="S979">
        <f>HYPERLINK("https://klasma.github.io/Logging_0883/artfynd/A 36400-2023 artfynd.xlsx", "A 36400-2023")</f>
        <v/>
      </c>
      <c r="T979">
        <f>HYPERLINK("https://klasma.github.io/Logging_0883/kartor/A 36400-2023 karta.png", "A 36400-2023")</f>
        <v/>
      </c>
      <c r="U979">
        <f>HYPERLINK("https://klasma.github.io/Logging_0883/knärot/A 36400-2023 karta knärot.png", "A 36400-2023")</f>
        <v/>
      </c>
      <c r="V979">
        <f>HYPERLINK("https://klasma.github.io/Logging_0883/klagomål/A 36400-2023 FSC-klagomål.docx", "A 36400-2023")</f>
        <v/>
      </c>
      <c r="W979">
        <f>HYPERLINK("https://klasma.github.io/Logging_0883/klagomålsmail/A 36400-2023 FSC-klagomål mail.docx", "A 36400-2023")</f>
        <v/>
      </c>
      <c r="X979">
        <f>HYPERLINK("https://klasma.github.io/Logging_0883/tillsyn/A 36400-2023 tillsynsbegäran.docx", "A 36400-2023")</f>
        <v/>
      </c>
      <c r="Y979">
        <f>HYPERLINK("https://klasma.github.io/Logging_0883/tillsynsmail/A 36400-2023 tillsynsbegäran mail.docx", "A 36400-2023")</f>
        <v/>
      </c>
    </row>
    <row r="980" ht="15" customHeight="1">
      <c r="A980" t="inlineStr">
        <is>
          <t>A 37161-2023</t>
        </is>
      </c>
      <c r="B980" s="1" t="n">
        <v>45155</v>
      </c>
      <c r="C980" s="1" t="n">
        <v>45715</v>
      </c>
      <c r="D980" t="inlineStr">
        <is>
          <t>KALMAR LÄN</t>
        </is>
      </c>
      <c r="E980" t="inlineStr">
        <is>
          <t>TORSÅS</t>
        </is>
      </c>
      <c r="G980" t="n">
        <v>8.699999999999999</v>
      </c>
      <c r="H980" t="n">
        <v>0</v>
      </c>
      <c r="I980" t="n">
        <v>1</v>
      </c>
      <c r="J980" t="n">
        <v>0</v>
      </c>
      <c r="K980" t="n">
        <v>0</v>
      </c>
      <c r="L980" t="n">
        <v>0</v>
      </c>
      <c r="M980" t="n">
        <v>0</v>
      </c>
      <c r="N980" t="n">
        <v>0</v>
      </c>
      <c r="O980" t="n">
        <v>0</v>
      </c>
      <c r="P980" t="n">
        <v>0</v>
      </c>
      <c r="Q980" t="n">
        <v>1</v>
      </c>
      <c r="R980" s="2" t="inlineStr">
        <is>
          <t>Gulnål</t>
        </is>
      </c>
      <c r="S980">
        <f>HYPERLINK("https://klasma.github.io/Logging_0834/artfynd/A 37161-2023 artfynd.xlsx", "A 37161-2023")</f>
        <v/>
      </c>
      <c r="T980">
        <f>HYPERLINK("https://klasma.github.io/Logging_0834/kartor/A 37161-2023 karta.png", "A 37161-2023")</f>
        <v/>
      </c>
      <c r="V980">
        <f>HYPERLINK("https://klasma.github.io/Logging_0834/klagomål/A 37161-2023 FSC-klagomål.docx", "A 37161-2023")</f>
        <v/>
      </c>
      <c r="W980">
        <f>HYPERLINK("https://klasma.github.io/Logging_0834/klagomålsmail/A 37161-2023 FSC-klagomål mail.docx", "A 37161-2023")</f>
        <v/>
      </c>
      <c r="X980">
        <f>HYPERLINK("https://klasma.github.io/Logging_0834/tillsyn/A 37161-2023 tillsynsbegäran.docx", "A 37161-2023")</f>
        <v/>
      </c>
      <c r="Y980">
        <f>HYPERLINK("https://klasma.github.io/Logging_0834/tillsynsmail/A 37161-2023 tillsynsbegäran mail.docx", "A 37161-2023")</f>
        <v/>
      </c>
    </row>
    <row r="981" ht="15" customHeight="1">
      <c r="A981" t="inlineStr">
        <is>
          <t>A 37330-2023</t>
        </is>
      </c>
      <c r="B981" s="1" t="n">
        <v>45156</v>
      </c>
      <c r="C981" s="1" t="n">
        <v>45715</v>
      </c>
      <c r="D981" t="inlineStr">
        <is>
          <t>KALMAR LÄN</t>
        </is>
      </c>
      <c r="E981" t="inlineStr">
        <is>
          <t>HULTSFRED</t>
        </is>
      </c>
      <c r="G981" t="n">
        <v>2.6</v>
      </c>
      <c r="H981" t="n">
        <v>1</v>
      </c>
      <c r="I981" t="n">
        <v>0</v>
      </c>
      <c r="J981" t="n">
        <v>0</v>
      </c>
      <c r="K981" t="n">
        <v>1</v>
      </c>
      <c r="L981" t="n">
        <v>0</v>
      </c>
      <c r="M981" t="n">
        <v>0</v>
      </c>
      <c r="N981" t="n">
        <v>0</v>
      </c>
      <c r="O981" t="n">
        <v>1</v>
      </c>
      <c r="P981" t="n">
        <v>1</v>
      </c>
      <c r="Q981" t="n">
        <v>1</v>
      </c>
      <c r="R981" s="2" t="inlineStr">
        <is>
          <t>Knärot</t>
        </is>
      </c>
      <c r="S981">
        <f>HYPERLINK("https://klasma.github.io/Logging_0860/artfynd/A 37330-2023 artfynd.xlsx", "A 37330-2023")</f>
        <v/>
      </c>
      <c r="T981">
        <f>HYPERLINK("https://klasma.github.io/Logging_0860/kartor/A 37330-2023 karta.png", "A 37330-2023")</f>
        <v/>
      </c>
      <c r="U981">
        <f>HYPERLINK("https://klasma.github.io/Logging_0860/knärot/A 37330-2023 karta knärot.png", "A 37330-2023")</f>
        <v/>
      </c>
      <c r="V981">
        <f>HYPERLINK("https://klasma.github.io/Logging_0860/klagomål/A 37330-2023 FSC-klagomål.docx", "A 37330-2023")</f>
        <v/>
      </c>
      <c r="W981">
        <f>HYPERLINK("https://klasma.github.io/Logging_0860/klagomålsmail/A 37330-2023 FSC-klagomål mail.docx", "A 37330-2023")</f>
        <v/>
      </c>
      <c r="X981">
        <f>HYPERLINK("https://klasma.github.io/Logging_0860/tillsyn/A 37330-2023 tillsynsbegäran.docx", "A 37330-2023")</f>
        <v/>
      </c>
      <c r="Y981">
        <f>HYPERLINK("https://klasma.github.io/Logging_0860/tillsynsmail/A 37330-2023 tillsynsbegäran mail.docx", "A 37330-2023")</f>
        <v/>
      </c>
    </row>
    <row r="982" ht="15" customHeight="1">
      <c r="A982" t="inlineStr">
        <is>
          <t>A 38119-2023</t>
        </is>
      </c>
      <c r="B982" s="1" t="n">
        <v>45161</v>
      </c>
      <c r="C982" s="1" t="n">
        <v>45715</v>
      </c>
      <c r="D982" t="inlineStr">
        <is>
          <t>KALMAR LÄN</t>
        </is>
      </c>
      <c r="E982" t="inlineStr">
        <is>
          <t>EMMABODA</t>
        </is>
      </c>
      <c r="F982" t="inlineStr">
        <is>
          <t>Kommuner</t>
        </is>
      </c>
      <c r="G982" t="n">
        <v>1.5</v>
      </c>
      <c r="H982" t="n">
        <v>0</v>
      </c>
      <c r="I982" t="n">
        <v>0</v>
      </c>
      <c r="J982" t="n">
        <v>1</v>
      </c>
      <c r="K982" t="n">
        <v>0</v>
      </c>
      <c r="L982" t="n">
        <v>0</v>
      </c>
      <c r="M982" t="n">
        <v>0</v>
      </c>
      <c r="N982" t="n">
        <v>0</v>
      </c>
      <c r="O982" t="n">
        <v>1</v>
      </c>
      <c r="P982" t="n">
        <v>0</v>
      </c>
      <c r="Q982" t="n">
        <v>1</v>
      </c>
      <c r="R982" s="2" t="inlineStr">
        <is>
          <t>Åkerkål</t>
        </is>
      </c>
      <c r="S982">
        <f>HYPERLINK("https://klasma.github.io/Logging_0862/artfynd/A 38119-2023 artfynd.xlsx", "A 38119-2023")</f>
        <v/>
      </c>
      <c r="T982">
        <f>HYPERLINK("https://klasma.github.io/Logging_0862/kartor/A 38119-2023 karta.png", "A 38119-2023")</f>
        <v/>
      </c>
      <c r="V982">
        <f>HYPERLINK("https://klasma.github.io/Logging_0862/klagomål/A 38119-2023 FSC-klagomål.docx", "A 38119-2023")</f>
        <v/>
      </c>
      <c r="W982">
        <f>HYPERLINK("https://klasma.github.io/Logging_0862/klagomålsmail/A 38119-2023 FSC-klagomål mail.docx", "A 38119-2023")</f>
        <v/>
      </c>
      <c r="X982">
        <f>HYPERLINK("https://klasma.github.io/Logging_0862/tillsyn/A 38119-2023 tillsynsbegäran.docx", "A 38119-2023")</f>
        <v/>
      </c>
      <c r="Y982">
        <f>HYPERLINK("https://klasma.github.io/Logging_0862/tillsynsmail/A 38119-2023 tillsynsbegäran mail.docx", "A 38119-2023")</f>
        <v/>
      </c>
    </row>
    <row r="983" ht="15" customHeight="1">
      <c r="A983" t="inlineStr">
        <is>
          <t>A 38513-2023</t>
        </is>
      </c>
      <c r="B983" s="1" t="n">
        <v>45162</v>
      </c>
      <c r="C983" s="1" t="n">
        <v>45715</v>
      </c>
      <c r="D983" t="inlineStr">
        <is>
          <t>KALMAR LÄN</t>
        </is>
      </c>
      <c r="E983" t="inlineStr">
        <is>
          <t>HÖGSBY</t>
        </is>
      </c>
      <c r="G983" t="n">
        <v>4.1</v>
      </c>
      <c r="H983" t="n">
        <v>0</v>
      </c>
      <c r="I983" t="n">
        <v>0</v>
      </c>
      <c r="J983" t="n">
        <v>1</v>
      </c>
      <c r="K983" t="n">
        <v>0</v>
      </c>
      <c r="L983" t="n">
        <v>0</v>
      </c>
      <c r="M983" t="n">
        <v>0</v>
      </c>
      <c r="N983" t="n">
        <v>0</v>
      </c>
      <c r="O983" t="n">
        <v>1</v>
      </c>
      <c r="P983" t="n">
        <v>0</v>
      </c>
      <c r="Q983" t="n">
        <v>1</v>
      </c>
      <c r="R983" s="2" t="inlineStr">
        <is>
          <t>Backklöver</t>
        </is>
      </c>
      <c r="S983">
        <f>HYPERLINK("https://klasma.github.io/Logging_0821/artfynd/A 38513-2023 artfynd.xlsx", "A 38513-2023")</f>
        <v/>
      </c>
      <c r="T983">
        <f>HYPERLINK("https://klasma.github.io/Logging_0821/kartor/A 38513-2023 karta.png", "A 38513-2023")</f>
        <v/>
      </c>
      <c r="V983">
        <f>HYPERLINK("https://klasma.github.io/Logging_0821/klagomål/A 38513-2023 FSC-klagomål.docx", "A 38513-2023")</f>
        <v/>
      </c>
      <c r="W983">
        <f>HYPERLINK("https://klasma.github.io/Logging_0821/klagomålsmail/A 38513-2023 FSC-klagomål mail.docx", "A 38513-2023")</f>
        <v/>
      </c>
      <c r="X983">
        <f>HYPERLINK("https://klasma.github.io/Logging_0821/tillsyn/A 38513-2023 tillsynsbegäran.docx", "A 38513-2023")</f>
        <v/>
      </c>
      <c r="Y983">
        <f>HYPERLINK("https://klasma.github.io/Logging_0821/tillsynsmail/A 38513-2023 tillsynsbegäran mail.docx", "A 38513-2023")</f>
        <v/>
      </c>
    </row>
    <row r="984" ht="15" customHeight="1">
      <c r="A984" t="inlineStr">
        <is>
          <t>A 38813-2023</t>
        </is>
      </c>
      <c r="B984" s="1" t="n">
        <v>45163</v>
      </c>
      <c r="C984" s="1" t="n">
        <v>45715</v>
      </c>
      <c r="D984" t="inlineStr">
        <is>
          <t>KALMAR LÄN</t>
        </is>
      </c>
      <c r="E984" t="inlineStr">
        <is>
          <t>EMMABODA</t>
        </is>
      </c>
      <c r="G984" t="n">
        <v>4.8</v>
      </c>
      <c r="H984" t="n">
        <v>0</v>
      </c>
      <c r="I984" t="n">
        <v>1</v>
      </c>
      <c r="J984" t="n">
        <v>0</v>
      </c>
      <c r="K984" t="n">
        <v>0</v>
      </c>
      <c r="L984" t="n">
        <v>0</v>
      </c>
      <c r="M984" t="n">
        <v>0</v>
      </c>
      <c r="N984" t="n">
        <v>0</v>
      </c>
      <c r="O984" t="n">
        <v>0</v>
      </c>
      <c r="P984" t="n">
        <v>0</v>
      </c>
      <c r="Q984" t="n">
        <v>1</v>
      </c>
      <c r="R984" s="2" t="inlineStr">
        <is>
          <t>Grönpyrola</t>
        </is>
      </c>
      <c r="S984">
        <f>HYPERLINK("https://klasma.github.io/Logging_0862/artfynd/A 38813-2023 artfynd.xlsx", "A 38813-2023")</f>
        <v/>
      </c>
      <c r="T984">
        <f>HYPERLINK("https://klasma.github.io/Logging_0862/kartor/A 38813-2023 karta.png", "A 38813-2023")</f>
        <v/>
      </c>
      <c r="V984">
        <f>HYPERLINK("https://klasma.github.io/Logging_0862/klagomål/A 38813-2023 FSC-klagomål.docx", "A 38813-2023")</f>
        <v/>
      </c>
      <c r="W984">
        <f>HYPERLINK("https://klasma.github.io/Logging_0862/klagomålsmail/A 38813-2023 FSC-klagomål mail.docx", "A 38813-2023")</f>
        <v/>
      </c>
      <c r="X984">
        <f>HYPERLINK("https://klasma.github.io/Logging_0862/tillsyn/A 38813-2023 tillsynsbegäran.docx", "A 38813-2023")</f>
        <v/>
      </c>
      <c r="Y984">
        <f>HYPERLINK("https://klasma.github.io/Logging_0862/tillsynsmail/A 38813-2023 tillsynsbegäran mail.docx", "A 38813-2023")</f>
        <v/>
      </c>
    </row>
    <row r="985" ht="15" customHeight="1">
      <c r="A985" t="inlineStr">
        <is>
          <t>A 39745-2023</t>
        </is>
      </c>
      <c r="B985" s="1" t="n">
        <v>45167</v>
      </c>
      <c r="C985" s="1" t="n">
        <v>45715</v>
      </c>
      <c r="D985" t="inlineStr">
        <is>
          <t>KALMAR LÄN</t>
        </is>
      </c>
      <c r="E985" t="inlineStr">
        <is>
          <t>KALMAR</t>
        </is>
      </c>
      <c r="G985" t="n">
        <v>1.3</v>
      </c>
      <c r="H985" t="n">
        <v>0</v>
      </c>
      <c r="I985" t="n">
        <v>1</v>
      </c>
      <c r="J985" t="n">
        <v>0</v>
      </c>
      <c r="K985" t="n">
        <v>0</v>
      </c>
      <c r="L985" t="n">
        <v>0</v>
      </c>
      <c r="M985" t="n">
        <v>0</v>
      </c>
      <c r="N985" t="n">
        <v>0</v>
      </c>
      <c r="O985" t="n">
        <v>0</v>
      </c>
      <c r="P985" t="n">
        <v>0</v>
      </c>
      <c r="Q985" t="n">
        <v>1</v>
      </c>
      <c r="R985" s="2" t="inlineStr">
        <is>
          <t>Murgröna</t>
        </is>
      </c>
      <c r="S985">
        <f>HYPERLINK("https://klasma.github.io/Logging_0880/artfynd/A 39745-2023 artfynd.xlsx", "A 39745-2023")</f>
        <v/>
      </c>
      <c r="T985">
        <f>HYPERLINK("https://klasma.github.io/Logging_0880/kartor/A 39745-2023 karta.png", "A 39745-2023")</f>
        <v/>
      </c>
      <c r="V985">
        <f>HYPERLINK("https://klasma.github.io/Logging_0880/klagomål/A 39745-2023 FSC-klagomål.docx", "A 39745-2023")</f>
        <v/>
      </c>
      <c r="W985">
        <f>HYPERLINK("https://klasma.github.io/Logging_0880/klagomålsmail/A 39745-2023 FSC-klagomål mail.docx", "A 39745-2023")</f>
        <v/>
      </c>
      <c r="X985">
        <f>HYPERLINK("https://klasma.github.io/Logging_0880/tillsyn/A 39745-2023 tillsynsbegäran.docx", "A 39745-2023")</f>
        <v/>
      </c>
      <c r="Y985">
        <f>HYPERLINK("https://klasma.github.io/Logging_0880/tillsynsmail/A 39745-2023 tillsynsbegäran mail.docx", "A 39745-2023")</f>
        <v/>
      </c>
    </row>
    <row r="986" ht="15" customHeight="1">
      <c r="A986" t="inlineStr">
        <is>
          <t>A 40083-2023</t>
        </is>
      </c>
      <c r="B986" s="1" t="n">
        <v>45168</v>
      </c>
      <c r="C986" s="1" t="n">
        <v>45715</v>
      </c>
      <c r="D986" t="inlineStr">
        <is>
          <t>KALMAR LÄN</t>
        </is>
      </c>
      <c r="E986" t="inlineStr">
        <is>
          <t>VIMMERBY</t>
        </is>
      </c>
      <c r="G986" t="n">
        <v>2.2</v>
      </c>
      <c r="H986" t="n">
        <v>1</v>
      </c>
      <c r="I986" t="n">
        <v>0</v>
      </c>
      <c r="J986" t="n">
        <v>0</v>
      </c>
      <c r="K986" t="n">
        <v>0</v>
      </c>
      <c r="L986" t="n">
        <v>0</v>
      </c>
      <c r="M986" t="n">
        <v>0</v>
      </c>
      <c r="N986" t="n">
        <v>0</v>
      </c>
      <c r="O986" t="n">
        <v>0</v>
      </c>
      <c r="P986" t="n">
        <v>0</v>
      </c>
      <c r="Q986" t="n">
        <v>1</v>
      </c>
      <c r="R986" s="2" t="inlineStr">
        <is>
          <t>Revlummer</t>
        </is>
      </c>
      <c r="S986">
        <f>HYPERLINK("https://klasma.github.io/Logging_0884/artfynd/A 40083-2023 artfynd.xlsx", "A 40083-2023")</f>
        <v/>
      </c>
      <c r="T986">
        <f>HYPERLINK("https://klasma.github.io/Logging_0884/kartor/A 40083-2023 karta.png", "A 40083-2023")</f>
        <v/>
      </c>
      <c r="V986">
        <f>HYPERLINK("https://klasma.github.io/Logging_0884/klagomål/A 40083-2023 FSC-klagomål.docx", "A 40083-2023")</f>
        <v/>
      </c>
      <c r="W986">
        <f>HYPERLINK("https://klasma.github.io/Logging_0884/klagomålsmail/A 40083-2023 FSC-klagomål mail.docx", "A 40083-2023")</f>
        <v/>
      </c>
      <c r="X986">
        <f>HYPERLINK("https://klasma.github.io/Logging_0884/tillsyn/A 40083-2023 tillsynsbegäran.docx", "A 40083-2023")</f>
        <v/>
      </c>
      <c r="Y986">
        <f>HYPERLINK("https://klasma.github.io/Logging_0884/tillsynsmail/A 40083-2023 tillsynsbegäran mail.docx", "A 40083-2023")</f>
        <v/>
      </c>
    </row>
    <row r="987" ht="15" customHeight="1">
      <c r="A987" t="inlineStr">
        <is>
          <t>A 40084-2023</t>
        </is>
      </c>
      <c r="B987" s="1" t="n">
        <v>45168</v>
      </c>
      <c r="C987" s="1" t="n">
        <v>45715</v>
      </c>
      <c r="D987" t="inlineStr">
        <is>
          <t>KALMAR LÄN</t>
        </is>
      </c>
      <c r="E987" t="inlineStr">
        <is>
          <t>VIMMERBY</t>
        </is>
      </c>
      <c r="G987" t="n">
        <v>1.3</v>
      </c>
      <c r="H987" t="n">
        <v>1</v>
      </c>
      <c r="I987" t="n">
        <v>0</v>
      </c>
      <c r="J987" t="n">
        <v>1</v>
      </c>
      <c r="K987" t="n">
        <v>0</v>
      </c>
      <c r="L987" t="n">
        <v>0</v>
      </c>
      <c r="M987" t="n">
        <v>0</v>
      </c>
      <c r="N987" t="n">
        <v>0</v>
      </c>
      <c r="O987" t="n">
        <v>1</v>
      </c>
      <c r="P987" t="n">
        <v>0</v>
      </c>
      <c r="Q987" t="n">
        <v>1</v>
      </c>
      <c r="R987" s="2" t="inlineStr">
        <is>
          <t>Entita</t>
        </is>
      </c>
      <c r="S987">
        <f>HYPERLINK("https://klasma.github.io/Logging_0884/artfynd/A 40084-2023 artfynd.xlsx", "A 40084-2023")</f>
        <v/>
      </c>
      <c r="T987">
        <f>HYPERLINK("https://klasma.github.io/Logging_0884/kartor/A 40084-2023 karta.png", "A 40084-2023")</f>
        <v/>
      </c>
      <c r="V987">
        <f>HYPERLINK("https://klasma.github.io/Logging_0884/klagomål/A 40084-2023 FSC-klagomål.docx", "A 40084-2023")</f>
        <v/>
      </c>
      <c r="W987">
        <f>HYPERLINK("https://klasma.github.io/Logging_0884/klagomålsmail/A 40084-2023 FSC-klagomål mail.docx", "A 40084-2023")</f>
        <v/>
      </c>
      <c r="X987">
        <f>HYPERLINK("https://klasma.github.io/Logging_0884/tillsyn/A 40084-2023 tillsynsbegäran.docx", "A 40084-2023")</f>
        <v/>
      </c>
      <c r="Y987">
        <f>HYPERLINK("https://klasma.github.io/Logging_0884/tillsynsmail/A 40084-2023 tillsynsbegäran mail.docx", "A 40084-2023")</f>
        <v/>
      </c>
      <c r="Z987">
        <f>HYPERLINK("https://klasma.github.io/Logging_0884/fåglar/A 40084-2023 prioriterade fågelarter.docx", "A 40084-2023")</f>
        <v/>
      </c>
    </row>
    <row r="988" ht="15" customHeight="1">
      <c r="A988" t="inlineStr">
        <is>
          <t>A 40256-2023</t>
        </is>
      </c>
      <c r="B988" s="1" t="n">
        <v>45169</v>
      </c>
      <c r="C988" s="1" t="n">
        <v>45715</v>
      </c>
      <c r="D988" t="inlineStr">
        <is>
          <t>KALMAR LÄN</t>
        </is>
      </c>
      <c r="E988" t="inlineStr">
        <is>
          <t>HULTSFRED</t>
        </is>
      </c>
      <c r="G988" t="n">
        <v>2.2</v>
      </c>
      <c r="H988" t="n">
        <v>1</v>
      </c>
      <c r="I988" t="n">
        <v>0</v>
      </c>
      <c r="J988" t="n">
        <v>0</v>
      </c>
      <c r="K988" t="n">
        <v>1</v>
      </c>
      <c r="L988" t="n">
        <v>0</v>
      </c>
      <c r="M988" t="n">
        <v>0</v>
      </c>
      <c r="N988" t="n">
        <v>0</v>
      </c>
      <c r="O988" t="n">
        <v>1</v>
      </c>
      <c r="P988" t="n">
        <v>1</v>
      </c>
      <c r="Q988" t="n">
        <v>1</v>
      </c>
      <c r="R988" s="2" t="inlineStr">
        <is>
          <t>Tofsvipa</t>
        </is>
      </c>
      <c r="S988">
        <f>HYPERLINK("https://klasma.github.io/Logging_0860/artfynd/A 40256-2023 artfynd.xlsx", "A 40256-2023")</f>
        <v/>
      </c>
      <c r="T988">
        <f>HYPERLINK("https://klasma.github.io/Logging_0860/kartor/A 40256-2023 karta.png", "A 40256-2023")</f>
        <v/>
      </c>
      <c r="V988">
        <f>HYPERLINK("https://klasma.github.io/Logging_0860/klagomål/A 40256-2023 FSC-klagomål.docx", "A 40256-2023")</f>
        <v/>
      </c>
      <c r="W988">
        <f>HYPERLINK("https://klasma.github.io/Logging_0860/klagomålsmail/A 40256-2023 FSC-klagomål mail.docx", "A 40256-2023")</f>
        <v/>
      </c>
      <c r="X988">
        <f>HYPERLINK("https://klasma.github.io/Logging_0860/tillsyn/A 40256-2023 tillsynsbegäran.docx", "A 40256-2023")</f>
        <v/>
      </c>
      <c r="Y988">
        <f>HYPERLINK("https://klasma.github.io/Logging_0860/tillsynsmail/A 40256-2023 tillsynsbegäran mail.docx", "A 40256-2023")</f>
        <v/>
      </c>
    </row>
    <row r="989" ht="15" customHeight="1">
      <c r="A989" t="inlineStr">
        <is>
          <t>A 41198-2023</t>
        </is>
      </c>
      <c r="B989" s="1" t="n">
        <v>45174</v>
      </c>
      <c r="C989" s="1" t="n">
        <v>45715</v>
      </c>
      <c r="D989" t="inlineStr">
        <is>
          <t>KALMAR LÄN</t>
        </is>
      </c>
      <c r="E989" t="inlineStr">
        <is>
          <t>MÖNSTERÅS</t>
        </is>
      </c>
      <c r="G989" t="n">
        <v>3.5</v>
      </c>
      <c r="H989" t="n">
        <v>1</v>
      </c>
      <c r="I989" t="n">
        <v>0</v>
      </c>
      <c r="J989" t="n">
        <v>0</v>
      </c>
      <c r="K989" t="n">
        <v>0</v>
      </c>
      <c r="L989" t="n">
        <v>0</v>
      </c>
      <c r="M989" t="n">
        <v>0</v>
      </c>
      <c r="N989" t="n">
        <v>0</v>
      </c>
      <c r="O989" t="n">
        <v>0</v>
      </c>
      <c r="P989" t="n">
        <v>0</v>
      </c>
      <c r="Q989" t="n">
        <v>1</v>
      </c>
      <c r="R989" s="2" t="inlineStr">
        <is>
          <t>Revlummer</t>
        </is>
      </c>
      <c r="S989">
        <f>HYPERLINK("https://klasma.github.io/Logging_0861/artfynd/A 41198-2023 artfynd.xlsx", "A 41198-2023")</f>
        <v/>
      </c>
      <c r="T989">
        <f>HYPERLINK("https://klasma.github.io/Logging_0861/kartor/A 41198-2023 karta.png", "A 41198-2023")</f>
        <v/>
      </c>
      <c r="V989">
        <f>HYPERLINK("https://klasma.github.io/Logging_0861/klagomål/A 41198-2023 FSC-klagomål.docx", "A 41198-2023")</f>
        <v/>
      </c>
      <c r="W989">
        <f>HYPERLINK("https://klasma.github.io/Logging_0861/klagomålsmail/A 41198-2023 FSC-klagomål mail.docx", "A 41198-2023")</f>
        <v/>
      </c>
      <c r="X989">
        <f>HYPERLINK("https://klasma.github.io/Logging_0861/tillsyn/A 41198-2023 tillsynsbegäran.docx", "A 41198-2023")</f>
        <v/>
      </c>
      <c r="Y989">
        <f>HYPERLINK("https://klasma.github.io/Logging_0861/tillsynsmail/A 41198-2023 tillsynsbegäran mail.docx", "A 41198-2023")</f>
        <v/>
      </c>
    </row>
    <row r="990" ht="15" customHeight="1">
      <c r="A990" t="inlineStr">
        <is>
          <t>A 41640-2023</t>
        </is>
      </c>
      <c r="B990" s="1" t="n">
        <v>45175</v>
      </c>
      <c r="C990" s="1" t="n">
        <v>45715</v>
      </c>
      <c r="D990" t="inlineStr">
        <is>
          <t>KALMAR LÄN</t>
        </is>
      </c>
      <c r="E990" t="inlineStr">
        <is>
          <t>BORGHOLM</t>
        </is>
      </c>
      <c r="G990" t="n">
        <v>5</v>
      </c>
      <c r="H990" t="n">
        <v>1</v>
      </c>
      <c r="I990" t="n">
        <v>0</v>
      </c>
      <c r="J990" t="n">
        <v>0</v>
      </c>
      <c r="K990" t="n">
        <v>0</v>
      </c>
      <c r="L990" t="n">
        <v>0</v>
      </c>
      <c r="M990" t="n">
        <v>0</v>
      </c>
      <c r="N990" t="n">
        <v>0</v>
      </c>
      <c r="O990" t="n">
        <v>0</v>
      </c>
      <c r="P990" t="n">
        <v>0</v>
      </c>
      <c r="Q990" t="n">
        <v>1</v>
      </c>
      <c r="R990" s="2" t="inlineStr">
        <is>
          <t>Johannesnycklar</t>
        </is>
      </c>
      <c r="S990">
        <f>HYPERLINK("https://klasma.github.io/Logging_0885/artfynd/A 41640-2023 artfynd.xlsx", "A 41640-2023")</f>
        <v/>
      </c>
      <c r="T990">
        <f>HYPERLINK("https://klasma.github.io/Logging_0885/kartor/A 41640-2023 karta.png", "A 41640-2023")</f>
        <v/>
      </c>
      <c r="V990">
        <f>HYPERLINK("https://klasma.github.io/Logging_0885/klagomål/A 41640-2023 FSC-klagomål.docx", "A 41640-2023")</f>
        <v/>
      </c>
      <c r="W990">
        <f>HYPERLINK("https://klasma.github.io/Logging_0885/klagomålsmail/A 41640-2023 FSC-klagomål mail.docx", "A 41640-2023")</f>
        <v/>
      </c>
      <c r="X990">
        <f>HYPERLINK("https://klasma.github.io/Logging_0885/tillsyn/A 41640-2023 tillsynsbegäran.docx", "A 41640-2023")</f>
        <v/>
      </c>
      <c r="Y990">
        <f>HYPERLINK("https://klasma.github.io/Logging_0885/tillsynsmail/A 41640-2023 tillsynsbegäran mail.docx", "A 41640-2023")</f>
        <v/>
      </c>
    </row>
    <row r="991" ht="15" customHeight="1">
      <c r="A991" t="inlineStr">
        <is>
          <t>A 42375-2023</t>
        </is>
      </c>
      <c r="B991" s="1" t="n">
        <v>45175</v>
      </c>
      <c r="C991" s="1" t="n">
        <v>45715</v>
      </c>
      <c r="D991" t="inlineStr">
        <is>
          <t>KALMAR LÄN</t>
        </is>
      </c>
      <c r="E991" t="inlineStr">
        <is>
          <t>HULTSFRED</t>
        </is>
      </c>
      <c r="G991" t="n">
        <v>1.1</v>
      </c>
      <c r="H991" t="n">
        <v>1</v>
      </c>
      <c r="I991" t="n">
        <v>0</v>
      </c>
      <c r="J991" t="n">
        <v>1</v>
      </c>
      <c r="K991" t="n">
        <v>0</v>
      </c>
      <c r="L991" t="n">
        <v>0</v>
      </c>
      <c r="M991" t="n">
        <v>0</v>
      </c>
      <c r="N991" t="n">
        <v>0</v>
      </c>
      <c r="O991" t="n">
        <v>1</v>
      </c>
      <c r="P991" t="n">
        <v>0</v>
      </c>
      <c r="Q991" t="n">
        <v>1</v>
      </c>
      <c r="R991" s="2" t="inlineStr">
        <is>
          <t>Grönsångare</t>
        </is>
      </c>
      <c r="S991">
        <f>HYPERLINK("https://klasma.github.io/Logging_0860/artfynd/A 42375-2023 artfynd.xlsx", "A 42375-2023")</f>
        <v/>
      </c>
      <c r="T991">
        <f>HYPERLINK("https://klasma.github.io/Logging_0860/kartor/A 42375-2023 karta.png", "A 42375-2023")</f>
        <v/>
      </c>
      <c r="V991">
        <f>HYPERLINK("https://klasma.github.io/Logging_0860/klagomål/A 42375-2023 FSC-klagomål.docx", "A 42375-2023")</f>
        <v/>
      </c>
      <c r="W991">
        <f>HYPERLINK("https://klasma.github.io/Logging_0860/klagomålsmail/A 42375-2023 FSC-klagomål mail.docx", "A 42375-2023")</f>
        <v/>
      </c>
      <c r="X991">
        <f>HYPERLINK("https://klasma.github.io/Logging_0860/tillsyn/A 42375-2023 tillsynsbegäran.docx", "A 42375-2023")</f>
        <v/>
      </c>
      <c r="Y991">
        <f>HYPERLINK("https://klasma.github.io/Logging_0860/tillsynsmail/A 42375-2023 tillsynsbegäran mail.docx", "A 42375-2023")</f>
        <v/>
      </c>
      <c r="Z991">
        <f>HYPERLINK("https://klasma.github.io/Logging_0860/fåglar/A 42375-2023 prioriterade fågelarter.docx", "A 42375-2023")</f>
        <v/>
      </c>
    </row>
    <row r="992" ht="15" customHeight="1">
      <c r="A992" t="inlineStr">
        <is>
          <t>A 42127-2023</t>
        </is>
      </c>
      <c r="B992" s="1" t="n">
        <v>45177</v>
      </c>
      <c r="C992" s="1" t="n">
        <v>45715</v>
      </c>
      <c r="D992" t="inlineStr">
        <is>
          <t>KALMAR LÄN</t>
        </is>
      </c>
      <c r="E992" t="inlineStr">
        <is>
          <t>BORGHOLM</t>
        </is>
      </c>
      <c r="G992" t="n">
        <v>1.6</v>
      </c>
      <c r="H992" t="n">
        <v>0</v>
      </c>
      <c r="I992" t="n">
        <v>0</v>
      </c>
      <c r="J992" t="n">
        <v>0</v>
      </c>
      <c r="K992" t="n">
        <v>1</v>
      </c>
      <c r="L992" t="n">
        <v>0</v>
      </c>
      <c r="M992" t="n">
        <v>0</v>
      </c>
      <c r="N992" t="n">
        <v>0</v>
      </c>
      <c r="O992" t="n">
        <v>1</v>
      </c>
      <c r="P992" t="n">
        <v>1</v>
      </c>
      <c r="Q992" t="n">
        <v>1</v>
      </c>
      <c r="R992" s="2" t="inlineStr">
        <is>
          <t>Gotlandsmåra</t>
        </is>
      </c>
      <c r="S992">
        <f>HYPERLINK("https://klasma.github.io/Logging_0885/artfynd/A 42127-2023 artfynd.xlsx", "A 42127-2023")</f>
        <v/>
      </c>
      <c r="T992">
        <f>HYPERLINK("https://klasma.github.io/Logging_0885/kartor/A 42127-2023 karta.png", "A 42127-2023")</f>
        <v/>
      </c>
      <c r="V992">
        <f>HYPERLINK("https://klasma.github.io/Logging_0885/klagomål/A 42127-2023 FSC-klagomål.docx", "A 42127-2023")</f>
        <v/>
      </c>
      <c r="W992">
        <f>HYPERLINK("https://klasma.github.io/Logging_0885/klagomålsmail/A 42127-2023 FSC-klagomål mail.docx", "A 42127-2023")</f>
        <v/>
      </c>
      <c r="X992">
        <f>HYPERLINK("https://klasma.github.io/Logging_0885/tillsyn/A 42127-2023 tillsynsbegäran.docx", "A 42127-2023")</f>
        <v/>
      </c>
      <c r="Y992">
        <f>HYPERLINK("https://klasma.github.io/Logging_0885/tillsynsmail/A 42127-2023 tillsynsbegäran mail.docx", "A 42127-2023")</f>
        <v/>
      </c>
    </row>
    <row r="993" ht="15" customHeight="1">
      <c r="A993" t="inlineStr">
        <is>
          <t>A 43009-2023</t>
        </is>
      </c>
      <c r="B993" s="1" t="n">
        <v>45182</v>
      </c>
      <c r="C993" s="1" t="n">
        <v>45715</v>
      </c>
      <c r="D993" t="inlineStr">
        <is>
          <t>KALMAR LÄN</t>
        </is>
      </c>
      <c r="E993" t="inlineStr">
        <is>
          <t>OSKARSHAMN</t>
        </is>
      </c>
      <c r="F993" t="inlineStr">
        <is>
          <t>Sveaskog</t>
        </is>
      </c>
      <c r="G993" t="n">
        <v>3.2</v>
      </c>
      <c r="H993" t="n">
        <v>0</v>
      </c>
      <c r="I993" t="n">
        <v>1</v>
      </c>
      <c r="J993" t="n">
        <v>0</v>
      </c>
      <c r="K993" t="n">
        <v>0</v>
      </c>
      <c r="L993" t="n">
        <v>0</v>
      </c>
      <c r="M993" t="n">
        <v>0</v>
      </c>
      <c r="N993" t="n">
        <v>0</v>
      </c>
      <c r="O993" t="n">
        <v>0</v>
      </c>
      <c r="P993" t="n">
        <v>0</v>
      </c>
      <c r="Q993" t="n">
        <v>1</v>
      </c>
      <c r="R993" s="2" t="inlineStr">
        <is>
          <t>Murgröna</t>
        </is>
      </c>
      <c r="S993">
        <f>HYPERLINK("https://klasma.github.io/Logging_0882/artfynd/A 43009-2023 artfynd.xlsx", "A 43009-2023")</f>
        <v/>
      </c>
      <c r="T993">
        <f>HYPERLINK("https://klasma.github.io/Logging_0882/kartor/A 43009-2023 karta.png", "A 43009-2023")</f>
        <v/>
      </c>
      <c r="V993">
        <f>HYPERLINK("https://klasma.github.io/Logging_0882/klagomål/A 43009-2023 FSC-klagomål.docx", "A 43009-2023")</f>
        <v/>
      </c>
      <c r="W993">
        <f>HYPERLINK("https://klasma.github.io/Logging_0882/klagomålsmail/A 43009-2023 FSC-klagomål mail.docx", "A 43009-2023")</f>
        <v/>
      </c>
      <c r="X993">
        <f>HYPERLINK("https://klasma.github.io/Logging_0882/tillsyn/A 43009-2023 tillsynsbegäran.docx", "A 43009-2023")</f>
        <v/>
      </c>
      <c r="Y993">
        <f>HYPERLINK("https://klasma.github.io/Logging_0882/tillsynsmail/A 43009-2023 tillsynsbegäran mail.docx", "A 43009-2023")</f>
        <v/>
      </c>
    </row>
    <row r="994" ht="15" customHeight="1">
      <c r="A994" t="inlineStr">
        <is>
          <t>A 43210-2023</t>
        </is>
      </c>
      <c r="B994" s="1" t="n">
        <v>45183</v>
      </c>
      <c r="C994" s="1" t="n">
        <v>45715</v>
      </c>
      <c r="D994" t="inlineStr">
        <is>
          <t>KALMAR LÄN</t>
        </is>
      </c>
      <c r="E994" t="inlineStr">
        <is>
          <t>HULTSFRED</t>
        </is>
      </c>
      <c r="G994" t="n">
        <v>7</v>
      </c>
      <c r="H994" t="n">
        <v>1</v>
      </c>
      <c r="I994" t="n">
        <v>0</v>
      </c>
      <c r="J994" t="n">
        <v>0</v>
      </c>
      <c r="K994" t="n">
        <v>1</v>
      </c>
      <c r="L994" t="n">
        <v>0</v>
      </c>
      <c r="M994" t="n">
        <v>0</v>
      </c>
      <c r="N994" t="n">
        <v>0</v>
      </c>
      <c r="O994" t="n">
        <v>1</v>
      </c>
      <c r="P994" t="n">
        <v>1</v>
      </c>
      <c r="Q994" t="n">
        <v>1</v>
      </c>
      <c r="R994" s="2" t="inlineStr">
        <is>
          <t>Knärot</t>
        </is>
      </c>
      <c r="S994">
        <f>HYPERLINK("https://klasma.github.io/Logging_0860/artfynd/A 43210-2023 artfynd.xlsx", "A 43210-2023")</f>
        <v/>
      </c>
      <c r="T994">
        <f>HYPERLINK("https://klasma.github.io/Logging_0860/kartor/A 43210-2023 karta.png", "A 43210-2023")</f>
        <v/>
      </c>
      <c r="U994">
        <f>HYPERLINK("https://klasma.github.io/Logging_0860/knärot/A 43210-2023 karta knärot.png", "A 43210-2023")</f>
        <v/>
      </c>
      <c r="V994">
        <f>HYPERLINK("https://klasma.github.io/Logging_0860/klagomål/A 43210-2023 FSC-klagomål.docx", "A 43210-2023")</f>
        <v/>
      </c>
      <c r="W994">
        <f>HYPERLINK("https://klasma.github.io/Logging_0860/klagomålsmail/A 43210-2023 FSC-klagomål mail.docx", "A 43210-2023")</f>
        <v/>
      </c>
      <c r="X994">
        <f>HYPERLINK("https://klasma.github.io/Logging_0860/tillsyn/A 43210-2023 tillsynsbegäran.docx", "A 43210-2023")</f>
        <v/>
      </c>
      <c r="Y994">
        <f>HYPERLINK("https://klasma.github.io/Logging_0860/tillsynsmail/A 43210-2023 tillsynsbegäran mail.docx", "A 43210-2023")</f>
        <v/>
      </c>
    </row>
    <row r="995" ht="15" customHeight="1">
      <c r="A995" t="inlineStr">
        <is>
          <t>A 43788-2023</t>
        </is>
      </c>
      <c r="B995" s="1" t="n">
        <v>45187</v>
      </c>
      <c r="C995" s="1" t="n">
        <v>45715</v>
      </c>
      <c r="D995" t="inlineStr">
        <is>
          <t>KALMAR LÄN</t>
        </is>
      </c>
      <c r="E995" t="inlineStr">
        <is>
          <t>VÄSTERVIK</t>
        </is>
      </c>
      <c r="G995" t="n">
        <v>4.5</v>
      </c>
      <c r="H995" t="n">
        <v>0</v>
      </c>
      <c r="I995" t="n">
        <v>0</v>
      </c>
      <c r="J995" t="n">
        <v>1</v>
      </c>
      <c r="K995" t="n">
        <v>0</v>
      </c>
      <c r="L995" t="n">
        <v>0</v>
      </c>
      <c r="M995" t="n">
        <v>0</v>
      </c>
      <c r="N995" t="n">
        <v>0</v>
      </c>
      <c r="O995" t="n">
        <v>1</v>
      </c>
      <c r="P995" t="n">
        <v>0</v>
      </c>
      <c r="Q995" t="n">
        <v>1</v>
      </c>
      <c r="R995" s="2" t="inlineStr">
        <is>
          <t>Motaggsvamp</t>
        </is>
      </c>
      <c r="S995">
        <f>HYPERLINK("https://klasma.github.io/Logging_0883/artfynd/A 43788-2023 artfynd.xlsx", "A 43788-2023")</f>
        <v/>
      </c>
      <c r="T995">
        <f>HYPERLINK("https://klasma.github.io/Logging_0883/kartor/A 43788-2023 karta.png", "A 43788-2023")</f>
        <v/>
      </c>
      <c r="V995">
        <f>HYPERLINK("https://klasma.github.io/Logging_0883/klagomål/A 43788-2023 FSC-klagomål.docx", "A 43788-2023")</f>
        <v/>
      </c>
      <c r="W995">
        <f>HYPERLINK("https://klasma.github.io/Logging_0883/klagomålsmail/A 43788-2023 FSC-klagomål mail.docx", "A 43788-2023")</f>
        <v/>
      </c>
      <c r="X995">
        <f>HYPERLINK("https://klasma.github.io/Logging_0883/tillsyn/A 43788-2023 tillsynsbegäran.docx", "A 43788-2023")</f>
        <v/>
      </c>
      <c r="Y995">
        <f>HYPERLINK("https://klasma.github.io/Logging_0883/tillsynsmail/A 43788-2023 tillsynsbegäran mail.docx", "A 43788-2023")</f>
        <v/>
      </c>
    </row>
    <row r="996" ht="15" customHeight="1">
      <c r="A996" t="inlineStr">
        <is>
          <t>A 44633-2023</t>
        </is>
      </c>
      <c r="B996" s="1" t="n">
        <v>45189</v>
      </c>
      <c r="C996" s="1" t="n">
        <v>45715</v>
      </c>
      <c r="D996" t="inlineStr">
        <is>
          <t>KALMAR LÄN</t>
        </is>
      </c>
      <c r="E996" t="inlineStr">
        <is>
          <t>VIMMERBY</t>
        </is>
      </c>
      <c r="G996" t="n">
        <v>2.4</v>
      </c>
      <c r="H996" t="n">
        <v>0</v>
      </c>
      <c r="I996" t="n">
        <v>1</v>
      </c>
      <c r="J996" t="n">
        <v>0</v>
      </c>
      <c r="K996" t="n">
        <v>0</v>
      </c>
      <c r="L996" t="n">
        <v>0</v>
      </c>
      <c r="M996" t="n">
        <v>0</v>
      </c>
      <c r="N996" t="n">
        <v>0</v>
      </c>
      <c r="O996" t="n">
        <v>0</v>
      </c>
      <c r="P996" t="n">
        <v>0</v>
      </c>
      <c r="Q996" t="n">
        <v>1</v>
      </c>
      <c r="R996" s="2" t="inlineStr">
        <is>
          <t>Sårläka</t>
        </is>
      </c>
      <c r="S996">
        <f>HYPERLINK("https://klasma.github.io/Logging_0884/artfynd/A 44633-2023 artfynd.xlsx", "A 44633-2023")</f>
        <v/>
      </c>
      <c r="T996">
        <f>HYPERLINK("https://klasma.github.io/Logging_0884/kartor/A 44633-2023 karta.png", "A 44633-2023")</f>
        <v/>
      </c>
      <c r="V996">
        <f>HYPERLINK("https://klasma.github.io/Logging_0884/klagomål/A 44633-2023 FSC-klagomål.docx", "A 44633-2023")</f>
        <v/>
      </c>
      <c r="W996">
        <f>HYPERLINK("https://klasma.github.io/Logging_0884/klagomålsmail/A 44633-2023 FSC-klagomål mail.docx", "A 44633-2023")</f>
        <v/>
      </c>
      <c r="X996">
        <f>HYPERLINK("https://klasma.github.io/Logging_0884/tillsyn/A 44633-2023 tillsynsbegäran.docx", "A 44633-2023")</f>
        <v/>
      </c>
      <c r="Y996">
        <f>HYPERLINK("https://klasma.github.io/Logging_0884/tillsynsmail/A 44633-2023 tillsynsbegäran mail.docx", "A 44633-2023")</f>
        <v/>
      </c>
    </row>
    <row r="997" ht="15" customHeight="1">
      <c r="A997" t="inlineStr">
        <is>
          <t>A 44723-2023</t>
        </is>
      </c>
      <c r="B997" s="1" t="n">
        <v>45190</v>
      </c>
      <c r="C997" s="1" t="n">
        <v>45715</v>
      </c>
      <c r="D997" t="inlineStr">
        <is>
          <t>KALMAR LÄN</t>
        </is>
      </c>
      <c r="E997" t="inlineStr">
        <is>
          <t>HULTSFRED</t>
        </is>
      </c>
      <c r="G997" t="n">
        <v>1</v>
      </c>
      <c r="H997" t="n">
        <v>1</v>
      </c>
      <c r="I997" t="n">
        <v>0</v>
      </c>
      <c r="J997" t="n">
        <v>0</v>
      </c>
      <c r="K997" t="n">
        <v>1</v>
      </c>
      <c r="L997" t="n">
        <v>0</v>
      </c>
      <c r="M997" t="n">
        <v>0</v>
      </c>
      <c r="N997" t="n">
        <v>0</v>
      </c>
      <c r="O997" t="n">
        <v>1</v>
      </c>
      <c r="P997" t="n">
        <v>1</v>
      </c>
      <c r="Q997" t="n">
        <v>1</v>
      </c>
      <c r="R997" s="2" t="inlineStr">
        <is>
          <t>Knärot</t>
        </is>
      </c>
      <c r="S997">
        <f>HYPERLINK("https://klasma.github.io/Logging_0860/artfynd/A 44723-2023 artfynd.xlsx", "A 44723-2023")</f>
        <v/>
      </c>
      <c r="T997">
        <f>HYPERLINK("https://klasma.github.io/Logging_0860/kartor/A 44723-2023 karta.png", "A 44723-2023")</f>
        <v/>
      </c>
      <c r="U997">
        <f>HYPERLINK("https://klasma.github.io/Logging_0860/knärot/A 44723-2023 karta knärot.png", "A 44723-2023")</f>
        <v/>
      </c>
      <c r="V997">
        <f>HYPERLINK("https://klasma.github.io/Logging_0860/klagomål/A 44723-2023 FSC-klagomål.docx", "A 44723-2023")</f>
        <v/>
      </c>
      <c r="W997">
        <f>HYPERLINK("https://klasma.github.io/Logging_0860/klagomålsmail/A 44723-2023 FSC-klagomål mail.docx", "A 44723-2023")</f>
        <v/>
      </c>
      <c r="X997">
        <f>HYPERLINK("https://klasma.github.io/Logging_0860/tillsyn/A 44723-2023 tillsynsbegäran.docx", "A 44723-2023")</f>
        <v/>
      </c>
      <c r="Y997">
        <f>HYPERLINK("https://klasma.github.io/Logging_0860/tillsynsmail/A 44723-2023 tillsynsbegäran mail.docx", "A 44723-2023")</f>
        <v/>
      </c>
    </row>
    <row r="998" ht="15" customHeight="1">
      <c r="A998" t="inlineStr">
        <is>
          <t>A 45301-2023</t>
        </is>
      </c>
      <c r="B998" s="1" t="n">
        <v>45191</v>
      </c>
      <c r="C998" s="1" t="n">
        <v>45715</v>
      </c>
      <c r="D998" t="inlineStr">
        <is>
          <t>KALMAR LÄN</t>
        </is>
      </c>
      <c r="E998" t="inlineStr">
        <is>
          <t>HULTSFRED</t>
        </is>
      </c>
      <c r="F998" t="inlineStr">
        <is>
          <t>Övriga Aktiebolag</t>
        </is>
      </c>
      <c r="G998" t="n">
        <v>2</v>
      </c>
      <c r="H998" t="n">
        <v>1</v>
      </c>
      <c r="I998" t="n">
        <v>0</v>
      </c>
      <c r="J998" t="n">
        <v>0</v>
      </c>
      <c r="K998" t="n">
        <v>1</v>
      </c>
      <c r="L998" t="n">
        <v>0</v>
      </c>
      <c r="M998" t="n">
        <v>0</v>
      </c>
      <c r="N998" t="n">
        <v>0</v>
      </c>
      <c r="O998" t="n">
        <v>1</v>
      </c>
      <c r="P998" t="n">
        <v>1</v>
      </c>
      <c r="Q998" t="n">
        <v>1</v>
      </c>
      <c r="R998" s="2" t="inlineStr">
        <is>
          <t>Knärot</t>
        </is>
      </c>
      <c r="S998">
        <f>HYPERLINK("https://klasma.github.io/Logging_0860/artfynd/A 45301-2023 artfynd.xlsx", "A 45301-2023")</f>
        <v/>
      </c>
      <c r="T998">
        <f>HYPERLINK("https://klasma.github.io/Logging_0860/kartor/A 45301-2023 karta.png", "A 45301-2023")</f>
        <v/>
      </c>
      <c r="U998">
        <f>HYPERLINK("https://klasma.github.io/Logging_0860/knärot/A 45301-2023 karta knärot.png", "A 45301-2023")</f>
        <v/>
      </c>
      <c r="V998">
        <f>HYPERLINK("https://klasma.github.io/Logging_0860/klagomål/A 45301-2023 FSC-klagomål.docx", "A 45301-2023")</f>
        <v/>
      </c>
      <c r="W998">
        <f>HYPERLINK("https://klasma.github.io/Logging_0860/klagomålsmail/A 45301-2023 FSC-klagomål mail.docx", "A 45301-2023")</f>
        <v/>
      </c>
      <c r="X998">
        <f>HYPERLINK("https://klasma.github.io/Logging_0860/tillsyn/A 45301-2023 tillsynsbegäran.docx", "A 45301-2023")</f>
        <v/>
      </c>
      <c r="Y998">
        <f>HYPERLINK("https://klasma.github.io/Logging_0860/tillsynsmail/A 45301-2023 tillsynsbegäran mail.docx", "A 45301-2023")</f>
        <v/>
      </c>
    </row>
    <row r="999" ht="15" customHeight="1">
      <c r="A999" t="inlineStr">
        <is>
          <t>A 46722-2023</t>
        </is>
      </c>
      <c r="B999" s="1" t="n">
        <v>45194</v>
      </c>
      <c r="C999" s="1" t="n">
        <v>45715</v>
      </c>
      <c r="D999" t="inlineStr">
        <is>
          <t>KALMAR LÄN</t>
        </is>
      </c>
      <c r="E999" t="inlineStr">
        <is>
          <t>VÄSTERVIK</t>
        </is>
      </c>
      <c r="G999" t="n">
        <v>0.9</v>
      </c>
      <c r="H999" t="n">
        <v>1</v>
      </c>
      <c r="I999" t="n">
        <v>0</v>
      </c>
      <c r="J999" t="n">
        <v>0</v>
      </c>
      <c r="K999" t="n">
        <v>1</v>
      </c>
      <c r="L999" t="n">
        <v>0</v>
      </c>
      <c r="M999" t="n">
        <v>0</v>
      </c>
      <c r="N999" t="n">
        <v>0</v>
      </c>
      <c r="O999" t="n">
        <v>1</v>
      </c>
      <c r="P999" t="n">
        <v>1</v>
      </c>
      <c r="Q999" t="n">
        <v>1</v>
      </c>
      <c r="R999" s="2" t="inlineStr">
        <is>
          <t>Knärot</t>
        </is>
      </c>
      <c r="S999">
        <f>HYPERLINK("https://klasma.github.io/Logging_0883/artfynd/A 46722-2023 artfynd.xlsx", "A 46722-2023")</f>
        <v/>
      </c>
      <c r="T999">
        <f>HYPERLINK("https://klasma.github.io/Logging_0883/kartor/A 46722-2023 karta.png", "A 46722-2023")</f>
        <v/>
      </c>
      <c r="U999">
        <f>HYPERLINK("https://klasma.github.io/Logging_0883/knärot/A 46722-2023 karta knärot.png", "A 46722-2023")</f>
        <v/>
      </c>
      <c r="V999">
        <f>HYPERLINK("https://klasma.github.io/Logging_0883/klagomål/A 46722-2023 FSC-klagomål.docx", "A 46722-2023")</f>
        <v/>
      </c>
      <c r="W999">
        <f>HYPERLINK("https://klasma.github.io/Logging_0883/klagomålsmail/A 46722-2023 FSC-klagomål mail.docx", "A 46722-2023")</f>
        <v/>
      </c>
      <c r="X999">
        <f>HYPERLINK("https://klasma.github.io/Logging_0883/tillsyn/A 46722-2023 tillsynsbegäran.docx", "A 46722-2023")</f>
        <v/>
      </c>
      <c r="Y999">
        <f>HYPERLINK("https://klasma.github.io/Logging_0883/tillsynsmail/A 46722-2023 tillsynsbegäran mail.docx", "A 46722-2023")</f>
        <v/>
      </c>
    </row>
    <row r="1000" ht="15" customHeight="1">
      <c r="A1000" t="inlineStr">
        <is>
          <t>A 45836-2023</t>
        </is>
      </c>
      <c r="B1000" s="1" t="n">
        <v>45195</v>
      </c>
      <c r="C1000" s="1" t="n">
        <v>45715</v>
      </c>
      <c r="D1000" t="inlineStr">
        <is>
          <t>KALMAR LÄN</t>
        </is>
      </c>
      <c r="E1000" t="inlineStr">
        <is>
          <t>OSKARSHAMN</t>
        </is>
      </c>
      <c r="G1000" t="n">
        <v>2.4</v>
      </c>
      <c r="H1000" t="n">
        <v>0</v>
      </c>
      <c r="I1000" t="n">
        <v>0</v>
      </c>
      <c r="J1000" t="n">
        <v>1</v>
      </c>
      <c r="K1000" t="n">
        <v>0</v>
      </c>
      <c r="L1000" t="n">
        <v>0</v>
      </c>
      <c r="M1000" t="n">
        <v>0</v>
      </c>
      <c r="N1000" t="n">
        <v>0</v>
      </c>
      <c r="O1000" t="n">
        <v>1</v>
      </c>
      <c r="P1000" t="n">
        <v>0</v>
      </c>
      <c r="Q1000" t="n">
        <v>1</v>
      </c>
      <c r="R1000" s="2" t="inlineStr">
        <is>
          <t>Åkerkål</t>
        </is>
      </c>
      <c r="S1000">
        <f>HYPERLINK("https://klasma.github.io/Logging_0882/artfynd/A 45836-2023 artfynd.xlsx", "A 45836-2023")</f>
        <v/>
      </c>
      <c r="T1000">
        <f>HYPERLINK("https://klasma.github.io/Logging_0882/kartor/A 45836-2023 karta.png", "A 45836-2023")</f>
        <v/>
      </c>
      <c r="V1000">
        <f>HYPERLINK("https://klasma.github.io/Logging_0882/klagomål/A 45836-2023 FSC-klagomål.docx", "A 45836-2023")</f>
        <v/>
      </c>
      <c r="W1000">
        <f>HYPERLINK("https://klasma.github.io/Logging_0882/klagomålsmail/A 45836-2023 FSC-klagomål mail.docx", "A 45836-2023")</f>
        <v/>
      </c>
      <c r="X1000">
        <f>HYPERLINK("https://klasma.github.io/Logging_0882/tillsyn/A 45836-2023 tillsynsbegäran.docx", "A 45836-2023")</f>
        <v/>
      </c>
      <c r="Y1000">
        <f>HYPERLINK("https://klasma.github.io/Logging_0882/tillsynsmail/A 45836-2023 tillsynsbegäran mail.docx", "A 45836-2023")</f>
        <v/>
      </c>
    </row>
    <row r="1001" ht="15" customHeight="1">
      <c r="A1001" t="inlineStr">
        <is>
          <t>A 46032-2023</t>
        </is>
      </c>
      <c r="B1001" s="1" t="n">
        <v>45196</v>
      </c>
      <c r="C1001" s="1" t="n">
        <v>45715</v>
      </c>
      <c r="D1001" t="inlineStr">
        <is>
          <t>KALMAR LÄN</t>
        </is>
      </c>
      <c r="E1001" t="inlineStr">
        <is>
          <t>TORSÅS</t>
        </is>
      </c>
      <c r="G1001" t="n">
        <v>2.1</v>
      </c>
      <c r="H1001" t="n">
        <v>1</v>
      </c>
      <c r="I1001" t="n">
        <v>0</v>
      </c>
      <c r="J1001" t="n">
        <v>0</v>
      </c>
      <c r="K1001" t="n">
        <v>1</v>
      </c>
      <c r="L1001" t="n">
        <v>0</v>
      </c>
      <c r="M1001" t="n">
        <v>0</v>
      </c>
      <c r="N1001" t="n">
        <v>0</v>
      </c>
      <c r="O1001" t="n">
        <v>1</v>
      </c>
      <c r="P1001" t="n">
        <v>1</v>
      </c>
      <c r="Q1001" t="n">
        <v>1</v>
      </c>
      <c r="R1001" s="2" t="inlineStr">
        <is>
          <t>Knärot</t>
        </is>
      </c>
      <c r="S1001">
        <f>HYPERLINK("https://klasma.github.io/Logging_0834/artfynd/A 46032-2023 artfynd.xlsx", "A 46032-2023")</f>
        <v/>
      </c>
      <c r="T1001">
        <f>HYPERLINK("https://klasma.github.io/Logging_0834/kartor/A 46032-2023 karta.png", "A 46032-2023")</f>
        <v/>
      </c>
      <c r="U1001">
        <f>HYPERLINK("https://klasma.github.io/Logging_0834/knärot/A 46032-2023 karta knärot.png", "A 46032-2023")</f>
        <v/>
      </c>
      <c r="V1001">
        <f>HYPERLINK("https://klasma.github.io/Logging_0834/klagomål/A 46032-2023 FSC-klagomål.docx", "A 46032-2023")</f>
        <v/>
      </c>
      <c r="W1001">
        <f>HYPERLINK("https://klasma.github.io/Logging_0834/klagomålsmail/A 46032-2023 FSC-klagomål mail.docx", "A 46032-2023")</f>
        <v/>
      </c>
      <c r="X1001">
        <f>HYPERLINK("https://klasma.github.io/Logging_0834/tillsyn/A 46032-2023 tillsynsbegäran.docx", "A 46032-2023")</f>
        <v/>
      </c>
      <c r="Y1001">
        <f>HYPERLINK("https://klasma.github.io/Logging_0834/tillsynsmail/A 46032-2023 tillsynsbegäran mail.docx", "A 46032-2023")</f>
        <v/>
      </c>
    </row>
    <row r="1002" ht="15" customHeight="1">
      <c r="A1002" t="inlineStr">
        <is>
          <t>A 47112-2023</t>
        </is>
      </c>
      <c r="B1002" s="1" t="n">
        <v>45201</v>
      </c>
      <c r="C1002" s="1" t="n">
        <v>45715</v>
      </c>
      <c r="D1002" t="inlineStr">
        <is>
          <t>KALMAR LÄN</t>
        </is>
      </c>
      <c r="E1002" t="inlineStr">
        <is>
          <t>VÄSTERVIK</t>
        </is>
      </c>
      <c r="G1002" t="n">
        <v>1</v>
      </c>
      <c r="H1002" t="n">
        <v>0</v>
      </c>
      <c r="I1002" t="n">
        <v>0</v>
      </c>
      <c r="J1002" t="n">
        <v>1</v>
      </c>
      <c r="K1002" t="n">
        <v>0</v>
      </c>
      <c r="L1002" t="n">
        <v>0</v>
      </c>
      <c r="M1002" t="n">
        <v>0</v>
      </c>
      <c r="N1002" t="n">
        <v>0</v>
      </c>
      <c r="O1002" t="n">
        <v>1</v>
      </c>
      <c r="P1002" t="n">
        <v>0</v>
      </c>
      <c r="Q1002" t="n">
        <v>1</v>
      </c>
      <c r="R1002" s="2" t="inlineStr">
        <is>
          <t>Tallticka</t>
        </is>
      </c>
      <c r="S1002">
        <f>HYPERLINK("https://klasma.github.io/Logging_0883/artfynd/A 47112-2023 artfynd.xlsx", "A 47112-2023")</f>
        <v/>
      </c>
      <c r="T1002">
        <f>HYPERLINK("https://klasma.github.io/Logging_0883/kartor/A 47112-2023 karta.png", "A 47112-2023")</f>
        <v/>
      </c>
      <c r="V1002">
        <f>HYPERLINK("https://klasma.github.io/Logging_0883/klagomål/A 47112-2023 FSC-klagomål.docx", "A 47112-2023")</f>
        <v/>
      </c>
      <c r="W1002">
        <f>HYPERLINK("https://klasma.github.io/Logging_0883/klagomålsmail/A 47112-2023 FSC-klagomål mail.docx", "A 47112-2023")</f>
        <v/>
      </c>
      <c r="X1002">
        <f>HYPERLINK("https://klasma.github.io/Logging_0883/tillsyn/A 47112-2023 tillsynsbegäran.docx", "A 47112-2023")</f>
        <v/>
      </c>
      <c r="Y1002">
        <f>HYPERLINK("https://klasma.github.io/Logging_0883/tillsynsmail/A 47112-2023 tillsynsbegäran mail.docx", "A 47112-2023")</f>
        <v/>
      </c>
    </row>
    <row r="1003" ht="15" customHeight="1">
      <c r="A1003" t="inlineStr">
        <is>
          <t>A 49680-2023</t>
        </is>
      </c>
      <c r="B1003" s="1" t="n">
        <v>45212</v>
      </c>
      <c r="C1003" s="1" t="n">
        <v>45715</v>
      </c>
      <c r="D1003" t="inlineStr">
        <is>
          <t>KALMAR LÄN</t>
        </is>
      </c>
      <c r="E1003" t="inlineStr">
        <is>
          <t>VÄSTERVIK</t>
        </is>
      </c>
      <c r="G1003" t="n">
        <v>3.3</v>
      </c>
      <c r="H1003" t="n">
        <v>0</v>
      </c>
      <c r="I1003" t="n">
        <v>0</v>
      </c>
      <c r="J1003" t="n">
        <v>1</v>
      </c>
      <c r="K1003" t="n">
        <v>0</v>
      </c>
      <c r="L1003" t="n">
        <v>0</v>
      </c>
      <c r="M1003" t="n">
        <v>0</v>
      </c>
      <c r="N1003" t="n">
        <v>0</v>
      </c>
      <c r="O1003" t="n">
        <v>1</v>
      </c>
      <c r="P1003" t="n">
        <v>0</v>
      </c>
      <c r="Q1003" t="n">
        <v>1</v>
      </c>
      <c r="R1003" s="2" t="inlineStr">
        <is>
          <t>Skogsklocka</t>
        </is>
      </c>
      <c r="S1003">
        <f>HYPERLINK("https://klasma.github.io/Logging_0883/artfynd/A 49680-2023 artfynd.xlsx", "A 49680-2023")</f>
        <v/>
      </c>
      <c r="T1003">
        <f>HYPERLINK("https://klasma.github.io/Logging_0883/kartor/A 49680-2023 karta.png", "A 49680-2023")</f>
        <v/>
      </c>
      <c r="V1003">
        <f>HYPERLINK("https://klasma.github.io/Logging_0883/klagomål/A 49680-2023 FSC-klagomål.docx", "A 49680-2023")</f>
        <v/>
      </c>
      <c r="W1003">
        <f>HYPERLINK("https://klasma.github.io/Logging_0883/klagomålsmail/A 49680-2023 FSC-klagomål mail.docx", "A 49680-2023")</f>
        <v/>
      </c>
      <c r="X1003">
        <f>HYPERLINK("https://klasma.github.io/Logging_0883/tillsyn/A 49680-2023 tillsynsbegäran.docx", "A 49680-2023")</f>
        <v/>
      </c>
      <c r="Y1003">
        <f>HYPERLINK("https://klasma.github.io/Logging_0883/tillsynsmail/A 49680-2023 tillsynsbegäran mail.docx", "A 49680-2023")</f>
        <v/>
      </c>
    </row>
    <row r="1004" ht="15" customHeight="1">
      <c r="A1004" t="inlineStr">
        <is>
          <t>A 50008-2023</t>
        </is>
      </c>
      <c r="B1004" s="1" t="n">
        <v>45215</v>
      </c>
      <c r="C1004" s="1" t="n">
        <v>45715</v>
      </c>
      <c r="D1004" t="inlineStr">
        <is>
          <t>KALMAR LÄN</t>
        </is>
      </c>
      <c r="E1004" t="inlineStr">
        <is>
          <t>NYBRO</t>
        </is>
      </c>
      <c r="G1004" t="n">
        <v>2.1</v>
      </c>
      <c r="H1004" t="n">
        <v>0</v>
      </c>
      <c r="I1004" t="n">
        <v>0</v>
      </c>
      <c r="J1004" t="n">
        <v>1</v>
      </c>
      <c r="K1004" t="n">
        <v>0</v>
      </c>
      <c r="L1004" t="n">
        <v>0</v>
      </c>
      <c r="M1004" t="n">
        <v>0</v>
      </c>
      <c r="N1004" t="n">
        <v>0</v>
      </c>
      <c r="O1004" t="n">
        <v>1</v>
      </c>
      <c r="P1004" t="n">
        <v>0</v>
      </c>
      <c r="Q1004" t="n">
        <v>1</v>
      </c>
      <c r="R1004" s="2" t="inlineStr">
        <is>
          <t>Mindre bastardsvärmare</t>
        </is>
      </c>
      <c r="S1004">
        <f>HYPERLINK("https://klasma.github.io/Logging_0881/artfynd/A 50008-2023 artfynd.xlsx", "A 50008-2023")</f>
        <v/>
      </c>
      <c r="T1004">
        <f>HYPERLINK("https://klasma.github.io/Logging_0881/kartor/A 50008-2023 karta.png", "A 50008-2023")</f>
        <v/>
      </c>
      <c r="V1004">
        <f>HYPERLINK("https://klasma.github.io/Logging_0881/klagomål/A 50008-2023 FSC-klagomål.docx", "A 50008-2023")</f>
        <v/>
      </c>
      <c r="W1004">
        <f>HYPERLINK("https://klasma.github.io/Logging_0881/klagomålsmail/A 50008-2023 FSC-klagomål mail.docx", "A 50008-2023")</f>
        <v/>
      </c>
      <c r="X1004">
        <f>HYPERLINK("https://klasma.github.io/Logging_0881/tillsyn/A 50008-2023 tillsynsbegäran.docx", "A 50008-2023")</f>
        <v/>
      </c>
      <c r="Y1004">
        <f>HYPERLINK("https://klasma.github.io/Logging_0881/tillsynsmail/A 50008-2023 tillsynsbegäran mail.docx", "A 50008-2023")</f>
        <v/>
      </c>
    </row>
    <row r="1005" ht="15" customHeight="1">
      <c r="A1005" t="inlineStr">
        <is>
          <t>A 50296-2023</t>
        </is>
      </c>
      <c r="B1005" s="1" t="n">
        <v>45216</v>
      </c>
      <c r="C1005" s="1" t="n">
        <v>45715</v>
      </c>
      <c r="D1005" t="inlineStr">
        <is>
          <t>KALMAR LÄN</t>
        </is>
      </c>
      <c r="E1005" t="inlineStr">
        <is>
          <t>HULTSFRED</t>
        </is>
      </c>
      <c r="G1005" t="n">
        <v>8.5</v>
      </c>
      <c r="H1005" t="n">
        <v>1</v>
      </c>
      <c r="I1005" t="n">
        <v>0</v>
      </c>
      <c r="J1005" t="n">
        <v>0</v>
      </c>
      <c r="K1005" t="n">
        <v>1</v>
      </c>
      <c r="L1005" t="n">
        <v>0</v>
      </c>
      <c r="M1005" t="n">
        <v>0</v>
      </c>
      <c r="N1005" t="n">
        <v>0</v>
      </c>
      <c r="O1005" t="n">
        <v>1</v>
      </c>
      <c r="P1005" t="n">
        <v>1</v>
      </c>
      <c r="Q1005" t="n">
        <v>1</v>
      </c>
      <c r="R1005" s="2" t="inlineStr">
        <is>
          <t>Knärot</t>
        </is>
      </c>
      <c r="S1005">
        <f>HYPERLINK("https://klasma.github.io/Logging_0860/artfynd/A 50296-2023 artfynd.xlsx", "A 50296-2023")</f>
        <v/>
      </c>
      <c r="T1005">
        <f>HYPERLINK("https://klasma.github.io/Logging_0860/kartor/A 50296-2023 karta.png", "A 50296-2023")</f>
        <v/>
      </c>
      <c r="U1005">
        <f>HYPERLINK("https://klasma.github.io/Logging_0860/knärot/A 50296-2023 karta knärot.png", "A 50296-2023")</f>
        <v/>
      </c>
      <c r="V1005">
        <f>HYPERLINK("https://klasma.github.io/Logging_0860/klagomål/A 50296-2023 FSC-klagomål.docx", "A 50296-2023")</f>
        <v/>
      </c>
      <c r="W1005">
        <f>HYPERLINK("https://klasma.github.io/Logging_0860/klagomålsmail/A 50296-2023 FSC-klagomål mail.docx", "A 50296-2023")</f>
        <v/>
      </c>
      <c r="X1005">
        <f>HYPERLINK("https://klasma.github.io/Logging_0860/tillsyn/A 50296-2023 tillsynsbegäran.docx", "A 50296-2023")</f>
        <v/>
      </c>
      <c r="Y1005">
        <f>HYPERLINK("https://klasma.github.io/Logging_0860/tillsynsmail/A 50296-2023 tillsynsbegäran mail.docx", "A 50296-2023")</f>
        <v/>
      </c>
    </row>
    <row r="1006" ht="15" customHeight="1">
      <c r="A1006" t="inlineStr">
        <is>
          <t>A 51594-2023</t>
        </is>
      </c>
      <c r="B1006" s="1" t="n">
        <v>45222</v>
      </c>
      <c r="C1006" s="1" t="n">
        <v>45715</v>
      </c>
      <c r="D1006" t="inlineStr">
        <is>
          <t>KALMAR LÄN</t>
        </is>
      </c>
      <c r="E1006" t="inlineStr">
        <is>
          <t>EMMABODA</t>
        </is>
      </c>
      <c r="G1006" t="n">
        <v>3</v>
      </c>
      <c r="H1006" t="n">
        <v>1</v>
      </c>
      <c r="I1006" t="n">
        <v>0</v>
      </c>
      <c r="J1006" t="n">
        <v>1</v>
      </c>
      <c r="K1006" t="n">
        <v>0</v>
      </c>
      <c r="L1006" t="n">
        <v>0</v>
      </c>
      <c r="M1006" t="n">
        <v>0</v>
      </c>
      <c r="N1006" t="n">
        <v>0</v>
      </c>
      <c r="O1006" t="n">
        <v>1</v>
      </c>
      <c r="P1006" t="n">
        <v>0</v>
      </c>
      <c r="Q1006" t="n">
        <v>1</v>
      </c>
      <c r="R1006" s="2" t="inlineStr">
        <is>
          <t>Talltita</t>
        </is>
      </c>
      <c r="S1006">
        <f>HYPERLINK("https://klasma.github.io/Logging_0862/artfynd/A 51594-2023 artfynd.xlsx", "A 51594-2023")</f>
        <v/>
      </c>
      <c r="T1006">
        <f>HYPERLINK("https://klasma.github.io/Logging_0862/kartor/A 51594-2023 karta.png", "A 51594-2023")</f>
        <v/>
      </c>
      <c r="V1006">
        <f>HYPERLINK("https://klasma.github.io/Logging_0862/klagomål/A 51594-2023 FSC-klagomål.docx", "A 51594-2023")</f>
        <v/>
      </c>
      <c r="W1006">
        <f>HYPERLINK("https://klasma.github.io/Logging_0862/klagomålsmail/A 51594-2023 FSC-klagomål mail.docx", "A 51594-2023")</f>
        <v/>
      </c>
      <c r="X1006">
        <f>HYPERLINK("https://klasma.github.io/Logging_0862/tillsyn/A 51594-2023 tillsynsbegäran.docx", "A 51594-2023")</f>
        <v/>
      </c>
      <c r="Y1006">
        <f>HYPERLINK("https://klasma.github.io/Logging_0862/tillsynsmail/A 51594-2023 tillsynsbegäran mail.docx", "A 51594-2023")</f>
        <v/>
      </c>
      <c r="Z1006">
        <f>HYPERLINK("https://klasma.github.io/Logging_0862/fåglar/A 51594-2023 prioriterade fågelarter.docx", "A 51594-2023")</f>
        <v/>
      </c>
    </row>
    <row r="1007" ht="15" customHeight="1">
      <c r="A1007" t="inlineStr">
        <is>
          <t>A 51761-2023</t>
        </is>
      </c>
      <c r="B1007" s="1" t="n">
        <v>45222</v>
      </c>
      <c r="C1007" s="1" t="n">
        <v>45715</v>
      </c>
      <c r="D1007" t="inlineStr">
        <is>
          <t>KALMAR LÄN</t>
        </is>
      </c>
      <c r="E1007" t="inlineStr">
        <is>
          <t>NYBRO</t>
        </is>
      </c>
      <c r="G1007" t="n">
        <v>9.300000000000001</v>
      </c>
      <c r="H1007" t="n">
        <v>1</v>
      </c>
      <c r="I1007" t="n">
        <v>0</v>
      </c>
      <c r="J1007" t="n">
        <v>0</v>
      </c>
      <c r="K1007" t="n">
        <v>1</v>
      </c>
      <c r="L1007" t="n">
        <v>0</v>
      </c>
      <c r="M1007" t="n">
        <v>0</v>
      </c>
      <c r="N1007" t="n">
        <v>0</v>
      </c>
      <c r="O1007" t="n">
        <v>1</v>
      </c>
      <c r="P1007" t="n">
        <v>1</v>
      </c>
      <c r="Q1007" t="n">
        <v>1</v>
      </c>
      <c r="R1007" s="2" t="inlineStr">
        <is>
          <t>Lappuggla</t>
        </is>
      </c>
      <c r="S1007">
        <f>HYPERLINK("https://klasma.github.io/Logging_0881/artfynd/A 51761-2023 artfynd.xlsx", "A 51761-2023")</f>
        <v/>
      </c>
      <c r="T1007">
        <f>HYPERLINK("https://klasma.github.io/Logging_0881/kartor/A 51761-2023 karta.png", "A 51761-2023")</f>
        <v/>
      </c>
      <c r="V1007">
        <f>HYPERLINK("https://klasma.github.io/Logging_0881/klagomål/A 51761-2023 FSC-klagomål.docx", "A 51761-2023")</f>
        <v/>
      </c>
      <c r="W1007">
        <f>HYPERLINK("https://klasma.github.io/Logging_0881/klagomålsmail/A 51761-2023 FSC-klagomål mail.docx", "A 51761-2023")</f>
        <v/>
      </c>
      <c r="X1007">
        <f>HYPERLINK("https://klasma.github.io/Logging_0881/tillsyn/A 51761-2023 tillsynsbegäran.docx", "A 51761-2023")</f>
        <v/>
      </c>
      <c r="Y1007">
        <f>HYPERLINK("https://klasma.github.io/Logging_0881/tillsynsmail/A 51761-2023 tillsynsbegäran mail.docx", "A 51761-2023")</f>
        <v/>
      </c>
      <c r="Z1007">
        <f>HYPERLINK("https://klasma.github.io/Logging_0881/fåglar/A 51761-2023 prioriterade fågelarter.docx", "A 51761-2023")</f>
        <v/>
      </c>
    </row>
    <row r="1008" ht="15" customHeight="1">
      <c r="A1008" t="inlineStr">
        <is>
          <t>A 52207-2023</t>
        </is>
      </c>
      <c r="B1008" s="1" t="n">
        <v>45224</v>
      </c>
      <c r="C1008" s="1" t="n">
        <v>45715</v>
      </c>
      <c r="D1008" t="inlineStr">
        <is>
          <t>KALMAR LÄN</t>
        </is>
      </c>
      <c r="E1008" t="inlineStr">
        <is>
          <t>HULTSFRED</t>
        </is>
      </c>
      <c r="G1008" t="n">
        <v>8.6</v>
      </c>
      <c r="H1008" t="n">
        <v>1</v>
      </c>
      <c r="I1008" t="n">
        <v>0</v>
      </c>
      <c r="J1008" t="n">
        <v>0</v>
      </c>
      <c r="K1008" t="n">
        <v>0</v>
      </c>
      <c r="L1008" t="n">
        <v>0</v>
      </c>
      <c r="M1008" t="n">
        <v>0</v>
      </c>
      <c r="N1008" t="n">
        <v>0</v>
      </c>
      <c r="O1008" t="n">
        <v>0</v>
      </c>
      <c r="P1008" t="n">
        <v>0</v>
      </c>
      <c r="Q1008" t="n">
        <v>1</v>
      </c>
      <c r="R1008" s="2" t="inlineStr">
        <is>
          <t>Revlummer</t>
        </is>
      </c>
      <c r="S1008">
        <f>HYPERLINK("https://klasma.github.io/Logging_0860/artfynd/A 52207-2023 artfynd.xlsx", "A 52207-2023")</f>
        <v/>
      </c>
      <c r="T1008">
        <f>HYPERLINK("https://klasma.github.io/Logging_0860/kartor/A 52207-2023 karta.png", "A 52207-2023")</f>
        <v/>
      </c>
      <c r="V1008">
        <f>HYPERLINK("https://klasma.github.io/Logging_0860/klagomål/A 52207-2023 FSC-klagomål.docx", "A 52207-2023")</f>
        <v/>
      </c>
      <c r="W1008">
        <f>HYPERLINK("https://klasma.github.io/Logging_0860/klagomålsmail/A 52207-2023 FSC-klagomål mail.docx", "A 52207-2023")</f>
        <v/>
      </c>
      <c r="X1008">
        <f>HYPERLINK("https://klasma.github.io/Logging_0860/tillsyn/A 52207-2023 tillsynsbegäran.docx", "A 52207-2023")</f>
        <v/>
      </c>
      <c r="Y1008">
        <f>HYPERLINK("https://klasma.github.io/Logging_0860/tillsynsmail/A 52207-2023 tillsynsbegäran mail.docx", "A 52207-2023")</f>
        <v/>
      </c>
    </row>
    <row r="1009" ht="15" customHeight="1">
      <c r="A1009" t="inlineStr">
        <is>
          <t>A 52301-2023</t>
        </is>
      </c>
      <c r="B1009" s="1" t="n">
        <v>45224</v>
      </c>
      <c r="C1009" s="1" t="n">
        <v>45715</v>
      </c>
      <c r="D1009" t="inlineStr">
        <is>
          <t>KALMAR LÄN</t>
        </is>
      </c>
      <c r="E1009" t="inlineStr">
        <is>
          <t>VIMMERBY</t>
        </is>
      </c>
      <c r="G1009" t="n">
        <v>5.3</v>
      </c>
      <c r="H1009" t="n">
        <v>0</v>
      </c>
      <c r="I1009" t="n">
        <v>0</v>
      </c>
      <c r="J1009" t="n">
        <v>0</v>
      </c>
      <c r="K1009" t="n">
        <v>0</v>
      </c>
      <c r="L1009" t="n">
        <v>1</v>
      </c>
      <c r="M1009" t="n">
        <v>0</v>
      </c>
      <c r="N1009" t="n">
        <v>0</v>
      </c>
      <c r="O1009" t="n">
        <v>1</v>
      </c>
      <c r="P1009" t="n">
        <v>1</v>
      </c>
      <c r="Q1009" t="n">
        <v>1</v>
      </c>
      <c r="R1009" s="2" t="inlineStr">
        <is>
          <t>Ask</t>
        </is>
      </c>
      <c r="S1009">
        <f>HYPERLINK("https://klasma.github.io/Logging_0884/artfynd/A 52301-2023 artfynd.xlsx", "A 52301-2023")</f>
        <v/>
      </c>
      <c r="T1009">
        <f>HYPERLINK("https://klasma.github.io/Logging_0884/kartor/A 52301-2023 karta.png", "A 52301-2023")</f>
        <v/>
      </c>
      <c r="V1009">
        <f>HYPERLINK("https://klasma.github.io/Logging_0884/klagomål/A 52301-2023 FSC-klagomål.docx", "A 52301-2023")</f>
        <v/>
      </c>
      <c r="W1009">
        <f>HYPERLINK("https://klasma.github.io/Logging_0884/klagomålsmail/A 52301-2023 FSC-klagomål mail.docx", "A 52301-2023")</f>
        <v/>
      </c>
      <c r="X1009">
        <f>HYPERLINK("https://klasma.github.io/Logging_0884/tillsyn/A 52301-2023 tillsynsbegäran.docx", "A 52301-2023")</f>
        <v/>
      </c>
      <c r="Y1009">
        <f>HYPERLINK("https://klasma.github.io/Logging_0884/tillsynsmail/A 52301-2023 tillsynsbegäran mail.docx", "A 52301-2023")</f>
        <v/>
      </c>
    </row>
    <row r="1010" ht="15" customHeight="1">
      <c r="A1010" t="inlineStr">
        <is>
          <t>A 52211-2023</t>
        </is>
      </c>
      <c r="B1010" s="1" t="n">
        <v>45224</v>
      </c>
      <c r="C1010" s="1" t="n">
        <v>45715</v>
      </c>
      <c r="D1010" t="inlineStr">
        <is>
          <t>KALMAR LÄN</t>
        </is>
      </c>
      <c r="E1010" t="inlineStr">
        <is>
          <t>OSKARSHAMN</t>
        </is>
      </c>
      <c r="G1010" t="n">
        <v>4.1</v>
      </c>
      <c r="H1010" t="n">
        <v>0</v>
      </c>
      <c r="I1010" t="n">
        <v>0</v>
      </c>
      <c r="J1010" t="n">
        <v>1</v>
      </c>
      <c r="K1010" t="n">
        <v>0</v>
      </c>
      <c r="L1010" t="n">
        <v>0</v>
      </c>
      <c r="M1010" t="n">
        <v>0</v>
      </c>
      <c r="N1010" t="n">
        <v>0</v>
      </c>
      <c r="O1010" t="n">
        <v>1</v>
      </c>
      <c r="P1010" t="n">
        <v>0</v>
      </c>
      <c r="Q1010" t="n">
        <v>1</v>
      </c>
      <c r="R1010" s="2" t="inlineStr">
        <is>
          <t>Kösa</t>
        </is>
      </c>
      <c r="S1010">
        <f>HYPERLINK("https://klasma.github.io/Logging_0882/artfynd/A 52211-2023 artfynd.xlsx", "A 52211-2023")</f>
        <v/>
      </c>
      <c r="T1010">
        <f>HYPERLINK("https://klasma.github.io/Logging_0882/kartor/A 52211-2023 karta.png", "A 52211-2023")</f>
        <v/>
      </c>
      <c r="V1010">
        <f>HYPERLINK("https://klasma.github.io/Logging_0882/klagomål/A 52211-2023 FSC-klagomål.docx", "A 52211-2023")</f>
        <v/>
      </c>
      <c r="W1010">
        <f>HYPERLINK("https://klasma.github.io/Logging_0882/klagomålsmail/A 52211-2023 FSC-klagomål mail.docx", "A 52211-2023")</f>
        <v/>
      </c>
      <c r="X1010">
        <f>HYPERLINK("https://klasma.github.io/Logging_0882/tillsyn/A 52211-2023 tillsynsbegäran.docx", "A 52211-2023")</f>
        <v/>
      </c>
      <c r="Y1010">
        <f>HYPERLINK("https://klasma.github.io/Logging_0882/tillsynsmail/A 52211-2023 tillsynsbegäran mail.docx", "A 52211-2023")</f>
        <v/>
      </c>
    </row>
    <row r="1011" ht="15" customHeight="1">
      <c r="A1011" t="inlineStr">
        <is>
          <t>A 52607-2023</t>
        </is>
      </c>
      <c r="B1011" s="1" t="n">
        <v>45225</v>
      </c>
      <c r="C1011" s="1" t="n">
        <v>45715</v>
      </c>
      <c r="D1011" t="inlineStr">
        <is>
          <t>KALMAR LÄN</t>
        </is>
      </c>
      <c r="E1011" t="inlineStr">
        <is>
          <t>TORSÅS</t>
        </is>
      </c>
      <c r="G1011" t="n">
        <v>2.6</v>
      </c>
      <c r="H1011" t="n">
        <v>0</v>
      </c>
      <c r="I1011" t="n">
        <v>1</v>
      </c>
      <c r="J1011" t="n">
        <v>0</v>
      </c>
      <c r="K1011" t="n">
        <v>0</v>
      </c>
      <c r="L1011" t="n">
        <v>0</v>
      </c>
      <c r="M1011" t="n">
        <v>0</v>
      </c>
      <c r="N1011" t="n">
        <v>0</v>
      </c>
      <c r="O1011" t="n">
        <v>0</v>
      </c>
      <c r="P1011" t="n">
        <v>0</v>
      </c>
      <c r="Q1011" t="n">
        <v>1</v>
      </c>
      <c r="R1011" s="2" t="inlineStr">
        <is>
          <t>Grönpyrola</t>
        </is>
      </c>
      <c r="S1011">
        <f>HYPERLINK("https://klasma.github.io/Logging_0834/artfynd/A 52607-2023 artfynd.xlsx", "A 52607-2023")</f>
        <v/>
      </c>
      <c r="T1011">
        <f>HYPERLINK("https://klasma.github.io/Logging_0834/kartor/A 52607-2023 karta.png", "A 52607-2023")</f>
        <v/>
      </c>
      <c r="V1011">
        <f>HYPERLINK("https://klasma.github.io/Logging_0834/klagomål/A 52607-2023 FSC-klagomål.docx", "A 52607-2023")</f>
        <v/>
      </c>
      <c r="W1011">
        <f>HYPERLINK("https://klasma.github.io/Logging_0834/klagomålsmail/A 52607-2023 FSC-klagomål mail.docx", "A 52607-2023")</f>
        <v/>
      </c>
      <c r="X1011">
        <f>HYPERLINK("https://klasma.github.io/Logging_0834/tillsyn/A 52607-2023 tillsynsbegäran.docx", "A 52607-2023")</f>
        <v/>
      </c>
      <c r="Y1011">
        <f>HYPERLINK("https://klasma.github.io/Logging_0834/tillsynsmail/A 52607-2023 tillsynsbegäran mail.docx", "A 52607-2023")</f>
        <v/>
      </c>
    </row>
    <row r="1012" ht="15" customHeight="1">
      <c r="A1012" t="inlineStr">
        <is>
          <t>A 52690-2023</t>
        </is>
      </c>
      <c r="B1012" s="1" t="n">
        <v>45225</v>
      </c>
      <c r="C1012" s="1" t="n">
        <v>45715</v>
      </c>
      <c r="D1012" t="inlineStr">
        <is>
          <t>KALMAR LÄN</t>
        </is>
      </c>
      <c r="E1012" t="inlineStr">
        <is>
          <t>HULTSFRED</t>
        </is>
      </c>
      <c r="G1012" t="n">
        <v>1.4</v>
      </c>
      <c r="H1012" t="n">
        <v>0</v>
      </c>
      <c r="I1012" t="n">
        <v>1</v>
      </c>
      <c r="J1012" t="n">
        <v>0</v>
      </c>
      <c r="K1012" t="n">
        <v>0</v>
      </c>
      <c r="L1012" t="n">
        <v>0</v>
      </c>
      <c r="M1012" t="n">
        <v>0</v>
      </c>
      <c r="N1012" t="n">
        <v>0</v>
      </c>
      <c r="O1012" t="n">
        <v>0</v>
      </c>
      <c r="P1012" t="n">
        <v>0</v>
      </c>
      <c r="Q1012" t="n">
        <v>1</v>
      </c>
      <c r="R1012" s="2" t="inlineStr">
        <is>
          <t>Tibast</t>
        </is>
      </c>
      <c r="S1012">
        <f>HYPERLINK("https://klasma.github.io/Logging_0860/artfynd/A 52690-2023 artfynd.xlsx", "A 52690-2023")</f>
        <v/>
      </c>
      <c r="T1012">
        <f>HYPERLINK("https://klasma.github.io/Logging_0860/kartor/A 52690-2023 karta.png", "A 52690-2023")</f>
        <v/>
      </c>
      <c r="V1012">
        <f>HYPERLINK("https://klasma.github.io/Logging_0860/klagomål/A 52690-2023 FSC-klagomål.docx", "A 52690-2023")</f>
        <v/>
      </c>
      <c r="W1012">
        <f>HYPERLINK("https://klasma.github.io/Logging_0860/klagomålsmail/A 52690-2023 FSC-klagomål mail.docx", "A 52690-2023")</f>
        <v/>
      </c>
      <c r="X1012">
        <f>HYPERLINK("https://klasma.github.io/Logging_0860/tillsyn/A 52690-2023 tillsynsbegäran.docx", "A 52690-2023")</f>
        <v/>
      </c>
      <c r="Y1012">
        <f>HYPERLINK("https://klasma.github.io/Logging_0860/tillsynsmail/A 52690-2023 tillsynsbegäran mail.docx", "A 52690-2023")</f>
        <v/>
      </c>
    </row>
    <row r="1013" ht="15" customHeight="1">
      <c r="A1013" t="inlineStr">
        <is>
          <t>A 54179-2023</t>
        </is>
      </c>
      <c r="B1013" s="1" t="n">
        <v>45225</v>
      </c>
      <c r="C1013" s="1" t="n">
        <v>45715</v>
      </c>
      <c r="D1013" t="inlineStr">
        <is>
          <t>KALMAR LÄN</t>
        </is>
      </c>
      <c r="E1013" t="inlineStr">
        <is>
          <t>OSKARSHAMN</t>
        </is>
      </c>
      <c r="G1013" t="n">
        <v>7.3</v>
      </c>
      <c r="H1013" t="n">
        <v>0</v>
      </c>
      <c r="I1013" t="n">
        <v>0</v>
      </c>
      <c r="J1013" t="n">
        <v>1</v>
      </c>
      <c r="K1013" t="n">
        <v>0</v>
      </c>
      <c r="L1013" t="n">
        <v>0</v>
      </c>
      <c r="M1013" t="n">
        <v>0</v>
      </c>
      <c r="N1013" t="n">
        <v>0</v>
      </c>
      <c r="O1013" t="n">
        <v>1</v>
      </c>
      <c r="P1013" t="n">
        <v>0</v>
      </c>
      <c r="Q1013" t="n">
        <v>1</v>
      </c>
      <c r="R1013" s="2" t="inlineStr">
        <is>
          <t>Klubbsprötad bastardsvärmare</t>
        </is>
      </c>
      <c r="S1013">
        <f>HYPERLINK("https://klasma.github.io/Logging_0882/artfynd/A 54179-2023 artfynd.xlsx", "A 54179-2023")</f>
        <v/>
      </c>
      <c r="T1013">
        <f>HYPERLINK("https://klasma.github.io/Logging_0882/kartor/A 54179-2023 karta.png", "A 54179-2023")</f>
        <v/>
      </c>
      <c r="V1013">
        <f>HYPERLINK("https://klasma.github.io/Logging_0882/klagomål/A 54179-2023 FSC-klagomål.docx", "A 54179-2023")</f>
        <v/>
      </c>
      <c r="W1013">
        <f>HYPERLINK("https://klasma.github.io/Logging_0882/klagomålsmail/A 54179-2023 FSC-klagomål mail.docx", "A 54179-2023")</f>
        <v/>
      </c>
      <c r="X1013">
        <f>HYPERLINK("https://klasma.github.io/Logging_0882/tillsyn/A 54179-2023 tillsynsbegäran.docx", "A 54179-2023")</f>
        <v/>
      </c>
      <c r="Y1013">
        <f>HYPERLINK("https://klasma.github.io/Logging_0882/tillsynsmail/A 54179-2023 tillsynsbegäran mail.docx", "A 54179-2023")</f>
        <v/>
      </c>
    </row>
    <row r="1014" ht="15" customHeight="1">
      <c r="A1014" t="inlineStr">
        <is>
          <t>A 53370-2023</t>
        </is>
      </c>
      <c r="B1014" s="1" t="n">
        <v>45229</v>
      </c>
      <c r="C1014" s="1" t="n">
        <v>45715</v>
      </c>
      <c r="D1014" t="inlineStr">
        <is>
          <t>KALMAR LÄN</t>
        </is>
      </c>
      <c r="E1014" t="inlineStr">
        <is>
          <t>EMMABODA</t>
        </is>
      </c>
      <c r="G1014" t="n">
        <v>2.4</v>
      </c>
      <c r="H1014" t="n">
        <v>1</v>
      </c>
      <c r="I1014" t="n">
        <v>0</v>
      </c>
      <c r="J1014" t="n">
        <v>0</v>
      </c>
      <c r="K1014" t="n">
        <v>1</v>
      </c>
      <c r="L1014" t="n">
        <v>0</v>
      </c>
      <c r="M1014" t="n">
        <v>0</v>
      </c>
      <c r="N1014" t="n">
        <v>0</v>
      </c>
      <c r="O1014" t="n">
        <v>1</v>
      </c>
      <c r="P1014" t="n">
        <v>1</v>
      </c>
      <c r="Q1014" t="n">
        <v>1</v>
      </c>
      <c r="R1014" s="2" t="inlineStr">
        <is>
          <t>Knärot</t>
        </is>
      </c>
      <c r="S1014">
        <f>HYPERLINK("https://klasma.github.io/Logging_0862/artfynd/A 53370-2023 artfynd.xlsx", "A 53370-2023")</f>
        <v/>
      </c>
      <c r="T1014">
        <f>HYPERLINK("https://klasma.github.io/Logging_0862/kartor/A 53370-2023 karta.png", "A 53370-2023")</f>
        <v/>
      </c>
      <c r="U1014">
        <f>HYPERLINK("https://klasma.github.io/Logging_0862/knärot/A 53370-2023 karta knärot.png", "A 53370-2023")</f>
        <v/>
      </c>
      <c r="V1014">
        <f>HYPERLINK("https://klasma.github.io/Logging_0862/klagomål/A 53370-2023 FSC-klagomål.docx", "A 53370-2023")</f>
        <v/>
      </c>
      <c r="W1014">
        <f>HYPERLINK("https://klasma.github.io/Logging_0862/klagomålsmail/A 53370-2023 FSC-klagomål mail.docx", "A 53370-2023")</f>
        <v/>
      </c>
      <c r="X1014">
        <f>HYPERLINK("https://klasma.github.io/Logging_0862/tillsyn/A 53370-2023 tillsynsbegäran.docx", "A 53370-2023")</f>
        <v/>
      </c>
      <c r="Y1014">
        <f>HYPERLINK("https://klasma.github.io/Logging_0862/tillsynsmail/A 53370-2023 tillsynsbegäran mail.docx", "A 53370-2023")</f>
        <v/>
      </c>
    </row>
    <row r="1015" ht="15" customHeight="1">
      <c r="A1015" t="inlineStr">
        <is>
          <t>A 54272-2023</t>
        </is>
      </c>
      <c r="B1015" s="1" t="n">
        <v>45232</v>
      </c>
      <c r="C1015" s="1" t="n">
        <v>45715</v>
      </c>
      <c r="D1015" t="inlineStr">
        <is>
          <t>KALMAR LÄN</t>
        </is>
      </c>
      <c r="E1015" t="inlineStr">
        <is>
          <t>VÄSTERVIK</t>
        </is>
      </c>
      <c r="G1015" t="n">
        <v>1</v>
      </c>
      <c r="H1015" t="n">
        <v>0</v>
      </c>
      <c r="I1015" t="n">
        <v>1</v>
      </c>
      <c r="J1015" t="n">
        <v>0</v>
      </c>
      <c r="K1015" t="n">
        <v>0</v>
      </c>
      <c r="L1015" t="n">
        <v>0</v>
      </c>
      <c r="M1015" t="n">
        <v>0</v>
      </c>
      <c r="N1015" t="n">
        <v>0</v>
      </c>
      <c r="O1015" t="n">
        <v>0</v>
      </c>
      <c r="P1015" t="n">
        <v>0</v>
      </c>
      <c r="Q1015" t="n">
        <v>1</v>
      </c>
      <c r="R1015" s="2" t="inlineStr">
        <is>
          <t>Aprikosfingersvamp</t>
        </is>
      </c>
      <c r="S1015">
        <f>HYPERLINK("https://klasma.github.io/Logging_0883/artfynd/A 54272-2023 artfynd.xlsx", "A 54272-2023")</f>
        <v/>
      </c>
      <c r="T1015">
        <f>HYPERLINK("https://klasma.github.io/Logging_0883/kartor/A 54272-2023 karta.png", "A 54272-2023")</f>
        <v/>
      </c>
      <c r="V1015">
        <f>HYPERLINK("https://klasma.github.io/Logging_0883/klagomål/A 54272-2023 FSC-klagomål.docx", "A 54272-2023")</f>
        <v/>
      </c>
      <c r="W1015">
        <f>HYPERLINK("https://klasma.github.io/Logging_0883/klagomålsmail/A 54272-2023 FSC-klagomål mail.docx", "A 54272-2023")</f>
        <v/>
      </c>
      <c r="X1015">
        <f>HYPERLINK("https://klasma.github.io/Logging_0883/tillsyn/A 54272-2023 tillsynsbegäran.docx", "A 54272-2023")</f>
        <v/>
      </c>
      <c r="Y1015">
        <f>HYPERLINK("https://klasma.github.io/Logging_0883/tillsynsmail/A 54272-2023 tillsynsbegäran mail.docx", "A 54272-2023")</f>
        <v/>
      </c>
    </row>
    <row r="1016" ht="15" customHeight="1">
      <c r="A1016" t="inlineStr">
        <is>
          <t>A 55516-2023</t>
        </is>
      </c>
      <c r="B1016" s="1" t="n">
        <v>45238</v>
      </c>
      <c r="C1016" s="1" t="n">
        <v>45715</v>
      </c>
      <c r="D1016" t="inlineStr">
        <is>
          <t>KALMAR LÄN</t>
        </is>
      </c>
      <c r="E1016" t="inlineStr">
        <is>
          <t>HULTSFRED</t>
        </is>
      </c>
      <c r="G1016" t="n">
        <v>4.3</v>
      </c>
      <c r="H1016" t="n">
        <v>0</v>
      </c>
      <c r="I1016" t="n">
        <v>0</v>
      </c>
      <c r="J1016" t="n">
        <v>1</v>
      </c>
      <c r="K1016" t="n">
        <v>0</v>
      </c>
      <c r="L1016" t="n">
        <v>0</v>
      </c>
      <c r="M1016" t="n">
        <v>0</v>
      </c>
      <c r="N1016" t="n">
        <v>0</v>
      </c>
      <c r="O1016" t="n">
        <v>1</v>
      </c>
      <c r="P1016" t="n">
        <v>0</v>
      </c>
      <c r="Q1016" t="n">
        <v>1</v>
      </c>
      <c r="R1016" s="2" t="inlineStr">
        <is>
          <t>Spindelört</t>
        </is>
      </c>
      <c r="S1016">
        <f>HYPERLINK("https://klasma.github.io/Logging_0860/artfynd/A 55516-2023 artfynd.xlsx", "A 55516-2023")</f>
        <v/>
      </c>
      <c r="T1016">
        <f>HYPERLINK("https://klasma.github.io/Logging_0860/kartor/A 55516-2023 karta.png", "A 55516-2023")</f>
        <v/>
      </c>
      <c r="V1016">
        <f>HYPERLINK("https://klasma.github.io/Logging_0860/klagomål/A 55516-2023 FSC-klagomål.docx", "A 55516-2023")</f>
        <v/>
      </c>
      <c r="W1016">
        <f>HYPERLINK("https://klasma.github.io/Logging_0860/klagomålsmail/A 55516-2023 FSC-klagomål mail.docx", "A 55516-2023")</f>
        <v/>
      </c>
      <c r="X1016">
        <f>HYPERLINK("https://klasma.github.io/Logging_0860/tillsyn/A 55516-2023 tillsynsbegäran.docx", "A 55516-2023")</f>
        <v/>
      </c>
      <c r="Y1016">
        <f>HYPERLINK("https://klasma.github.io/Logging_0860/tillsynsmail/A 55516-2023 tillsynsbegäran mail.docx", "A 55516-2023")</f>
        <v/>
      </c>
    </row>
    <row r="1017" ht="15" customHeight="1">
      <c r="A1017" t="inlineStr">
        <is>
          <t>A 55575-2023</t>
        </is>
      </c>
      <c r="B1017" s="1" t="n">
        <v>45238</v>
      </c>
      <c r="C1017" s="1" t="n">
        <v>45715</v>
      </c>
      <c r="D1017" t="inlineStr">
        <is>
          <t>KALMAR LÄN</t>
        </is>
      </c>
      <c r="E1017" t="inlineStr">
        <is>
          <t>VÄSTERVIK</t>
        </is>
      </c>
      <c r="G1017" t="n">
        <v>3.8</v>
      </c>
      <c r="H1017" t="n">
        <v>1</v>
      </c>
      <c r="I1017" t="n">
        <v>0</v>
      </c>
      <c r="J1017" t="n">
        <v>0</v>
      </c>
      <c r="K1017" t="n">
        <v>1</v>
      </c>
      <c r="L1017" t="n">
        <v>0</v>
      </c>
      <c r="M1017" t="n">
        <v>0</v>
      </c>
      <c r="N1017" t="n">
        <v>0</v>
      </c>
      <c r="O1017" t="n">
        <v>1</v>
      </c>
      <c r="P1017" t="n">
        <v>1</v>
      </c>
      <c r="Q1017" t="n">
        <v>1</v>
      </c>
      <c r="R1017" s="2" t="inlineStr">
        <is>
          <t>Knärot</t>
        </is>
      </c>
      <c r="S1017">
        <f>HYPERLINK("https://klasma.github.io/Logging_0883/artfynd/A 55575-2023 artfynd.xlsx", "A 55575-2023")</f>
        <v/>
      </c>
      <c r="T1017">
        <f>HYPERLINK("https://klasma.github.io/Logging_0883/kartor/A 55575-2023 karta.png", "A 55575-2023")</f>
        <v/>
      </c>
      <c r="U1017">
        <f>HYPERLINK("https://klasma.github.io/Logging_0883/knärot/A 55575-2023 karta knärot.png", "A 55575-2023")</f>
        <v/>
      </c>
      <c r="V1017">
        <f>HYPERLINK("https://klasma.github.io/Logging_0883/klagomål/A 55575-2023 FSC-klagomål.docx", "A 55575-2023")</f>
        <v/>
      </c>
      <c r="W1017">
        <f>HYPERLINK("https://klasma.github.io/Logging_0883/klagomålsmail/A 55575-2023 FSC-klagomål mail.docx", "A 55575-2023")</f>
        <v/>
      </c>
      <c r="X1017">
        <f>HYPERLINK("https://klasma.github.io/Logging_0883/tillsyn/A 55575-2023 tillsynsbegäran.docx", "A 55575-2023")</f>
        <v/>
      </c>
      <c r="Y1017">
        <f>HYPERLINK("https://klasma.github.io/Logging_0883/tillsynsmail/A 55575-2023 tillsynsbegäran mail.docx", "A 55575-2023")</f>
        <v/>
      </c>
    </row>
    <row r="1018" ht="15" customHeight="1">
      <c r="A1018" t="inlineStr">
        <is>
          <t>A 55758-2023</t>
        </is>
      </c>
      <c r="B1018" s="1" t="n">
        <v>45239</v>
      </c>
      <c r="C1018" s="1" t="n">
        <v>45715</v>
      </c>
      <c r="D1018" t="inlineStr">
        <is>
          <t>KALMAR LÄN</t>
        </is>
      </c>
      <c r="E1018" t="inlineStr">
        <is>
          <t>HULTSFRED</t>
        </is>
      </c>
      <c r="G1018" t="n">
        <v>6.7</v>
      </c>
      <c r="H1018" t="n">
        <v>0</v>
      </c>
      <c r="I1018" t="n">
        <v>0</v>
      </c>
      <c r="J1018" t="n">
        <v>1</v>
      </c>
      <c r="K1018" t="n">
        <v>0</v>
      </c>
      <c r="L1018" t="n">
        <v>0</v>
      </c>
      <c r="M1018" t="n">
        <v>0</v>
      </c>
      <c r="N1018" t="n">
        <v>0</v>
      </c>
      <c r="O1018" t="n">
        <v>1</v>
      </c>
      <c r="P1018" t="n">
        <v>0</v>
      </c>
      <c r="Q1018" t="n">
        <v>1</v>
      </c>
      <c r="R1018" s="2" t="inlineStr">
        <is>
          <t>Korskovall</t>
        </is>
      </c>
      <c r="S1018">
        <f>HYPERLINK("https://klasma.github.io/Logging_0860/artfynd/A 55758-2023 artfynd.xlsx", "A 55758-2023")</f>
        <v/>
      </c>
      <c r="T1018">
        <f>HYPERLINK("https://klasma.github.io/Logging_0860/kartor/A 55758-2023 karta.png", "A 55758-2023")</f>
        <v/>
      </c>
      <c r="V1018">
        <f>HYPERLINK("https://klasma.github.io/Logging_0860/klagomål/A 55758-2023 FSC-klagomål.docx", "A 55758-2023")</f>
        <v/>
      </c>
      <c r="W1018">
        <f>HYPERLINK("https://klasma.github.io/Logging_0860/klagomålsmail/A 55758-2023 FSC-klagomål mail.docx", "A 55758-2023")</f>
        <v/>
      </c>
      <c r="X1018">
        <f>HYPERLINK("https://klasma.github.io/Logging_0860/tillsyn/A 55758-2023 tillsynsbegäran.docx", "A 55758-2023")</f>
        <v/>
      </c>
      <c r="Y1018">
        <f>HYPERLINK("https://klasma.github.io/Logging_0860/tillsynsmail/A 55758-2023 tillsynsbegäran mail.docx", "A 55758-2023")</f>
        <v/>
      </c>
    </row>
    <row r="1019" ht="15" customHeight="1">
      <c r="A1019" t="inlineStr">
        <is>
          <t>A 56186-2023</t>
        </is>
      </c>
      <c r="B1019" s="1" t="n">
        <v>45240</v>
      </c>
      <c r="C1019" s="1" t="n">
        <v>45715</v>
      </c>
      <c r="D1019" t="inlineStr">
        <is>
          <t>KALMAR LÄN</t>
        </is>
      </c>
      <c r="E1019" t="inlineStr">
        <is>
          <t>VÄSTERVIK</t>
        </is>
      </c>
      <c r="G1019" t="n">
        <v>2.7</v>
      </c>
      <c r="H1019" t="n">
        <v>0</v>
      </c>
      <c r="I1019" t="n">
        <v>0</v>
      </c>
      <c r="J1019" t="n">
        <v>1</v>
      </c>
      <c r="K1019" t="n">
        <v>0</v>
      </c>
      <c r="L1019" t="n">
        <v>0</v>
      </c>
      <c r="M1019" t="n">
        <v>0</v>
      </c>
      <c r="N1019" t="n">
        <v>0</v>
      </c>
      <c r="O1019" t="n">
        <v>1</v>
      </c>
      <c r="P1019" t="n">
        <v>0</v>
      </c>
      <c r="Q1019" t="n">
        <v>1</v>
      </c>
      <c r="R1019" s="2" t="inlineStr">
        <is>
          <t>Tallticka</t>
        </is>
      </c>
      <c r="S1019">
        <f>HYPERLINK("https://klasma.github.io/Logging_0883/artfynd/A 56186-2023 artfynd.xlsx", "A 56186-2023")</f>
        <v/>
      </c>
      <c r="T1019">
        <f>HYPERLINK("https://klasma.github.io/Logging_0883/kartor/A 56186-2023 karta.png", "A 56186-2023")</f>
        <v/>
      </c>
      <c r="V1019">
        <f>HYPERLINK("https://klasma.github.io/Logging_0883/klagomål/A 56186-2023 FSC-klagomål.docx", "A 56186-2023")</f>
        <v/>
      </c>
      <c r="W1019">
        <f>HYPERLINK("https://klasma.github.io/Logging_0883/klagomålsmail/A 56186-2023 FSC-klagomål mail.docx", "A 56186-2023")</f>
        <v/>
      </c>
      <c r="X1019">
        <f>HYPERLINK("https://klasma.github.io/Logging_0883/tillsyn/A 56186-2023 tillsynsbegäran.docx", "A 56186-2023")</f>
        <v/>
      </c>
      <c r="Y1019">
        <f>HYPERLINK("https://klasma.github.io/Logging_0883/tillsynsmail/A 56186-2023 tillsynsbegäran mail.docx", "A 56186-2023")</f>
        <v/>
      </c>
    </row>
    <row r="1020" ht="15" customHeight="1">
      <c r="A1020" t="inlineStr">
        <is>
          <t>A 56482-2023</t>
        </is>
      </c>
      <c r="B1020" s="1" t="n">
        <v>45243</v>
      </c>
      <c r="C1020" s="1" t="n">
        <v>45715</v>
      </c>
      <c r="D1020" t="inlineStr">
        <is>
          <t>KALMAR LÄN</t>
        </is>
      </c>
      <c r="E1020" t="inlineStr">
        <is>
          <t>KALMAR</t>
        </is>
      </c>
      <c r="G1020" t="n">
        <v>2.7</v>
      </c>
      <c r="H1020" t="n">
        <v>0</v>
      </c>
      <c r="I1020" t="n">
        <v>1</v>
      </c>
      <c r="J1020" t="n">
        <v>0</v>
      </c>
      <c r="K1020" t="n">
        <v>0</v>
      </c>
      <c r="L1020" t="n">
        <v>0</v>
      </c>
      <c r="M1020" t="n">
        <v>0</v>
      </c>
      <c r="N1020" t="n">
        <v>0</v>
      </c>
      <c r="O1020" t="n">
        <v>0</v>
      </c>
      <c r="P1020" t="n">
        <v>0</v>
      </c>
      <c r="Q1020" t="n">
        <v>1</v>
      </c>
      <c r="R1020" s="2" t="inlineStr">
        <is>
          <t>Murgröna</t>
        </is>
      </c>
      <c r="S1020">
        <f>HYPERLINK("https://klasma.github.io/Logging_0880/artfynd/A 56482-2023 artfynd.xlsx", "A 56482-2023")</f>
        <v/>
      </c>
      <c r="T1020">
        <f>HYPERLINK("https://klasma.github.io/Logging_0880/kartor/A 56482-2023 karta.png", "A 56482-2023")</f>
        <v/>
      </c>
      <c r="V1020">
        <f>HYPERLINK("https://klasma.github.io/Logging_0880/klagomål/A 56482-2023 FSC-klagomål.docx", "A 56482-2023")</f>
        <v/>
      </c>
      <c r="W1020">
        <f>HYPERLINK("https://klasma.github.io/Logging_0880/klagomålsmail/A 56482-2023 FSC-klagomål mail.docx", "A 56482-2023")</f>
        <v/>
      </c>
      <c r="X1020">
        <f>HYPERLINK("https://klasma.github.io/Logging_0880/tillsyn/A 56482-2023 tillsynsbegäran.docx", "A 56482-2023")</f>
        <v/>
      </c>
      <c r="Y1020">
        <f>HYPERLINK("https://klasma.github.io/Logging_0880/tillsynsmail/A 56482-2023 tillsynsbegäran mail.docx", "A 56482-2023")</f>
        <v/>
      </c>
    </row>
    <row r="1021" ht="15" customHeight="1">
      <c r="A1021" t="inlineStr">
        <is>
          <t>A 57038-2023</t>
        </is>
      </c>
      <c r="B1021" s="1" t="n">
        <v>45244</v>
      </c>
      <c r="C1021" s="1" t="n">
        <v>45715</v>
      </c>
      <c r="D1021" t="inlineStr">
        <is>
          <t>KALMAR LÄN</t>
        </is>
      </c>
      <c r="E1021" t="inlineStr">
        <is>
          <t>VIMMERBY</t>
        </is>
      </c>
      <c r="G1021" t="n">
        <v>4.6</v>
      </c>
      <c r="H1021" t="n">
        <v>1</v>
      </c>
      <c r="I1021" t="n">
        <v>0</v>
      </c>
      <c r="J1021" t="n">
        <v>1</v>
      </c>
      <c r="K1021" t="n">
        <v>0</v>
      </c>
      <c r="L1021" t="n">
        <v>0</v>
      </c>
      <c r="M1021" t="n">
        <v>0</v>
      </c>
      <c r="N1021" t="n">
        <v>0</v>
      </c>
      <c r="O1021" t="n">
        <v>1</v>
      </c>
      <c r="P1021" t="n">
        <v>0</v>
      </c>
      <c r="Q1021" t="n">
        <v>1</v>
      </c>
      <c r="R1021" s="2" t="inlineStr">
        <is>
          <t>Talltita</t>
        </is>
      </c>
      <c r="S1021">
        <f>HYPERLINK("https://klasma.github.io/Logging_0884/artfynd/A 57038-2023 artfynd.xlsx", "A 57038-2023")</f>
        <v/>
      </c>
      <c r="T1021">
        <f>HYPERLINK("https://klasma.github.io/Logging_0884/kartor/A 57038-2023 karta.png", "A 57038-2023")</f>
        <v/>
      </c>
      <c r="V1021">
        <f>HYPERLINK("https://klasma.github.io/Logging_0884/klagomål/A 57038-2023 FSC-klagomål.docx", "A 57038-2023")</f>
        <v/>
      </c>
      <c r="W1021">
        <f>HYPERLINK("https://klasma.github.io/Logging_0884/klagomålsmail/A 57038-2023 FSC-klagomål mail.docx", "A 57038-2023")</f>
        <v/>
      </c>
      <c r="X1021">
        <f>HYPERLINK("https://klasma.github.io/Logging_0884/tillsyn/A 57038-2023 tillsynsbegäran.docx", "A 57038-2023")</f>
        <v/>
      </c>
      <c r="Y1021">
        <f>HYPERLINK("https://klasma.github.io/Logging_0884/tillsynsmail/A 57038-2023 tillsynsbegäran mail.docx", "A 57038-2023")</f>
        <v/>
      </c>
      <c r="Z1021">
        <f>HYPERLINK("https://klasma.github.io/Logging_0884/fåglar/A 57038-2023 prioriterade fågelarter.docx", "A 57038-2023")</f>
        <v/>
      </c>
    </row>
    <row r="1022" ht="15" customHeight="1">
      <c r="A1022" t="inlineStr">
        <is>
          <t>A 57763-2023</t>
        </is>
      </c>
      <c r="B1022" s="1" t="n">
        <v>45246</v>
      </c>
      <c r="C1022" s="1" t="n">
        <v>45715</v>
      </c>
      <c r="D1022" t="inlineStr">
        <is>
          <t>KALMAR LÄN</t>
        </is>
      </c>
      <c r="E1022" t="inlineStr">
        <is>
          <t>BORGHOLM</t>
        </is>
      </c>
      <c r="G1022" t="n">
        <v>2</v>
      </c>
      <c r="H1022" t="n">
        <v>1</v>
      </c>
      <c r="I1022" t="n">
        <v>0</v>
      </c>
      <c r="J1022" t="n">
        <v>0</v>
      </c>
      <c r="K1022" t="n">
        <v>0</v>
      </c>
      <c r="L1022" t="n">
        <v>0</v>
      </c>
      <c r="M1022" t="n">
        <v>0</v>
      </c>
      <c r="N1022" t="n">
        <v>0</v>
      </c>
      <c r="O1022" t="n">
        <v>0</v>
      </c>
      <c r="P1022" t="n">
        <v>0</v>
      </c>
      <c r="Q1022" t="n">
        <v>1</v>
      </c>
      <c r="R1022" s="2" t="inlineStr">
        <is>
          <t>Gullviva</t>
        </is>
      </c>
      <c r="S1022">
        <f>HYPERLINK("https://klasma.github.io/Logging_0885/artfynd/A 57763-2023 artfynd.xlsx", "A 57763-2023")</f>
        <v/>
      </c>
      <c r="T1022">
        <f>HYPERLINK("https://klasma.github.io/Logging_0885/kartor/A 57763-2023 karta.png", "A 57763-2023")</f>
        <v/>
      </c>
      <c r="V1022">
        <f>HYPERLINK("https://klasma.github.io/Logging_0885/klagomål/A 57763-2023 FSC-klagomål.docx", "A 57763-2023")</f>
        <v/>
      </c>
      <c r="W1022">
        <f>HYPERLINK("https://klasma.github.io/Logging_0885/klagomålsmail/A 57763-2023 FSC-klagomål mail.docx", "A 57763-2023")</f>
        <v/>
      </c>
      <c r="X1022">
        <f>HYPERLINK("https://klasma.github.io/Logging_0885/tillsyn/A 57763-2023 tillsynsbegäran.docx", "A 57763-2023")</f>
        <v/>
      </c>
      <c r="Y1022">
        <f>HYPERLINK("https://klasma.github.io/Logging_0885/tillsynsmail/A 57763-2023 tillsynsbegäran mail.docx", "A 57763-2023")</f>
        <v/>
      </c>
    </row>
    <row r="1023" ht="15" customHeight="1">
      <c r="A1023" t="inlineStr">
        <is>
          <t>A 59368-2023</t>
        </is>
      </c>
      <c r="B1023" s="1" t="n">
        <v>45253</v>
      </c>
      <c r="C1023" s="1" t="n">
        <v>45715</v>
      </c>
      <c r="D1023" t="inlineStr">
        <is>
          <t>KALMAR LÄN</t>
        </is>
      </c>
      <c r="E1023" t="inlineStr">
        <is>
          <t>VÄSTERVIK</t>
        </is>
      </c>
      <c r="G1023" t="n">
        <v>2.4</v>
      </c>
      <c r="H1023" t="n">
        <v>1</v>
      </c>
      <c r="I1023" t="n">
        <v>0</v>
      </c>
      <c r="J1023" t="n">
        <v>0</v>
      </c>
      <c r="K1023" t="n">
        <v>1</v>
      </c>
      <c r="L1023" t="n">
        <v>0</v>
      </c>
      <c r="M1023" t="n">
        <v>0</v>
      </c>
      <c r="N1023" t="n">
        <v>0</v>
      </c>
      <c r="O1023" t="n">
        <v>1</v>
      </c>
      <c r="P1023" t="n">
        <v>1</v>
      </c>
      <c r="Q1023" t="n">
        <v>1</v>
      </c>
      <c r="R1023" s="2" t="inlineStr">
        <is>
          <t>Knärot</t>
        </is>
      </c>
      <c r="S1023">
        <f>HYPERLINK("https://klasma.github.io/Logging_0883/artfynd/A 59368-2023 artfynd.xlsx", "A 59368-2023")</f>
        <v/>
      </c>
      <c r="T1023">
        <f>HYPERLINK("https://klasma.github.io/Logging_0883/kartor/A 59368-2023 karta.png", "A 59368-2023")</f>
        <v/>
      </c>
      <c r="U1023">
        <f>HYPERLINK("https://klasma.github.io/Logging_0883/knärot/A 59368-2023 karta knärot.png", "A 59368-2023")</f>
        <v/>
      </c>
      <c r="V1023">
        <f>HYPERLINK("https://klasma.github.io/Logging_0883/klagomål/A 59368-2023 FSC-klagomål.docx", "A 59368-2023")</f>
        <v/>
      </c>
      <c r="W1023">
        <f>HYPERLINK("https://klasma.github.io/Logging_0883/klagomålsmail/A 59368-2023 FSC-klagomål mail.docx", "A 59368-2023")</f>
        <v/>
      </c>
      <c r="X1023">
        <f>HYPERLINK("https://klasma.github.io/Logging_0883/tillsyn/A 59368-2023 tillsynsbegäran.docx", "A 59368-2023")</f>
        <v/>
      </c>
      <c r="Y1023">
        <f>HYPERLINK("https://klasma.github.io/Logging_0883/tillsynsmail/A 59368-2023 tillsynsbegäran mail.docx", "A 59368-2023")</f>
        <v/>
      </c>
    </row>
    <row r="1024" ht="15" customHeight="1">
      <c r="A1024" t="inlineStr">
        <is>
          <t>A 59361-2023</t>
        </is>
      </c>
      <c r="B1024" s="1" t="n">
        <v>45253</v>
      </c>
      <c r="C1024" s="1" t="n">
        <v>45715</v>
      </c>
      <c r="D1024" t="inlineStr">
        <is>
          <t>KALMAR LÄN</t>
        </is>
      </c>
      <c r="E1024" t="inlineStr">
        <is>
          <t>TORSÅS</t>
        </is>
      </c>
      <c r="G1024" t="n">
        <v>1.7</v>
      </c>
      <c r="H1024" t="n">
        <v>0</v>
      </c>
      <c r="I1024" t="n">
        <v>1</v>
      </c>
      <c r="J1024" t="n">
        <v>0</v>
      </c>
      <c r="K1024" t="n">
        <v>0</v>
      </c>
      <c r="L1024" t="n">
        <v>0</v>
      </c>
      <c r="M1024" t="n">
        <v>0</v>
      </c>
      <c r="N1024" t="n">
        <v>0</v>
      </c>
      <c r="O1024" t="n">
        <v>0</v>
      </c>
      <c r="P1024" t="n">
        <v>0</v>
      </c>
      <c r="Q1024" t="n">
        <v>1</v>
      </c>
      <c r="R1024" s="2" t="inlineStr">
        <is>
          <t>Murgröna</t>
        </is>
      </c>
      <c r="S1024">
        <f>HYPERLINK("https://klasma.github.io/Logging_0834/artfynd/A 59361-2023 artfynd.xlsx", "A 59361-2023")</f>
        <v/>
      </c>
      <c r="T1024">
        <f>HYPERLINK("https://klasma.github.io/Logging_0834/kartor/A 59361-2023 karta.png", "A 59361-2023")</f>
        <v/>
      </c>
      <c r="V1024">
        <f>HYPERLINK("https://klasma.github.io/Logging_0834/klagomål/A 59361-2023 FSC-klagomål.docx", "A 59361-2023")</f>
        <v/>
      </c>
      <c r="W1024">
        <f>HYPERLINK("https://klasma.github.io/Logging_0834/klagomålsmail/A 59361-2023 FSC-klagomål mail.docx", "A 59361-2023")</f>
        <v/>
      </c>
      <c r="X1024">
        <f>HYPERLINK("https://klasma.github.io/Logging_0834/tillsyn/A 59361-2023 tillsynsbegäran.docx", "A 59361-2023")</f>
        <v/>
      </c>
      <c r="Y1024">
        <f>HYPERLINK("https://klasma.github.io/Logging_0834/tillsynsmail/A 59361-2023 tillsynsbegäran mail.docx", "A 59361-2023")</f>
        <v/>
      </c>
    </row>
    <row r="1025" ht="15" customHeight="1">
      <c r="A1025" t="inlineStr">
        <is>
          <t>A 59704-2023</t>
        </is>
      </c>
      <c r="B1025" s="1" t="n">
        <v>45256</v>
      </c>
      <c r="C1025" s="1" t="n">
        <v>45715</v>
      </c>
      <c r="D1025" t="inlineStr">
        <is>
          <t>KALMAR LÄN</t>
        </is>
      </c>
      <c r="E1025" t="inlineStr">
        <is>
          <t>HÖGSBY</t>
        </is>
      </c>
      <c r="G1025" t="n">
        <v>4.2</v>
      </c>
      <c r="H1025" t="n">
        <v>0</v>
      </c>
      <c r="I1025" t="n">
        <v>1</v>
      </c>
      <c r="J1025" t="n">
        <v>0</v>
      </c>
      <c r="K1025" t="n">
        <v>0</v>
      </c>
      <c r="L1025" t="n">
        <v>0</v>
      </c>
      <c r="M1025" t="n">
        <v>0</v>
      </c>
      <c r="N1025" t="n">
        <v>0</v>
      </c>
      <c r="O1025" t="n">
        <v>0</v>
      </c>
      <c r="P1025" t="n">
        <v>0</v>
      </c>
      <c r="Q1025" t="n">
        <v>1</v>
      </c>
      <c r="R1025" s="2" t="inlineStr">
        <is>
          <t>Flagellkvastmossa</t>
        </is>
      </c>
      <c r="S1025">
        <f>HYPERLINK("https://klasma.github.io/Logging_0821/artfynd/A 59704-2023 artfynd.xlsx", "A 59704-2023")</f>
        <v/>
      </c>
      <c r="T1025">
        <f>HYPERLINK("https://klasma.github.io/Logging_0821/kartor/A 59704-2023 karta.png", "A 59704-2023")</f>
        <v/>
      </c>
      <c r="V1025">
        <f>HYPERLINK("https://klasma.github.io/Logging_0821/klagomål/A 59704-2023 FSC-klagomål.docx", "A 59704-2023")</f>
        <v/>
      </c>
      <c r="W1025">
        <f>HYPERLINK("https://klasma.github.io/Logging_0821/klagomålsmail/A 59704-2023 FSC-klagomål mail.docx", "A 59704-2023")</f>
        <v/>
      </c>
      <c r="X1025">
        <f>HYPERLINK("https://klasma.github.io/Logging_0821/tillsyn/A 59704-2023 tillsynsbegäran.docx", "A 59704-2023")</f>
        <v/>
      </c>
      <c r="Y1025">
        <f>HYPERLINK("https://klasma.github.io/Logging_0821/tillsynsmail/A 59704-2023 tillsynsbegäran mail.docx", "A 59704-2023")</f>
        <v/>
      </c>
    </row>
    <row r="1026" ht="15" customHeight="1">
      <c r="A1026" t="inlineStr">
        <is>
          <t>A 60633-2023</t>
        </is>
      </c>
      <c r="B1026" s="1" t="n">
        <v>45260</v>
      </c>
      <c r="C1026" s="1" t="n">
        <v>45715</v>
      </c>
      <c r="D1026" t="inlineStr">
        <is>
          <t>KALMAR LÄN</t>
        </is>
      </c>
      <c r="E1026" t="inlineStr">
        <is>
          <t>VÄSTERVIK</t>
        </is>
      </c>
      <c r="G1026" t="n">
        <v>1.4</v>
      </c>
      <c r="H1026" t="n">
        <v>1</v>
      </c>
      <c r="I1026" t="n">
        <v>0</v>
      </c>
      <c r="J1026" t="n">
        <v>1</v>
      </c>
      <c r="K1026" t="n">
        <v>0</v>
      </c>
      <c r="L1026" t="n">
        <v>0</v>
      </c>
      <c r="M1026" t="n">
        <v>0</v>
      </c>
      <c r="N1026" t="n">
        <v>0</v>
      </c>
      <c r="O1026" t="n">
        <v>1</v>
      </c>
      <c r="P1026" t="n">
        <v>0</v>
      </c>
      <c r="Q1026" t="n">
        <v>1</v>
      </c>
      <c r="R1026" s="2" t="inlineStr">
        <is>
          <t>Talltita</t>
        </is>
      </c>
      <c r="S1026">
        <f>HYPERLINK("https://klasma.github.io/Logging_0883/artfynd/A 60633-2023 artfynd.xlsx", "A 60633-2023")</f>
        <v/>
      </c>
      <c r="T1026">
        <f>HYPERLINK("https://klasma.github.io/Logging_0883/kartor/A 60633-2023 karta.png", "A 60633-2023")</f>
        <v/>
      </c>
      <c r="V1026">
        <f>HYPERLINK("https://klasma.github.io/Logging_0883/klagomål/A 60633-2023 FSC-klagomål.docx", "A 60633-2023")</f>
        <v/>
      </c>
      <c r="W1026">
        <f>HYPERLINK("https://klasma.github.io/Logging_0883/klagomålsmail/A 60633-2023 FSC-klagomål mail.docx", "A 60633-2023")</f>
        <v/>
      </c>
      <c r="X1026">
        <f>HYPERLINK("https://klasma.github.io/Logging_0883/tillsyn/A 60633-2023 tillsynsbegäran.docx", "A 60633-2023")</f>
        <v/>
      </c>
      <c r="Y1026">
        <f>HYPERLINK("https://klasma.github.io/Logging_0883/tillsynsmail/A 60633-2023 tillsynsbegäran mail.docx", "A 60633-2023")</f>
        <v/>
      </c>
      <c r="Z1026">
        <f>HYPERLINK("https://klasma.github.io/Logging_0883/fåglar/A 60633-2023 prioriterade fågelarter.docx", "A 60633-2023")</f>
        <v/>
      </c>
    </row>
    <row r="1027" ht="15" customHeight="1">
      <c r="A1027" t="inlineStr">
        <is>
          <t>A 61806-2023</t>
        </is>
      </c>
      <c r="B1027" s="1" t="n">
        <v>45266</v>
      </c>
      <c r="C1027" s="1" t="n">
        <v>45715</v>
      </c>
      <c r="D1027" t="inlineStr">
        <is>
          <t>KALMAR LÄN</t>
        </is>
      </c>
      <c r="E1027" t="inlineStr">
        <is>
          <t>VÄSTERVIK</t>
        </is>
      </c>
      <c r="G1027" t="n">
        <v>1.1</v>
      </c>
      <c r="H1027" t="n">
        <v>0</v>
      </c>
      <c r="I1027" t="n">
        <v>0</v>
      </c>
      <c r="J1027" t="n">
        <v>1</v>
      </c>
      <c r="K1027" t="n">
        <v>0</v>
      </c>
      <c r="L1027" t="n">
        <v>0</v>
      </c>
      <c r="M1027" t="n">
        <v>0</v>
      </c>
      <c r="N1027" t="n">
        <v>0</v>
      </c>
      <c r="O1027" t="n">
        <v>1</v>
      </c>
      <c r="P1027" t="n">
        <v>0</v>
      </c>
      <c r="Q1027" t="n">
        <v>1</v>
      </c>
      <c r="R1027" s="2" t="inlineStr">
        <is>
          <t>Veckticka</t>
        </is>
      </c>
      <c r="S1027">
        <f>HYPERLINK("https://klasma.github.io/Logging_0883/artfynd/A 61806-2023 artfynd.xlsx", "A 61806-2023")</f>
        <v/>
      </c>
      <c r="T1027">
        <f>HYPERLINK("https://klasma.github.io/Logging_0883/kartor/A 61806-2023 karta.png", "A 61806-2023")</f>
        <v/>
      </c>
      <c r="V1027">
        <f>HYPERLINK("https://klasma.github.io/Logging_0883/klagomål/A 61806-2023 FSC-klagomål.docx", "A 61806-2023")</f>
        <v/>
      </c>
      <c r="W1027">
        <f>HYPERLINK("https://klasma.github.io/Logging_0883/klagomålsmail/A 61806-2023 FSC-klagomål mail.docx", "A 61806-2023")</f>
        <v/>
      </c>
      <c r="X1027">
        <f>HYPERLINK("https://klasma.github.io/Logging_0883/tillsyn/A 61806-2023 tillsynsbegäran.docx", "A 61806-2023")</f>
        <v/>
      </c>
      <c r="Y1027">
        <f>HYPERLINK("https://klasma.github.io/Logging_0883/tillsynsmail/A 61806-2023 tillsynsbegäran mail.docx", "A 61806-2023")</f>
        <v/>
      </c>
    </row>
    <row r="1028" ht="15" customHeight="1">
      <c r="A1028" t="inlineStr">
        <is>
          <t>A 62394-2023</t>
        </is>
      </c>
      <c r="B1028" s="1" t="n">
        <v>45268</v>
      </c>
      <c r="C1028" s="1" t="n">
        <v>45715</v>
      </c>
      <c r="D1028" t="inlineStr">
        <is>
          <t>KALMAR LÄN</t>
        </is>
      </c>
      <c r="E1028" t="inlineStr">
        <is>
          <t>HÖGSBY</t>
        </is>
      </c>
      <c r="G1028" t="n">
        <v>4.1</v>
      </c>
      <c r="H1028" t="n">
        <v>0</v>
      </c>
      <c r="I1028" t="n">
        <v>1</v>
      </c>
      <c r="J1028" t="n">
        <v>0</v>
      </c>
      <c r="K1028" t="n">
        <v>0</v>
      </c>
      <c r="L1028" t="n">
        <v>0</v>
      </c>
      <c r="M1028" t="n">
        <v>0</v>
      </c>
      <c r="N1028" t="n">
        <v>0</v>
      </c>
      <c r="O1028" t="n">
        <v>0</v>
      </c>
      <c r="P1028" t="n">
        <v>0</v>
      </c>
      <c r="Q1028" t="n">
        <v>1</v>
      </c>
      <c r="R1028" s="2" t="inlineStr">
        <is>
          <t>Kattfotslav</t>
        </is>
      </c>
      <c r="S1028">
        <f>HYPERLINK("https://klasma.github.io/Logging_0821/artfynd/A 62394-2023 artfynd.xlsx", "A 62394-2023")</f>
        <v/>
      </c>
      <c r="T1028">
        <f>HYPERLINK("https://klasma.github.io/Logging_0821/kartor/A 62394-2023 karta.png", "A 62394-2023")</f>
        <v/>
      </c>
      <c r="V1028">
        <f>HYPERLINK("https://klasma.github.io/Logging_0821/klagomål/A 62394-2023 FSC-klagomål.docx", "A 62394-2023")</f>
        <v/>
      </c>
      <c r="W1028">
        <f>HYPERLINK("https://klasma.github.io/Logging_0821/klagomålsmail/A 62394-2023 FSC-klagomål mail.docx", "A 62394-2023")</f>
        <v/>
      </c>
      <c r="X1028">
        <f>HYPERLINK("https://klasma.github.io/Logging_0821/tillsyn/A 62394-2023 tillsynsbegäran.docx", "A 62394-2023")</f>
        <v/>
      </c>
      <c r="Y1028">
        <f>HYPERLINK("https://klasma.github.io/Logging_0821/tillsynsmail/A 62394-2023 tillsynsbegäran mail.docx", "A 62394-2023")</f>
        <v/>
      </c>
    </row>
    <row r="1029" ht="15" customHeight="1">
      <c r="A1029" t="inlineStr">
        <is>
          <t>A 62431-2023</t>
        </is>
      </c>
      <c r="B1029" s="1" t="n">
        <v>45268</v>
      </c>
      <c r="C1029" s="1" t="n">
        <v>45715</v>
      </c>
      <c r="D1029" t="inlineStr">
        <is>
          <t>KALMAR LÄN</t>
        </is>
      </c>
      <c r="E1029" t="inlineStr">
        <is>
          <t>HÖGSBY</t>
        </is>
      </c>
      <c r="G1029" t="n">
        <v>4.3</v>
      </c>
      <c r="H1029" t="n">
        <v>0</v>
      </c>
      <c r="I1029" t="n">
        <v>0</v>
      </c>
      <c r="J1029" t="n">
        <v>1</v>
      </c>
      <c r="K1029" t="n">
        <v>0</v>
      </c>
      <c r="L1029" t="n">
        <v>0</v>
      </c>
      <c r="M1029" t="n">
        <v>0</v>
      </c>
      <c r="N1029" t="n">
        <v>0</v>
      </c>
      <c r="O1029" t="n">
        <v>1</v>
      </c>
      <c r="P1029" t="n">
        <v>0</v>
      </c>
      <c r="Q1029" t="n">
        <v>1</v>
      </c>
      <c r="R1029" s="2" t="inlineStr">
        <is>
          <t>Tallticka</t>
        </is>
      </c>
      <c r="S1029">
        <f>HYPERLINK("https://klasma.github.io/Logging_0821/artfynd/A 62431-2023 artfynd.xlsx", "A 62431-2023")</f>
        <v/>
      </c>
      <c r="T1029">
        <f>HYPERLINK("https://klasma.github.io/Logging_0821/kartor/A 62431-2023 karta.png", "A 62431-2023")</f>
        <v/>
      </c>
      <c r="V1029">
        <f>HYPERLINK("https://klasma.github.io/Logging_0821/klagomål/A 62431-2023 FSC-klagomål.docx", "A 62431-2023")</f>
        <v/>
      </c>
      <c r="W1029">
        <f>HYPERLINK("https://klasma.github.io/Logging_0821/klagomålsmail/A 62431-2023 FSC-klagomål mail.docx", "A 62431-2023")</f>
        <v/>
      </c>
      <c r="X1029">
        <f>HYPERLINK("https://klasma.github.io/Logging_0821/tillsyn/A 62431-2023 tillsynsbegäran.docx", "A 62431-2023")</f>
        <v/>
      </c>
      <c r="Y1029">
        <f>HYPERLINK("https://klasma.github.io/Logging_0821/tillsynsmail/A 62431-2023 tillsynsbegäran mail.docx", "A 62431-2023")</f>
        <v/>
      </c>
    </row>
    <row r="1030" ht="15" customHeight="1">
      <c r="A1030" t="inlineStr">
        <is>
          <t>A 63620-2023</t>
        </is>
      </c>
      <c r="B1030" s="1" t="n">
        <v>45275</v>
      </c>
      <c r="C1030" s="1" t="n">
        <v>45715</v>
      </c>
      <c r="D1030" t="inlineStr">
        <is>
          <t>KALMAR LÄN</t>
        </is>
      </c>
      <c r="E1030" t="inlineStr">
        <is>
          <t>KALMAR</t>
        </is>
      </c>
      <c r="F1030" t="inlineStr">
        <is>
          <t>Kommuner</t>
        </is>
      </c>
      <c r="G1030" t="n">
        <v>4.2</v>
      </c>
      <c r="H1030" t="n">
        <v>0</v>
      </c>
      <c r="I1030" t="n">
        <v>0</v>
      </c>
      <c r="J1030" t="n">
        <v>1</v>
      </c>
      <c r="K1030" t="n">
        <v>0</v>
      </c>
      <c r="L1030" t="n">
        <v>0</v>
      </c>
      <c r="M1030" t="n">
        <v>0</v>
      </c>
      <c r="N1030" t="n">
        <v>0</v>
      </c>
      <c r="O1030" t="n">
        <v>1</v>
      </c>
      <c r="P1030" t="n">
        <v>0</v>
      </c>
      <c r="Q1030" t="n">
        <v>1</v>
      </c>
      <c r="R1030" s="2" t="inlineStr">
        <is>
          <t>Motaggsvamp</t>
        </is>
      </c>
      <c r="S1030">
        <f>HYPERLINK("https://klasma.github.io/Logging_0880/artfynd/A 63620-2023 artfynd.xlsx", "A 63620-2023")</f>
        <v/>
      </c>
      <c r="T1030">
        <f>HYPERLINK("https://klasma.github.io/Logging_0880/kartor/A 63620-2023 karta.png", "A 63620-2023")</f>
        <v/>
      </c>
      <c r="V1030">
        <f>HYPERLINK("https://klasma.github.io/Logging_0880/klagomål/A 63620-2023 FSC-klagomål.docx", "A 63620-2023")</f>
        <v/>
      </c>
      <c r="W1030">
        <f>HYPERLINK("https://klasma.github.io/Logging_0880/klagomålsmail/A 63620-2023 FSC-klagomål mail.docx", "A 63620-2023")</f>
        <v/>
      </c>
      <c r="X1030">
        <f>HYPERLINK("https://klasma.github.io/Logging_0880/tillsyn/A 63620-2023 tillsynsbegäran.docx", "A 63620-2023")</f>
        <v/>
      </c>
      <c r="Y1030">
        <f>HYPERLINK("https://klasma.github.io/Logging_0880/tillsynsmail/A 63620-2023 tillsynsbegäran mail.docx", "A 63620-2023")</f>
        <v/>
      </c>
    </row>
    <row r="1031" ht="15" customHeight="1">
      <c r="A1031" t="inlineStr">
        <is>
          <t>A 64542-2023</t>
        </is>
      </c>
      <c r="B1031" s="1" t="n">
        <v>45281</v>
      </c>
      <c r="C1031" s="1" t="n">
        <v>45715</v>
      </c>
      <c r="D1031" t="inlineStr">
        <is>
          <t>KALMAR LÄN</t>
        </is>
      </c>
      <c r="E1031" t="inlineStr">
        <is>
          <t>NYBRO</t>
        </is>
      </c>
      <c r="G1031" t="n">
        <v>1.1</v>
      </c>
      <c r="H1031" t="n">
        <v>0</v>
      </c>
      <c r="I1031" t="n">
        <v>0</v>
      </c>
      <c r="J1031" t="n">
        <v>1</v>
      </c>
      <c r="K1031" t="n">
        <v>0</v>
      </c>
      <c r="L1031" t="n">
        <v>0</v>
      </c>
      <c r="M1031" t="n">
        <v>0</v>
      </c>
      <c r="N1031" t="n">
        <v>0</v>
      </c>
      <c r="O1031" t="n">
        <v>1</v>
      </c>
      <c r="P1031" t="n">
        <v>0</v>
      </c>
      <c r="Q1031" t="n">
        <v>1</v>
      </c>
      <c r="R1031" s="2" t="inlineStr">
        <is>
          <t>Sumpviol</t>
        </is>
      </c>
      <c r="S1031">
        <f>HYPERLINK("https://klasma.github.io/Logging_0881/artfynd/A 64542-2023 artfynd.xlsx", "A 64542-2023")</f>
        <v/>
      </c>
      <c r="T1031">
        <f>HYPERLINK("https://klasma.github.io/Logging_0881/kartor/A 64542-2023 karta.png", "A 64542-2023")</f>
        <v/>
      </c>
      <c r="V1031">
        <f>HYPERLINK("https://klasma.github.io/Logging_0881/klagomål/A 64542-2023 FSC-klagomål.docx", "A 64542-2023")</f>
        <v/>
      </c>
      <c r="W1031">
        <f>HYPERLINK("https://klasma.github.io/Logging_0881/klagomålsmail/A 64542-2023 FSC-klagomål mail.docx", "A 64542-2023")</f>
        <v/>
      </c>
      <c r="X1031">
        <f>HYPERLINK("https://klasma.github.io/Logging_0881/tillsyn/A 64542-2023 tillsynsbegäran.docx", "A 64542-2023")</f>
        <v/>
      </c>
      <c r="Y1031">
        <f>HYPERLINK("https://klasma.github.io/Logging_0881/tillsynsmail/A 64542-2023 tillsynsbegäran mail.docx", "A 64542-2023")</f>
        <v/>
      </c>
    </row>
    <row r="1032" ht="15" customHeight="1">
      <c r="A1032" t="inlineStr">
        <is>
          <t>A 262-2024</t>
        </is>
      </c>
      <c r="B1032" s="1" t="n">
        <v>45295</v>
      </c>
      <c r="C1032" s="1" t="n">
        <v>45715</v>
      </c>
      <c r="D1032" t="inlineStr">
        <is>
          <t>KALMAR LÄN</t>
        </is>
      </c>
      <c r="E1032" t="inlineStr">
        <is>
          <t>NYBRO</t>
        </is>
      </c>
      <c r="G1032" t="n">
        <v>2</v>
      </c>
      <c r="H1032" t="n">
        <v>1</v>
      </c>
      <c r="I1032" t="n">
        <v>0</v>
      </c>
      <c r="J1032" t="n">
        <v>0</v>
      </c>
      <c r="K1032" t="n">
        <v>0</v>
      </c>
      <c r="L1032" t="n">
        <v>0</v>
      </c>
      <c r="M1032" t="n">
        <v>0</v>
      </c>
      <c r="N1032" t="n">
        <v>0</v>
      </c>
      <c r="O1032" t="n">
        <v>0</v>
      </c>
      <c r="P1032" t="n">
        <v>0</v>
      </c>
      <c r="Q1032" t="n">
        <v>1</v>
      </c>
      <c r="R1032" s="2" t="inlineStr">
        <is>
          <t>Gullviva</t>
        </is>
      </c>
      <c r="S1032">
        <f>HYPERLINK("https://klasma.github.io/Logging_0881/artfynd/A 262-2024 artfynd.xlsx", "A 262-2024")</f>
        <v/>
      </c>
      <c r="T1032">
        <f>HYPERLINK("https://klasma.github.io/Logging_0881/kartor/A 262-2024 karta.png", "A 262-2024")</f>
        <v/>
      </c>
      <c r="V1032">
        <f>HYPERLINK("https://klasma.github.io/Logging_0881/klagomål/A 262-2024 FSC-klagomål.docx", "A 262-2024")</f>
        <v/>
      </c>
      <c r="W1032">
        <f>HYPERLINK("https://klasma.github.io/Logging_0881/klagomålsmail/A 262-2024 FSC-klagomål mail.docx", "A 262-2024")</f>
        <v/>
      </c>
      <c r="X1032">
        <f>HYPERLINK("https://klasma.github.io/Logging_0881/tillsyn/A 262-2024 tillsynsbegäran.docx", "A 262-2024")</f>
        <v/>
      </c>
      <c r="Y1032">
        <f>HYPERLINK("https://klasma.github.io/Logging_0881/tillsynsmail/A 262-2024 tillsynsbegäran mail.docx", "A 262-2024")</f>
        <v/>
      </c>
    </row>
    <row r="1033" ht="15" customHeight="1">
      <c r="A1033" t="inlineStr">
        <is>
          <t>A 1176-2024</t>
        </is>
      </c>
      <c r="B1033" s="1" t="n">
        <v>45302</v>
      </c>
      <c r="C1033" s="1" t="n">
        <v>45715</v>
      </c>
      <c r="D1033" t="inlineStr">
        <is>
          <t>KALMAR LÄN</t>
        </is>
      </c>
      <c r="E1033" t="inlineStr">
        <is>
          <t>VÄSTERVIK</t>
        </is>
      </c>
      <c r="G1033" t="n">
        <v>2.5</v>
      </c>
      <c r="H1033" t="n">
        <v>0</v>
      </c>
      <c r="I1033" t="n">
        <v>0</v>
      </c>
      <c r="J1033" t="n">
        <v>1</v>
      </c>
      <c r="K1033" t="n">
        <v>0</v>
      </c>
      <c r="L1033" t="n">
        <v>0</v>
      </c>
      <c r="M1033" t="n">
        <v>0</v>
      </c>
      <c r="N1033" t="n">
        <v>0</v>
      </c>
      <c r="O1033" t="n">
        <v>1</v>
      </c>
      <c r="P1033" t="n">
        <v>0</v>
      </c>
      <c r="Q1033" t="n">
        <v>1</v>
      </c>
      <c r="R1033" s="2" t="inlineStr">
        <is>
          <t>Tallticka</t>
        </is>
      </c>
      <c r="S1033">
        <f>HYPERLINK("https://klasma.github.io/Logging_0883/artfynd/A 1176-2024 artfynd.xlsx", "A 1176-2024")</f>
        <v/>
      </c>
      <c r="T1033">
        <f>HYPERLINK("https://klasma.github.io/Logging_0883/kartor/A 1176-2024 karta.png", "A 1176-2024")</f>
        <v/>
      </c>
      <c r="V1033">
        <f>HYPERLINK("https://klasma.github.io/Logging_0883/klagomål/A 1176-2024 FSC-klagomål.docx", "A 1176-2024")</f>
        <v/>
      </c>
      <c r="W1033">
        <f>HYPERLINK("https://klasma.github.io/Logging_0883/klagomålsmail/A 1176-2024 FSC-klagomål mail.docx", "A 1176-2024")</f>
        <v/>
      </c>
      <c r="X1033">
        <f>HYPERLINK("https://klasma.github.io/Logging_0883/tillsyn/A 1176-2024 tillsynsbegäran.docx", "A 1176-2024")</f>
        <v/>
      </c>
      <c r="Y1033">
        <f>HYPERLINK("https://klasma.github.io/Logging_0883/tillsynsmail/A 1176-2024 tillsynsbegäran mail.docx", "A 1176-2024")</f>
        <v/>
      </c>
    </row>
    <row r="1034" ht="15" customHeight="1">
      <c r="A1034" t="inlineStr">
        <is>
          <t>A 1717-2024</t>
        </is>
      </c>
      <c r="B1034" s="1" t="n">
        <v>45307</v>
      </c>
      <c r="C1034" s="1" t="n">
        <v>45715</v>
      </c>
      <c r="D1034" t="inlineStr">
        <is>
          <t>KALMAR LÄN</t>
        </is>
      </c>
      <c r="E1034" t="inlineStr">
        <is>
          <t>NYBRO</t>
        </is>
      </c>
      <c r="F1034" t="inlineStr">
        <is>
          <t>Sveaskog</t>
        </is>
      </c>
      <c r="G1034" t="n">
        <v>0.7</v>
      </c>
      <c r="H1034" t="n">
        <v>1</v>
      </c>
      <c r="I1034" t="n">
        <v>0</v>
      </c>
      <c r="J1034" t="n">
        <v>0</v>
      </c>
      <c r="K1034" t="n">
        <v>0</v>
      </c>
      <c r="L1034" t="n">
        <v>0</v>
      </c>
      <c r="M1034" t="n">
        <v>0</v>
      </c>
      <c r="N1034" t="n">
        <v>0</v>
      </c>
      <c r="O1034" t="n">
        <v>0</v>
      </c>
      <c r="P1034" t="n">
        <v>0</v>
      </c>
      <c r="Q1034" t="n">
        <v>1</v>
      </c>
      <c r="R1034" s="2" t="inlineStr">
        <is>
          <t>Blåsippa</t>
        </is>
      </c>
      <c r="S1034">
        <f>HYPERLINK("https://klasma.github.io/Logging_0881/artfynd/A 1717-2024 artfynd.xlsx", "A 1717-2024")</f>
        <v/>
      </c>
      <c r="T1034">
        <f>HYPERLINK("https://klasma.github.io/Logging_0881/kartor/A 1717-2024 karta.png", "A 1717-2024")</f>
        <v/>
      </c>
      <c r="V1034">
        <f>HYPERLINK("https://klasma.github.io/Logging_0881/klagomål/A 1717-2024 FSC-klagomål.docx", "A 1717-2024")</f>
        <v/>
      </c>
      <c r="W1034">
        <f>HYPERLINK("https://klasma.github.io/Logging_0881/klagomålsmail/A 1717-2024 FSC-klagomål mail.docx", "A 1717-2024")</f>
        <v/>
      </c>
      <c r="X1034">
        <f>HYPERLINK("https://klasma.github.io/Logging_0881/tillsyn/A 1717-2024 tillsynsbegäran.docx", "A 1717-2024")</f>
        <v/>
      </c>
      <c r="Y1034">
        <f>HYPERLINK("https://klasma.github.io/Logging_0881/tillsynsmail/A 1717-2024 tillsynsbegäran mail.docx", "A 1717-2024")</f>
        <v/>
      </c>
    </row>
    <row r="1035" ht="15" customHeight="1">
      <c r="A1035" t="inlineStr">
        <is>
          <t>A 2521-2024</t>
        </is>
      </c>
      <c r="B1035" s="1" t="n">
        <v>45313</v>
      </c>
      <c r="C1035" s="1" t="n">
        <v>45715</v>
      </c>
      <c r="D1035" t="inlineStr">
        <is>
          <t>KALMAR LÄN</t>
        </is>
      </c>
      <c r="E1035" t="inlineStr">
        <is>
          <t>HÖGSBY</t>
        </is>
      </c>
      <c r="F1035" t="inlineStr">
        <is>
          <t>Sveaskog</t>
        </is>
      </c>
      <c r="G1035" t="n">
        <v>6.1</v>
      </c>
      <c r="H1035" t="n">
        <v>0</v>
      </c>
      <c r="I1035" t="n">
        <v>0</v>
      </c>
      <c r="J1035" t="n">
        <v>1</v>
      </c>
      <c r="K1035" t="n">
        <v>0</v>
      </c>
      <c r="L1035" t="n">
        <v>0</v>
      </c>
      <c r="M1035" t="n">
        <v>0</v>
      </c>
      <c r="N1035" t="n">
        <v>0</v>
      </c>
      <c r="O1035" t="n">
        <v>1</v>
      </c>
      <c r="P1035" t="n">
        <v>0</v>
      </c>
      <c r="Q1035" t="n">
        <v>1</v>
      </c>
      <c r="R1035" s="2" t="inlineStr">
        <is>
          <t>Hårig blombock</t>
        </is>
      </c>
      <c r="S1035">
        <f>HYPERLINK("https://klasma.github.io/Logging_0821/artfynd/A 2521-2024 artfynd.xlsx", "A 2521-2024")</f>
        <v/>
      </c>
      <c r="T1035">
        <f>HYPERLINK("https://klasma.github.io/Logging_0821/kartor/A 2521-2024 karta.png", "A 2521-2024")</f>
        <v/>
      </c>
      <c r="V1035">
        <f>HYPERLINK("https://klasma.github.io/Logging_0821/klagomål/A 2521-2024 FSC-klagomål.docx", "A 2521-2024")</f>
        <v/>
      </c>
      <c r="W1035">
        <f>HYPERLINK("https://klasma.github.io/Logging_0821/klagomålsmail/A 2521-2024 FSC-klagomål mail.docx", "A 2521-2024")</f>
        <v/>
      </c>
      <c r="X1035">
        <f>HYPERLINK("https://klasma.github.io/Logging_0821/tillsyn/A 2521-2024 tillsynsbegäran.docx", "A 2521-2024")</f>
        <v/>
      </c>
      <c r="Y1035">
        <f>HYPERLINK("https://klasma.github.io/Logging_0821/tillsynsmail/A 2521-2024 tillsynsbegäran mail.docx", "A 2521-2024")</f>
        <v/>
      </c>
    </row>
    <row r="1036" ht="15" customHeight="1">
      <c r="A1036" t="inlineStr">
        <is>
          <t>A 2804-2024</t>
        </is>
      </c>
      <c r="B1036" s="1" t="n">
        <v>45314</v>
      </c>
      <c r="C1036" s="1" t="n">
        <v>45715</v>
      </c>
      <c r="D1036" t="inlineStr">
        <is>
          <t>KALMAR LÄN</t>
        </is>
      </c>
      <c r="E1036" t="inlineStr">
        <is>
          <t>VÄSTERVIK</t>
        </is>
      </c>
      <c r="G1036" t="n">
        <v>2</v>
      </c>
      <c r="H1036" t="n">
        <v>1</v>
      </c>
      <c r="I1036" t="n">
        <v>0</v>
      </c>
      <c r="J1036" t="n">
        <v>0</v>
      </c>
      <c r="K1036" t="n">
        <v>1</v>
      </c>
      <c r="L1036" t="n">
        <v>0</v>
      </c>
      <c r="M1036" t="n">
        <v>0</v>
      </c>
      <c r="N1036" t="n">
        <v>0</v>
      </c>
      <c r="O1036" t="n">
        <v>1</v>
      </c>
      <c r="P1036" t="n">
        <v>1</v>
      </c>
      <c r="Q1036" t="n">
        <v>1</v>
      </c>
      <c r="R1036" s="2" t="inlineStr">
        <is>
          <t>Knärot</t>
        </is>
      </c>
      <c r="S1036">
        <f>HYPERLINK("https://klasma.github.io/Logging_0883/artfynd/A 2804-2024 artfynd.xlsx", "A 2804-2024")</f>
        <v/>
      </c>
      <c r="T1036">
        <f>HYPERLINK("https://klasma.github.io/Logging_0883/kartor/A 2804-2024 karta.png", "A 2804-2024")</f>
        <v/>
      </c>
      <c r="U1036">
        <f>HYPERLINK("https://klasma.github.io/Logging_0883/knärot/A 2804-2024 karta knärot.png", "A 2804-2024")</f>
        <v/>
      </c>
      <c r="V1036">
        <f>HYPERLINK("https://klasma.github.io/Logging_0883/klagomål/A 2804-2024 FSC-klagomål.docx", "A 2804-2024")</f>
        <v/>
      </c>
      <c r="W1036">
        <f>HYPERLINK("https://klasma.github.io/Logging_0883/klagomålsmail/A 2804-2024 FSC-klagomål mail.docx", "A 2804-2024")</f>
        <v/>
      </c>
      <c r="X1036">
        <f>HYPERLINK("https://klasma.github.io/Logging_0883/tillsyn/A 2804-2024 tillsynsbegäran.docx", "A 2804-2024")</f>
        <v/>
      </c>
      <c r="Y1036">
        <f>HYPERLINK("https://klasma.github.io/Logging_0883/tillsynsmail/A 2804-2024 tillsynsbegäran mail.docx", "A 2804-2024")</f>
        <v/>
      </c>
    </row>
    <row r="1037" ht="15" customHeight="1">
      <c r="A1037" t="inlineStr">
        <is>
          <t>A 3053-2024</t>
        </is>
      </c>
      <c r="B1037" s="1" t="n">
        <v>45316</v>
      </c>
      <c r="C1037" s="1" t="n">
        <v>45715</v>
      </c>
      <c r="D1037" t="inlineStr">
        <is>
          <t>KALMAR LÄN</t>
        </is>
      </c>
      <c r="E1037" t="inlineStr">
        <is>
          <t>NYBRO</t>
        </is>
      </c>
      <c r="G1037" t="n">
        <v>1.7</v>
      </c>
      <c r="H1037" t="n">
        <v>0</v>
      </c>
      <c r="I1037" t="n">
        <v>0</v>
      </c>
      <c r="J1037" t="n">
        <v>1</v>
      </c>
      <c r="K1037" t="n">
        <v>0</v>
      </c>
      <c r="L1037" t="n">
        <v>0</v>
      </c>
      <c r="M1037" t="n">
        <v>0</v>
      </c>
      <c r="N1037" t="n">
        <v>0</v>
      </c>
      <c r="O1037" t="n">
        <v>1</v>
      </c>
      <c r="P1037" t="n">
        <v>0</v>
      </c>
      <c r="Q1037" t="n">
        <v>1</v>
      </c>
      <c r="R1037" s="2" t="inlineStr">
        <is>
          <t>Slåtterfibbla</t>
        </is>
      </c>
      <c r="S1037">
        <f>HYPERLINK("https://klasma.github.io/Logging_0881/artfynd/A 3053-2024 artfynd.xlsx", "A 3053-2024")</f>
        <v/>
      </c>
      <c r="T1037">
        <f>HYPERLINK("https://klasma.github.io/Logging_0881/kartor/A 3053-2024 karta.png", "A 3053-2024")</f>
        <v/>
      </c>
      <c r="V1037">
        <f>HYPERLINK("https://klasma.github.io/Logging_0881/klagomål/A 3053-2024 FSC-klagomål.docx", "A 3053-2024")</f>
        <v/>
      </c>
      <c r="W1037">
        <f>HYPERLINK("https://klasma.github.io/Logging_0881/klagomålsmail/A 3053-2024 FSC-klagomål mail.docx", "A 3053-2024")</f>
        <v/>
      </c>
      <c r="X1037">
        <f>HYPERLINK("https://klasma.github.io/Logging_0881/tillsyn/A 3053-2024 tillsynsbegäran.docx", "A 3053-2024")</f>
        <v/>
      </c>
      <c r="Y1037">
        <f>HYPERLINK("https://klasma.github.io/Logging_0881/tillsynsmail/A 3053-2024 tillsynsbegäran mail.docx", "A 3053-2024")</f>
        <v/>
      </c>
    </row>
    <row r="1038" ht="15" customHeight="1">
      <c r="A1038" t="inlineStr">
        <is>
          <t>A 3490-2024</t>
        </is>
      </c>
      <c r="B1038" s="1" t="n">
        <v>45317</v>
      </c>
      <c r="C1038" s="1" t="n">
        <v>45715</v>
      </c>
      <c r="D1038" t="inlineStr">
        <is>
          <t>KALMAR LÄN</t>
        </is>
      </c>
      <c r="E1038" t="inlineStr">
        <is>
          <t>HÖGSBY</t>
        </is>
      </c>
      <c r="G1038" t="n">
        <v>7</v>
      </c>
      <c r="H1038" t="n">
        <v>1</v>
      </c>
      <c r="I1038" t="n">
        <v>0</v>
      </c>
      <c r="J1038" t="n">
        <v>0</v>
      </c>
      <c r="K1038" t="n">
        <v>0</v>
      </c>
      <c r="L1038" t="n">
        <v>1</v>
      </c>
      <c r="M1038" t="n">
        <v>0</v>
      </c>
      <c r="N1038" t="n">
        <v>0</v>
      </c>
      <c r="O1038" t="n">
        <v>1</v>
      </c>
      <c r="P1038" t="n">
        <v>1</v>
      </c>
      <c r="Q1038" t="n">
        <v>1</v>
      </c>
      <c r="R1038" s="2" t="inlineStr">
        <is>
          <t>Mosippa</t>
        </is>
      </c>
      <c r="S1038">
        <f>HYPERLINK("https://klasma.github.io/Logging_0821/artfynd/A 3490-2024 artfynd.xlsx", "A 3490-2024")</f>
        <v/>
      </c>
      <c r="T1038">
        <f>HYPERLINK("https://klasma.github.io/Logging_0821/kartor/A 3490-2024 karta.png", "A 3490-2024")</f>
        <v/>
      </c>
      <c r="V1038">
        <f>HYPERLINK("https://klasma.github.io/Logging_0821/klagomål/A 3490-2024 FSC-klagomål.docx", "A 3490-2024")</f>
        <v/>
      </c>
      <c r="W1038">
        <f>HYPERLINK("https://klasma.github.io/Logging_0821/klagomålsmail/A 3490-2024 FSC-klagomål mail.docx", "A 3490-2024")</f>
        <v/>
      </c>
      <c r="X1038">
        <f>HYPERLINK("https://klasma.github.io/Logging_0821/tillsyn/A 3490-2024 tillsynsbegäran.docx", "A 3490-2024")</f>
        <v/>
      </c>
      <c r="Y1038">
        <f>HYPERLINK("https://klasma.github.io/Logging_0821/tillsynsmail/A 3490-2024 tillsynsbegäran mail.docx", "A 3490-2024")</f>
        <v/>
      </c>
    </row>
    <row r="1039" ht="15" customHeight="1">
      <c r="A1039" t="inlineStr">
        <is>
          <t>A 3800-2024</t>
        </is>
      </c>
      <c r="B1039" s="1" t="n">
        <v>45321</v>
      </c>
      <c r="C1039" s="1" t="n">
        <v>45715</v>
      </c>
      <c r="D1039" t="inlineStr">
        <is>
          <t>KALMAR LÄN</t>
        </is>
      </c>
      <c r="E1039" t="inlineStr">
        <is>
          <t>HÖGSBY</t>
        </is>
      </c>
      <c r="G1039" t="n">
        <v>4.9</v>
      </c>
      <c r="H1039" t="n">
        <v>0</v>
      </c>
      <c r="I1039" t="n">
        <v>0</v>
      </c>
      <c r="J1039" t="n">
        <v>1</v>
      </c>
      <c r="K1039" t="n">
        <v>0</v>
      </c>
      <c r="L1039" t="n">
        <v>0</v>
      </c>
      <c r="M1039" t="n">
        <v>0</v>
      </c>
      <c r="N1039" t="n">
        <v>0</v>
      </c>
      <c r="O1039" t="n">
        <v>1</v>
      </c>
      <c r="P1039" t="n">
        <v>0</v>
      </c>
      <c r="Q1039" t="n">
        <v>1</v>
      </c>
      <c r="R1039" s="2" t="inlineStr">
        <is>
          <t>Tallticka</t>
        </is>
      </c>
      <c r="S1039">
        <f>HYPERLINK("https://klasma.github.io/Logging_0821/artfynd/A 3800-2024 artfynd.xlsx", "A 3800-2024")</f>
        <v/>
      </c>
      <c r="T1039">
        <f>HYPERLINK("https://klasma.github.io/Logging_0821/kartor/A 3800-2024 karta.png", "A 3800-2024")</f>
        <v/>
      </c>
      <c r="V1039">
        <f>HYPERLINK("https://klasma.github.io/Logging_0821/klagomål/A 3800-2024 FSC-klagomål.docx", "A 3800-2024")</f>
        <v/>
      </c>
      <c r="W1039">
        <f>HYPERLINK("https://klasma.github.io/Logging_0821/klagomålsmail/A 3800-2024 FSC-klagomål mail.docx", "A 3800-2024")</f>
        <v/>
      </c>
      <c r="X1039">
        <f>HYPERLINK("https://klasma.github.io/Logging_0821/tillsyn/A 3800-2024 tillsynsbegäran.docx", "A 3800-2024")</f>
        <v/>
      </c>
      <c r="Y1039">
        <f>HYPERLINK("https://klasma.github.io/Logging_0821/tillsynsmail/A 3800-2024 tillsynsbegäran mail.docx", "A 3800-2024")</f>
        <v/>
      </c>
    </row>
    <row r="1040" ht="15" customHeight="1">
      <c r="A1040" t="inlineStr">
        <is>
          <t>A 4254-2024</t>
        </is>
      </c>
      <c r="B1040" s="1" t="n">
        <v>45324</v>
      </c>
      <c r="C1040" s="1" t="n">
        <v>45715</v>
      </c>
      <c r="D1040" t="inlineStr">
        <is>
          <t>KALMAR LÄN</t>
        </is>
      </c>
      <c r="E1040" t="inlineStr">
        <is>
          <t>HULTSFRED</t>
        </is>
      </c>
      <c r="G1040" t="n">
        <v>1.7</v>
      </c>
      <c r="H1040" t="n">
        <v>1</v>
      </c>
      <c r="I1040" t="n">
        <v>0</v>
      </c>
      <c r="J1040" t="n">
        <v>0</v>
      </c>
      <c r="K1040" t="n">
        <v>1</v>
      </c>
      <c r="L1040" t="n">
        <v>0</v>
      </c>
      <c r="M1040" t="n">
        <v>0</v>
      </c>
      <c r="N1040" t="n">
        <v>0</v>
      </c>
      <c r="O1040" t="n">
        <v>1</v>
      </c>
      <c r="P1040" t="n">
        <v>1</v>
      </c>
      <c r="Q1040" t="n">
        <v>1</v>
      </c>
      <c r="R1040" s="2" t="inlineStr">
        <is>
          <t>Knärot</t>
        </is>
      </c>
      <c r="S1040">
        <f>HYPERLINK("https://klasma.github.io/Logging_0860/artfynd/A 4254-2024 artfynd.xlsx", "A 4254-2024")</f>
        <v/>
      </c>
      <c r="T1040">
        <f>HYPERLINK("https://klasma.github.io/Logging_0860/kartor/A 4254-2024 karta.png", "A 4254-2024")</f>
        <v/>
      </c>
      <c r="U1040">
        <f>HYPERLINK("https://klasma.github.io/Logging_0860/knärot/A 4254-2024 karta knärot.png", "A 4254-2024")</f>
        <v/>
      </c>
      <c r="V1040">
        <f>HYPERLINK("https://klasma.github.io/Logging_0860/klagomål/A 4254-2024 FSC-klagomål.docx", "A 4254-2024")</f>
        <v/>
      </c>
      <c r="W1040">
        <f>HYPERLINK("https://klasma.github.io/Logging_0860/klagomålsmail/A 4254-2024 FSC-klagomål mail.docx", "A 4254-2024")</f>
        <v/>
      </c>
      <c r="X1040">
        <f>HYPERLINK("https://klasma.github.io/Logging_0860/tillsyn/A 4254-2024 tillsynsbegäran.docx", "A 4254-2024")</f>
        <v/>
      </c>
      <c r="Y1040">
        <f>HYPERLINK("https://klasma.github.io/Logging_0860/tillsynsmail/A 4254-2024 tillsynsbegäran mail.docx", "A 4254-2024")</f>
        <v/>
      </c>
    </row>
    <row r="1041" ht="15" customHeight="1">
      <c r="A1041" t="inlineStr">
        <is>
          <t>A 4302-2024</t>
        </is>
      </c>
      <c r="B1041" s="1" t="n">
        <v>45324</v>
      </c>
      <c r="C1041" s="1" t="n">
        <v>45715</v>
      </c>
      <c r="D1041" t="inlineStr">
        <is>
          <t>KALMAR LÄN</t>
        </is>
      </c>
      <c r="E1041" t="inlineStr">
        <is>
          <t>KALMAR</t>
        </is>
      </c>
      <c r="G1041" t="n">
        <v>2.1</v>
      </c>
      <c r="H1041" t="n">
        <v>1</v>
      </c>
      <c r="I1041" t="n">
        <v>1</v>
      </c>
      <c r="J1041" t="n">
        <v>0</v>
      </c>
      <c r="K1041" t="n">
        <v>0</v>
      </c>
      <c r="L1041" t="n">
        <v>0</v>
      </c>
      <c r="M1041" t="n">
        <v>0</v>
      </c>
      <c r="N1041" t="n">
        <v>0</v>
      </c>
      <c r="O1041" t="n">
        <v>0</v>
      </c>
      <c r="P1041" t="n">
        <v>0</v>
      </c>
      <c r="Q1041" t="n">
        <v>1</v>
      </c>
      <c r="R1041" s="2" t="inlineStr">
        <is>
          <t>Ekoxe</t>
        </is>
      </c>
      <c r="S1041">
        <f>HYPERLINK("https://klasma.github.io/Logging_0880/artfynd/A 4302-2024 artfynd.xlsx", "A 4302-2024")</f>
        <v/>
      </c>
      <c r="T1041">
        <f>HYPERLINK("https://klasma.github.io/Logging_0880/kartor/A 4302-2024 karta.png", "A 4302-2024")</f>
        <v/>
      </c>
      <c r="V1041">
        <f>HYPERLINK("https://klasma.github.io/Logging_0880/klagomål/A 4302-2024 FSC-klagomål.docx", "A 4302-2024")</f>
        <v/>
      </c>
      <c r="W1041">
        <f>HYPERLINK("https://klasma.github.io/Logging_0880/klagomålsmail/A 4302-2024 FSC-klagomål mail.docx", "A 4302-2024")</f>
        <v/>
      </c>
      <c r="X1041">
        <f>HYPERLINK("https://klasma.github.io/Logging_0880/tillsyn/A 4302-2024 tillsynsbegäran.docx", "A 4302-2024")</f>
        <v/>
      </c>
      <c r="Y1041">
        <f>HYPERLINK("https://klasma.github.io/Logging_0880/tillsynsmail/A 4302-2024 tillsynsbegäran mail.docx", "A 4302-2024")</f>
        <v/>
      </c>
    </row>
    <row r="1042" ht="15" customHeight="1">
      <c r="A1042" t="inlineStr">
        <is>
          <t>A 4257-2024</t>
        </is>
      </c>
      <c r="B1042" s="1" t="n">
        <v>45324</v>
      </c>
      <c r="C1042" s="1" t="n">
        <v>45715</v>
      </c>
      <c r="D1042" t="inlineStr">
        <is>
          <t>KALMAR LÄN</t>
        </is>
      </c>
      <c r="E1042" t="inlineStr">
        <is>
          <t>HULTSFRED</t>
        </is>
      </c>
      <c r="G1042" t="n">
        <v>0.4</v>
      </c>
      <c r="H1042" t="n">
        <v>1</v>
      </c>
      <c r="I1042" t="n">
        <v>0</v>
      </c>
      <c r="J1042" t="n">
        <v>0</v>
      </c>
      <c r="K1042" t="n">
        <v>1</v>
      </c>
      <c r="L1042" t="n">
        <v>0</v>
      </c>
      <c r="M1042" t="n">
        <v>0</v>
      </c>
      <c r="N1042" t="n">
        <v>0</v>
      </c>
      <c r="O1042" t="n">
        <v>1</v>
      </c>
      <c r="P1042" t="n">
        <v>1</v>
      </c>
      <c r="Q1042" t="n">
        <v>1</v>
      </c>
      <c r="R1042" s="2" t="inlineStr">
        <is>
          <t>Knärot</t>
        </is>
      </c>
      <c r="S1042">
        <f>HYPERLINK("https://klasma.github.io/Logging_0860/artfynd/A 4257-2024 artfynd.xlsx", "A 4257-2024")</f>
        <v/>
      </c>
      <c r="T1042">
        <f>HYPERLINK("https://klasma.github.io/Logging_0860/kartor/A 4257-2024 karta.png", "A 4257-2024")</f>
        <v/>
      </c>
      <c r="U1042">
        <f>HYPERLINK("https://klasma.github.io/Logging_0860/knärot/A 4257-2024 karta knärot.png", "A 4257-2024")</f>
        <v/>
      </c>
      <c r="V1042">
        <f>HYPERLINK("https://klasma.github.io/Logging_0860/klagomål/A 4257-2024 FSC-klagomål.docx", "A 4257-2024")</f>
        <v/>
      </c>
      <c r="W1042">
        <f>HYPERLINK("https://klasma.github.io/Logging_0860/klagomålsmail/A 4257-2024 FSC-klagomål mail.docx", "A 4257-2024")</f>
        <v/>
      </c>
      <c r="X1042">
        <f>HYPERLINK("https://klasma.github.io/Logging_0860/tillsyn/A 4257-2024 tillsynsbegäran.docx", "A 4257-2024")</f>
        <v/>
      </c>
      <c r="Y1042">
        <f>HYPERLINK("https://klasma.github.io/Logging_0860/tillsynsmail/A 4257-2024 tillsynsbegäran mail.docx", "A 4257-2024")</f>
        <v/>
      </c>
    </row>
    <row r="1043" ht="15" customHeight="1">
      <c r="A1043" t="inlineStr">
        <is>
          <t>A 4359-2024</t>
        </is>
      </c>
      <c r="B1043" s="1" t="n">
        <v>45325</v>
      </c>
      <c r="C1043" s="1" t="n">
        <v>45715</v>
      </c>
      <c r="D1043" t="inlineStr">
        <is>
          <t>KALMAR LÄN</t>
        </is>
      </c>
      <c r="E1043" t="inlineStr">
        <is>
          <t>VIMMERBY</t>
        </is>
      </c>
      <c r="G1043" t="n">
        <v>3.6</v>
      </c>
      <c r="H1043" t="n">
        <v>0</v>
      </c>
      <c r="I1043" t="n">
        <v>0</v>
      </c>
      <c r="J1043" t="n">
        <v>1</v>
      </c>
      <c r="K1043" t="n">
        <v>0</v>
      </c>
      <c r="L1043" t="n">
        <v>0</v>
      </c>
      <c r="M1043" t="n">
        <v>0</v>
      </c>
      <c r="N1043" t="n">
        <v>0</v>
      </c>
      <c r="O1043" t="n">
        <v>1</v>
      </c>
      <c r="P1043" t="n">
        <v>0</v>
      </c>
      <c r="Q1043" t="n">
        <v>1</v>
      </c>
      <c r="R1043" s="2" t="inlineStr">
        <is>
          <t>Kandelabersvamp</t>
        </is>
      </c>
      <c r="S1043">
        <f>HYPERLINK("https://klasma.github.io/Logging_0884/artfynd/A 4359-2024 artfynd.xlsx", "A 4359-2024")</f>
        <v/>
      </c>
      <c r="T1043">
        <f>HYPERLINK("https://klasma.github.io/Logging_0884/kartor/A 4359-2024 karta.png", "A 4359-2024")</f>
        <v/>
      </c>
      <c r="V1043">
        <f>HYPERLINK("https://klasma.github.io/Logging_0884/klagomål/A 4359-2024 FSC-klagomål.docx", "A 4359-2024")</f>
        <v/>
      </c>
      <c r="W1043">
        <f>HYPERLINK("https://klasma.github.io/Logging_0884/klagomålsmail/A 4359-2024 FSC-klagomål mail.docx", "A 4359-2024")</f>
        <v/>
      </c>
      <c r="X1043">
        <f>HYPERLINK("https://klasma.github.io/Logging_0884/tillsyn/A 4359-2024 tillsynsbegäran.docx", "A 4359-2024")</f>
        <v/>
      </c>
      <c r="Y1043">
        <f>HYPERLINK("https://klasma.github.io/Logging_0884/tillsynsmail/A 4359-2024 tillsynsbegäran mail.docx", "A 4359-2024")</f>
        <v/>
      </c>
    </row>
    <row r="1044" ht="15" customHeight="1">
      <c r="A1044" t="inlineStr">
        <is>
          <t>A 4677-2024</t>
        </is>
      </c>
      <c r="B1044" s="1" t="n">
        <v>45328</v>
      </c>
      <c r="C1044" s="1" t="n">
        <v>45715</v>
      </c>
      <c r="D1044" t="inlineStr">
        <is>
          <t>KALMAR LÄN</t>
        </is>
      </c>
      <c r="E1044" t="inlineStr">
        <is>
          <t>HULTSFRED</t>
        </is>
      </c>
      <c r="G1044" t="n">
        <v>1.7</v>
      </c>
      <c r="H1044" t="n">
        <v>1</v>
      </c>
      <c r="I1044" t="n">
        <v>0</v>
      </c>
      <c r="J1044" t="n">
        <v>0</v>
      </c>
      <c r="K1044" t="n">
        <v>1</v>
      </c>
      <c r="L1044" t="n">
        <v>0</v>
      </c>
      <c r="M1044" t="n">
        <v>0</v>
      </c>
      <c r="N1044" t="n">
        <v>0</v>
      </c>
      <c r="O1044" t="n">
        <v>1</v>
      </c>
      <c r="P1044" t="n">
        <v>1</v>
      </c>
      <c r="Q1044" t="n">
        <v>1</v>
      </c>
      <c r="R1044" s="2" t="inlineStr">
        <is>
          <t>Knärot</t>
        </is>
      </c>
      <c r="S1044">
        <f>HYPERLINK("https://klasma.github.io/Logging_0860/artfynd/A 4677-2024 artfynd.xlsx", "A 4677-2024")</f>
        <v/>
      </c>
      <c r="T1044">
        <f>HYPERLINK("https://klasma.github.io/Logging_0860/kartor/A 4677-2024 karta.png", "A 4677-2024")</f>
        <v/>
      </c>
      <c r="U1044">
        <f>HYPERLINK("https://klasma.github.io/Logging_0860/knärot/A 4677-2024 karta knärot.png", "A 4677-2024")</f>
        <v/>
      </c>
      <c r="V1044">
        <f>HYPERLINK("https://klasma.github.io/Logging_0860/klagomål/A 4677-2024 FSC-klagomål.docx", "A 4677-2024")</f>
        <v/>
      </c>
      <c r="W1044">
        <f>HYPERLINK("https://klasma.github.io/Logging_0860/klagomålsmail/A 4677-2024 FSC-klagomål mail.docx", "A 4677-2024")</f>
        <v/>
      </c>
      <c r="X1044">
        <f>HYPERLINK("https://klasma.github.io/Logging_0860/tillsyn/A 4677-2024 tillsynsbegäran.docx", "A 4677-2024")</f>
        <v/>
      </c>
      <c r="Y1044">
        <f>HYPERLINK("https://klasma.github.io/Logging_0860/tillsynsmail/A 4677-2024 tillsynsbegäran mail.docx", "A 4677-2024")</f>
        <v/>
      </c>
    </row>
    <row r="1045" ht="15" customHeight="1">
      <c r="A1045" t="inlineStr">
        <is>
          <t>A 4727-2024</t>
        </is>
      </c>
      <c r="B1045" s="1" t="n">
        <v>45328</v>
      </c>
      <c r="C1045" s="1" t="n">
        <v>45715</v>
      </c>
      <c r="D1045" t="inlineStr">
        <is>
          <t>KALMAR LÄN</t>
        </is>
      </c>
      <c r="E1045" t="inlineStr">
        <is>
          <t>TORSÅS</t>
        </is>
      </c>
      <c r="G1045" t="n">
        <v>8.9</v>
      </c>
      <c r="H1045" t="n">
        <v>1</v>
      </c>
      <c r="I1045" t="n">
        <v>0</v>
      </c>
      <c r="J1045" t="n">
        <v>0</v>
      </c>
      <c r="K1045" t="n">
        <v>0</v>
      </c>
      <c r="L1045" t="n">
        <v>0</v>
      </c>
      <c r="M1045" t="n">
        <v>0</v>
      </c>
      <c r="N1045" t="n">
        <v>0</v>
      </c>
      <c r="O1045" t="n">
        <v>0</v>
      </c>
      <c r="P1045" t="n">
        <v>0</v>
      </c>
      <c r="Q1045" t="n">
        <v>1</v>
      </c>
      <c r="R1045" s="2" t="inlineStr">
        <is>
          <t>Mattlummer</t>
        </is>
      </c>
      <c r="S1045">
        <f>HYPERLINK("https://klasma.github.io/Logging_0834/artfynd/A 4727-2024 artfynd.xlsx", "A 4727-2024")</f>
        <v/>
      </c>
      <c r="T1045">
        <f>HYPERLINK("https://klasma.github.io/Logging_0834/kartor/A 4727-2024 karta.png", "A 4727-2024")</f>
        <v/>
      </c>
      <c r="V1045">
        <f>HYPERLINK("https://klasma.github.io/Logging_0834/klagomål/A 4727-2024 FSC-klagomål.docx", "A 4727-2024")</f>
        <v/>
      </c>
      <c r="W1045">
        <f>HYPERLINK("https://klasma.github.io/Logging_0834/klagomålsmail/A 4727-2024 FSC-klagomål mail.docx", "A 4727-2024")</f>
        <v/>
      </c>
      <c r="X1045">
        <f>HYPERLINK("https://klasma.github.io/Logging_0834/tillsyn/A 4727-2024 tillsynsbegäran.docx", "A 4727-2024")</f>
        <v/>
      </c>
      <c r="Y1045">
        <f>HYPERLINK("https://klasma.github.io/Logging_0834/tillsynsmail/A 4727-2024 tillsynsbegäran mail.docx", "A 4727-2024")</f>
        <v/>
      </c>
    </row>
    <row r="1046" ht="15" customHeight="1">
      <c r="A1046" t="inlineStr">
        <is>
          <t>A 5296-2024</t>
        </is>
      </c>
      <c r="B1046" s="1" t="n">
        <v>45331</v>
      </c>
      <c r="C1046" s="1" t="n">
        <v>45715</v>
      </c>
      <c r="D1046" t="inlineStr">
        <is>
          <t>KALMAR LÄN</t>
        </is>
      </c>
      <c r="E1046" t="inlineStr">
        <is>
          <t>HÖGSBY</t>
        </is>
      </c>
      <c r="G1046" t="n">
        <v>11.2</v>
      </c>
      <c r="H1046" t="n">
        <v>1</v>
      </c>
      <c r="I1046" t="n">
        <v>0</v>
      </c>
      <c r="J1046" t="n">
        <v>0</v>
      </c>
      <c r="K1046" t="n">
        <v>0</v>
      </c>
      <c r="L1046" t="n">
        <v>0</v>
      </c>
      <c r="M1046" t="n">
        <v>0</v>
      </c>
      <c r="N1046" t="n">
        <v>0</v>
      </c>
      <c r="O1046" t="n">
        <v>0</v>
      </c>
      <c r="P1046" t="n">
        <v>0</v>
      </c>
      <c r="Q1046" t="n">
        <v>1</v>
      </c>
      <c r="R1046" s="2" t="inlineStr">
        <is>
          <t>Blåsippa</t>
        </is>
      </c>
      <c r="S1046">
        <f>HYPERLINK("https://klasma.github.io/Logging_0821/artfynd/A 5296-2024 artfynd.xlsx", "A 5296-2024")</f>
        <v/>
      </c>
      <c r="T1046">
        <f>HYPERLINK("https://klasma.github.io/Logging_0821/kartor/A 5296-2024 karta.png", "A 5296-2024")</f>
        <v/>
      </c>
      <c r="V1046">
        <f>HYPERLINK("https://klasma.github.io/Logging_0821/klagomål/A 5296-2024 FSC-klagomål.docx", "A 5296-2024")</f>
        <v/>
      </c>
      <c r="W1046">
        <f>HYPERLINK("https://klasma.github.io/Logging_0821/klagomålsmail/A 5296-2024 FSC-klagomål mail.docx", "A 5296-2024")</f>
        <v/>
      </c>
      <c r="X1046">
        <f>HYPERLINK("https://klasma.github.io/Logging_0821/tillsyn/A 5296-2024 tillsynsbegäran.docx", "A 5296-2024")</f>
        <v/>
      </c>
      <c r="Y1046">
        <f>HYPERLINK("https://klasma.github.io/Logging_0821/tillsynsmail/A 5296-2024 tillsynsbegäran mail.docx", "A 5296-2024")</f>
        <v/>
      </c>
    </row>
    <row r="1047" ht="15" customHeight="1">
      <c r="A1047" t="inlineStr">
        <is>
          <t>A 5884-2024</t>
        </is>
      </c>
      <c r="B1047" s="1" t="n">
        <v>45335</v>
      </c>
      <c r="C1047" s="1" t="n">
        <v>45715</v>
      </c>
      <c r="D1047" t="inlineStr">
        <is>
          <t>KALMAR LÄN</t>
        </is>
      </c>
      <c r="E1047" t="inlineStr">
        <is>
          <t>EMMABODA</t>
        </is>
      </c>
      <c r="G1047" t="n">
        <v>4.7</v>
      </c>
      <c r="H1047" t="n">
        <v>1</v>
      </c>
      <c r="I1047" t="n">
        <v>1</v>
      </c>
      <c r="J1047" t="n">
        <v>0</v>
      </c>
      <c r="K1047" t="n">
        <v>0</v>
      </c>
      <c r="L1047" t="n">
        <v>0</v>
      </c>
      <c r="M1047" t="n">
        <v>0</v>
      </c>
      <c r="N1047" t="n">
        <v>0</v>
      </c>
      <c r="O1047" t="n">
        <v>0</v>
      </c>
      <c r="P1047" t="n">
        <v>0</v>
      </c>
      <c r="Q1047" t="n">
        <v>1</v>
      </c>
      <c r="R1047" s="2" t="inlineStr">
        <is>
          <t>Grön sköldmossa</t>
        </is>
      </c>
      <c r="S1047">
        <f>HYPERLINK("https://klasma.github.io/Logging_0862/artfynd/A 5884-2024 artfynd.xlsx", "A 5884-2024")</f>
        <v/>
      </c>
      <c r="T1047">
        <f>HYPERLINK("https://klasma.github.io/Logging_0862/kartor/A 5884-2024 karta.png", "A 5884-2024")</f>
        <v/>
      </c>
      <c r="V1047">
        <f>HYPERLINK("https://klasma.github.io/Logging_0862/klagomål/A 5884-2024 FSC-klagomål.docx", "A 5884-2024")</f>
        <v/>
      </c>
      <c r="W1047">
        <f>HYPERLINK("https://klasma.github.io/Logging_0862/klagomålsmail/A 5884-2024 FSC-klagomål mail.docx", "A 5884-2024")</f>
        <v/>
      </c>
      <c r="X1047">
        <f>HYPERLINK("https://klasma.github.io/Logging_0862/tillsyn/A 5884-2024 tillsynsbegäran.docx", "A 5884-2024")</f>
        <v/>
      </c>
      <c r="Y1047">
        <f>HYPERLINK("https://klasma.github.io/Logging_0862/tillsynsmail/A 5884-2024 tillsynsbegäran mail.docx", "A 5884-2024")</f>
        <v/>
      </c>
    </row>
    <row r="1048" ht="15" customHeight="1">
      <c r="A1048" t="inlineStr">
        <is>
          <t>A 6025-2024</t>
        </is>
      </c>
      <c r="B1048" s="1" t="n">
        <v>45336</v>
      </c>
      <c r="C1048" s="1" t="n">
        <v>45715</v>
      </c>
      <c r="D1048" t="inlineStr">
        <is>
          <t>KALMAR LÄN</t>
        </is>
      </c>
      <c r="E1048" t="inlineStr">
        <is>
          <t>VÄSTERVIK</t>
        </is>
      </c>
      <c r="G1048" t="n">
        <v>2.8</v>
      </c>
      <c r="H1048" t="n">
        <v>0</v>
      </c>
      <c r="I1048" t="n">
        <v>0</v>
      </c>
      <c r="J1048" t="n">
        <v>1</v>
      </c>
      <c r="K1048" t="n">
        <v>0</v>
      </c>
      <c r="L1048" t="n">
        <v>0</v>
      </c>
      <c r="M1048" t="n">
        <v>0</v>
      </c>
      <c r="N1048" t="n">
        <v>0</v>
      </c>
      <c r="O1048" t="n">
        <v>1</v>
      </c>
      <c r="P1048" t="n">
        <v>0</v>
      </c>
      <c r="Q1048" t="n">
        <v>1</v>
      </c>
      <c r="R1048" s="2" t="inlineStr">
        <is>
          <t>Tallticka</t>
        </is>
      </c>
      <c r="S1048">
        <f>HYPERLINK("https://klasma.github.io/Logging_0883/artfynd/A 6025-2024 artfynd.xlsx", "A 6025-2024")</f>
        <v/>
      </c>
      <c r="T1048">
        <f>HYPERLINK("https://klasma.github.io/Logging_0883/kartor/A 6025-2024 karta.png", "A 6025-2024")</f>
        <v/>
      </c>
      <c r="V1048">
        <f>HYPERLINK("https://klasma.github.io/Logging_0883/klagomål/A 6025-2024 FSC-klagomål.docx", "A 6025-2024")</f>
        <v/>
      </c>
      <c r="W1048">
        <f>HYPERLINK("https://klasma.github.io/Logging_0883/klagomålsmail/A 6025-2024 FSC-klagomål mail.docx", "A 6025-2024")</f>
        <v/>
      </c>
      <c r="X1048">
        <f>HYPERLINK("https://klasma.github.io/Logging_0883/tillsyn/A 6025-2024 tillsynsbegäran.docx", "A 6025-2024")</f>
        <v/>
      </c>
      <c r="Y1048">
        <f>HYPERLINK("https://klasma.github.io/Logging_0883/tillsynsmail/A 6025-2024 tillsynsbegäran mail.docx", "A 6025-2024")</f>
        <v/>
      </c>
    </row>
    <row r="1049" ht="15" customHeight="1">
      <c r="A1049" t="inlineStr">
        <is>
          <t>A 6854-2024</t>
        </is>
      </c>
      <c r="B1049" s="1" t="n">
        <v>45342</v>
      </c>
      <c r="C1049" s="1" t="n">
        <v>45715</v>
      </c>
      <c r="D1049" t="inlineStr">
        <is>
          <t>KALMAR LÄN</t>
        </is>
      </c>
      <c r="E1049" t="inlineStr">
        <is>
          <t>HÖGSBY</t>
        </is>
      </c>
      <c r="G1049" t="n">
        <v>6.8</v>
      </c>
      <c r="H1049" t="n">
        <v>0</v>
      </c>
      <c r="I1049" t="n">
        <v>0</v>
      </c>
      <c r="J1049" t="n">
        <v>1</v>
      </c>
      <c r="K1049" t="n">
        <v>0</v>
      </c>
      <c r="L1049" t="n">
        <v>0</v>
      </c>
      <c r="M1049" t="n">
        <v>0</v>
      </c>
      <c r="N1049" t="n">
        <v>0</v>
      </c>
      <c r="O1049" t="n">
        <v>1</v>
      </c>
      <c r="P1049" t="n">
        <v>0</v>
      </c>
      <c r="Q1049" t="n">
        <v>1</v>
      </c>
      <c r="R1049" s="2" t="inlineStr">
        <is>
          <t>Rödbrun blankbock</t>
        </is>
      </c>
      <c r="S1049">
        <f>HYPERLINK("https://klasma.github.io/Logging_0821/artfynd/A 6854-2024 artfynd.xlsx", "A 6854-2024")</f>
        <v/>
      </c>
      <c r="T1049">
        <f>HYPERLINK("https://klasma.github.io/Logging_0821/kartor/A 6854-2024 karta.png", "A 6854-2024")</f>
        <v/>
      </c>
      <c r="V1049">
        <f>HYPERLINK("https://klasma.github.io/Logging_0821/klagomål/A 6854-2024 FSC-klagomål.docx", "A 6854-2024")</f>
        <v/>
      </c>
      <c r="W1049">
        <f>HYPERLINK("https://klasma.github.io/Logging_0821/klagomålsmail/A 6854-2024 FSC-klagomål mail.docx", "A 6854-2024")</f>
        <v/>
      </c>
      <c r="X1049">
        <f>HYPERLINK("https://klasma.github.io/Logging_0821/tillsyn/A 6854-2024 tillsynsbegäran.docx", "A 6854-2024")</f>
        <v/>
      </c>
      <c r="Y1049">
        <f>HYPERLINK("https://klasma.github.io/Logging_0821/tillsynsmail/A 6854-2024 tillsynsbegäran mail.docx", "A 6854-2024")</f>
        <v/>
      </c>
    </row>
    <row r="1050" ht="15" customHeight="1">
      <c r="A1050" t="inlineStr">
        <is>
          <t>A 7183-2024</t>
        </is>
      </c>
      <c r="B1050" s="1" t="n">
        <v>45344</v>
      </c>
      <c r="C1050" s="1" t="n">
        <v>45715</v>
      </c>
      <c r="D1050" t="inlineStr">
        <is>
          <t>KALMAR LÄN</t>
        </is>
      </c>
      <c r="E1050" t="inlineStr">
        <is>
          <t>MÖNSTERÅS</t>
        </is>
      </c>
      <c r="F1050" t="inlineStr">
        <is>
          <t>Övriga Aktiebolag</t>
        </is>
      </c>
      <c r="G1050" t="n">
        <v>6.6</v>
      </c>
      <c r="H1050" t="n">
        <v>0</v>
      </c>
      <c r="I1050" t="n">
        <v>0</v>
      </c>
      <c r="J1050" t="n">
        <v>1</v>
      </c>
      <c r="K1050" t="n">
        <v>0</v>
      </c>
      <c r="L1050" t="n">
        <v>0</v>
      </c>
      <c r="M1050" t="n">
        <v>0</v>
      </c>
      <c r="N1050" t="n">
        <v>0</v>
      </c>
      <c r="O1050" t="n">
        <v>1</v>
      </c>
      <c r="P1050" t="n">
        <v>0</v>
      </c>
      <c r="Q1050" t="n">
        <v>1</v>
      </c>
      <c r="R1050" s="2" t="inlineStr">
        <is>
          <t>Aspelandsfibbla</t>
        </is>
      </c>
      <c r="S1050">
        <f>HYPERLINK("https://klasma.github.io/Logging_0861/artfynd/A 7183-2024 artfynd.xlsx", "A 7183-2024")</f>
        <v/>
      </c>
      <c r="T1050">
        <f>HYPERLINK("https://klasma.github.io/Logging_0861/kartor/A 7183-2024 karta.png", "A 7183-2024")</f>
        <v/>
      </c>
      <c r="V1050">
        <f>HYPERLINK("https://klasma.github.io/Logging_0861/klagomål/A 7183-2024 FSC-klagomål.docx", "A 7183-2024")</f>
        <v/>
      </c>
      <c r="W1050">
        <f>HYPERLINK("https://klasma.github.io/Logging_0861/klagomålsmail/A 7183-2024 FSC-klagomål mail.docx", "A 7183-2024")</f>
        <v/>
      </c>
      <c r="X1050">
        <f>HYPERLINK("https://klasma.github.io/Logging_0861/tillsyn/A 7183-2024 tillsynsbegäran.docx", "A 7183-2024")</f>
        <v/>
      </c>
      <c r="Y1050">
        <f>HYPERLINK("https://klasma.github.io/Logging_0861/tillsynsmail/A 7183-2024 tillsynsbegäran mail.docx", "A 7183-2024")</f>
        <v/>
      </c>
    </row>
    <row r="1051" ht="15" customHeight="1">
      <c r="A1051" t="inlineStr">
        <is>
          <t>A 7941-2024</t>
        </is>
      </c>
      <c r="B1051" s="1" t="n">
        <v>45350</v>
      </c>
      <c r="C1051" s="1" t="n">
        <v>45715</v>
      </c>
      <c r="D1051" t="inlineStr">
        <is>
          <t>KALMAR LÄN</t>
        </is>
      </c>
      <c r="E1051" t="inlineStr">
        <is>
          <t>MÖNSTERÅS</t>
        </is>
      </c>
      <c r="F1051" t="inlineStr">
        <is>
          <t>Övriga Aktiebolag</t>
        </is>
      </c>
      <c r="G1051" t="n">
        <v>5.6</v>
      </c>
      <c r="H1051" t="n">
        <v>1</v>
      </c>
      <c r="I1051" t="n">
        <v>0</v>
      </c>
      <c r="J1051" t="n">
        <v>0</v>
      </c>
      <c r="K1051" t="n">
        <v>1</v>
      </c>
      <c r="L1051" t="n">
        <v>0</v>
      </c>
      <c r="M1051" t="n">
        <v>0</v>
      </c>
      <c r="N1051" t="n">
        <v>0</v>
      </c>
      <c r="O1051" t="n">
        <v>1</v>
      </c>
      <c r="P1051" t="n">
        <v>1</v>
      </c>
      <c r="Q1051" t="n">
        <v>1</v>
      </c>
      <c r="R1051" s="2" t="inlineStr">
        <is>
          <t>Kricka</t>
        </is>
      </c>
      <c r="S1051">
        <f>HYPERLINK("https://klasma.github.io/Logging_0861/artfynd/A 7941-2024 artfynd.xlsx", "A 7941-2024")</f>
        <v/>
      </c>
      <c r="T1051">
        <f>HYPERLINK("https://klasma.github.io/Logging_0861/kartor/A 7941-2024 karta.png", "A 7941-2024")</f>
        <v/>
      </c>
      <c r="V1051">
        <f>HYPERLINK("https://klasma.github.io/Logging_0861/klagomål/A 7941-2024 FSC-klagomål.docx", "A 7941-2024")</f>
        <v/>
      </c>
      <c r="W1051">
        <f>HYPERLINK("https://klasma.github.io/Logging_0861/klagomålsmail/A 7941-2024 FSC-klagomål mail.docx", "A 7941-2024")</f>
        <v/>
      </c>
      <c r="X1051">
        <f>HYPERLINK("https://klasma.github.io/Logging_0861/tillsyn/A 7941-2024 tillsynsbegäran.docx", "A 7941-2024")</f>
        <v/>
      </c>
      <c r="Y1051">
        <f>HYPERLINK("https://klasma.github.io/Logging_0861/tillsynsmail/A 7941-2024 tillsynsbegäran mail.docx", "A 7941-2024")</f>
        <v/>
      </c>
      <c r="Z1051">
        <f>HYPERLINK("https://klasma.github.io/Logging_0861/fåglar/A 7941-2024 prioriterade fågelarter.docx", "A 7941-2024")</f>
        <v/>
      </c>
    </row>
    <row r="1052" ht="15" customHeight="1">
      <c r="A1052" t="inlineStr">
        <is>
          <t>A 8311-2024</t>
        </is>
      </c>
      <c r="B1052" s="1" t="n">
        <v>45350</v>
      </c>
      <c r="C1052" s="1" t="n">
        <v>45715</v>
      </c>
      <c r="D1052" t="inlineStr">
        <is>
          <t>KALMAR LÄN</t>
        </is>
      </c>
      <c r="E1052" t="inlineStr">
        <is>
          <t>TORSÅS</t>
        </is>
      </c>
      <c r="G1052" t="n">
        <v>3.8</v>
      </c>
      <c r="H1052" t="n">
        <v>0</v>
      </c>
      <c r="I1052" t="n">
        <v>1</v>
      </c>
      <c r="J1052" t="n">
        <v>0</v>
      </c>
      <c r="K1052" t="n">
        <v>0</v>
      </c>
      <c r="L1052" t="n">
        <v>0</v>
      </c>
      <c r="M1052" t="n">
        <v>0</v>
      </c>
      <c r="N1052" t="n">
        <v>0</v>
      </c>
      <c r="O1052" t="n">
        <v>0</v>
      </c>
      <c r="P1052" t="n">
        <v>0</v>
      </c>
      <c r="Q1052" t="n">
        <v>1</v>
      </c>
      <c r="R1052" s="2" t="inlineStr">
        <is>
          <t>Underviol</t>
        </is>
      </c>
      <c r="S1052">
        <f>HYPERLINK("https://klasma.github.io/Logging_0834/artfynd/A 8311-2024 artfynd.xlsx", "A 8311-2024")</f>
        <v/>
      </c>
      <c r="T1052">
        <f>HYPERLINK("https://klasma.github.io/Logging_0834/kartor/A 8311-2024 karta.png", "A 8311-2024")</f>
        <v/>
      </c>
      <c r="V1052">
        <f>HYPERLINK("https://klasma.github.io/Logging_0834/klagomål/A 8311-2024 FSC-klagomål.docx", "A 8311-2024")</f>
        <v/>
      </c>
      <c r="W1052">
        <f>HYPERLINK("https://klasma.github.io/Logging_0834/klagomålsmail/A 8311-2024 FSC-klagomål mail.docx", "A 8311-2024")</f>
        <v/>
      </c>
      <c r="X1052">
        <f>HYPERLINK("https://klasma.github.io/Logging_0834/tillsyn/A 8311-2024 tillsynsbegäran.docx", "A 8311-2024")</f>
        <v/>
      </c>
      <c r="Y1052">
        <f>HYPERLINK("https://klasma.github.io/Logging_0834/tillsynsmail/A 8311-2024 tillsynsbegäran mail.docx", "A 8311-2024")</f>
        <v/>
      </c>
    </row>
    <row r="1053" ht="15" customHeight="1">
      <c r="A1053" t="inlineStr">
        <is>
          <t>A 9792-2024</t>
        </is>
      </c>
      <c r="B1053" s="1" t="n">
        <v>45362</v>
      </c>
      <c r="C1053" s="1" t="n">
        <v>45715</v>
      </c>
      <c r="D1053" t="inlineStr">
        <is>
          <t>KALMAR LÄN</t>
        </is>
      </c>
      <c r="E1053" t="inlineStr">
        <is>
          <t>MÖNSTERÅS</t>
        </is>
      </c>
      <c r="F1053" t="inlineStr">
        <is>
          <t>Övriga Aktiebolag</t>
        </is>
      </c>
      <c r="G1053" t="n">
        <v>2.2</v>
      </c>
      <c r="H1053" t="n">
        <v>1</v>
      </c>
      <c r="I1053" t="n">
        <v>0</v>
      </c>
      <c r="J1053" t="n">
        <v>0</v>
      </c>
      <c r="K1053" t="n">
        <v>0</v>
      </c>
      <c r="L1053" t="n">
        <v>0</v>
      </c>
      <c r="M1053" t="n">
        <v>0</v>
      </c>
      <c r="N1053" t="n">
        <v>0</v>
      </c>
      <c r="O1053" t="n">
        <v>0</v>
      </c>
      <c r="P1053" t="n">
        <v>0</v>
      </c>
      <c r="Q1053" t="n">
        <v>1</v>
      </c>
      <c r="R1053" s="2" t="inlineStr">
        <is>
          <t>Dvärgpipistrell</t>
        </is>
      </c>
      <c r="S1053">
        <f>HYPERLINK("https://klasma.github.io/Logging_0861/artfynd/A 9792-2024 artfynd.xlsx", "A 9792-2024")</f>
        <v/>
      </c>
      <c r="T1053">
        <f>HYPERLINK("https://klasma.github.io/Logging_0861/kartor/A 9792-2024 karta.png", "A 9792-2024")</f>
        <v/>
      </c>
      <c r="V1053">
        <f>HYPERLINK("https://klasma.github.io/Logging_0861/klagomål/A 9792-2024 FSC-klagomål.docx", "A 9792-2024")</f>
        <v/>
      </c>
      <c r="W1053">
        <f>HYPERLINK("https://klasma.github.io/Logging_0861/klagomålsmail/A 9792-2024 FSC-klagomål mail.docx", "A 9792-2024")</f>
        <v/>
      </c>
      <c r="X1053">
        <f>HYPERLINK("https://klasma.github.io/Logging_0861/tillsyn/A 9792-2024 tillsynsbegäran.docx", "A 9792-2024")</f>
        <v/>
      </c>
      <c r="Y1053">
        <f>HYPERLINK("https://klasma.github.io/Logging_0861/tillsynsmail/A 9792-2024 tillsynsbegäran mail.docx", "A 9792-2024")</f>
        <v/>
      </c>
    </row>
    <row r="1054" ht="15" customHeight="1">
      <c r="A1054" t="inlineStr">
        <is>
          <t>A 9791-2024</t>
        </is>
      </c>
      <c r="B1054" s="1" t="n">
        <v>45362</v>
      </c>
      <c r="C1054" s="1" t="n">
        <v>45715</v>
      </c>
      <c r="D1054" t="inlineStr">
        <is>
          <t>KALMAR LÄN</t>
        </is>
      </c>
      <c r="E1054" t="inlineStr">
        <is>
          <t>KALMAR</t>
        </is>
      </c>
      <c r="G1054" t="n">
        <v>3</v>
      </c>
      <c r="H1054" t="n">
        <v>1</v>
      </c>
      <c r="I1054" t="n">
        <v>0</v>
      </c>
      <c r="J1054" t="n">
        <v>0</v>
      </c>
      <c r="K1054" t="n">
        <v>0</v>
      </c>
      <c r="L1054" t="n">
        <v>0</v>
      </c>
      <c r="M1054" t="n">
        <v>0</v>
      </c>
      <c r="N1054" t="n">
        <v>0</v>
      </c>
      <c r="O1054" t="n">
        <v>0</v>
      </c>
      <c r="P1054" t="n">
        <v>0</v>
      </c>
      <c r="Q1054" t="n">
        <v>1</v>
      </c>
      <c r="R1054" s="2" t="inlineStr">
        <is>
          <t>Mattlummer</t>
        </is>
      </c>
      <c r="S1054">
        <f>HYPERLINK("https://klasma.github.io/Logging_0880/artfynd/A 9791-2024 artfynd.xlsx", "A 9791-2024")</f>
        <v/>
      </c>
      <c r="T1054">
        <f>HYPERLINK("https://klasma.github.io/Logging_0880/kartor/A 9791-2024 karta.png", "A 9791-2024")</f>
        <v/>
      </c>
      <c r="V1054">
        <f>HYPERLINK("https://klasma.github.io/Logging_0880/klagomål/A 9791-2024 FSC-klagomål.docx", "A 9791-2024")</f>
        <v/>
      </c>
      <c r="W1054">
        <f>HYPERLINK("https://klasma.github.io/Logging_0880/klagomålsmail/A 9791-2024 FSC-klagomål mail.docx", "A 9791-2024")</f>
        <v/>
      </c>
      <c r="X1054">
        <f>HYPERLINK("https://klasma.github.io/Logging_0880/tillsyn/A 9791-2024 tillsynsbegäran.docx", "A 9791-2024")</f>
        <v/>
      </c>
      <c r="Y1054">
        <f>HYPERLINK("https://klasma.github.io/Logging_0880/tillsynsmail/A 9791-2024 tillsynsbegäran mail.docx", "A 9791-2024")</f>
        <v/>
      </c>
    </row>
    <row r="1055" ht="15" customHeight="1">
      <c r="A1055" t="inlineStr">
        <is>
          <t>A 9789-2024</t>
        </is>
      </c>
      <c r="B1055" s="1" t="n">
        <v>45362</v>
      </c>
      <c r="C1055" s="1" t="n">
        <v>45715</v>
      </c>
      <c r="D1055" t="inlineStr">
        <is>
          <t>KALMAR LÄN</t>
        </is>
      </c>
      <c r="E1055" t="inlineStr">
        <is>
          <t>MÖNSTERÅS</t>
        </is>
      </c>
      <c r="F1055" t="inlineStr">
        <is>
          <t>Övriga Aktiebolag</t>
        </is>
      </c>
      <c r="G1055" t="n">
        <v>15.8</v>
      </c>
      <c r="H1055" t="n">
        <v>0</v>
      </c>
      <c r="I1055" t="n">
        <v>1</v>
      </c>
      <c r="J1055" t="n">
        <v>0</v>
      </c>
      <c r="K1055" t="n">
        <v>0</v>
      </c>
      <c r="L1055" t="n">
        <v>0</v>
      </c>
      <c r="M1055" t="n">
        <v>0</v>
      </c>
      <c r="N1055" t="n">
        <v>0</v>
      </c>
      <c r="O1055" t="n">
        <v>0</v>
      </c>
      <c r="P1055" t="n">
        <v>0</v>
      </c>
      <c r="Q1055" t="n">
        <v>1</v>
      </c>
      <c r="R1055" s="2" t="inlineStr">
        <is>
          <t>Jättesvampmal</t>
        </is>
      </c>
      <c r="S1055">
        <f>HYPERLINK("https://klasma.github.io/Logging_0861/artfynd/A 9789-2024 artfynd.xlsx", "A 9789-2024")</f>
        <v/>
      </c>
      <c r="T1055">
        <f>HYPERLINK("https://klasma.github.io/Logging_0861/kartor/A 9789-2024 karta.png", "A 9789-2024")</f>
        <v/>
      </c>
      <c r="V1055">
        <f>HYPERLINK("https://klasma.github.io/Logging_0861/klagomål/A 9789-2024 FSC-klagomål.docx", "A 9789-2024")</f>
        <v/>
      </c>
      <c r="W1055">
        <f>HYPERLINK("https://klasma.github.io/Logging_0861/klagomålsmail/A 9789-2024 FSC-klagomål mail.docx", "A 9789-2024")</f>
        <v/>
      </c>
      <c r="X1055">
        <f>HYPERLINK("https://klasma.github.io/Logging_0861/tillsyn/A 9789-2024 tillsynsbegäran.docx", "A 9789-2024")</f>
        <v/>
      </c>
      <c r="Y1055">
        <f>HYPERLINK("https://klasma.github.io/Logging_0861/tillsynsmail/A 9789-2024 tillsynsbegäran mail.docx", "A 9789-2024")</f>
        <v/>
      </c>
    </row>
    <row r="1056" ht="15" customHeight="1">
      <c r="A1056" t="inlineStr">
        <is>
          <t>A 10016-2024</t>
        </is>
      </c>
      <c r="B1056" s="1" t="n">
        <v>45363</v>
      </c>
      <c r="C1056" s="1" t="n">
        <v>45715</v>
      </c>
      <c r="D1056" t="inlineStr">
        <is>
          <t>KALMAR LÄN</t>
        </is>
      </c>
      <c r="E1056" t="inlineStr">
        <is>
          <t>VIMMERBY</t>
        </is>
      </c>
      <c r="G1056" t="n">
        <v>1.5</v>
      </c>
      <c r="H1056" t="n">
        <v>1</v>
      </c>
      <c r="I1056" t="n">
        <v>0</v>
      </c>
      <c r="J1056" t="n">
        <v>1</v>
      </c>
      <c r="K1056" t="n">
        <v>0</v>
      </c>
      <c r="L1056" t="n">
        <v>0</v>
      </c>
      <c r="M1056" t="n">
        <v>0</v>
      </c>
      <c r="N1056" t="n">
        <v>0</v>
      </c>
      <c r="O1056" t="n">
        <v>1</v>
      </c>
      <c r="P1056" t="n">
        <v>0</v>
      </c>
      <c r="Q1056" t="n">
        <v>1</v>
      </c>
      <c r="R1056" s="2" t="inlineStr">
        <is>
          <t>Röd skogslilja</t>
        </is>
      </c>
      <c r="S1056">
        <f>HYPERLINK("https://klasma.github.io/Logging_0884/artfynd/A 10016-2024 artfynd.xlsx", "A 10016-2024")</f>
        <v/>
      </c>
      <c r="T1056">
        <f>HYPERLINK("https://klasma.github.io/Logging_0884/kartor/A 10016-2024 karta.png", "A 10016-2024")</f>
        <v/>
      </c>
      <c r="V1056">
        <f>HYPERLINK("https://klasma.github.io/Logging_0884/klagomål/A 10016-2024 FSC-klagomål.docx", "A 10016-2024")</f>
        <v/>
      </c>
      <c r="W1056">
        <f>HYPERLINK("https://klasma.github.io/Logging_0884/klagomålsmail/A 10016-2024 FSC-klagomål mail.docx", "A 10016-2024")</f>
        <v/>
      </c>
      <c r="X1056">
        <f>HYPERLINK("https://klasma.github.io/Logging_0884/tillsyn/A 10016-2024 tillsynsbegäran.docx", "A 10016-2024")</f>
        <v/>
      </c>
      <c r="Y1056">
        <f>HYPERLINK("https://klasma.github.io/Logging_0884/tillsynsmail/A 10016-2024 tillsynsbegäran mail.docx", "A 10016-2024")</f>
        <v/>
      </c>
    </row>
    <row r="1057" ht="15" customHeight="1">
      <c r="A1057" t="inlineStr">
        <is>
          <t>A 10174-2024</t>
        </is>
      </c>
      <c r="B1057" s="1" t="n">
        <v>45364</v>
      </c>
      <c r="C1057" s="1" t="n">
        <v>45715</v>
      </c>
      <c r="D1057" t="inlineStr">
        <is>
          <t>KALMAR LÄN</t>
        </is>
      </c>
      <c r="E1057" t="inlineStr">
        <is>
          <t>NYBRO</t>
        </is>
      </c>
      <c r="G1057" t="n">
        <v>0.7</v>
      </c>
      <c r="H1057" t="n">
        <v>0</v>
      </c>
      <c r="I1057" t="n">
        <v>0</v>
      </c>
      <c r="J1057" t="n">
        <v>1</v>
      </c>
      <c r="K1057" t="n">
        <v>0</v>
      </c>
      <c r="L1057" t="n">
        <v>0</v>
      </c>
      <c r="M1057" t="n">
        <v>0</v>
      </c>
      <c r="N1057" t="n">
        <v>0</v>
      </c>
      <c r="O1057" t="n">
        <v>1</v>
      </c>
      <c r="P1057" t="n">
        <v>0</v>
      </c>
      <c r="Q1057" t="n">
        <v>1</v>
      </c>
      <c r="R1057" s="2" t="inlineStr">
        <is>
          <t>Mindre bastardsvärmare</t>
        </is>
      </c>
      <c r="S1057">
        <f>HYPERLINK("https://klasma.github.io/Logging_0881/artfynd/A 10174-2024 artfynd.xlsx", "A 10174-2024")</f>
        <v/>
      </c>
      <c r="T1057">
        <f>HYPERLINK("https://klasma.github.io/Logging_0881/kartor/A 10174-2024 karta.png", "A 10174-2024")</f>
        <v/>
      </c>
      <c r="V1057">
        <f>HYPERLINK("https://klasma.github.io/Logging_0881/klagomål/A 10174-2024 FSC-klagomål.docx", "A 10174-2024")</f>
        <v/>
      </c>
      <c r="W1057">
        <f>HYPERLINK("https://klasma.github.io/Logging_0881/klagomålsmail/A 10174-2024 FSC-klagomål mail.docx", "A 10174-2024")</f>
        <v/>
      </c>
      <c r="X1057">
        <f>HYPERLINK("https://klasma.github.io/Logging_0881/tillsyn/A 10174-2024 tillsynsbegäran.docx", "A 10174-2024")</f>
        <v/>
      </c>
      <c r="Y1057">
        <f>HYPERLINK("https://klasma.github.io/Logging_0881/tillsynsmail/A 10174-2024 tillsynsbegäran mail.docx", "A 10174-2024")</f>
        <v/>
      </c>
    </row>
    <row r="1058" ht="15" customHeight="1">
      <c r="A1058" t="inlineStr">
        <is>
          <t>A 10178-2024</t>
        </is>
      </c>
      <c r="B1058" s="1" t="n">
        <v>45364</v>
      </c>
      <c r="C1058" s="1" t="n">
        <v>45715</v>
      </c>
      <c r="D1058" t="inlineStr">
        <is>
          <t>KALMAR LÄN</t>
        </is>
      </c>
      <c r="E1058" t="inlineStr">
        <is>
          <t>MÖNSTERÅS</t>
        </is>
      </c>
      <c r="F1058" t="inlineStr">
        <is>
          <t>Övriga Aktiebolag</t>
        </is>
      </c>
      <c r="G1058" t="n">
        <v>4.8</v>
      </c>
      <c r="H1058" t="n">
        <v>1</v>
      </c>
      <c r="I1058" t="n">
        <v>0</v>
      </c>
      <c r="J1058" t="n">
        <v>1</v>
      </c>
      <c r="K1058" t="n">
        <v>0</v>
      </c>
      <c r="L1058" t="n">
        <v>0</v>
      </c>
      <c r="M1058" t="n">
        <v>0</v>
      </c>
      <c r="N1058" t="n">
        <v>0</v>
      </c>
      <c r="O1058" t="n">
        <v>1</v>
      </c>
      <c r="P1058" t="n">
        <v>0</v>
      </c>
      <c r="Q1058" t="n">
        <v>1</v>
      </c>
      <c r="R1058" s="2" t="inlineStr">
        <is>
          <t>Spillkråka</t>
        </is>
      </c>
      <c r="S1058">
        <f>HYPERLINK("https://klasma.github.io/Logging_0861/artfynd/A 10178-2024 artfynd.xlsx", "A 10178-2024")</f>
        <v/>
      </c>
      <c r="T1058">
        <f>HYPERLINK("https://klasma.github.io/Logging_0861/kartor/A 10178-2024 karta.png", "A 10178-2024")</f>
        <v/>
      </c>
      <c r="V1058">
        <f>HYPERLINK("https://klasma.github.io/Logging_0861/klagomål/A 10178-2024 FSC-klagomål.docx", "A 10178-2024")</f>
        <v/>
      </c>
      <c r="W1058">
        <f>HYPERLINK("https://klasma.github.io/Logging_0861/klagomålsmail/A 10178-2024 FSC-klagomål mail.docx", "A 10178-2024")</f>
        <v/>
      </c>
      <c r="X1058">
        <f>HYPERLINK("https://klasma.github.io/Logging_0861/tillsyn/A 10178-2024 tillsynsbegäran.docx", "A 10178-2024")</f>
        <v/>
      </c>
      <c r="Y1058">
        <f>HYPERLINK("https://klasma.github.io/Logging_0861/tillsynsmail/A 10178-2024 tillsynsbegäran mail.docx", "A 10178-2024")</f>
        <v/>
      </c>
      <c r="Z1058">
        <f>HYPERLINK("https://klasma.github.io/Logging_0861/fåglar/A 10178-2024 prioriterade fågelarter.docx", "A 10178-2024")</f>
        <v/>
      </c>
    </row>
    <row r="1059" ht="15" customHeight="1">
      <c r="A1059" t="inlineStr">
        <is>
          <t>A 10254-2024</t>
        </is>
      </c>
      <c r="B1059" s="1" t="n">
        <v>45365</v>
      </c>
      <c r="C1059" s="1" t="n">
        <v>45715</v>
      </c>
      <c r="D1059" t="inlineStr">
        <is>
          <t>KALMAR LÄN</t>
        </is>
      </c>
      <c r="E1059" t="inlineStr">
        <is>
          <t>HÖGSBY</t>
        </is>
      </c>
      <c r="G1059" t="n">
        <v>0.8</v>
      </c>
      <c r="H1059" t="n">
        <v>1</v>
      </c>
      <c r="I1059" t="n">
        <v>0</v>
      </c>
      <c r="J1059" t="n">
        <v>0</v>
      </c>
      <c r="K1059" t="n">
        <v>0</v>
      </c>
      <c r="L1059" t="n">
        <v>0</v>
      </c>
      <c r="M1059" t="n">
        <v>0</v>
      </c>
      <c r="N1059" t="n">
        <v>0</v>
      </c>
      <c r="O1059" t="n">
        <v>0</v>
      </c>
      <c r="P1059" t="n">
        <v>0</v>
      </c>
      <c r="Q1059" t="n">
        <v>1</v>
      </c>
      <c r="R1059" s="2" t="inlineStr">
        <is>
          <t>Tjäder</t>
        </is>
      </c>
      <c r="S1059">
        <f>HYPERLINK("https://klasma.github.io/Logging_0821/artfynd/A 10254-2024 artfynd.xlsx", "A 10254-2024")</f>
        <v/>
      </c>
      <c r="T1059">
        <f>HYPERLINK("https://klasma.github.io/Logging_0821/kartor/A 10254-2024 karta.png", "A 10254-2024")</f>
        <v/>
      </c>
      <c r="V1059">
        <f>HYPERLINK("https://klasma.github.io/Logging_0821/klagomål/A 10254-2024 FSC-klagomål.docx", "A 10254-2024")</f>
        <v/>
      </c>
      <c r="W1059">
        <f>HYPERLINK("https://klasma.github.io/Logging_0821/klagomålsmail/A 10254-2024 FSC-klagomål mail.docx", "A 10254-2024")</f>
        <v/>
      </c>
      <c r="X1059">
        <f>HYPERLINK("https://klasma.github.io/Logging_0821/tillsyn/A 10254-2024 tillsynsbegäran.docx", "A 10254-2024")</f>
        <v/>
      </c>
      <c r="Y1059">
        <f>HYPERLINK("https://klasma.github.io/Logging_0821/tillsynsmail/A 10254-2024 tillsynsbegäran mail.docx", "A 10254-2024")</f>
        <v/>
      </c>
      <c r="Z1059">
        <f>HYPERLINK("https://klasma.github.io/Logging_0821/fåglar/A 10254-2024 prioriterade fågelarter.docx", "A 10254-2024")</f>
        <v/>
      </c>
    </row>
    <row r="1060" ht="15" customHeight="1">
      <c r="A1060" t="inlineStr">
        <is>
          <t>A 10459-2024</t>
        </is>
      </c>
      <c r="B1060" s="1" t="n">
        <v>45366</v>
      </c>
      <c r="C1060" s="1" t="n">
        <v>45715</v>
      </c>
      <c r="D1060" t="inlineStr">
        <is>
          <t>KALMAR LÄN</t>
        </is>
      </c>
      <c r="E1060" t="inlineStr">
        <is>
          <t>NYBRO</t>
        </is>
      </c>
      <c r="G1060" t="n">
        <v>2.2</v>
      </c>
      <c r="H1060" t="n">
        <v>0</v>
      </c>
      <c r="I1060" t="n">
        <v>0</v>
      </c>
      <c r="J1060" t="n">
        <v>1</v>
      </c>
      <c r="K1060" t="n">
        <v>0</v>
      </c>
      <c r="L1060" t="n">
        <v>0</v>
      </c>
      <c r="M1060" t="n">
        <v>0</v>
      </c>
      <c r="N1060" t="n">
        <v>0</v>
      </c>
      <c r="O1060" t="n">
        <v>1</v>
      </c>
      <c r="P1060" t="n">
        <v>0</v>
      </c>
      <c r="Q1060" t="n">
        <v>1</v>
      </c>
      <c r="R1060" s="2" t="inlineStr">
        <is>
          <t>Sumpviol</t>
        </is>
      </c>
      <c r="S1060">
        <f>HYPERLINK("https://klasma.github.io/Logging_0881/artfynd/A 10459-2024 artfynd.xlsx", "A 10459-2024")</f>
        <v/>
      </c>
      <c r="T1060">
        <f>HYPERLINK("https://klasma.github.io/Logging_0881/kartor/A 10459-2024 karta.png", "A 10459-2024")</f>
        <v/>
      </c>
      <c r="V1060">
        <f>HYPERLINK("https://klasma.github.io/Logging_0881/klagomål/A 10459-2024 FSC-klagomål.docx", "A 10459-2024")</f>
        <v/>
      </c>
      <c r="W1060">
        <f>HYPERLINK("https://klasma.github.io/Logging_0881/klagomålsmail/A 10459-2024 FSC-klagomål mail.docx", "A 10459-2024")</f>
        <v/>
      </c>
      <c r="X1060">
        <f>HYPERLINK("https://klasma.github.io/Logging_0881/tillsyn/A 10459-2024 tillsynsbegäran.docx", "A 10459-2024")</f>
        <v/>
      </c>
      <c r="Y1060">
        <f>HYPERLINK("https://klasma.github.io/Logging_0881/tillsynsmail/A 10459-2024 tillsynsbegäran mail.docx", "A 10459-2024")</f>
        <v/>
      </c>
    </row>
    <row r="1061" ht="15" customHeight="1">
      <c r="A1061" t="inlineStr">
        <is>
          <t>A 11165-2024</t>
        </is>
      </c>
      <c r="B1061" s="1" t="n">
        <v>45371</v>
      </c>
      <c r="C1061" s="1" t="n">
        <v>45715</v>
      </c>
      <c r="D1061" t="inlineStr">
        <is>
          <t>KALMAR LÄN</t>
        </is>
      </c>
      <c r="E1061" t="inlineStr">
        <is>
          <t>VÄSTERVIK</t>
        </is>
      </c>
      <c r="G1061" t="n">
        <v>3.7</v>
      </c>
      <c r="H1061" t="n">
        <v>1</v>
      </c>
      <c r="I1061" t="n">
        <v>0</v>
      </c>
      <c r="J1061" t="n">
        <v>1</v>
      </c>
      <c r="K1061" t="n">
        <v>0</v>
      </c>
      <c r="L1061" t="n">
        <v>0</v>
      </c>
      <c r="M1061" t="n">
        <v>0</v>
      </c>
      <c r="N1061" t="n">
        <v>0</v>
      </c>
      <c r="O1061" t="n">
        <v>1</v>
      </c>
      <c r="P1061" t="n">
        <v>0</v>
      </c>
      <c r="Q1061" t="n">
        <v>1</v>
      </c>
      <c r="R1061" s="2" t="inlineStr">
        <is>
          <t>Spillkråka</t>
        </is>
      </c>
      <c r="S1061">
        <f>HYPERLINK("https://klasma.github.io/Logging_0883/artfynd/A 11165-2024 artfynd.xlsx", "A 11165-2024")</f>
        <v/>
      </c>
      <c r="T1061">
        <f>HYPERLINK("https://klasma.github.io/Logging_0883/kartor/A 11165-2024 karta.png", "A 11165-2024")</f>
        <v/>
      </c>
      <c r="V1061">
        <f>HYPERLINK("https://klasma.github.io/Logging_0883/klagomål/A 11165-2024 FSC-klagomål.docx", "A 11165-2024")</f>
        <v/>
      </c>
      <c r="W1061">
        <f>HYPERLINK("https://klasma.github.io/Logging_0883/klagomålsmail/A 11165-2024 FSC-klagomål mail.docx", "A 11165-2024")</f>
        <v/>
      </c>
      <c r="X1061">
        <f>HYPERLINK("https://klasma.github.io/Logging_0883/tillsyn/A 11165-2024 tillsynsbegäran.docx", "A 11165-2024")</f>
        <v/>
      </c>
      <c r="Y1061">
        <f>HYPERLINK("https://klasma.github.io/Logging_0883/tillsynsmail/A 11165-2024 tillsynsbegäran mail.docx", "A 11165-2024")</f>
        <v/>
      </c>
      <c r="Z1061">
        <f>HYPERLINK("https://klasma.github.io/Logging_0883/fåglar/A 11165-2024 prioriterade fågelarter.docx", "A 11165-2024")</f>
        <v/>
      </c>
    </row>
    <row r="1062" ht="15" customHeight="1">
      <c r="A1062" t="inlineStr">
        <is>
          <t>A 11195-2024</t>
        </is>
      </c>
      <c r="B1062" s="1" t="n">
        <v>45371</v>
      </c>
      <c r="C1062" s="1" t="n">
        <v>45715</v>
      </c>
      <c r="D1062" t="inlineStr">
        <is>
          <t>KALMAR LÄN</t>
        </is>
      </c>
      <c r="E1062" t="inlineStr">
        <is>
          <t>VÄSTERVIK</t>
        </is>
      </c>
      <c r="G1062" t="n">
        <v>1.9</v>
      </c>
      <c r="H1062" t="n">
        <v>1</v>
      </c>
      <c r="I1062" t="n">
        <v>0</v>
      </c>
      <c r="J1062" t="n">
        <v>0</v>
      </c>
      <c r="K1062" t="n">
        <v>1</v>
      </c>
      <c r="L1062" t="n">
        <v>0</v>
      </c>
      <c r="M1062" t="n">
        <v>0</v>
      </c>
      <c r="N1062" t="n">
        <v>0</v>
      </c>
      <c r="O1062" t="n">
        <v>1</v>
      </c>
      <c r="P1062" t="n">
        <v>1</v>
      </c>
      <c r="Q1062" t="n">
        <v>1</v>
      </c>
      <c r="R1062" s="2" t="inlineStr">
        <is>
          <t>Knärot</t>
        </is>
      </c>
      <c r="S1062">
        <f>HYPERLINK("https://klasma.github.io/Logging_0883/artfynd/A 11195-2024 artfynd.xlsx", "A 11195-2024")</f>
        <v/>
      </c>
      <c r="T1062">
        <f>HYPERLINK("https://klasma.github.io/Logging_0883/kartor/A 11195-2024 karta.png", "A 11195-2024")</f>
        <v/>
      </c>
      <c r="U1062">
        <f>HYPERLINK("https://klasma.github.io/Logging_0883/knärot/A 11195-2024 karta knärot.png", "A 11195-2024")</f>
        <v/>
      </c>
      <c r="V1062">
        <f>HYPERLINK("https://klasma.github.io/Logging_0883/klagomål/A 11195-2024 FSC-klagomål.docx", "A 11195-2024")</f>
        <v/>
      </c>
      <c r="W1062">
        <f>HYPERLINK("https://klasma.github.io/Logging_0883/klagomålsmail/A 11195-2024 FSC-klagomål mail.docx", "A 11195-2024")</f>
        <v/>
      </c>
      <c r="X1062">
        <f>HYPERLINK("https://klasma.github.io/Logging_0883/tillsyn/A 11195-2024 tillsynsbegäran.docx", "A 11195-2024")</f>
        <v/>
      </c>
      <c r="Y1062">
        <f>HYPERLINK("https://klasma.github.io/Logging_0883/tillsynsmail/A 11195-2024 tillsynsbegäran mail.docx", "A 11195-2024")</f>
        <v/>
      </c>
    </row>
    <row r="1063" ht="15" customHeight="1">
      <c r="A1063" t="inlineStr">
        <is>
          <t>A 11397-2024</t>
        </is>
      </c>
      <c r="B1063" s="1" t="n">
        <v>45372</v>
      </c>
      <c r="C1063" s="1" t="n">
        <v>45715</v>
      </c>
      <c r="D1063" t="inlineStr">
        <is>
          <t>KALMAR LÄN</t>
        </is>
      </c>
      <c r="E1063" t="inlineStr">
        <is>
          <t>MÖNSTERÅS</t>
        </is>
      </c>
      <c r="G1063" t="n">
        <v>4.1</v>
      </c>
      <c r="H1063" t="n">
        <v>1</v>
      </c>
      <c r="I1063" t="n">
        <v>0</v>
      </c>
      <c r="J1063" t="n">
        <v>1</v>
      </c>
      <c r="K1063" t="n">
        <v>0</v>
      </c>
      <c r="L1063" t="n">
        <v>0</v>
      </c>
      <c r="M1063" t="n">
        <v>0</v>
      </c>
      <c r="N1063" t="n">
        <v>0</v>
      </c>
      <c r="O1063" t="n">
        <v>1</v>
      </c>
      <c r="P1063" t="n">
        <v>0</v>
      </c>
      <c r="Q1063" t="n">
        <v>1</v>
      </c>
      <c r="R1063" s="2" t="inlineStr">
        <is>
          <t>Spillkråka</t>
        </is>
      </c>
      <c r="S1063">
        <f>HYPERLINK("https://klasma.github.io/Logging_0861/artfynd/A 11397-2024 artfynd.xlsx", "A 11397-2024")</f>
        <v/>
      </c>
      <c r="T1063">
        <f>HYPERLINK("https://klasma.github.io/Logging_0861/kartor/A 11397-2024 karta.png", "A 11397-2024")</f>
        <v/>
      </c>
      <c r="V1063">
        <f>HYPERLINK("https://klasma.github.io/Logging_0861/klagomål/A 11397-2024 FSC-klagomål.docx", "A 11397-2024")</f>
        <v/>
      </c>
      <c r="W1063">
        <f>HYPERLINK("https://klasma.github.io/Logging_0861/klagomålsmail/A 11397-2024 FSC-klagomål mail.docx", "A 11397-2024")</f>
        <v/>
      </c>
      <c r="X1063">
        <f>HYPERLINK("https://klasma.github.io/Logging_0861/tillsyn/A 11397-2024 tillsynsbegäran.docx", "A 11397-2024")</f>
        <v/>
      </c>
      <c r="Y1063">
        <f>HYPERLINK("https://klasma.github.io/Logging_0861/tillsynsmail/A 11397-2024 tillsynsbegäran mail.docx", "A 11397-2024")</f>
        <v/>
      </c>
      <c r="Z1063">
        <f>HYPERLINK("https://klasma.github.io/Logging_0861/fåglar/A 11397-2024 prioriterade fågelarter.docx", "A 11397-2024")</f>
        <v/>
      </c>
    </row>
    <row r="1064" ht="15" customHeight="1">
      <c r="A1064" t="inlineStr">
        <is>
          <t>A 12000-2024</t>
        </is>
      </c>
      <c r="B1064" s="1" t="n">
        <v>45377</v>
      </c>
      <c r="C1064" s="1" t="n">
        <v>45715</v>
      </c>
      <c r="D1064" t="inlineStr">
        <is>
          <t>KALMAR LÄN</t>
        </is>
      </c>
      <c r="E1064" t="inlineStr">
        <is>
          <t>TORSÅS</t>
        </is>
      </c>
      <c r="G1064" t="n">
        <v>0.9</v>
      </c>
      <c r="H1064" t="n">
        <v>0</v>
      </c>
      <c r="I1064" t="n">
        <v>1</v>
      </c>
      <c r="J1064" t="n">
        <v>0</v>
      </c>
      <c r="K1064" t="n">
        <v>0</v>
      </c>
      <c r="L1064" t="n">
        <v>0</v>
      </c>
      <c r="M1064" t="n">
        <v>0</v>
      </c>
      <c r="N1064" t="n">
        <v>0</v>
      </c>
      <c r="O1064" t="n">
        <v>0</v>
      </c>
      <c r="P1064" t="n">
        <v>0</v>
      </c>
      <c r="Q1064" t="n">
        <v>1</v>
      </c>
      <c r="R1064" s="2" t="inlineStr">
        <is>
          <t>Västlig hakmossa</t>
        </is>
      </c>
      <c r="S1064">
        <f>HYPERLINK("https://klasma.github.io/Logging_0834/artfynd/A 12000-2024 artfynd.xlsx", "A 12000-2024")</f>
        <v/>
      </c>
      <c r="T1064">
        <f>HYPERLINK("https://klasma.github.io/Logging_0834/kartor/A 12000-2024 karta.png", "A 12000-2024")</f>
        <v/>
      </c>
      <c r="V1064">
        <f>HYPERLINK("https://klasma.github.io/Logging_0834/klagomål/A 12000-2024 FSC-klagomål.docx", "A 12000-2024")</f>
        <v/>
      </c>
      <c r="W1064">
        <f>HYPERLINK("https://klasma.github.io/Logging_0834/klagomålsmail/A 12000-2024 FSC-klagomål mail.docx", "A 12000-2024")</f>
        <v/>
      </c>
      <c r="X1064">
        <f>HYPERLINK("https://klasma.github.io/Logging_0834/tillsyn/A 12000-2024 tillsynsbegäran.docx", "A 12000-2024")</f>
        <v/>
      </c>
      <c r="Y1064">
        <f>HYPERLINK("https://klasma.github.io/Logging_0834/tillsynsmail/A 12000-2024 tillsynsbegäran mail.docx", "A 12000-2024")</f>
        <v/>
      </c>
    </row>
    <row r="1065" ht="15" customHeight="1">
      <c r="A1065" t="inlineStr">
        <is>
          <t>A 12015-2024</t>
        </is>
      </c>
      <c r="B1065" s="1" t="n">
        <v>45377</v>
      </c>
      <c r="C1065" s="1" t="n">
        <v>45715</v>
      </c>
      <c r="D1065" t="inlineStr">
        <is>
          <t>KALMAR LÄN</t>
        </is>
      </c>
      <c r="E1065" t="inlineStr">
        <is>
          <t>TORSÅS</t>
        </is>
      </c>
      <c r="G1065" t="n">
        <v>0.9</v>
      </c>
      <c r="H1065" t="n">
        <v>1</v>
      </c>
      <c r="I1065" t="n">
        <v>0</v>
      </c>
      <c r="J1065" t="n">
        <v>0</v>
      </c>
      <c r="K1065" t="n">
        <v>0</v>
      </c>
      <c r="L1065" t="n">
        <v>0</v>
      </c>
      <c r="M1065" t="n">
        <v>0</v>
      </c>
      <c r="N1065" t="n">
        <v>0</v>
      </c>
      <c r="O1065" t="n">
        <v>0</v>
      </c>
      <c r="P1065" t="n">
        <v>0</v>
      </c>
      <c r="Q1065" t="n">
        <v>1</v>
      </c>
      <c r="R1065" s="2" t="inlineStr">
        <is>
          <t>Gröngöling</t>
        </is>
      </c>
      <c r="S1065">
        <f>HYPERLINK("https://klasma.github.io/Logging_0834/artfynd/A 12015-2024 artfynd.xlsx", "A 12015-2024")</f>
        <v/>
      </c>
      <c r="T1065">
        <f>HYPERLINK("https://klasma.github.io/Logging_0834/kartor/A 12015-2024 karta.png", "A 12015-2024")</f>
        <v/>
      </c>
      <c r="V1065">
        <f>HYPERLINK("https://klasma.github.io/Logging_0834/klagomål/A 12015-2024 FSC-klagomål.docx", "A 12015-2024")</f>
        <v/>
      </c>
      <c r="W1065">
        <f>HYPERLINK("https://klasma.github.io/Logging_0834/klagomålsmail/A 12015-2024 FSC-klagomål mail.docx", "A 12015-2024")</f>
        <v/>
      </c>
      <c r="X1065">
        <f>HYPERLINK("https://klasma.github.io/Logging_0834/tillsyn/A 12015-2024 tillsynsbegäran.docx", "A 12015-2024")</f>
        <v/>
      </c>
      <c r="Y1065">
        <f>HYPERLINK("https://klasma.github.io/Logging_0834/tillsynsmail/A 12015-2024 tillsynsbegäran mail.docx", "A 12015-2024")</f>
        <v/>
      </c>
      <c r="Z1065">
        <f>HYPERLINK("https://klasma.github.io/Logging_0834/fåglar/A 12015-2024 prioriterade fågelarter.docx", "A 12015-2024")</f>
        <v/>
      </c>
    </row>
    <row r="1066" ht="15" customHeight="1">
      <c r="A1066" t="inlineStr">
        <is>
          <t>A 13745-2024</t>
        </is>
      </c>
      <c r="B1066" s="1" t="n">
        <v>45390</v>
      </c>
      <c r="C1066" s="1" t="n">
        <v>45715</v>
      </c>
      <c r="D1066" t="inlineStr">
        <is>
          <t>KALMAR LÄN</t>
        </is>
      </c>
      <c r="E1066" t="inlineStr">
        <is>
          <t>VÄSTERVIK</t>
        </is>
      </c>
      <c r="F1066" t="inlineStr">
        <is>
          <t>Sveaskog</t>
        </is>
      </c>
      <c r="G1066" t="n">
        <v>2.7</v>
      </c>
      <c r="H1066" t="n">
        <v>1</v>
      </c>
      <c r="I1066" t="n">
        <v>0</v>
      </c>
      <c r="J1066" t="n">
        <v>1</v>
      </c>
      <c r="K1066" t="n">
        <v>0</v>
      </c>
      <c r="L1066" t="n">
        <v>0</v>
      </c>
      <c r="M1066" t="n">
        <v>0</v>
      </c>
      <c r="N1066" t="n">
        <v>0</v>
      </c>
      <c r="O1066" t="n">
        <v>1</v>
      </c>
      <c r="P1066" t="n">
        <v>0</v>
      </c>
      <c r="Q1066" t="n">
        <v>1</v>
      </c>
      <c r="R1066" s="2" t="inlineStr">
        <is>
          <t>Talltita</t>
        </is>
      </c>
      <c r="S1066">
        <f>HYPERLINK("https://klasma.github.io/Logging_0883/artfynd/A 13745-2024 artfynd.xlsx", "A 13745-2024")</f>
        <v/>
      </c>
      <c r="T1066">
        <f>HYPERLINK("https://klasma.github.io/Logging_0883/kartor/A 13745-2024 karta.png", "A 13745-2024")</f>
        <v/>
      </c>
      <c r="U1066">
        <f>HYPERLINK("https://klasma.github.io/Logging_0883/knärot/A 13745-2024 karta knärot.png", "A 13745-2024")</f>
        <v/>
      </c>
      <c r="V1066">
        <f>HYPERLINK("https://klasma.github.io/Logging_0883/klagomål/A 13745-2024 FSC-klagomål.docx", "A 13745-2024")</f>
        <v/>
      </c>
      <c r="W1066">
        <f>HYPERLINK("https://klasma.github.io/Logging_0883/klagomålsmail/A 13745-2024 FSC-klagomål mail.docx", "A 13745-2024")</f>
        <v/>
      </c>
      <c r="X1066">
        <f>HYPERLINK("https://klasma.github.io/Logging_0883/tillsyn/A 13745-2024 tillsynsbegäran.docx", "A 13745-2024")</f>
        <v/>
      </c>
      <c r="Y1066">
        <f>HYPERLINK("https://klasma.github.io/Logging_0883/tillsynsmail/A 13745-2024 tillsynsbegäran mail.docx", "A 13745-2024")</f>
        <v/>
      </c>
      <c r="Z1066">
        <f>HYPERLINK("https://klasma.github.io/Logging_0883/fåglar/A 13745-2024 prioriterade fågelarter.docx", "A 13745-2024")</f>
        <v/>
      </c>
    </row>
    <row r="1067" ht="15" customHeight="1">
      <c r="A1067" t="inlineStr">
        <is>
          <t>A 14231-2024</t>
        </is>
      </c>
      <c r="B1067" s="1" t="n">
        <v>45393</v>
      </c>
      <c r="C1067" s="1" t="n">
        <v>45715</v>
      </c>
      <c r="D1067" t="inlineStr">
        <is>
          <t>KALMAR LÄN</t>
        </is>
      </c>
      <c r="E1067" t="inlineStr">
        <is>
          <t>VÄSTERVIK</t>
        </is>
      </c>
      <c r="G1067" t="n">
        <v>2.8</v>
      </c>
      <c r="H1067" t="n">
        <v>1</v>
      </c>
      <c r="I1067" t="n">
        <v>0</v>
      </c>
      <c r="J1067" t="n">
        <v>0</v>
      </c>
      <c r="K1067" t="n">
        <v>1</v>
      </c>
      <c r="L1067" t="n">
        <v>0</v>
      </c>
      <c r="M1067" t="n">
        <v>0</v>
      </c>
      <c r="N1067" t="n">
        <v>0</v>
      </c>
      <c r="O1067" t="n">
        <v>1</v>
      </c>
      <c r="P1067" t="n">
        <v>1</v>
      </c>
      <c r="Q1067" t="n">
        <v>1</v>
      </c>
      <c r="R1067" s="2" t="inlineStr">
        <is>
          <t>Knärot</t>
        </is>
      </c>
      <c r="S1067">
        <f>HYPERLINK("https://klasma.github.io/Logging_0883/artfynd/A 14231-2024 artfynd.xlsx", "A 14231-2024")</f>
        <v/>
      </c>
      <c r="T1067">
        <f>HYPERLINK("https://klasma.github.io/Logging_0883/kartor/A 14231-2024 karta.png", "A 14231-2024")</f>
        <v/>
      </c>
      <c r="U1067">
        <f>HYPERLINK("https://klasma.github.io/Logging_0883/knärot/A 14231-2024 karta knärot.png", "A 14231-2024")</f>
        <v/>
      </c>
      <c r="V1067">
        <f>HYPERLINK("https://klasma.github.io/Logging_0883/klagomål/A 14231-2024 FSC-klagomål.docx", "A 14231-2024")</f>
        <v/>
      </c>
      <c r="W1067">
        <f>HYPERLINK("https://klasma.github.io/Logging_0883/klagomålsmail/A 14231-2024 FSC-klagomål mail.docx", "A 14231-2024")</f>
        <v/>
      </c>
      <c r="X1067">
        <f>HYPERLINK("https://klasma.github.io/Logging_0883/tillsyn/A 14231-2024 tillsynsbegäran.docx", "A 14231-2024")</f>
        <v/>
      </c>
      <c r="Y1067">
        <f>HYPERLINK("https://klasma.github.io/Logging_0883/tillsynsmail/A 14231-2024 tillsynsbegäran mail.docx", "A 14231-2024")</f>
        <v/>
      </c>
    </row>
    <row r="1068" ht="15" customHeight="1">
      <c r="A1068" t="inlineStr">
        <is>
          <t>A 14290-2024</t>
        </is>
      </c>
      <c r="B1068" s="1" t="n">
        <v>45393</v>
      </c>
      <c r="C1068" s="1" t="n">
        <v>45715</v>
      </c>
      <c r="D1068" t="inlineStr">
        <is>
          <t>KALMAR LÄN</t>
        </is>
      </c>
      <c r="E1068" t="inlineStr">
        <is>
          <t>HULTSFRED</t>
        </is>
      </c>
      <c r="G1068" t="n">
        <v>4</v>
      </c>
      <c r="H1068" t="n">
        <v>1</v>
      </c>
      <c r="I1068" t="n">
        <v>0</v>
      </c>
      <c r="J1068" t="n">
        <v>0</v>
      </c>
      <c r="K1068" t="n">
        <v>0</v>
      </c>
      <c r="L1068" t="n">
        <v>0</v>
      </c>
      <c r="M1068" t="n">
        <v>0</v>
      </c>
      <c r="N1068" t="n">
        <v>0</v>
      </c>
      <c r="O1068" t="n">
        <v>0</v>
      </c>
      <c r="P1068" t="n">
        <v>0</v>
      </c>
      <c r="Q1068" t="n">
        <v>1</v>
      </c>
      <c r="R1068" s="2" t="inlineStr">
        <is>
          <t>Blåsippa</t>
        </is>
      </c>
      <c r="S1068">
        <f>HYPERLINK("https://klasma.github.io/Logging_0860/artfynd/A 14290-2024 artfynd.xlsx", "A 14290-2024")</f>
        <v/>
      </c>
      <c r="T1068">
        <f>HYPERLINK("https://klasma.github.io/Logging_0860/kartor/A 14290-2024 karta.png", "A 14290-2024")</f>
        <v/>
      </c>
      <c r="V1068">
        <f>HYPERLINK("https://klasma.github.io/Logging_0860/klagomål/A 14290-2024 FSC-klagomål.docx", "A 14290-2024")</f>
        <v/>
      </c>
      <c r="W1068">
        <f>HYPERLINK("https://klasma.github.io/Logging_0860/klagomålsmail/A 14290-2024 FSC-klagomål mail.docx", "A 14290-2024")</f>
        <v/>
      </c>
      <c r="X1068">
        <f>HYPERLINK("https://klasma.github.io/Logging_0860/tillsyn/A 14290-2024 tillsynsbegäran.docx", "A 14290-2024")</f>
        <v/>
      </c>
      <c r="Y1068">
        <f>HYPERLINK("https://klasma.github.io/Logging_0860/tillsynsmail/A 14290-2024 tillsynsbegäran mail.docx", "A 14290-2024")</f>
        <v/>
      </c>
    </row>
    <row r="1069" ht="15" customHeight="1">
      <c r="A1069" t="inlineStr">
        <is>
          <t>A 15110-2024</t>
        </is>
      </c>
      <c r="B1069" s="1" t="n">
        <v>45399</v>
      </c>
      <c r="C1069" s="1" t="n">
        <v>45715</v>
      </c>
      <c r="D1069" t="inlineStr">
        <is>
          <t>KALMAR LÄN</t>
        </is>
      </c>
      <c r="E1069" t="inlineStr">
        <is>
          <t>HULTSFRED</t>
        </is>
      </c>
      <c r="G1069" t="n">
        <v>1.1</v>
      </c>
      <c r="H1069" t="n">
        <v>1</v>
      </c>
      <c r="I1069" t="n">
        <v>0</v>
      </c>
      <c r="J1069" t="n">
        <v>1</v>
      </c>
      <c r="K1069" t="n">
        <v>0</v>
      </c>
      <c r="L1069" t="n">
        <v>0</v>
      </c>
      <c r="M1069" t="n">
        <v>0</v>
      </c>
      <c r="N1069" t="n">
        <v>0</v>
      </c>
      <c r="O1069" t="n">
        <v>1</v>
      </c>
      <c r="P1069" t="n">
        <v>0</v>
      </c>
      <c r="Q1069" t="n">
        <v>1</v>
      </c>
      <c r="R1069" s="2" t="inlineStr">
        <is>
          <t>Grönsångare</t>
        </is>
      </c>
      <c r="S1069">
        <f>HYPERLINK("https://klasma.github.io/Logging_0860/artfynd/A 15110-2024 artfynd.xlsx", "A 15110-2024")</f>
        <v/>
      </c>
      <c r="T1069">
        <f>HYPERLINK("https://klasma.github.io/Logging_0860/kartor/A 15110-2024 karta.png", "A 15110-2024")</f>
        <v/>
      </c>
      <c r="V1069">
        <f>HYPERLINK("https://klasma.github.io/Logging_0860/klagomål/A 15110-2024 FSC-klagomål.docx", "A 15110-2024")</f>
        <v/>
      </c>
      <c r="W1069">
        <f>HYPERLINK("https://klasma.github.io/Logging_0860/klagomålsmail/A 15110-2024 FSC-klagomål mail.docx", "A 15110-2024")</f>
        <v/>
      </c>
      <c r="X1069">
        <f>HYPERLINK("https://klasma.github.io/Logging_0860/tillsyn/A 15110-2024 tillsynsbegäran.docx", "A 15110-2024")</f>
        <v/>
      </c>
      <c r="Y1069">
        <f>HYPERLINK("https://klasma.github.io/Logging_0860/tillsynsmail/A 15110-2024 tillsynsbegäran mail.docx", "A 15110-2024")</f>
        <v/>
      </c>
      <c r="Z1069">
        <f>HYPERLINK("https://klasma.github.io/Logging_0860/fåglar/A 15110-2024 prioriterade fågelarter.docx", "A 15110-2024")</f>
        <v/>
      </c>
    </row>
    <row r="1070" ht="15" customHeight="1">
      <c r="A1070" t="inlineStr">
        <is>
          <t>A 15122-2024</t>
        </is>
      </c>
      <c r="B1070" s="1" t="n">
        <v>45399</v>
      </c>
      <c r="C1070" s="1" t="n">
        <v>45715</v>
      </c>
      <c r="D1070" t="inlineStr">
        <is>
          <t>KALMAR LÄN</t>
        </is>
      </c>
      <c r="E1070" t="inlineStr">
        <is>
          <t>VIMMERBY</t>
        </is>
      </c>
      <c r="G1070" t="n">
        <v>1.7</v>
      </c>
      <c r="H1070" t="n">
        <v>0</v>
      </c>
      <c r="I1070" t="n">
        <v>0</v>
      </c>
      <c r="J1070" t="n">
        <v>0</v>
      </c>
      <c r="K1070" t="n">
        <v>1</v>
      </c>
      <c r="L1070" t="n">
        <v>0</v>
      </c>
      <c r="M1070" t="n">
        <v>0</v>
      </c>
      <c r="N1070" t="n">
        <v>0</v>
      </c>
      <c r="O1070" t="n">
        <v>1</v>
      </c>
      <c r="P1070" t="n">
        <v>1</v>
      </c>
      <c r="Q1070" t="n">
        <v>1</v>
      </c>
      <c r="R1070" s="2" t="inlineStr">
        <is>
          <t>Sågfibbla</t>
        </is>
      </c>
      <c r="S1070">
        <f>HYPERLINK("https://klasma.github.io/Logging_0884/artfynd/A 15122-2024 artfynd.xlsx", "A 15122-2024")</f>
        <v/>
      </c>
      <c r="T1070">
        <f>HYPERLINK("https://klasma.github.io/Logging_0884/kartor/A 15122-2024 karta.png", "A 15122-2024")</f>
        <v/>
      </c>
      <c r="V1070">
        <f>HYPERLINK("https://klasma.github.io/Logging_0884/klagomål/A 15122-2024 FSC-klagomål.docx", "A 15122-2024")</f>
        <v/>
      </c>
      <c r="W1070">
        <f>HYPERLINK("https://klasma.github.io/Logging_0884/klagomålsmail/A 15122-2024 FSC-klagomål mail.docx", "A 15122-2024")</f>
        <v/>
      </c>
      <c r="X1070">
        <f>HYPERLINK("https://klasma.github.io/Logging_0884/tillsyn/A 15122-2024 tillsynsbegäran.docx", "A 15122-2024")</f>
        <v/>
      </c>
      <c r="Y1070">
        <f>HYPERLINK("https://klasma.github.io/Logging_0884/tillsynsmail/A 15122-2024 tillsynsbegäran mail.docx", "A 15122-2024")</f>
        <v/>
      </c>
    </row>
    <row r="1071" ht="15" customHeight="1">
      <c r="A1071" t="inlineStr">
        <is>
          <t>A 15173-2024</t>
        </is>
      </c>
      <c r="B1071" s="1" t="n">
        <v>45400</v>
      </c>
      <c r="C1071" s="1" t="n">
        <v>45715</v>
      </c>
      <c r="D1071" t="inlineStr">
        <is>
          <t>KALMAR LÄN</t>
        </is>
      </c>
      <c r="E1071" t="inlineStr">
        <is>
          <t>HULTSFRED</t>
        </is>
      </c>
      <c r="G1071" t="n">
        <v>1.7</v>
      </c>
      <c r="H1071" t="n">
        <v>1</v>
      </c>
      <c r="I1071" t="n">
        <v>0</v>
      </c>
      <c r="J1071" t="n">
        <v>0</v>
      </c>
      <c r="K1071" t="n">
        <v>0</v>
      </c>
      <c r="L1071" t="n">
        <v>0</v>
      </c>
      <c r="M1071" t="n">
        <v>0</v>
      </c>
      <c r="N1071" t="n">
        <v>0</v>
      </c>
      <c r="O1071" t="n">
        <v>0</v>
      </c>
      <c r="P1071" t="n">
        <v>0</v>
      </c>
      <c r="Q1071" t="n">
        <v>1</v>
      </c>
      <c r="R1071" s="2" t="inlineStr">
        <is>
          <t>Vanlig groda</t>
        </is>
      </c>
      <c r="S1071">
        <f>HYPERLINK("https://klasma.github.io/Logging_0860/artfynd/A 15173-2024 artfynd.xlsx", "A 15173-2024")</f>
        <v/>
      </c>
      <c r="T1071">
        <f>HYPERLINK("https://klasma.github.io/Logging_0860/kartor/A 15173-2024 karta.png", "A 15173-2024")</f>
        <v/>
      </c>
      <c r="V1071">
        <f>HYPERLINK("https://klasma.github.io/Logging_0860/klagomål/A 15173-2024 FSC-klagomål.docx", "A 15173-2024")</f>
        <v/>
      </c>
      <c r="W1071">
        <f>HYPERLINK("https://klasma.github.io/Logging_0860/klagomålsmail/A 15173-2024 FSC-klagomål mail.docx", "A 15173-2024")</f>
        <v/>
      </c>
      <c r="X1071">
        <f>HYPERLINK("https://klasma.github.io/Logging_0860/tillsyn/A 15173-2024 tillsynsbegäran.docx", "A 15173-2024")</f>
        <v/>
      </c>
      <c r="Y1071">
        <f>HYPERLINK("https://klasma.github.io/Logging_0860/tillsynsmail/A 15173-2024 tillsynsbegäran mail.docx", "A 15173-2024")</f>
        <v/>
      </c>
    </row>
    <row r="1072" ht="15" customHeight="1">
      <c r="A1072" t="inlineStr">
        <is>
          <t>A 15627-2024</t>
        </is>
      </c>
      <c r="B1072" s="1" t="n">
        <v>45402</v>
      </c>
      <c r="C1072" s="1" t="n">
        <v>45715</v>
      </c>
      <c r="D1072" t="inlineStr">
        <is>
          <t>KALMAR LÄN</t>
        </is>
      </c>
      <c r="E1072" t="inlineStr">
        <is>
          <t>VIMMERBY</t>
        </is>
      </c>
      <c r="G1072" t="n">
        <v>3.2</v>
      </c>
      <c r="H1072" t="n">
        <v>1</v>
      </c>
      <c r="I1072" t="n">
        <v>1</v>
      </c>
      <c r="J1072" t="n">
        <v>0</v>
      </c>
      <c r="K1072" t="n">
        <v>0</v>
      </c>
      <c r="L1072" t="n">
        <v>0</v>
      </c>
      <c r="M1072" t="n">
        <v>0</v>
      </c>
      <c r="N1072" t="n">
        <v>0</v>
      </c>
      <c r="O1072" t="n">
        <v>0</v>
      </c>
      <c r="P1072" t="n">
        <v>0</v>
      </c>
      <c r="Q1072" t="n">
        <v>1</v>
      </c>
      <c r="R1072" s="2" t="inlineStr">
        <is>
          <t>Plattlummer</t>
        </is>
      </c>
      <c r="S1072">
        <f>HYPERLINK("https://klasma.github.io/Logging_0884/artfynd/A 15627-2024 artfynd.xlsx", "A 15627-2024")</f>
        <v/>
      </c>
      <c r="T1072">
        <f>HYPERLINK("https://klasma.github.io/Logging_0884/kartor/A 15627-2024 karta.png", "A 15627-2024")</f>
        <v/>
      </c>
      <c r="V1072">
        <f>HYPERLINK("https://klasma.github.io/Logging_0884/klagomål/A 15627-2024 FSC-klagomål.docx", "A 15627-2024")</f>
        <v/>
      </c>
      <c r="W1072">
        <f>HYPERLINK("https://klasma.github.io/Logging_0884/klagomålsmail/A 15627-2024 FSC-klagomål mail.docx", "A 15627-2024")</f>
        <v/>
      </c>
      <c r="X1072">
        <f>HYPERLINK("https://klasma.github.io/Logging_0884/tillsyn/A 15627-2024 tillsynsbegäran.docx", "A 15627-2024")</f>
        <v/>
      </c>
      <c r="Y1072">
        <f>HYPERLINK("https://klasma.github.io/Logging_0884/tillsynsmail/A 15627-2024 tillsynsbegäran mail.docx", "A 15627-2024")</f>
        <v/>
      </c>
    </row>
    <row r="1073" ht="15" customHeight="1">
      <c r="A1073" t="inlineStr">
        <is>
          <t>A 15898-2024</t>
        </is>
      </c>
      <c r="B1073" s="1" t="n">
        <v>45405</v>
      </c>
      <c r="C1073" s="1" t="n">
        <v>45715</v>
      </c>
      <c r="D1073" t="inlineStr">
        <is>
          <t>KALMAR LÄN</t>
        </is>
      </c>
      <c r="E1073" t="inlineStr">
        <is>
          <t>MÖNSTERÅS</t>
        </is>
      </c>
      <c r="G1073" t="n">
        <v>0.7</v>
      </c>
      <c r="H1073" t="n">
        <v>1</v>
      </c>
      <c r="I1073" t="n">
        <v>0</v>
      </c>
      <c r="J1073" t="n">
        <v>0</v>
      </c>
      <c r="K1073" t="n">
        <v>0</v>
      </c>
      <c r="L1073" t="n">
        <v>0</v>
      </c>
      <c r="M1073" t="n">
        <v>0</v>
      </c>
      <c r="N1073" t="n">
        <v>0</v>
      </c>
      <c r="O1073" t="n">
        <v>0</v>
      </c>
      <c r="P1073" t="n">
        <v>0</v>
      </c>
      <c r="Q1073" t="n">
        <v>1</v>
      </c>
      <c r="R1073" s="2" t="inlineStr">
        <is>
          <t>Gullviva</t>
        </is>
      </c>
      <c r="S1073">
        <f>HYPERLINK("https://klasma.github.io/Logging_0861/artfynd/A 15898-2024 artfynd.xlsx", "A 15898-2024")</f>
        <v/>
      </c>
      <c r="T1073">
        <f>HYPERLINK("https://klasma.github.io/Logging_0861/kartor/A 15898-2024 karta.png", "A 15898-2024")</f>
        <v/>
      </c>
      <c r="V1073">
        <f>HYPERLINK("https://klasma.github.io/Logging_0861/klagomål/A 15898-2024 FSC-klagomål.docx", "A 15898-2024")</f>
        <v/>
      </c>
      <c r="W1073">
        <f>HYPERLINK("https://klasma.github.io/Logging_0861/klagomålsmail/A 15898-2024 FSC-klagomål mail.docx", "A 15898-2024")</f>
        <v/>
      </c>
      <c r="X1073">
        <f>HYPERLINK("https://klasma.github.io/Logging_0861/tillsyn/A 15898-2024 tillsynsbegäran.docx", "A 15898-2024")</f>
        <v/>
      </c>
      <c r="Y1073">
        <f>HYPERLINK("https://klasma.github.io/Logging_0861/tillsynsmail/A 15898-2024 tillsynsbegäran mail.docx", "A 15898-2024")</f>
        <v/>
      </c>
    </row>
    <row r="1074" ht="15" customHeight="1">
      <c r="A1074" t="inlineStr">
        <is>
          <t>A 16406-2024</t>
        </is>
      </c>
      <c r="B1074" s="1" t="n">
        <v>45407</v>
      </c>
      <c r="C1074" s="1" t="n">
        <v>45715</v>
      </c>
      <c r="D1074" t="inlineStr">
        <is>
          <t>KALMAR LÄN</t>
        </is>
      </c>
      <c r="E1074" t="inlineStr">
        <is>
          <t>VÄSTERVIK</t>
        </is>
      </c>
      <c r="F1074" t="inlineStr">
        <is>
          <t>Holmen skog AB</t>
        </is>
      </c>
      <c r="G1074" t="n">
        <v>4.9</v>
      </c>
      <c r="H1074" t="n">
        <v>0</v>
      </c>
      <c r="I1074" t="n">
        <v>1</v>
      </c>
      <c r="J1074" t="n">
        <v>0</v>
      </c>
      <c r="K1074" t="n">
        <v>0</v>
      </c>
      <c r="L1074" t="n">
        <v>0</v>
      </c>
      <c r="M1074" t="n">
        <v>0</v>
      </c>
      <c r="N1074" t="n">
        <v>0</v>
      </c>
      <c r="O1074" t="n">
        <v>0</v>
      </c>
      <c r="P1074" t="n">
        <v>0</v>
      </c>
      <c r="Q1074" t="n">
        <v>1</v>
      </c>
      <c r="R1074" s="2" t="inlineStr">
        <is>
          <t>Tibast</t>
        </is>
      </c>
      <c r="S1074">
        <f>HYPERLINK("https://klasma.github.io/Logging_0883/artfynd/A 16406-2024 artfynd.xlsx", "A 16406-2024")</f>
        <v/>
      </c>
      <c r="T1074">
        <f>HYPERLINK("https://klasma.github.io/Logging_0883/kartor/A 16406-2024 karta.png", "A 16406-2024")</f>
        <v/>
      </c>
      <c r="V1074">
        <f>HYPERLINK("https://klasma.github.io/Logging_0883/klagomål/A 16406-2024 FSC-klagomål.docx", "A 16406-2024")</f>
        <v/>
      </c>
      <c r="W1074">
        <f>HYPERLINK("https://klasma.github.io/Logging_0883/klagomålsmail/A 16406-2024 FSC-klagomål mail.docx", "A 16406-2024")</f>
        <v/>
      </c>
      <c r="X1074">
        <f>HYPERLINK("https://klasma.github.io/Logging_0883/tillsyn/A 16406-2024 tillsynsbegäran.docx", "A 16406-2024")</f>
        <v/>
      </c>
      <c r="Y1074">
        <f>HYPERLINK("https://klasma.github.io/Logging_0883/tillsynsmail/A 16406-2024 tillsynsbegäran mail.docx", "A 16406-2024")</f>
        <v/>
      </c>
    </row>
    <row r="1075" ht="15" customHeight="1">
      <c r="A1075" t="inlineStr">
        <is>
          <t>A 16987-2024</t>
        </is>
      </c>
      <c r="B1075" s="1" t="n">
        <v>45412</v>
      </c>
      <c r="C1075" s="1" t="n">
        <v>45715</v>
      </c>
      <c r="D1075" t="inlineStr">
        <is>
          <t>KALMAR LÄN</t>
        </is>
      </c>
      <c r="E1075" t="inlineStr">
        <is>
          <t>HULTSFRED</t>
        </is>
      </c>
      <c r="G1075" t="n">
        <v>1.6</v>
      </c>
      <c r="H1075" t="n">
        <v>1</v>
      </c>
      <c r="I1075" t="n">
        <v>0</v>
      </c>
      <c r="J1075" t="n">
        <v>0</v>
      </c>
      <c r="K1075" t="n">
        <v>0</v>
      </c>
      <c r="L1075" t="n">
        <v>0</v>
      </c>
      <c r="M1075" t="n">
        <v>0</v>
      </c>
      <c r="N1075" t="n">
        <v>0</v>
      </c>
      <c r="O1075" t="n">
        <v>0</v>
      </c>
      <c r="P1075" t="n">
        <v>0</v>
      </c>
      <c r="Q1075" t="n">
        <v>1</v>
      </c>
      <c r="R1075" s="2" t="inlineStr">
        <is>
          <t>Blåsippa</t>
        </is>
      </c>
      <c r="S1075">
        <f>HYPERLINK("https://klasma.github.io/Logging_0860/artfynd/A 16987-2024 artfynd.xlsx", "A 16987-2024")</f>
        <v/>
      </c>
      <c r="T1075">
        <f>HYPERLINK("https://klasma.github.io/Logging_0860/kartor/A 16987-2024 karta.png", "A 16987-2024")</f>
        <v/>
      </c>
      <c r="V1075">
        <f>HYPERLINK("https://klasma.github.io/Logging_0860/klagomål/A 16987-2024 FSC-klagomål.docx", "A 16987-2024")</f>
        <v/>
      </c>
      <c r="W1075">
        <f>HYPERLINK("https://klasma.github.io/Logging_0860/klagomålsmail/A 16987-2024 FSC-klagomål mail.docx", "A 16987-2024")</f>
        <v/>
      </c>
      <c r="X1075">
        <f>HYPERLINK("https://klasma.github.io/Logging_0860/tillsyn/A 16987-2024 tillsynsbegäran.docx", "A 16987-2024")</f>
        <v/>
      </c>
      <c r="Y1075">
        <f>HYPERLINK("https://klasma.github.io/Logging_0860/tillsynsmail/A 16987-2024 tillsynsbegäran mail.docx", "A 16987-2024")</f>
        <v/>
      </c>
    </row>
    <row r="1076" ht="15" customHeight="1">
      <c r="A1076" t="inlineStr">
        <is>
          <t>A 17424-2024</t>
        </is>
      </c>
      <c r="B1076" s="1" t="n">
        <v>45415</v>
      </c>
      <c r="C1076" s="1" t="n">
        <v>45715</v>
      </c>
      <c r="D1076" t="inlineStr">
        <is>
          <t>KALMAR LÄN</t>
        </is>
      </c>
      <c r="E1076" t="inlineStr">
        <is>
          <t>VÄSTERVIK</t>
        </is>
      </c>
      <c r="F1076" t="inlineStr">
        <is>
          <t>Sveaskog</t>
        </is>
      </c>
      <c r="G1076" t="n">
        <v>5</v>
      </c>
      <c r="H1076" t="n">
        <v>1</v>
      </c>
      <c r="I1076" t="n">
        <v>0</v>
      </c>
      <c r="J1076" t="n">
        <v>0</v>
      </c>
      <c r="K1076" t="n">
        <v>0</v>
      </c>
      <c r="L1076" t="n">
        <v>0</v>
      </c>
      <c r="M1076" t="n">
        <v>0</v>
      </c>
      <c r="N1076" t="n">
        <v>0</v>
      </c>
      <c r="O1076" t="n">
        <v>0</v>
      </c>
      <c r="P1076" t="n">
        <v>0</v>
      </c>
      <c r="Q1076" t="n">
        <v>1</v>
      </c>
      <c r="R1076" s="2" t="inlineStr">
        <is>
          <t>Blåsippa</t>
        </is>
      </c>
      <c r="S1076">
        <f>HYPERLINK("https://klasma.github.io/Logging_0883/artfynd/A 17424-2024 artfynd.xlsx", "A 17424-2024")</f>
        <v/>
      </c>
      <c r="T1076">
        <f>HYPERLINK("https://klasma.github.io/Logging_0883/kartor/A 17424-2024 karta.png", "A 17424-2024")</f>
        <v/>
      </c>
      <c r="V1076">
        <f>HYPERLINK("https://klasma.github.io/Logging_0883/klagomål/A 17424-2024 FSC-klagomål.docx", "A 17424-2024")</f>
        <v/>
      </c>
      <c r="W1076">
        <f>HYPERLINK("https://klasma.github.io/Logging_0883/klagomålsmail/A 17424-2024 FSC-klagomål mail.docx", "A 17424-2024")</f>
        <v/>
      </c>
      <c r="X1076">
        <f>HYPERLINK("https://klasma.github.io/Logging_0883/tillsyn/A 17424-2024 tillsynsbegäran.docx", "A 17424-2024")</f>
        <v/>
      </c>
      <c r="Y1076">
        <f>HYPERLINK("https://klasma.github.io/Logging_0883/tillsynsmail/A 17424-2024 tillsynsbegäran mail.docx", "A 17424-2024")</f>
        <v/>
      </c>
    </row>
    <row r="1077" ht="15" customHeight="1">
      <c r="A1077" t="inlineStr">
        <is>
          <t>A 18396-2024</t>
        </is>
      </c>
      <c r="B1077" s="1" t="n">
        <v>45425</v>
      </c>
      <c r="C1077" s="1" t="n">
        <v>45715</v>
      </c>
      <c r="D1077" t="inlineStr">
        <is>
          <t>KALMAR LÄN</t>
        </is>
      </c>
      <c r="E1077" t="inlineStr">
        <is>
          <t>VÄSTERVIK</t>
        </is>
      </c>
      <c r="F1077" t="inlineStr">
        <is>
          <t>Holmen skog AB</t>
        </is>
      </c>
      <c r="G1077" t="n">
        <v>3.5</v>
      </c>
      <c r="H1077" t="n">
        <v>0</v>
      </c>
      <c r="I1077" t="n">
        <v>1</v>
      </c>
      <c r="J1077" t="n">
        <v>0</v>
      </c>
      <c r="K1077" t="n">
        <v>0</v>
      </c>
      <c r="L1077" t="n">
        <v>0</v>
      </c>
      <c r="M1077" t="n">
        <v>0</v>
      </c>
      <c r="N1077" t="n">
        <v>0</v>
      </c>
      <c r="O1077" t="n">
        <v>0</v>
      </c>
      <c r="P1077" t="n">
        <v>0</v>
      </c>
      <c r="Q1077" t="n">
        <v>1</v>
      </c>
      <c r="R1077" s="2" t="inlineStr">
        <is>
          <t>Blåmossa</t>
        </is>
      </c>
      <c r="S1077">
        <f>HYPERLINK("https://klasma.github.io/Logging_0883/artfynd/A 18396-2024 artfynd.xlsx", "A 18396-2024")</f>
        <v/>
      </c>
      <c r="T1077">
        <f>HYPERLINK("https://klasma.github.io/Logging_0883/kartor/A 18396-2024 karta.png", "A 18396-2024")</f>
        <v/>
      </c>
      <c r="V1077">
        <f>HYPERLINK("https://klasma.github.io/Logging_0883/klagomål/A 18396-2024 FSC-klagomål.docx", "A 18396-2024")</f>
        <v/>
      </c>
      <c r="W1077">
        <f>HYPERLINK("https://klasma.github.io/Logging_0883/klagomålsmail/A 18396-2024 FSC-klagomål mail.docx", "A 18396-2024")</f>
        <v/>
      </c>
      <c r="X1077">
        <f>HYPERLINK("https://klasma.github.io/Logging_0883/tillsyn/A 18396-2024 tillsynsbegäran.docx", "A 18396-2024")</f>
        <v/>
      </c>
      <c r="Y1077">
        <f>HYPERLINK("https://klasma.github.io/Logging_0883/tillsynsmail/A 18396-2024 tillsynsbegäran mail.docx", "A 18396-2024")</f>
        <v/>
      </c>
    </row>
    <row r="1078" ht="15" customHeight="1">
      <c r="A1078" t="inlineStr">
        <is>
          <t>A 19460-2024</t>
        </is>
      </c>
      <c r="B1078" s="1" t="n">
        <v>45429</v>
      </c>
      <c r="C1078" s="1" t="n">
        <v>45715</v>
      </c>
      <c r="D1078" t="inlineStr">
        <is>
          <t>KALMAR LÄN</t>
        </is>
      </c>
      <c r="E1078" t="inlineStr">
        <is>
          <t>NYBRO</t>
        </is>
      </c>
      <c r="F1078" t="inlineStr">
        <is>
          <t>Sveaskog</t>
        </is>
      </c>
      <c r="G1078" t="n">
        <v>5.4</v>
      </c>
      <c r="H1078" t="n">
        <v>0</v>
      </c>
      <c r="I1078" t="n">
        <v>1</v>
      </c>
      <c r="J1078" t="n">
        <v>0</v>
      </c>
      <c r="K1078" t="n">
        <v>0</v>
      </c>
      <c r="L1078" t="n">
        <v>0</v>
      </c>
      <c r="M1078" t="n">
        <v>0</v>
      </c>
      <c r="N1078" t="n">
        <v>0</v>
      </c>
      <c r="O1078" t="n">
        <v>0</v>
      </c>
      <c r="P1078" t="n">
        <v>0</v>
      </c>
      <c r="Q1078" t="n">
        <v>1</v>
      </c>
      <c r="R1078" s="2" t="inlineStr">
        <is>
          <t>Blåmossa</t>
        </is>
      </c>
      <c r="S1078">
        <f>HYPERLINK("https://klasma.github.io/Logging_0881/artfynd/A 19460-2024 artfynd.xlsx", "A 19460-2024")</f>
        <v/>
      </c>
      <c r="T1078">
        <f>HYPERLINK("https://klasma.github.io/Logging_0881/kartor/A 19460-2024 karta.png", "A 19460-2024")</f>
        <v/>
      </c>
      <c r="V1078">
        <f>HYPERLINK("https://klasma.github.io/Logging_0881/klagomål/A 19460-2024 FSC-klagomål.docx", "A 19460-2024")</f>
        <v/>
      </c>
      <c r="W1078">
        <f>HYPERLINK("https://klasma.github.io/Logging_0881/klagomålsmail/A 19460-2024 FSC-klagomål mail.docx", "A 19460-2024")</f>
        <v/>
      </c>
      <c r="X1078">
        <f>HYPERLINK("https://klasma.github.io/Logging_0881/tillsyn/A 19460-2024 tillsynsbegäran.docx", "A 19460-2024")</f>
        <v/>
      </c>
      <c r="Y1078">
        <f>HYPERLINK("https://klasma.github.io/Logging_0881/tillsynsmail/A 19460-2024 tillsynsbegäran mail.docx", "A 19460-2024")</f>
        <v/>
      </c>
    </row>
    <row r="1079" ht="15" customHeight="1">
      <c r="A1079" t="inlineStr">
        <is>
          <t>A 19705-2024</t>
        </is>
      </c>
      <c r="B1079" s="1" t="n">
        <v>45432</v>
      </c>
      <c r="C1079" s="1" t="n">
        <v>45715</v>
      </c>
      <c r="D1079" t="inlineStr">
        <is>
          <t>KALMAR LÄN</t>
        </is>
      </c>
      <c r="E1079" t="inlineStr">
        <is>
          <t>OSKARSHAMN</t>
        </is>
      </c>
      <c r="G1079" t="n">
        <v>4.1</v>
      </c>
      <c r="H1079" t="n">
        <v>0</v>
      </c>
      <c r="I1079" t="n">
        <v>0</v>
      </c>
      <c r="J1079" t="n">
        <v>1</v>
      </c>
      <c r="K1079" t="n">
        <v>0</v>
      </c>
      <c r="L1079" t="n">
        <v>0</v>
      </c>
      <c r="M1079" t="n">
        <v>0</v>
      </c>
      <c r="N1079" t="n">
        <v>0</v>
      </c>
      <c r="O1079" t="n">
        <v>1</v>
      </c>
      <c r="P1079" t="n">
        <v>0</v>
      </c>
      <c r="Q1079" t="n">
        <v>1</v>
      </c>
      <c r="R1079" s="2" t="inlineStr">
        <is>
          <t>Solvända</t>
        </is>
      </c>
      <c r="S1079">
        <f>HYPERLINK("https://klasma.github.io/Logging_0882/artfynd/A 19705-2024 artfynd.xlsx", "A 19705-2024")</f>
        <v/>
      </c>
      <c r="T1079">
        <f>HYPERLINK("https://klasma.github.io/Logging_0882/kartor/A 19705-2024 karta.png", "A 19705-2024")</f>
        <v/>
      </c>
      <c r="V1079">
        <f>HYPERLINK("https://klasma.github.io/Logging_0882/klagomål/A 19705-2024 FSC-klagomål.docx", "A 19705-2024")</f>
        <v/>
      </c>
      <c r="W1079">
        <f>HYPERLINK("https://klasma.github.io/Logging_0882/klagomålsmail/A 19705-2024 FSC-klagomål mail.docx", "A 19705-2024")</f>
        <v/>
      </c>
      <c r="X1079">
        <f>HYPERLINK("https://klasma.github.io/Logging_0882/tillsyn/A 19705-2024 tillsynsbegäran.docx", "A 19705-2024")</f>
        <v/>
      </c>
      <c r="Y1079">
        <f>HYPERLINK("https://klasma.github.io/Logging_0882/tillsynsmail/A 19705-2024 tillsynsbegäran mail.docx", "A 19705-2024")</f>
        <v/>
      </c>
    </row>
    <row r="1080" ht="15" customHeight="1">
      <c r="A1080" t="inlineStr">
        <is>
          <t>A 21749-2024</t>
        </is>
      </c>
      <c r="B1080" s="1" t="n">
        <v>45442</v>
      </c>
      <c r="C1080" s="1" t="n">
        <v>45715</v>
      </c>
      <c r="D1080" t="inlineStr">
        <is>
          <t>KALMAR LÄN</t>
        </is>
      </c>
      <c r="E1080" t="inlineStr">
        <is>
          <t>NYBRO</t>
        </is>
      </c>
      <c r="F1080" t="inlineStr">
        <is>
          <t>Sveaskog</t>
        </is>
      </c>
      <c r="G1080" t="n">
        <v>2.1</v>
      </c>
      <c r="H1080" t="n">
        <v>1</v>
      </c>
      <c r="I1080" t="n">
        <v>0</v>
      </c>
      <c r="J1080" t="n">
        <v>1</v>
      </c>
      <c r="K1080" t="n">
        <v>0</v>
      </c>
      <c r="L1080" t="n">
        <v>0</v>
      </c>
      <c r="M1080" t="n">
        <v>0</v>
      </c>
      <c r="N1080" t="n">
        <v>0</v>
      </c>
      <c r="O1080" t="n">
        <v>1</v>
      </c>
      <c r="P1080" t="n">
        <v>0</v>
      </c>
      <c r="Q1080" t="n">
        <v>1</v>
      </c>
      <c r="R1080" s="2" t="inlineStr">
        <is>
          <t>Havsörn</t>
        </is>
      </c>
      <c r="S1080">
        <f>HYPERLINK("https://klasma.github.io/Logging_0881/artfynd/A 21749-2024 artfynd.xlsx", "A 21749-2024")</f>
        <v/>
      </c>
      <c r="T1080">
        <f>HYPERLINK("https://klasma.github.io/Logging_0881/kartor/A 21749-2024 karta.png", "A 21749-2024")</f>
        <v/>
      </c>
      <c r="V1080">
        <f>HYPERLINK("https://klasma.github.io/Logging_0881/klagomål/A 21749-2024 FSC-klagomål.docx", "A 21749-2024")</f>
        <v/>
      </c>
      <c r="W1080">
        <f>HYPERLINK("https://klasma.github.io/Logging_0881/klagomålsmail/A 21749-2024 FSC-klagomål mail.docx", "A 21749-2024")</f>
        <v/>
      </c>
      <c r="X1080">
        <f>HYPERLINK("https://klasma.github.io/Logging_0881/tillsyn/A 21749-2024 tillsynsbegäran.docx", "A 21749-2024")</f>
        <v/>
      </c>
      <c r="Y1080">
        <f>HYPERLINK("https://klasma.github.io/Logging_0881/tillsynsmail/A 21749-2024 tillsynsbegäran mail.docx", "A 21749-2024")</f>
        <v/>
      </c>
      <c r="Z1080">
        <f>HYPERLINK("https://klasma.github.io/Logging_0881/fåglar/A 21749-2024 prioriterade fågelarter.docx", "A 21749-2024")</f>
        <v/>
      </c>
    </row>
    <row r="1081" ht="15" customHeight="1">
      <c r="A1081" t="inlineStr">
        <is>
          <t>A 22885-2024</t>
        </is>
      </c>
      <c r="B1081" s="1" t="n">
        <v>45448</v>
      </c>
      <c r="C1081" s="1" t="n">
        <v>45715</v>
      </c>
      <c r="D1081" t="inlineStr">
        <is>
          <t>KALMAR LÄN</t>
        </is>
      </c>
      <c r="E1081" t="inlineStr">
        <is>
          <t>VÄSTERVIK</t>
        </is>
      </c>
      <c r="G1081" t="n">
        <v>7.1</v>
      </c>
      <c r="H1081" t="n">
        <v>0</v>
      </c>
      <c r="I1081" t="n">
        <v>0</v>
      </c>
      <c r="J1081" t="n">
        <v>1</v>
      </c>
      <c r="K1081" t="n">
        <v>0</v>
      </c>
      <c r="L1081" t="n">
        <v>0</v>
      </c>
      <c r="M1081" t="n">
        <v>0</v>
      </c>
      <c r="N1081" t="n">
        <v>0</v>
      </c>
      <c r="O1081" t="n">
        <v>1</v>
      </c>
      <c r="P1081" t="n">
        <v>0</v>
      </c>
      <c r="Q1081" t="n">
        <v>1</v>
      </c>
      <c r="R1081" s="2" t="inlineStr">
        <is>
          <t>Tallticka</t>
        </is>
      </c>
      <c r="S1081">
        <f>HYPERLINK("https://klasma.github.io/Logging_0883/artfynd/A 22885-2024 artfynd.xlsx", "A 22885-2024")</f>
        <v/>
      </c>
      <c r="T1081">
        <f>HYPERLINK("https://klasma.github.io/Logging_0883/kartor/A 22885-2024 karta.png", "A 22885-2024")</f>
        <v/>
      </c>
      <c r="V1081">
        <f>HYPERLINK("https://klasma.github.io/Logging_0883/klagomål/A 22885-2024 FSC-klagomål.docx", "A 22885-2024")</f>
        <v/>
      </c>
      <c r="W1081">
        <f>HYPERLINK("https://klasma.github.io/Logging_0883/klagomålsmail/A 22885-2024 FSC-klagomål mail.docx", "A 22885-2024")</f>
        <v/>
      </c>
      <c r="X1081">
        <f>HYPERLINK("https://klasma.github.io/Logging_0883/tillsyn/A 22885-2024 tillsynsbegäran.docx", "A 22885-2024")</f>
        <v/>
      </c>
      <c r="Y1081">
        <f>HYPERLINK("https://klasma.github.io/Logging_0883/tillsynsmail/A 22885-2024 tillsynsbegäran mail.docx", "A 22885-2024")</f>
        <v/>
      </c>
    </row>
    <row r="1082" ht="15" customHeight="1">
      <c r="A1082" t="inlineStr">
        <is>
          <t>A 22952-2024</t>
        </is>
      </c>
      <c r="B1082" s="1" t="n">
        <v>45449</v>
      </c>
      <c r="C1082" s="1" t="n">
        <v>45715</v>
      </c>
      <c r="D1082" t="inlineStr">
        <is>
          <t>KALMAR LÄN</t>
        </is>
      </c>
      <c r="E1082" t="inlineStr">
        <is>
          <t>NYBRO</t>
        </is>
      </c>
      <c r="G1082" t="n">
        <v>14.1</v>
      </c>
      <c r="H1082" t="n">
        <v>1</v>
      </c>
      <c r="I1082" t="n">
        <v>0</v>
      </c>
      <c r="J1082" t="n">
        <v>0</v>
      </c>
      <c r="K1082" t="n">
        <v>0</v>
      </c>
      <c r="L1082" t="n">
        <v>0</v>
      </c>
      <c r="M1082" t="n">
        <v>0</v>
      </c>
      <c r="N1082" t="n">
        <v>0</v>
      </c>
      <c r="O1082" t="n">
        <v>0</v>
      </c>
      <c r="P1082" t="n">
        <v>0</v>
      </c>
      <c r="Q1082" t="n">
        <v>1</v>
      </c>
      <c r="R1082" s="2" t="inlineStr">
        <is>
          <t>Revlummer</t>
        </is>
      </c>
      <c r="S1082">
        <f>HYPERLINK("https://klasma.github.io/Logging_0881/artfynd/A 22952-2024 artfynd.xlsx", "A 22952-2024")</f>
        <v/>
      </c>
      <c r="T1082">
        <f>HYPERLINK("https://klasma.github.io/Logging_0881/kartor/A 22952-2024 karta.png", "A 22952-2024")</f>
        <v/>
      </c>
      <c r="V1082">
        <f>HYPERLINK("https://klasma.github.io/Logging_0881/klagomål/A 22952-2024 FSC-klagomål.docx", "A 22952-2024")</f>
        <v/>
      </c>
      <c r="W1082">
        <f>HYPERLINK("https://klasma.github.io/Logging_0881/klagomålsmail/A 22952-2024 FSC-klagomål mail.docx", "A 22952-2024")</f>
        <v/>
      </c>
      <c r="X1082">
        <f>HYPERLINK("https://klasma.github.io/Logging_0881/tillsyn/A 22952-2024 tillsynsbegäran.docx", "A 22952-2024")</f>
        <v/>
      </c>
      <c r="Y1082">
        <f>HYPERLINK("https://klasma.github.io/Logging_0881/tillsynsmail/A 22952-2024 tillsynsbegäran mail.docx", "A 22952-2024")</f>
        <v/>
      </c>
    </row>
    <row r="1083" ht="15" customHeight="1">
      <c r="A1083" t="inlineStr">
        <is>
          <t>A 23082-2024</t>
        </is>
      </c>
      <c r="B1083" s="1" t="n">
        <v>45450</v>
      </c>
      <c r="C1083" s="1" t="n">
        <v>45715</v>
      </c>
      <c r="D1083" t="inlineStr">
        <is>
          <t>KALMAR LÄN</t>
        </is>
      </c>
      <c r="E1083" t="inlineStr">
        <is>
          <t>HULTSFRED</t>
        </is>
      </c>
      <c r="G1083" t="n">
        <v>1.8</v>
      </c>
      <c r="H1083" t="n">
        <v>1</v>
      </c>
      <c r="I1083" t="n">
        <v>0</v>
      </c>
      <c r="J1083" t="n">
        <v>1</v>
      </c>
      <c r="K1083" t="n">
        <v>0</v>
      </c>
      <c r="L1083" t="n">
        <v>0</v>
      </c>
      <c r="M1083" t="n">
        <v>0</v>
      </c>
      <c r="N1083" t="n">
        <v>0</v>
      </c>
      <c r="O1083" t="n">
        <v>1</v>
      </c>
      <c r="P1083" t="n">
        <v>0</v>
      </c>
      <c r="Q1083" t="n">
        <v>1</v>
      </c>
      <c r="R1083" s="2" t="inlineStr">
        <is>
          <t>Spillkråka</t>
        </is>
      </c>
      <c r="S1083">
        <f>HYPERLINK("https://klasma.github.io/Logging_0860/artfynd/A 23082-2024 artfynd.xlsx", "A 23082-2024")</f>
        <v/>
      </c>
      <c r="T1083">
        <f>HYPERLINK("https://klasma.github.io/Logging_0860/kartor/A 23082-2024 karta.png", "A 23082-2024")</f>
        <v/>
      </c>
      <c r="V1083">
        <f>HYPERLINK("https://klasma.github.io/Logging_0860/klagomål/A 23082-2024 FSC-klagomål.docx", "A 23082-2024")</f>
        <v/>
      </c>
      <c r="W1083">
        <f>HYPERLINK("https://klasma.github.io/Logging_0860/klagomålsmail/A 23082-2024 FSC-klagomål mail.docx", "A 23082-2024")</f>
        <v/>
      </c>
      <c r="X1083">
        <f>HYPERLINK("https://klasma.github.io/Logging_0860/tillsyn/A 23082-2024 tillsynsbegäran.docx", "A 23082-2024")</f>
        <v/>
      </c>
      <c r="Y1083">
        <f>HYPERLINK("https://klasma.github.io/Logging_0860/tillsynsmail/A 23082-2024 tillsynsbegäran mail.docx", "A 23082-2024")</f>
        <v/>
      </c>
      <c r="Z1083">
        <f>HYPERLINK("https://klasma.github.io/Logging_0860/fåglar/A 23082-2024 prioriterade fågelarter.docx", "A 23082-2024")</f>
        <v/>
      </c>
    </row>
    <row r="1084" ht="15" customHeight="1">
      <c r="A1084" t="inlineStr">
        <is>
          <t>A 23879-2024</t>
        </is>
      </c>
      <c r="B1084" s="1" t="n">
        <v>45455</v>
      </c>
      <c r="C1084" s="1" t="n">
        <v>45715</v>
      </c>
      <c r="D1084" t="inlineStr">
        <is>
          <t>KALMAR LÄN</t>
        </is>
      </c>
      <c r="E1084" t="inlineStr">
        <is>
          <t>MÖNSTERÅS</t>
        </is>
      </c>
      <c r="G1084" t="n">
        <v>0.6</v>
      </c>
      <c r="H1084" t="n">
        <v>0</v>
      </c>
      <c r="I1084" t="n">
        <v>0</v>
      </c>
      <c r="J1084" t="n">
        <v>1</v>
      </c>
      <c r="K1084" t="n">
        <v>0</v>
      </c>
      <c r="L1084" t="n">
        <v>0</v>
      </c>
      <c r="M1084" t="n">
        <v>0</v>
      </c>
      <c r="N1084" t="n">
        <v>0</v>
      </c>
      <c r="O1084" t="n">
        <v>1</v>
      </c>
      <c r="P1084" t="n">
        <v>0</v>
      </c>
      <c r="Q1084" t="n">
        <v>1</v>
      </c>
      <c r="R1084" s="2" t="inlineStr">
        <is>
          <t>Ekticka</t>
        </is>
      </c>
      <c r="S1084">
        <f>HYPERLINK("https://klasma.github.io/Logging_0861/artfynd/A 23879-2024 artfynd.xlsx", "A 23879-2024")</f>
        <v/>
      </c>
      <c r="T1084">
        <f>HYPERLINK("https://klasma.github.io/Logging_0861/kartor/A 23879-2024 karta.png", "A 23879-2024")</f>
        <v/>
      </c>
      <c r="V1084">
        <f>HYPERLINK("https://klasma.github.io/Logging_0861/klagomål/A 23879-2024 FSC-klagomål.docx", "A 23879-2024")</f>
        <v/>
      </c>
      <c r="W1084">
        <f>HYPERLINK("https://klasma.github.io/Logging_0861/klagomålsmail/A 23879-2024 FSC-klagomål mail.docx", "A 23879-2024")</f>
        <v/>
      </c>
      <c r="X1084">
        <f>HYPERLINK("https://klasma.github.io/Logging_0861/tillsyn/A 23879-2024 tillsynsbegäran.docx", "A 23879-2024")</f>
        <v/>
      </c>
      <c r="Y1084">
        <f>HYPERLINK("https://klasma.github.io/Logging_0861/tillsynsmail/A 23879-2024 tillsynsbegäran mail.docx", "A 23879-2024")</f>
        <v/>
      </c>
    </row>
    <row r="1085" ht="15" customHeight="1">
      <c r="A1085" t="inlineStr">
        <is>
          <t>A 25605-2024</t>
        </is>
      </c>
      <c r="B1085" s="1" t="n">
        <v>45463</v>
      </c>
      <c r="C1085" s="1" t="n">
        <v>45715</v>
      </c>
      <c r="D1085" t="inlineStr">
        <is>
          <t>KALMAR LÄN</t>
        </is>
      </c>
      <c r="E1085" t="inlineStr">
        <is>
          <t>MÖNSTERÅS</t>
        </is>
      </c>
      <c r="G1085" t="n">
        <v>1</v>
      </c>
      <c r="H1085" t="n">
        <v>1</v>
      </c>
      <c r="I1085" t="n">
        <v>0</v>
      </c>
      <c r="J1085" t="n">
        <v>0</v>
      </c>
      <c r="K1085" t="n">
        <v>0</v>
      </c>
      <c r="L1085" t="n">
        <v>0</v>
      </c>
      <c r="M1085" t="n">
        <v>0</v>
      </c>
      <c r="N1085" t="n">
        <v>0</v>
      </c>
      <c r="O1085" t="n">
        <v>0</v>
      </c>
      <c r="P1085" t="n">
        <v>0</v>
      </c>
      <c r="Q1085" t="n">
        <v>1</v>
      </c>
      <c r="R1085" s="2" t="inlineStr">
        <is>
          <t>Gullviva</t>
        </is>
      </c>
      <c r="S1085">
        <f>HYPERLINK("https://klasma.github.io/Logging_0861/artfynd/A 25605-2024 artfynd.xlsx", "A 25605-2024")</f>
        <v/>
      </c>
      <c r="T1085">
        <f>HYPERLINK("https://klasma.github.io/Logging_0861/kartor/A 25605-2024 karta.png", "A 25605-2024")</f>
        <v/>
      </c>
      <c r="V1085">
        <f>HYPERLINK("https://klasma.github.io/Logging_0861/klagomål/A 25605-2024 FSC-klagomål.docx", "A 25605-2024")</f>
        <v/>
      </c>
      <c r="W1085">
        <f>HYPERLINK("https://klasma.github.io/Logging_0861/klagomålsmail/A 25605-2024 FSC-klagomål mail.docx", "A 25605-2024")</f>
        <v/>
      </c>
      <c r="X1085">
        <f>HYPERLINK("https://klasma.github.io/Logging_0861/tillsyn/A 25605-2024 tillsynsbegäran.docx", "A 25605-2024")</f>
        <v/>
      </c>
      <c r="Y1085">
        <f>HYPERLINK("https://klasma.github.io/Logging_0861/tillsynsmail/A 25605-2024 tillsynsbegäran mail.docx", "A 25605-2024")</f>
        <v/>
      </c>
    </row>
    <row r="1086" ht="15" customHeight="1">
      <c r="A1086" t="inlineStr">
        <is>
          <t>A 25776-2024</t>
        </is>
      </c>
      <c r="B1086" s="1" t="n">
        <v>45466</v>
      </c>
      <c r="C1086" s="1" t="n">
        <v>45715</v>
      </c>
      <c r="D1086" t="inlineStr">
        <is>
          <t>KALMAR LÄN</t>
        </is>
      </c>
      <c r="E1086" t="inlineStr">
        <is>
          <t>HULTSFRED</t>
        </is>
      </c>
      <c r="G1086" t="n">
        <v>0.7</v>
      </c>
      <c r="H1086" t="n">
        <v>1</v>
      </c>
      <c r="I1086" t="n">
        <v>0</v>
      </c>
      <c r="J1086" t="n">
        <v>1</v>
      </c>
      <c r="K1086" t="n">
        <v>0</v>
      </c>
      <c r="L1086" t="n">
        <v>0</v>
      </c>
      <c r="M1086" t="n">
        <v>0</v>
      </c>
      <c r="N1086" t="n">
        <v>0</v>
      </c>
      <c r="O1086" t="n">
        <v>1</v>
      </c>
      <c r="P1086" t="n">
        <v>0</v>
      </c>
      <c r="Q1086" t="n">
        <v>1</v>
      </c>
      <c r="R1086" s="2" t="inlineStr">
        <is>
          <t>Spillkråka</t>
        </is>
      </c>
      <c r="S1086">
        <f>HYPERLINK("https://klasma.github.io/Logging_0860/artfynd/A 25776-2024 artfynd.xlsx", "A 25776-2024")</f>
        <v/>
      </c>
      <c r="T1086">
        <f>HYPERLINK("https://klasma.github.io/Logging_0860/kartor/A 25776-2024 karta.png", "A 25776-2024")</f>
        <v/>
      </c>
      <c r="V1086">
        <f>HYPERLINK("https://klasma.github.io/Logging_0860/klagomål/A 25776-2024 FSC-klagomål.docx", "A 25776-2024")</f>
        <v/>
      </c>
      <c r="W1086">
        <f>HYPERLINK("https://klasma.github.io/Logging_0860/klagomålsmail/A 25776-2024 FSC-klagomål mail.docx", "A 25776-2024")</f>
        <v/>
      </c>
      <c r="X1086">
        <f>HYPERLINK("https://klasma.github.io/Logging_0860/tillsyn/A 25776-2024 tillsynsbegäran.docx", "A 25776-2024")</f>
        <v/>
      </c>
      <c r="Y1086">
        <f>HYPERLINK("https://klasma.github.io/Logging_0860/tillsynsmail/A 25776-2024 tillsynsbegäran mail.docx", "A 25776-2024")</f>
        <v/>
      </c>
      <c r="Z1086">
        <f>HYPERLINK("https://klasma.github.io/Logging_0860/fåglar/A 25776-2024 prioriterade fågelarter.docx", "A 25776-2024")</f>
        <v/>
      </c>
    </row>
    <row r="1087" ht="15" customHeight="1">
      <c r="A1087" t="inlineStr">
        <is>
          <t>A 25849-2024</t>
        </is>
      </c>
      <c r="B1087" s="1" t="n">
        <v>45467</v>
      </c>
      <c r="C1087" s="1" t="n">
        <v>45715</v>
      </c>
      <c r="D1087" t="inlineStr">
        <is>
          <t>KALMAR LÄN</t>
        </is>
      </c>
      <c r="E1087" t="inlineStr">
        <is>
          <t>NYBRO</t>
        </is>
      </c>
      <c r="G1087" t="n">
        <v>1.8</v>
      </c>
      <c r="H1087" t="n">
        <v>1</v>
      </c>
      <c r="I1087" t="n">
        <v>0</v>
      </c>
      <c r="J1087" t="n">
        <v>0</v>
      </c>
      <c r="K1087" t="n">
        <v>1</v>
      </c>
      <c r="L1087" t="n">
        <v>0</v>
      </c>
      <c r="M1087" t="n">
        <v>0</v>
      </c>
      <c r="N1087" t="n">
        <v>0</v>
      </c>
      <c r="O1087" t="n">
        <v>1</v>
      </c>
      <c r="P1087" t="n">
        <v>1</v>
      </c>
      <c r="Q1087" t="n">
        <v>1</v>
      </c>
      <c r="R1087" s="2" t="inlineStr">
        <is>
          <t>Knärot</t>
        </is>
      </c>
      <c r="S1087">
        <f>HYPERLINK("https://klasma.github.io/Logging_0881/artfynd/A 25849-2024 artfynd.xlsx", "A 25849-2024")</f>
        <v/>
      </c>
      <c r="T1087">
        <f>HYPERLINK("https://klasma.github.io/Logging_0881/kartor/A 25849-2024 karta.png", "A 25849-2024")</f>
        <v/>
      </c>
      <c r="U1087">
        <f>HYPERLINK("https://klasma.github.io/Logging_0881/knärot/A 25849-2024 karta knärot.png", "A 25849-2024")</f>
        <v/>
      </c>
      <c r="V1087">
        <f>HYPERLINK("https://klasma.github.io/Logging_0881/klagomål/A 25849-2024 FSC-klagomål.docx", "A 25849-2024")</f>
        <v/>
      </c>
      <c r="W1087">
        <f>HYPERLINK("https://klasma.github.io/Logging_0881/klagomålsmail/A 25849-2024 FSC-klagomål mail.docx", "A 25849-2024")</f>
        <v/>
      </c>
      <c r="X1087">
        <f>HYPERLINK("https://klasma.github.io/Logging_0881/tillsyn/A 25849-2024 tillsynsbegäran.docx", "A 25849-2024")</f>
        <v/>
      </c>
      <c r="Y1087">
        <f>HYPERLINK("https://klasma.github.io/Logging_0881/tillsynsmail/A 25849-2024 tillsynsbegäran mail.docx", "A 25849-2024")</f>
        <v/>
      </c>
    </row>
    <row r="1088" ht="15" customHeight="1">
      <c r="A1088" t="inlineStr">
        <is>
          <t>A 27708-2024</t>
        </is>
      </c>
      <c r="B1088" s="1" t="n">
        <v>45475</v>
      </c>
      <c r="C1088" s="1" t="n">
        <v>45715</v>
      </c>
      <c r="D1088" t="inlineStr">
        <is>
          <t>KALMAR LÄN</t>
        </is>
      </c>
      <c r="E1088" t="inlineStr">
        <is>
          <t>VÄSTERVIK</t>
        </is>
      </c>
      <c r="F1088" t="inlineStr">
        <is>
          <t>Holmen skog AB</t>
        </is>
      </c>
      <c r="G1088" t="n">
        <v>1.7</v>
      </c>
      <c r="H1088" t="n">
        <v>1</v>
      </c>
      <c r="I1088" t="n">
        <v>0</v>
      </c>
      <c r="J1088" t="n">
        <v>1</v>
      </c>
      <c r="K1088" t="n">
        <v>0</v>
      </c>
      <c r="L1088" t="n">
        <v>0</v>
      </c>
      <c r="M1088" t="n">
        <v>0</v>
      </c>
      <c r="N1088" t="n">
        <v>0</v>
      </c>
      <c r="O1088" t="n">
        <v>1</v>
      </c>
      <c r="P1088" t="n">
        <v>0</v>
      </c>
      <c r="Q1088" t="n">
        <v>1</v>
      </c>
      <c r="R1088" s="2" t="inlineStr">
        <is>
          <t>Spillkråka</t>
        </is>
      </c>
      <c r="S1088">
        <f>HYPERLINK("https://klasma.github.io/Logging_0883/artfynd/A 27708-2024 artfynd.xlsx", "A 27708-2024")</f>
        <v/>
      </c>
      <c r="T1088">
        <f>HYPERLINK("https://klasma.github.io/Logging_0883/kartor/A 27708-2024 karta.png", "A 27708-2024")</f>
        <v/>
      </c>
      <c r="V1088">
        <f>HYPERLINK("https://klasma.github.io/Logging_0883/klagomål/A 27708-2024 FSC-klagomål.docx", "A 27708-2024")</f>
        <v/>
      </c>
      <c r="W1088">
        <f>HYPERLINK("https://klasma.github.io/Logging_0883/klagomålsmail/A 27708-2024 FSC-klagomål mail.docx", "A 27708-2024")</f>
        <v/>
      </c>
      <c r="X1088">
        <f>HYPERLINK("https://klasma.github.io/Logging_0883/tillsyn/A 27708-2024 tillsynsbegäran.docx", "A 27708-2024")</f>
        <v/>
      </c>
      <c r="Y1088">
        <f>HYPERLINK("https://klasma.github.io/Logging_0883/tillsynsmail/A 27708-2024 tillsynsbegäran mail.docx", "A 27708-2024")</f>
        <v/>
      </c>
      <c r="Z1088">
        <f>HYPERLINK("https://klasma.github.io/Logging_0883/fåglar/A 27708-2024 prioriterade fågelarter.docx", "A 27708-2024")</f>
        <v/>
      </c>
    </row>
    <row r="1089" ht="15" customHeight="1">
      <c r="A1089" t="inlineStr">
        <is>
          <t>A 27760-2024</t>
        </is>
      </c>
      <c r="B1089" s="1" t="n">
        <v>45475</v>
      </c>
      <c r="C1089" s="1" t="n">
        <v>45715</v>
      </c>
      <c r="D1089" t="inlineStr">
        <is>
          <t>KALMAR LÄN</t>
        </is>
      </c>
      <c r="E1089" t="inlineStr">
        <is>
          <t>KALMAR</t>
        </is>
      </c>
      <c r="G1089" t="n">
        <v>3.3</v>
      </c>
      <c r="H1089" t="n">
        <v>0</v>
      </c>
      <c r="I1089" t="n">
        <v>1</v>
      </c>
      <c r="J1089" t="n">
        <v>0</v>
      </c>
      <c r="K1089" t="n">
        <v>0</v>
      </c>
      <c r="L1089" t="n">
        <v>0</v>
      </c>
      <c r="M1089" t="n">
        <v>0</v>
      </c>
      <c r="N1089" t="n">
        <v>0</v>
      </c>
      <c r="O1089" t="n">
        <v>0</v>
      </c>
      <c r="P1089" t="n">
        <v>0</v>
      </c>
      <c r="Q1089" t="n">
        <v>1</v>
      </c>
      <c r="R1089" s="2" t="inlineStr">
        <is>
          <t>Vit vaxskivling</t>
        </is>
      </c>
      <c r="S1089">
        <f>HYPERLINK("https://klasma.github.io/Logging_0880/artfynd/A 27760-2024 artfynd.xlsx", "A 27760-2024")</f>
        <v/>
      </c>
      <c r="T1089">
        <f>HYPERLINK("https://klasma.github.io/Logging_0880/kartor/A 27760-2024 karta.png", "A 27760-2024")</f>
        <v/>
      </c>
      <c r="V1089">
        <f>HYPERLINK("https://klasma.github.io/Logging_0880/klagomål/A 27760-2024 FSC-klagomål.docx", "A 27760-2024")</f>
        <v/>
      </c>
      <c r="W1089">
        <f>HYPERLINK("https://klasma.github.io/Logging_0880/klagomålsmail/A 27760-2024 FSC-klagomål mail.docx", "A 27760-2024")</f>
        <v/>
      </c>
      <c r="X1089">
        <f>HYPERLINK("https://klasma.github.io/Logging_0880/tillsyn/A 27760-2024 tillsynsbegäran.docx", "A 27760-2024")</f>
        <v/>
      </c>
      <c r="Y1089">
        <f>HYPERLINK("https://klasma.github.io/Logging_0880/tillsynsmail/A 27760-2024 tillsynsbegäran mail.docx", "A 27760-2024")</f>
        <v/>
      </c>
    </row>
    <row r="1090" ht="15" customHeight="1">
      <c r="A1090" t="inlineStr">
        <is>
          <t>A 28488-2024</t>
        </is>
      </c>
      <c r="B1090" s="1" t="n">
        <v>45477</v>
      </c>
      <c r="C1090" s="1" t="n">
        <v>45715</v>
      </c>
      <c r="D1090" t="inlineStr">
        <is>
          <t>KALMAR LÄN</t>
        </is>
      </c>
      <c r="E1090" t="inlineStr">
        <is>
          <t>HULTSFRED</t>
        </is>
      </c>
      <c r="G1090" t="n">
        <v>2</v>
      </c>
      <c r="H1090" t="n">
        <v>1</v>
      </c>
      <c r="I1090" t="n">
        <v>0</v>
      </c>
      <c r="J1090" t="n">
        <v>0</v>
      </c>
      <c r="K1090" t="n">
        <v>1</v>
      </c>
      <c r="L1090" t="n">
        <v>0</v>
      </c>
      <c r="M1090" t="n">
        <v>0</v>
      </c>
      <c r="N1090" t="n">
        <v>0</v>
      </c>
      <c r="O1090" t="n">
        <v>1</v>
      </c>
      <c r="P1090" t="n">
        <v>1</v>
      </c>
      <c r="Q1090" t="n">
        <v>1</v>
      </c>
      <c r="R1090" s="2" t="inlineStr">
        <is>
          <t>Knärot</t>
        </is>
      </c>
      <c r="S1090">
        <f>HYPERLINK("https://klasma.github.io/Logging_0860/artfynd/A 28488-2024 artfynd.xlsx", "A 28488-2024")</f>
        <v/>
      </c>
      <c r="T1090">
        <f>HYPERLINK("https://klasma.github.io/Logging_0860/kartor/A 28488-2024 karta.png", "A 28488-2024")</f>
        <v/>
      </c>
      <c r="U1090">
        <f>HYPERLINK("https://klasma.github.io/Logging_0860/knärot/A 28488-2024 karta knärot.png", "A 28488-2024")</f>
        <v/>
      </c>
      <c r="V1090">
        <f>HYPERLINK("https://klasma.github.io/Logging_0860/klagomål/A 28488-2024 FSC-klagomål.docx", "A 28488-2024")</f>
        <v/>
      </c>
      <c r="W1090">
        <f>HYPERLINK("https://klasma.github.io/Logging_0860/klagomålsmail/A 28488-2024 FSC-klagomål mail.docx", "A 28488-2024")</f>
        <v/>
      </c>
      <c r="X1090">
        <f>HYPERLINK("https://klasma.github.io/Logging_0860/tillsyn/A 28488-2024 tillsynsbegäran.docx", "A 28488-2024")</f>
        <v/>
      </c>
      <c r="Y1090">
        <f>HYPERLINK("https://klasma.github.io/Logging_0860/tillsynsmail/A 28488-2024 tillsynsbegäran mail.docx", "A 28488-2024")</f>
        <v/>
      </c>
    </row>
    <row r="1091" ht="15" customHeight="1">
      <c r="A1091" t="inlineStr">
        <is>
          <t>A 29398-2024</t>
        </is>
      </c>
      <c r="B1091" s="1" t="n">
        <v>45483</v>
      </c>
      <c r="C1091" s="1" t="n">
        <v>45715</v>
      </c>
      <c r="D1091" t="inlineStr">
        <is>
          <t>KALMAR LÄN</t>
        </is>
      </c>
      <c r="E1091" t="inlineStr">
        <is>
          <t>VÄSTERVIK</t>
        </is>
      </c>
      <c r="G1091" t="n">
        <v>2.7</v>
      </c>
      <c r="H1091" t="n">
        <v>0</v>
      </c>
      <c r="I1091" t="n">
        <v>0</v>
      </c>
      <c r="J1091" t="n">
        <v>1</v>
      </c>
      <c r="K1091" t="n">
        <v>0</v>
      </c>
      <c r="L1091" t="n">
        <v>0</v>
      </c>
      <c r="M1091" t="n">
        <v>0</v>
      </c>
      <c r="N1091" t="n">
        <v>0</v>
      </c>
      <c r="O1091" t="n">
        <v>1</v>
      </c>
      <c r="P1091" t="n">
        <v>0</v>
      </c>
      <c r="Q1091" t="n">
        <v>1</v>
      </c>
      <c r="R1091" s="2" t="inlineStr">
        <is>
          <t>Skogsklocka</t>
        </is>
      </c>
      <c r="S1091">
        <f>HYPERLINK("https://klasma.github.io/Logging_0883/artfynd/A 29398-2024 artfynd.xlsx", "A 29398-2024")</f>
        <v/>
      </c>
      <c r="T1091">
        <f>HYPERLINK("https://klasma.github.io/Logging_0883/kartor/A 29398-2024 karta.png", "A 29398-2024")</f>
        <v/>
      </c>
      <c r="V1091">
        <f>HYPERLINK("https://klasma.github.io/Logging_0883/klagomål/A 29398-2024 FSC-klagomål.docx", "A 29398-2024")</f>
        <v/>
      </c>
      <c r="W1091">
        <f>HYPERLINK("https://klasma.github.io/Logging_0883/klagomålsmail/A 29398-2024 FSC-klagomål mail.docx", "A 29398-2024")</f>
        <v/>
      </c>
      <c r="X1091">
        <f>HYPERLINK("https://klasma.github.io/Logging_0883/tillsyn/A 29398-2024 tillsynsbegäran.docx", "A 29398-2024")</f>
        <v/>
      </c>
      <c r="Y1091">
        <f>HYPERLINK("https://klasma.github.io/Logging_0883/tillsynsmail/A 29398-2024 tillsynsbegäran mail.docx", "A 29398-2024")</f>
        <v/>
      </c>
    </row>
    <row r="1092" ht="15" customHeight="1">
      <c r="A1092" t="inlineStr">
        <is>
          <t>A 30022-2024</t>
        </is>
      </c>
      <c r="B1092" s="1" t="n">
        <v>45488</v>
      </c>
      <c r="C1092" s="1" t="n">
        <v>45715</v>
      </c>
      <c r="D1092" t="inlineStr">
        <is>
          <t>KALMAR LÄN</t>
        </is>
      </c>
      <c r="E1092" t="inlineStr">
        <is>
          <t>MÖNSTERÅS</t>
        </is>
      </c>
      <c r="G1092" t="n">
        <v>1.9</v>
      </c>
      <c r="H1092" t="n">
        <v>0</v>
      </c>
      <c r="I1092" t="n">
        <v>1</v>
      </c>
      <c r="J1092" t="n">
        <v>0</v>
      </c>
      <c r="K1092" t="n">
        <v>0</v>
      </c>
      <c r="L1092" t="n">
        <v>0</v>
      </c>
      <c r="M1092" t="n">
        <v>0</v>
      </c>
      <c r="N1092" t="n">
        <v>0</v>
      </c>
      <c r="O1092" t="n">
        <v>0</v>
      </c>
      <c r="P1092" t="n">
        <v>0</v>
      </c>
      <c r="Q1092" t="n">
        <v>1</v>
      </c>
      <c r="R1092" s="2" t="inlineStr">
        <is>
          <t>Bronshjon</t>
        </is>
      </c>
      <c r="S1092">
        <f>HYPERLINK("https://klasma.github.io/Logging_0861/artfynd/A 30022-2024 artfynd.xlsx", "A 30022-2024")</f>
        <v/>
      </c>
      <c r="T1092">
        <f>HYPERLINK("https://klasma.github.io/Logging_0861/kartor/A 30022-2024 karta.png", "A 30022-2024")</f>
        <v/>
      </c>
      <c r="V1092">
        <f>HYPERLINK("https://klasma.github.io/Logging_0861/klagomål/A 30022-2024 FSC-klagomål.docx", "A 30022-2024")</f>
        <v/>
      </c>
      <c r="W1092">
        <f>HYPERLINK("https://klasma.github.io/Logging_0861/klagomålsmail/A 30022-2024 FSC-klagomål mail.docx", "A 30022-2024")</f>
        <v/>
      </c>
      <c r="X1092">
        <f>HYPERLINK("https://klasma.github.io/Logging_0861/tillsyn/A 30022-2024 tillsynsbegäran.docx", "A 30022-2024")</f>
        <v/>
      </c>
      <c r="Y1092">
        <f>HYPERLINK("https://klasma.github.io/Logging_0861/tillsynsmail/A 30022-2024 tillsynsbegäran mail.docx", "A 30022-2024")</f>
        <v/>
      </c>
    </row>
    <row r="1093" ht="15" customHeight="1">
      <c r="A1093" t="inlineStr">
        <is>
          <t>A 30386-2024</t>
        </is>
      </c>
      <c r="B1093" s="1" t="n">
        <v>45491</v>
      </c>
      <c r="C1093" s="1" t="n">
        <v>45715</v>
      </c>
      <c r="D1093" t="inlineStr">
        <is>
          <t>KALMAR LÄN</t>
        </is>
      </c>
      <c r="E1093" t="inlineStr">
        <is>
          <t>VÄSTERVIK</t>
        </is>
      </c>
      <c r="F1093" t="inlineStr">
        <is>
          <t>Holmen skog AB</t>
        </is>
      </c>
      <c r="G1093" t="n">
        <v>3.7</v>
      </c>
      <c r="H1093" t="n">
        <v>0</v>
      </c>
      <c r="I1093" t="n">
        <v>0</v>
      </c>
      <c r="J1093" t="n">
        <v>1</v>
      </c>
      <c r="K1093" t="n">
        <v>0</v>
      </c>
      <c r="L1093" t="n">
        <v>0</v>
      </c>
      <c r="M1093" t="n">
        <v>0</v>
      </c>
      <c r="N1093" t="n">
        <v>0</v>
      </c>
      <c r="O1093" t="n">
        <v>1</v>
      </c>
      <c r="P1093" t="n">
        <v>0</v>
      </c>
      <c r="Q1093" t="n">
        <v>1</v>
      </c>
      <c r="R1093" s="2" t="inlineStr">
        <is>
          <t>Svedjenäva</t>
        </is>
      </c>
      <c r="S1093">
        <f>HYPERLINK("https://klasma.github.io/Logging_0883/artfynd/A 30386-2024 artfynd.xlsx", "A 30386-2024")</f>
        <v/>
      </c>
      <c r="T1093">
        <f>HYPERLINK("https://klasma.github.io/Logging_0883/kartor/A 30386-2024 karta.png", "A 30386-2024")</f>
        <v/>
      </c>
      <c r="V1093">
        <f>HYPERLINK("https://klasma.github.io/Logging_0883/klagomål/A 30386-2024 FSC-klagomål.docx", "A 30386-2024")</f>
        <v/>
      </c>
      <c r="W1093">
        <f>HYPERLINK("https://klasma.github.io/Logging_0883/klagomålsmail/A 30386-2024 FSC-klagomål mail.docx", "A 30386-2024")</f>
        <v/>
      </c>
      <c r="X1093">
        <f>HYPERLINK("https://klasma.github.io/Logging_0883/tillsyn/A 30386-2024 tillsynsbegäran.docx", "A 30386-2024")</f>
        <v/>
      </c>
      <c r="Y1093">
        <f>HYPERLINK("https://klasma.github.io/Logging_0883/tillsynsmail/A 30386-2024 tillsynsbegäran mail.docx", "A 30386-2024")</f>
        <v/>
      </c>
    </row>
    <row r="1094" ht="15" customHeight="1">
      <c r="A1094" t="inlineStr">
        <is>
          <t>A 30746-2024</t>
        </is>
      </c>
      <c r="B1094" s="1" t="n">
        <v>45496</v>
      </c>
      <c r="C1094" s="1" t="n">
        <v>45715</v>
      </c>
      <c r="D1094" t="inlineStr">
        <is>
          <t>KALMAR LÄN</t>
        </is>
      </c>
      <c r="E1094" t="inlineStr">
        <is>
          <t>NYBRO</t>
        </is>
      </c>
      <c r="G1094" t="n">
        <v>1</v>
      </c>
      <c r="H1094" t="n">
        <v>0</v>
      </c>
      <c r="I1094" t="n">
        <v>0</v>
      </c>
      <c r="J1094" t="n">
        <v>1</v>
      </c>
      <c r="K1094" t="n">
        <v>0</v>
      </c>
      <c r="L1094" t="n">
        <v>0</v>
      </c>
      <c r="M1094" t="n">
        <v>0</v>
      </c>
      <c r="N1094" t="n">
        <v>0</v>
      </c>
      <c r="O1094" t="n">
        <v>1</v>
      </c>
      <c r="P1094" t="n">
        <v>0</v>
      </c>
      <c r="Q1094" t="n">
        <v>1</v>
      </c>
      <c r="R1094" s="2" t="inlineStr">
        <is>
          <t>Granspira</t>
        </is>
      </c>
      <c r="S1094">
        <f>HYPERLINK("https://klasma.github.io/Logging_0881/artfynd/A 30746-2024 artfynd.xlsx", "A 30746-2024")</f>
        <v/>
      </c>
      <c r="T1094">
        <f>HYPERLINK("https://klasma.github.io/Logging_0881/kartor/A 30746-2024 karta.png", "A 30746-2024")</f>
        <v/>
      </c>
      <c r="V1094">
        <f>HYPERLINK("https://klasma.github.io/Logging_0881/klagomål/A 30746-2024 FSC-klagomål.docx", "A 30746-2024")</f>
        <v/>
      </c>
      <c r="W1094">
        <f>HYPERLINK("https://klasma.github.io/Logging_0881/klagomålsmail/A 30746-2024 FSC-klagomål mail.docx", "A 30746-2024")</f>
        <v/>
      </c>
      <c r="X1094">
        <f>HYPERLINK("https://klasma.github.io/Logging_0881/tillsyn/A 30746-2024 tillsynsbegäran.docx", "A 30746-2024")</f>
        <v/>
      </c>
      <c r="Y1094">
        <f>HYPERLINK("https://klasma.github.io/Logging_0881/tillsynsmail/A 30746-2024 tillsynsbegäran mail.docx", "A 30746-2024")</f>
        <v/>
      </c>
    </row>
    <row r="1095" ht="15" customHeight="1">
      <c r="A1095" t="inlineStr">
        <is>
          <t>A 31865-2024</t>
        </is>
      </c>
      <c r="B1095" s="1" t="n">
        <v>45509</v>
      </c>
      <c r="C1095" s="1" t="n">
        <v>45715</v>
      </c>
      <c r="D1095" t="inlineStr">
        <is>
          <t>KALMAR LÄN</t>
        </is>
      </c>
      <c r="E1095" t="inlineStr">
        <is>
          <t>HULTSFRED</t>
        </is>
      </c>
      <c r="G1095" t="n">
        <v>4</v>
      </c>
      <c r="H1095" t="n">
        <v>1</v>
      </c>
      <c r="I1095" t="n">
        <v>0</v>
      </c>
      <c r="J1095" t="n">
        <v>0</v>
      </c>
      <c r="K1095" t="n">
        <v>0</v>
      </c>
      <c r="L1095" t="n">
        <v>0</v>
      </c>
      <c r="M1095" t="n">
        <v>0</v>
      </c>
      <c r="N1095" t="n">
        <v>0</v>
      </c>
      <c r="O1095" t="n">
        <v>0</v>
      </c>
      <c r="P1095" t="n">
        <v>0</v>
      </c>
      <c r="Q1095" t="n">
        <v>1</v>
      </c>
      <c r="R1095" s="2" t="inlineStr">
        <is>
          <t>Blåsippa</t>
        </is>
      </c>
      <c r="S1095">
        <f>HYPERLINK("https://klasma.github.io/Logging_0860/artfynd/A 31865-2024 artfynd.xlsx", "A 31865-2024")</f>
        <v/>
      </c>
      <c r="T1095">
        <f>HYPERLINK("https://klasma.github.io/Logging_0860/kartor/A 31865-2024 karta.png", "A 31865-2024")</f>
        <v/>
      </c>
      <c r="V1095">
        <f>HYPERLINK("https://klasma.github.io/Logging_0860/klagomål/A 31865-2024 FSC-klagomål.docx", "A 31865-2024")</f>
        <v/>
      </c>
      <c r="W1095">
        <f>HYPERLINK("https://klasma.github.io/Logging_0860/klagomålsmail/A 31865-2024 FSC-klagomål mail.docx", "A 31865-2024")</f>
        <v/>
      </c>
      <c r="X1095">
        <f>HYPERLINK("https://klasma.github.io/Logging_0860/tillsyn/A 31865-2024 tillsynsbegäran.docx", "A 31865-2024")</f>
        <v/>
      </c>
      <c r="Y1095">
        <f>HYPERLINK("https://klasma.github.io/Logging_0860/tillsynsmail/A 31865-2024 tillsynsbegäran mail.docx", "A 31865-2024")</f>
        <v/>
      </c>
    </row>
    <row r="1096" ht="15" customHeight="1">
      <c r="A1096" t="inlineStr">
        <is>
          <t>A 32356-2024</t>
        </is>
      </c>
      <c r="B1096" s="1" t="n">
        <v>45512</v>
      </c>
      <c r="C1096" s="1" t="n">
        <v>45715</v>
      </c>
      <c r="D1096" t="inlineStr">
        <is>
          <t>KALMAR LÄN</t>
        </is>
      </c>
      <c r="E1096" t="inlineStr">
        <is>
          <t>HÖGSBY</t>
        </is>
      </c>
      <c r="G1096" t="n">
        <v>3.6</v>
      </c>
      <c r="H1096" t="n">
        <v>1</v>
      </c>
      <c r="I1096" t="n">
        <v>0</v>
      </c>
      <c r="J1096" t="n">
        <v>0</v>
      </c>
      <c r="K1096" t="n">
        <v>0</v>
      </c>
      <c r="L1096" t="n">
        <v>0</v>
      </c>
      <c r="M1096" t="n">
        <v>0</v>
      </c>
      <c r="N1096" t="n">
        <v>0</v>
      </c>
      <c r="O1096" t="n">
        <v>0</v>
      </c>
      <c r="P1096" t="n">
        <v>0</v>
      </c>
      <c r="Q1096" t="n">
        <v>1</v>
      </c>
      <c r="R1096" s="2" t="inlineStr">
        <is>
          <t>Större vattensalamander</t>
        </is>
      </c>
      <c r="S1096">
        <f>HYPERLINK("https://klasma.github.io/Logging_0821/artfynd/A 32356-2024 artfynd.xlsx", "A 32356-2024")</f>
        <v/>
      </c>
      <c r="T1096">
        <f>HYPERLINK("https://klasma.github.io/Logging_0821/kartor/A 32356-2024 karta.png", "A 32356-2024")</f>
        <v/>
      </c>
      <c r="V1096">
        <f>HYPERLINK("https://klasma.github.io/Logging_0821/klagomål/A 32356-2024 FSC-klagomål.docx", "A 32356-2024")</f>
        <v/>
      </c>
      <c r="W1096">
        <f>HYPERLINK("https://klasma.github.io/Logging_0821/klagomålsmail/A 32356-2024 FSC-klagomål mail.docx", "A 32356-2024")</f>
        <v/>
      </c>
      <c r="X1096">
        <f>HYPERLINK("https://klasma.github.io/Logging_0821/tillsyn/A 32356-2024 tillsynsbegäran.docx", "A 32356-2024")</f>
        <v/>
      </c>
      <c r="Y1096">
        <f>HYPERLINK("https://klasma.github.io/Logging_0821/tillsynsmail/A 32356-2024 tillsynsbegäran mail.docx", "A 32356-2024")</f>
        <v/>
      </c>
    </row>
    <row r="1097" ht="15" customHeight="1">
      <c r="A1097" t="inlineStr">
        <is>
          <t>A 34357-2024</t>
        </is>
      </c>
      <c r="B1097" s="1" t="n">
        <v>45525</v>
      </c>
      <c r="C1097" s="1" t="n">
        <v>45715</v>
      </c>
      <c r="D1097" t="inlineStr">
        <is>
          <t>KALMAR LÄN</t>
        </is>
      </c>
      <c r="E1097" t="inlineStr">
        <is>
          <t>VÄSTERVIK</t>
        </is>
      </c>
      <c r="F1097" t="inlineStr">
        <is>
          <t>Övriga Aktiebolag</t>
        </is>
      </c>
      <c r="G1097" t="n">
        <v>14</v>
      </c>
      <c r="H1097" t="n">
        <v>1</v>
      </c>
      <c r="I1097" t="n">
        <v>0</v>
      </c>
      <c r="J1097" t="n">
        <v>1</v>
      </c>
      <c r="K1097" t="n">
        <v>0</v>
      </c>
      <c r="L1097" t="n">
        <v>0</v>
      </c>
      <c r="M1097" t="n">
        <v>0</v>
      </c>
      <c r="N1097" t="n">
        <v>0</v>
      </c>
      <c r="O1097" t="n">
        <v>1</v>
      </c>
      <c r="P1097" t="n">
        <v>0</v>
      </c>
      <c r="Q1097" t="n">
        <v>1</v>
      </c>
      <c r="R1097" s="2" t="inlineStr">
        <is>
          <t>Havsörn</t>
        </is>
      </c>
      <c r="S1097">
        <f>HYPERLINK("https://klasma.github.io/Logging_0883/artfynd/A 34357-2024 artfynd.xlsx", "A 34357-2024")</f>
        <v/>
      </c>
      <c r="T1097">
        <f>HYPERLINK("https://klasma.github.io/Logging_0883/kartor/A 34357-2024 karta.png", "A 34357-2024")</f>
        <v/>
      </c>
      <c r="V1097">
        <f>HYPERLINK("https://klasma.github.io/Logging_0883/klagomål/A 34357-2024 FSC-klagomål.docx", "A 34357-2024")</f>
        <v/>
      </c>
      <c r="W1097">
        <f>HYPERLINK("https://klasma.github.io/Logging_0883/klagomålsmail/A 34357-2024 FSC-klagomål mail.docx", "A 34357-2024")</f>
        <v/>
      </c>
      <c r="X1097">
        <f>HYPERLINK("https://klasma.github.io/Logging_0883/tillsyn/A 34357-2024 tillsynsbegäran.docx", "A 34357-2024")</f>
        <v/>
      </c>
      <c r="Y1097">
        <f>HYPERLINK("https://klasma.github.io/Logging_0883/tillsynsmail/A 34357-2024 tillsynsbegäran mail.docx", "A 34357-2024")</f>
        <v/>
      </c>
      <c r="Z1097">
        <f>HYPERLINK("https://klasma.github.io/Logging_0883/fåglar/A 34357-2024 prioriterade fågelarter.docx", "A 34357-2024")</f>
        <v/>
      </c>
    </row>
    <row r="1098" ht="15" customHeight="1">
      <c r="A1098" t="inlineStr">
        <is>
          <t>A 34784-2024</t>
        </is>
      </c>
      <c r="B1098" s="1" t="n">
        <v>45526</v>
      </c>
      <c r="C1098" s="1" t="n">
        <v>45715</v>
      </c>
      <c r="D1098" t="inlineStr">
        <is>
          <t>KALMAR LÄN</t>
        </is>
      </c>
      <c r="E1098" t="inlineStr">
        <is>
          <t>KALMAR</t>
        </is>
      </c>
      <c r="G1098" t="n">
        <v>1.5</v>
      </c>
      <c r="H1098" t="n">
        <v>1</v>
      </c>
      <c r="I1098" t="n">
        <v>0</v>
      </c>
      <c r="J1098" t="n">
        <v>0</v>
      </c>
      <c r="K1098" t="n">
        <v>0</v>
      </c>
      <c r="L1098" t="n">
        <v>0</v>
      </c>
      <c r="M1098" t="n">
        <v>0</v>
      </c>
      <c r="N1098" t="n">
        <v>0</v>
      </c>
      <c r="O1098" t="n">
        <v>0</v>
      </c>
      <c r="P1098" t="n">
        <v>0</v>
      </c>
      <c r="Q1098" t="n">
        <v>1</v>
      </c>
      <c r="R1098" s="2" t="inlineStr">
        <is>
          <t>Mattlummer</t>
        </is>
      </c>
      <c r="S1098">
        <f>HYPERLINK("https://klasma.github.io/Logging_0880/artfynd/A 34784-2024 artfynd.xlsx", "A 34784-2024")</f>
        <v/>
      </c>
      <c r="T1098">
        <f>HYPERLINK("https://klasma.github.io/Logging_0880/kartor/A 34784-2024 karta.png", "A 34784-2024")</f>
        <v/>
      </c>
      <c r="V1098">
        <f>HYPERLINK("https://klasma.github.io/Logging_0880/klagomål/A 34784-2024 FSC-klagomål.docx", "A 34784-2024")</f>
        <v/>
      </c>
      <c r="W1098">
        <f>HYPERLINK("https://klasma.github.io/Logging_0880/klagomålsmail/A 34784-2024 FSC-klagomål mail.docx", "A 34784-2024")</f>
        <v/>
      </c>
      <c r="X1098">
        <f>HYPERLINK("https://klasma.github.io/Logging_0880/tillsyn/A 34784-2024 tillsynsbegäran.docx", "A 34784-2024")</f>
        <v/>
      </c>
      <c r="Y1098">
        <f>HYPERLINK("https://klasma.github.io/Logging_0880/tillsynsmail/A 34784-2024 tillsynsbegäran mail.docx", "A 34784-2024")</f>
        <v/>
      </c>
    </row>
    <row r="1099" ht="15" customHeight="1">
      <c r="A1099" t="inlineStr">
        <is>
          <t>A 34836-2024</t>
        </is>
      </c>
      <c r="B1099" s="1" t="n">
        <v>45526</v>
      </c>
      <c r="C1099" s="1" t="n">
        <v>45715</v>
      </c>
      <c r="D1099" t="inlineStr">
        <is>
          <t>KALMAR LÄN</t>
        </is>
      </c>
      <c r="E1099" t="inlineStr">
        <is>
          <t>OSKARSHAMN</t>
        </is>
      </c>
      <c r="G1099" t="n">
        <v>8.6</v>
      </c>
      <c r="H1099" t="n">
        <v>1</v>
      </c>
      <c r="I1099" t="n">
        <v>0</v>
      </c>
      <c r="J1099" t="n">
        <v>0</v>
      </c>
      <c r="K1099" t="n">
        <v>0</v>
      </c>
      <c r="L1099" t="n">
        <v>0</v>
      </c>
      <c r="M1099" t="n">
        <v>0</v>
      </c>
      <c r="N1099" t="n">
        <v>0</v>
      </c>
      <c r="O1099" t="n">
        <v>0</v>
      </c>
      <c r="P1099" t="n">
        <v>0</v>
      </c>
      <c r="Q1099" t="n">
        <v>1</v>
      </c>
      <c r="R1099" s="2" t="inlineStr">
        <is>
          <t>Blåsippa</t>
        </is>
      </c>
      <c r="S1099">
        <f>HYPERLINK("https://klasma.github.io/Logging_0882/artfynd/A 34836-2024 artfynd.xlsx", "A 34836-2024")</f>
        <v/>
      </c>
      <c r="T1099">
        <f>HYPERLINK("https://klasma.github.io/Logging_0882/kartor/A 34836-2024 karta.png", "A 34836-2024")</f>
        <v/>
      </c>
      <c r="V1099">
        <f>HYPERLINK("https://klasma.github.io/Logging_0882/klagomål/A 34836-2024 FSC-klagomål.docx", "A 34836-2024")</f>
        <v/>
      </c>
      <c r="W1099">
        <f>HYPERLINK("https://klasma.github.io/Logging_0882/klagomålsmail/A 34836-2024 FSC-klagomål mail.docx", "A 34836-2024")</f>
        <v/>
      </c>
      <c r="X1099">
        <f>HYPERLINK("https://klasma.github.io/Logging_0882/tillsyn/A 34836-2024 tillsynsbegäran.docx", "A 34836-2024")</f>
        <v/>
      </c>
      <c r="Y1099">
        <f>HYPERLINK("https://klasma.github.io/Logging_0882/tillsynsmail/A 34836-2024 tillsynsbegäran mail.docx", "A 34836-2024")</f>
        <v/>
      </c>
    </row>
    <row r="1100" ht="15" customHeight="1">
      <c r="A1100" t="inlineStr">
        <is>
          <t>A 35028-2024</t>
        </is>
      </c>
      <c r="B1100" s="1" t="n">
        <v>45527</v>
      </c>
      <c r="C1100" s="1" t="n">
        <v>45715</v>
      </c>
      <c r="D1100" t="inlineStr">
        <is>
          <t>KALMAR LÄN</t>
        </is>
      </c>
      <c r="E1100" t="inlineStr">
        <is>
          <t>VÄSTERVIK</t>
        </is>
      </c>
      <c r="G1100" t="n">
        <v>1.3</v>
      </c>
      <c r="H1100" t="n">
        <v>0</v>
      </c>
      <c r="I1100" t="n">
        <v>1</v>
      </c>
      <c r="J1100" t="n">
        <v>0</v>
      </c>
      <c r="K1100" t="n">
        <v>0</v>
      </c>
      <c r="L1100" t="n">
        <v>0</v>
      </c>
      <c r="M1100" t="n">
        <v>0</v>
      </c>
      <c r="N1100" t="n">
        <v>0</v>
      </c>
      <c r="O1100" t="n">
        <v>0</v>
      </c>
      <c r="P1100" t="n">
        <v>0</v>
      </c>
      <c r="Q1100" t="n">
        <v>1</v>
      </c>
      <c r="R1100" s="2" t="inlineStr">
        <is>
          <t>Blomkålssvamp</t>
        </is>
      </c>
      <c r="S1100">
        <f>HYPERLINK("https://klasma.github.io/Logging_0883/artfynd/A 35028-2024 artfynd.xlsx", "A 35028-2024")</f>
        <v/>
      </c>
      <c r="T1100">
        <f>HYPERLINK("https://klasma.github.io/Logging_0883/kartor/A 35028-2024 karta.png", "A 35028-2024")</f>
        <v/>
      </c>
      <c r="V1100">
        <f>HYPERLINK("https://klasma.github.io/Logging_0883/klagomål/A 35028-2024 FSC-klagomål.docx", "A 35028-2024")</f>
        <v/>
      </c>
      <c r="W1100">
        <f>HYPERLINK("https://klasma.github.io/Logging_0883/klagomålsmail/A 35028-2024 FSC-klagomål mail.docx", "A 35028-2024")</f>
        <v/>
      </c>
      <c r="X1100">
        <f>HYPERLINK("https://klasma.github.io/Logging_0883/tillsyn/A 35028-2024 tillsynsbegäran.docx", "A 35028-2024")</f>
        <v/>
      </c>
      <c r="Y1100">
        <f>HYPERLINK("https://klasma.github.io/Logging_0883/tillsynsmail/A 35028-2024 tillsynsbegäran mail.docx", "A 35028-2024")</f>
        <v/>
      </c>
    </row>
    <row r="1101" ht="15" customHeight="1">
      <c r="A1101" t="inlineStr">
        <is>
          <t>A 35155-2024</t>
        </is>
      </c>
      <c r="B1101" s="1" t="n">
        <v>45530</v>
      </c>
      <c r="C1101" s="1" t="n">
        <v>45715</v>
      </c>
      <c r="D1101" t="inlineStr">
        <is>
          <t>KALMAR LÄN</t>
        </is>
      </c>
      <c r="E1101" t="inlineStr">
        <is>
          <t>OSKARSHAMN</t>
        </is>
      </c>
      <c r="F1101" t="inlineStr">
        <is>
          <t>Sveaskog</t>
        </is>
      </c>
      <c r="G1101" t="n">
        <v>7</v>
      </c>
      <c r="H1101" t="n">
        <v>0</v>
      </c>
      <c r="I1101" t="n">
        <v>0</v>
      </c>
      <c r="J1101" t="n">
        <v>1</v>
      </c>
      <c r="K1101" t="n">
        <v>0</v>
      </c>
      <c r="L1101" t="n">
        <v>0</v>
      </c>
      <c r="M1101" t="n">
        <v>0</v>
      </c>
      <c r="N1101" t="n">
        <v>0</v>
      </c>
      <c r="O1101" t="n">
        <v>1</v>
      </c>
      <c r="P1101" t="n">
        <v>0</v>
      </c>
      <c r="Q1101" t="n">
        <v>1</v>
      </c>
      <c r="R1101" s="2" t="inlineStr">
        <is>
          <t>Slåtterfibbla</t>
        </is>
      </c>
      <c r="S1101">
        <f>HYPERLINK("https://klasma.github.io/Logging_0882/artfynd/A 35155-2024 artfynd.xlsx", "A 35155-2024")</f>
        <v/>
      </c>
      <c r="T1101">
        <f>HYPERLINK("https://klasma.github.io/Logging_0882/kartor/A 35155-2024 karta.png", "A 35155-2024")</f>
        <v/>
      </c>
      <c r="V1101">
        <f>HYPERLINK("https://klasma.github.io/Logging_0882/klagomål/A 35155-2024 FSC-klagomål.docx", "A 35155-2024")</f>
        <v/>
      </c>
      <c r="W1101">
        <f>HYPERLINK("https://klasma.github.io/Logging_0882/klagomålsmail/A 35155-2024 FSC-klagomål mail.docx", "A 35155-2024")</f>
        <v/>
      </c>
      <c r="X1101">
        <f>HYPERLINK("https://klasma.github.io/Logging_0882/tillsyn/A 35155-2024 tillsynsbegäran.docx", "A 35155-2024")</f>
        <v/>
      </c>
      <c r="Y1101">
        <f>HYPERLINK("https://klasma.github.io/Logging_0882/tillsynsmail/A 35155-2024 tillsynsbegäran mail.docx", "A 35155-2024")</f>
        <v/>
      </c>
    </row>
    <row r="1102" ht="15" customHeight="1">
      <c r="A1102" t="inlineStr">
        <is>
          <t>A 35959-2024</t>
        </is>
      </c>
      <c r="B1102" s="1" t="n">
        <v>45533</v>
      </c>
      <c r="C1102" s="1" t="n">
        <v>45715</v>
      </c>
      <c r="D1102" t="inlineStr">
        <is>
          <t>KALMAR LÄN</t>
        </is>
      </c>
      <c r="E1102" t="inlineStr">
        <is>
          <t>VÄSTERVIK</t>
        </is>
      </c>
      <c r="F1102" t="inlineStr">
        <is>
          <t>Holmen skog AB</t>
        </is>
      </c>
      <c r="G1102" t="n">
        <v>3.2</v>
      </c>
      <c r="H1102" t="n">
        <v>0</v>
      </c>
      <c r="I1102" t="n">
        <v>0</v>
      </c>
      <c r="J1102" t="n">
        <v>1</v>
      </c>
      <c r="K1102" t="n">
        <v>0</v>
      </c>
      <c r="L1102" t="n">
        <v>0</v>
      </c>
      <c r="M1102" t="n">
        <v>0</v>
      </c>
      <c r="N1102" t="n">
        <v>0</v>
      </c>
      <c r="O1102" t="n">
        <v>1</v>
      </c>
      <c r="P1102" t="n">
        <v>0</v>
      </c>
      <c r="Q1102" t="n">
        <v>1</v>
      </c>
      <c r="R1102" s="2" t="inlineStr">
        <is>
          <t>Smalsprötad bastardsvärmare</t>
        </is>
      </c>
      <c r="S1102">
        <f>HYPERLINK("https://klasma.github.io/Logging_0883/artfynd/A 35959-2024 artfynd.xlsx", "A 35959-2024")</f>
        <v/>
      </c>
      <c r="T1102">
        <f>HYPERLINK("https://klasma.github.io/Logging_0883/kartor/A 35959-2024 karta.png", "A 35959-2024")</f>
        <v/>
      </c>
      <c r="V1102">
        <f>HYPERLINK("https://klasma.github.io/Logging_0883/klagomål/A 35959-2024 FSC-klagomål.docx", "A 35959-2024")</f>
        <v/>
      </c>
      <c r="W1102">
        <f>HYPERLINK("https://klasma.github.io/Logging_0883/klagomålsmail/A 35959-2024 FSC-klagomål mail.docx", "A 35959-2024")</f>
        <v/>
      </c>
      <c r="X1102">
        <f>HYPERLINK("https://klasma.github.io/Logging_0883/tillsyn/A 35959-2024 tillsynsbegäran.docx", "A 35959-2024")</f>
        <v/>
      </c>
      <c r="Y1102">
        <f>HYPERLINK("https://klasma.github.io/Logging_0883/tillsynsmail/A 35959-2024 tillsynsbegäran mail.docx", "A 35959-2024")</f>
        <v/>
      </c>
    </row>
    <row r="1103" ht="15" customHeight="1">
      <c r="A1103" t="inlineStr">
        <is>
          <t>A 36886-2024</t>
        </is>
      </c>
      <c r="B1103" s="1" t="n">
        <v>45538</v>
      </c>
      <c r="C1103" s="1" t="n">
        <v>45715</v>
      </c>
      <c r="D1103" t="inlineStr">
        <is>
          <t>KALMAR LÄN</t>
        </is>
      </c>
      <c r="E1103" t="inlineStr">
        <is>
          <t>MÖNSTERÅS</t>
        </is>
      </c>
      <c r="G1103" t="n">
        <v>10.2</v>
      </c>
      <c r="H1103" t="n">
        <v>0</v>
      </c>
      <c r="I1103" t="n">
        <v>1</v>
      </c>
      <c r="J1103" t="n">
        <v>0</v>
      </c>
      <c r="K1103" t="n">
        <v>0</v>
      </c>
      <c r="L1103" t="n">
        <v>0</v>
      </c>
      <c r="M1103" t="n">
        <v>0</v>
      </c>
      <c r="N1103" t="n">
        <v>0</v>
      </c>
      <c r="O1103" t="n">
        <v>0</v>
      </c>
      <c r="P1103" t="n">
        <v>0</v>
      </c>
      <c r="Q1103" t="n">
        <v>1</v>
      </c>
      <c r="R1103" s="2" t="inlineStr">
        <is>
          <t>Underviol</t>
        </is>
      </c>
      <c r="S1103">
        <f>HYPERLINK("https://klasma.github.io/Logging_0861/artfynd/A 36886-2024 artfynd.xlsx", "A 36886-2024")</f>
        <v/>
      </c>
      <c r="T1103">
        <f>HYPERLINK("https://klasma.github.io/Logging_0861/kartor/A 36886-2024 karta.png", "A 36886-2024")</f>
        <v/>
      </c>
      <c r="V1103">
        <f>HYPERLINK("https://klasma.github.io/Logging_0861/klagomål/A 36886-2024 FSC-klagomål.docx", "A 36886-2024")</f>
        <v/>
      </c>
      <c r="W1103">
        <f>HYPERLINK("https://klasma.github.io/Logging_0861/klagomålsmail/A 36886-2024 FSC-klagomål mail.docx", "A 36886-2024")</f>
        <v/>
      </c>
      <c r="X1103">
        <f>HYPERLINK("https://klasma.github.io/Logging_0861/tillsyn/A 36886-2024 tillsynsbegäran.docx", "A 36886-2024")</f>
        <v/>
      </c>
      <c r="Y1103">
        <f>HYPERLINK("https://klasma.github.io/Logging_0861/tillsynsmail/A 36886-2024 tillsynsbegäran mail.docx", "A 36886-2024")</f>
        <v/>
      </c>
    </row>
    <row r="1104" ht="15" customHeight="1">
      <c r="A1104" t="inlineStr">
        <is>
          <t>A 37199-2024</t>
        </is>
      </c>
      <c r="B1104" s="1" t="n">
        <v>45539</v>
      </c>
      <c r="C1104" s="1" t="n">
        <v>45715</v>
      </c>
      <c r="D1104" t="inlineStr">
        <is>
          <t>KALMAR LÄN</t>
        </is>
      </c>
      <c r="E1104" t="inlineStr">
        <is>
          <t>VIMMERBY</t>
        </is>
      </c>
      <c r="G1104" t="n">
        <v>0.6</v>
      </c>
      <c r="H1104" t="n">
        <v>1</v>
      </c>
      <c r="I1104" t="n">
        <v>1</v>
      </c>
      <c r="J1104" t="n">
        <v>0</v>
      </c>
      <c r="K1104" t="n">
        <v>0</v>
      </c>
      <c r="L1104" t="n">
        <v>0</v>
      </c>
      <c r="M1104" t="n">
        <v>0</v>
      </c>
      <c r="N1104" t="n">
        <v>0</v>
      </c>
      <c r="O1104" t="n">
        <v>0</v>
      </c>
      <c r="P1104" t="n">
        <v>0</v>
      </c>
      <c r="Q1104" t="n">
        <v>1</v>
      </c>
      <c r="R1104" s="2" t="inlineStr">
        <is>
          <t>Purpurknipprot</t>
        </is>
      </c>
      <c r="S1104">
        <f>HYPERLINK("https://klasma.github.io/Logging_0884/artfynd/A 37199-2024 artfynd.xlsx", "A 37199-2024")</f>
        <v/>
      </c>
      <c r="T1104">
        <f>HYPERLINK("https://klasma.github.io/Logging_0884/kartor/A 37199-2024 karta.png", "A 37199-2024")</f>
        <v/>
      </c>
      <c r="V1104">
        <f>HYPERLINK("https://klasma.github.io/Logging_0884/klagomål/A 37199-2024 FSC-klagomål.docx", "A 37199-2024")</f>
        <v/>
      </c>
      <c r="W1104">
        <f>HYPERLINK("https://klasma.github.io/Logging_0884/klagomålsmail/A 37199-2024 FSC-klagomål mail.docx", "A 37199-2024")</f>
        <v/>
      </c>
      <c r="X1104">
        <f>HYPERLINK("https://klasma.github.io/Logging_0884/tillsyn/A 37199-2024 tillsynsbegäran.docx", "A 37199-2024")</f>
        <v/>
      </c>
      <c r="Y1104">
        <f>HYPERLINK("https://klasma.github.io/Logging_0884/tillsynsmail/A 37199-2024 tillsynsbegäran mail.docx", "A 37199-2024")</f>
        <v/>
      </c>
    </row>
    <row r="1105" ht="15" customHeight="1">
      <c r="A1105" t="inlineStr">
        <is>
          <t>A 37621-2024</t>
        </is>
      </c>
      <c r="B1105" s="1" t="n">
        <v>45541</v>
      </c>
      <c r="C1105" s="1" t="n">
        <v>45715</v>
      </c>
      <c r="D1105" t="inlineStr">
        <is>
          <t>KALMAR LÄN</t>
        </is>
      </c>
      <c r="E1105" t="inlineStr">
        <is>
          <t>NYBRO</t>
        </is>
      </c>
      <c r="G1105" t="n">
        <v>4.1</v>
      </c>
      <c r="H1105" t="n">
        <v>0</v>
      </c>
      <c r="I1105" t="n">
        <v>1</v>
      </c>
      <c r="J1105" t="n">
        <v>0</v>
      </c>
      <c r="K1105" t="n">
        <v>0</v>
      </c>
      <c r="L1105" t="n">
        <v>0</v>
      </c>
      <c r="M1105" t="n">
        <v>0</v>
      </c>
      <c r="N1105" t="n">
        <v>0</v>
      </c>
      <c r="O1105" t="n">
        <v>0</v>
      </c>
      <c r="P1105" t="n">
        <v>0</v>
      </c>
      <c r="Q1105" t="n">
        <v>1</v>
      </c>
      <c r="R1105" s="2" t="inlineStr">
        <is>
          <t>Blåmossa</t>
        </is>
      </c>
      <c r="S1105">
        <f>HYPERLINK("https://klasma.github.io/Logging_0881/artfynd/A 37621-2024 artfynd.xlsx", "A 37621-2024")</f>
        <v/>
      </c>
      <c r="T1105">
        <f>HYPERLINK("https://klasma.github.io/Logging_0881/kartor/A 37621-2024 karta.png", "A 37621-2024")</f>
        <v/>
      </c>
      <c r="V1105">
        <f>HYPERLINK("https://klasma.github.io/Logging_0881/klagomål/A 37621-2024 FSC-klagomål.docx", "A 37621-2024")</f>
        <v/>
      </c>
      <c r="W1105">
        <f>HYPERLINK("https://klasma.github.io/Logging_0881/klagomålsmail/A 37621-2024 FSC-klagomål mail.docx", "A 37621-2024")</f>
        <v/>
      </c>
      <c r="X1105">
        <f>HYPERLINK("https://klasma.github.io/Logging_0881/tillsyn/A 37621-2024 tillsynsbegäran.docx", "A 37621-2024")</f>
        <v/>
      </c>
      <c r="Y1105">
        <f>HYPERLINK("https://klasma.github.io/Logging_0881/tillsynsmail/A 37621-2024 tillsynsbegäran mail.docx", "A 37621-2024")</f>
        <v/>
      </c>
    </row>
    <row r="1106" ht="15" customHeight="1">
      <c r="A1106" t="inlineStr">
        <is>
          <t>A 37975-2024</t>
        </is>
      </c>
      <c r="B1106" s="1" t="n">
        <v>45544</v>
      </c>
      <c r="C1106" s="1" t="n">
        <v>45715</v>
      </c>
      <c r="D1106" t="inlineStr">
        <is>
          <t>KALMAR LÄN</t>
        </is>
      </c>
      <c r="E1106" t="inlineStr">
        <is>
          <t>KALMAR</t>
        </is>
      </c>
      <c r="G1106" t="n">
        <v>2.4</v>
      </c>
      <c r="H1106" t="n">
        <v>1</v>
      </c>
      <c r="I1106" t="n">
        <v>0</v>
      </c>
      <c r="J1106" t="n">
        <v>1</v>
      </c>
      <c r="K1106" t="n">
        <v>0</v>
      </c>
      <c r="L1106" t="n">
        <v>0</v>
      </c>
      <c r="M1106" t="n">
        <v>0</v>
      </c>
      <c r="N1106" t="n">
        <v>0</v>
      </c>
      <c r="O1106" t="n">
        <v>1</v>
      </c>
      <c r="P1106" t="n">
        <v>0</v>
      </c>
      <c r="Q1106" t="n">
        <v>1</v>
      </c>
      <c r="R1106" s="2" t="inlineStr">
        <is>
          <t>Talltita</t>
        </is>
      </c>
      <c r="S1106">
        <f>HYPERLINK("https://klasma.github.io/Logging_0880/artfynd/A 37975-2024 artfynd.xlsx", "A 37975-2024")</f>
        <v/>
      </c>
      <c r="T1106">
        <f>HYPERLINK("https://klasma.github.io/Logging_0880/kartor/A 37975-2024 karta.png", "A 37975-2024")</f>
        <v/>
      </c>
      <c r="V1106">
        <f>HYPERLINK("https://klasma.github.io/Logging_0880/klagomål/A 37975-2024 FSC-klagomål.docx", "A 37975-2024")</f>
        <v/>
      </c>
      <c r="W1106">
        <f>HYPERLINK("https://klasma.github.io/Logging_0880/klagomålsmail/A 37975-2024 FSC-klagomål mail.docx", "A 37975-2024")</f>
        <v/>
      </c>
      <c r="X1106">
        <f>HYPERLINK("https://klasma.github.io/Logging_0880/tillsyn/A 37975-2024 tillsynsbegäran.docx", "A 37975-2024")</f>
        <v/>
      </c>
      <c r="Y1106">
        <f>HYPERLINK("https://klasma.github.io/Logging_0880/tillsynsmail/A 37975-2024 tillsynsbegäran mail.docx", "A 37975-2024")</f>
        <v/>
      </c>
      <c r="Z1106">
        <f>HYPERLINK("https://klasma.github.io/Logging_0880/fåglar/A 37975-2024 prioriterade fågelarter.docx", "A 37975-2024")</f>
        <v/>
      </c>
    </row>
    <row r="1107" ht="15" customHeight="1">
      <c r="A1107" t="inlineStr">
        <is>
          <t>A 38208-2024</t>
        </is>
      </c>
      <c r="B1107" s="1" t="n">
        <v>45545</v>
      </c>
      <c r="C1107" s="1" t="n">
        <v>45715</v>
      </c>
      <c r="D1107" t="inlineStr">
        <is>
          <t>KALMAR LÄN</t>
        </is>
      </c>
      <c r="E1107" t="inlineStr">
        <is>
          <t>VIMMERBY</t>
        </is>
      </c>
      <c r="G1107" t="n">
        <v>5.2</v>
      </c>
      <c r="H1107" t="n">
        <v>0</v>
      </c>
      <c r="I1107" t="n">
        <v>0</v>
      </c>
      <c r="J1107" t="n">
        <v>1</v>
      </c>
      <c r="K1107" t="n">
        <v>0</v>
      </c>
      <c r="L1107" t="n">
        <v>0</v>
      </c>
      <c r="M1107" t="n">
        <v>0</v>
      </c>
      <c r="N1107" t="n">
        <v>0</v>
      </c>
      <c r="O1107" t="n">
        <v>1</v>
      </c>
      <c r="P1107" t="n">
        <v>0</v>
      </c>
      <c r="Q1107" t="n">
        <v>1</v>
      </c>
      <c r="R1107" s="2" t="inlineStr">
        <is>
          <t>Solvända</t>
        </is>
      </c>
      <c r="S1107">
        <f>HYPERLINK("https://klasma.github.io/Logging_0884/artfynd/A 38208-2024 artfynd.xlsx", "A 38208-2024")</f>
        <v/>
      </c>
      <c r="T1107">
        <f>HYPERLINK("https://klasma.github.io/Logging_0884/kartor/A 38208-2024 karta.png", "A 38208-2024")</f>
        <v/>
      </c>
      <c r="V1107">
        <f>HYPERLINK("https://klasma.github.io/Logging_0884/klagomål/A 38208-2024 FSC-klagomål.docx", "A 38208-2024")</f>
        <v/>
      </c>
      <c r="W1107">
        <f>HYPERLINK("https://klasma.github.io/Logging_0884/klagomålsmail/A 38208-2024 FSC-klagomål mail.docx", "A 38208-2024")</f>
        <v/>
      </c>
      <c r="X1107">
        <f>HYPERLINK("https://klasma.github.io/Logging_0884/tillsyn/A 38208-2024 tillsynsbegäran.docx", "A 38208-2024")</f>
        <v/>
      </c>
      <c r="Y1107">
        <f>HYPERLINK("https://klasma.github.io/Logging_0884/tillsynsmail/A 38208-2024 tillsynsbegäran mail.docx", "A 38208-2024")</f>
        <v/>
      </c>
    </row>
    <row r="1108" ht="15" customHeight="1">
      <c r="A1108" t="inlineStr">
        <is>
          <t>A 39392-2024</t>
        </is>
      </c>
      <c r="B1108" s="1" t="n">
        <v>45551</v>
      </c>
      <c r="C1108" s="1" t="n">
        <v>45715</v>
      </c>
      <c r="D1108" t="inlineStr">
        <is>
          <t>KALMAR LÄN</t>
        </is>
      </c>
      <c r="E1108" t="inlineStr">
        <is>
          <t>HULTSFRED</t>
        </is>
      </c>
      <c r="G1108" t="n">
        <v>1.8</v>
      </c>
      <c r="H1108" t="n">
        <v>1</v>
      </c>
      <c r="I1108" t="n">
        <v>0</v>
      </c>
      <c r="J1108" t="n">
        <v>0</v>
      </c>
      <c r="K1108" t="n">
        <v>1</v>
      </c>
      <c r="L1108" t="n">
        <v>0</v>
      </c>
      <c r="M1108" t="n">
        <v>0</v>
      </c>
      <c r="N1108" t="n">
        <v>0</v>
      </c>
      <c r="O1108" t="n">
        <v>1</v>
      </c>
      <c r="P1108" t="n">
        <v>1</v>
      </c>
      <c r="Q1108" t="n">
        <v>1</v>
      </c>
      <c r="R1108" s="2" t="inlineStr">
        <is>
          <t>Backsippa</t>
        </is>
      </c>
      <c r="S1108">
        <f>HYPERLINK("https://klasma.github.io/Logging_0860/artfynd/A 39392-2024 artfynd.xlsx", "A 39392-2024")</f>
        <v/>
      </c>
      <c r="T1108">
        <f>HYPERLINK("https://klasma.github.io/Logging_0860/kartor/A 39392-2024 karta.png", "A 39392-2024")</f>
        <v/>
      </c>
      <c r="V1108">
        <f>HYPERLINK("https://klasma.github.io/Logging_0860/klagomål/A 39392-2024 FSC-klagomål.docx", "A 39392-2024")</f>
        <v/>
      </c>
      <c r="W1108">
        <f>HYPERLINK("https://klasma.github.io/Logging_0860/klagomålsmail/A 39392-2024 FSC-klagomål mail.docx", "A 39392-2024")</f>
        <v/>
      </c>
      <c r="X1108">
        <f>HYPERLINK("https://klasma.github.io/Logging_0860/tillsyn/A 39392-2024 tillsynsbegäran.docx", "A 39392-2024")</f>
        <v/>
      </c>
      <c r="Y1108">
        <f>HYPERLINK("https://klasma.github.io/Logging_0860/tillsynsmail/A 39392-2024 tillsynsbegäran mail.docx", "A 39392-2024")</f>
        <v/>
      </c>
    </row>
    <row r="1109" ht="15" customHeight="1">
      <c r="A1109" t="inlineStr">
        <is>
          <t>A 39533-2024</t>
        </is>
      </c>
      <c r="B1109" s="1" t="n">
        <v>45551</v>
      </c>
      <c r="C1109" s="1" t="n">
        <v>45715</v>
      </c>
      <c r="D1109" t="inlineStr">
        <is>
          <t>KALMAR LÄN</t>
        </is>
      </c>
      <c r="E1109" t="inlineStr">
        <is>
          <t>HULTSFRED</t>
        </is>
      </c>
      <c r="G1109" t="n">
        <v>2.1</v>
      </c>
      <c r="H1109" t="n">
        <v>1</v>
      </c>
      <c r="I1109" t="n">
        <v>0</v>
      </c>
      <c r="J1109" t="n">
        <v>0</v>
      </c>
      <c r="K1109" t="n">
        <v>0</v>
      </c>
      <c r="L1109" t="n">
        <v>0</v>
      </c>
      <c r="M1109" t="n">
        <v>0</v>
      </c>
      <c r="N1109" t="n">
        <v>0</v>
      </c>
      <c r="O1109" t="n">
        <v>0</v>
      </c>
      <c r="P1109" t="n">
        <v>0</v>
      </c>
      <c r="Q1109" t="n">
        <v>1</v>
      </c>
      <c r="R1109" s="2" t="inlineStr">
        <is>
          <t>Blåsippa</t>
        </is>
      </c>
      <c r="S1109">
        <f>HYPERLINK("https://klasma.github.io/Logging_0860/artfynd/A 39533-2024 artfynd.xlsx", "A 39533-2024")</f>
        <v/>
      </c>
      <c r="T1109">
        <f>HYPERLINK("https://klasma.github.io/Logging_0860/kartor/A 39533-2024 karta.png", "A 39533-2024")</f>
        <v/>
      </c>
      <c r="V1109">
        <f>HYPERLINK("https://klasma.github.io/Logging_0860/klagomål/A 39533-2024 FSC-klagomål.docx", "A 39533-2024")</f>
        <v/>
      </c>
      <c r="W1109">
        <f>HYPERLINK("https://klasma.github.io/Logging_0860/klagomålsmail/A 39533-2024 FSC-klagomål mail.docx", "A 39533-2024")</f>
        <v/>
      </c>
      <c r="X1109">
        <f>HYPERLINK("https://klasma.github.io/Logging_0860/tillsyn/A 39533-2024 tillsynsbegäran.docx", "A 39533-2024")</f>
        <v/>
      </c>
      <c r="Y1109">
        <f>HYPERLINK("https://klasma.github.io/Logging_0860/tillsynsmail/A 39533-2024 tillsynsbegäran mail.docx", "A 39533-2024")</f>
        <v/>
      </c>
    </row>
    <row r="1110" ht="15" customHeight="1">
      <c r="A1110" t="inlineStr">
        <is>
          <t>A 42811-2024</t>
        </is>
      </c>
      <c r="B1110" s="1" t="n">
        <v>45566</v>
      </c>
      <c r="C1110" s="1" t="n">
        <v>45715</v>
      </c>
      <c r="D1110" t="inlineStr">
        <is>
          <t>KALMAR LÄN</t>
        </is>
      </c>
      <c r="E1110" t="inlineStr">
        <is>
          <t>VÄSTERVIK</t>
        </is>
      </c>
      <c r="G1110" t="n">
        <v>4.4</v>
      </c>
      <c r="H1110" t="n">
        <v>0</v>
      </c>
      <c r="I1110" t="n">
        <v>1</v>
      </c>
      <c r="J1110" t="n">
        <v>0</v>
      </c>
      <c r="K1110" t="n">
        <v>0</v>
      </c>
      <c r="L1110" t="n">
        <v>0</v>
      </c>
      <c r="M1110" t="n">
        <v>0</v>
      </c>
      <c r="N1110" t="n">
        <v>0</v>
      </c>
      <c r="O1110" t="n">
        <v>0</v>
      </c>
      <c r="P1110" t="n">
        <v>0</v>
      </c>
      <c r="Q1110" t="n">
        <v>1</v>
      </c>
      <c r="R1110" s="2" t="inlineStr">
        <is>
          <t>Grönpyrola</t>
        </is>
      </c>
      <c r="S1110">
        <f>HYPERLINK("https://klasma.github.io/Logging_0883/artfynd/A 42811-2024 artfynd.xlsx", "A 42811-2024")</f>
        <v/>
      </c>
      <c r="T1110">
        <f>HYPERLINK("https://klasma.github.io/Logging_0883/kartor/A 42811-2024 karta.png", "A 42811-2024")</f>
        <v/>
      </c>
      <c r="V1110">
        <f>HYPERLINK("https://klasma.github.io/Logging_0883/klagomål/A 42811-2024 FSC-klagomål.docx", "A 42811-2024")</f>
        <v/>
      </c>
      <c r="W1110">
        <f>HYPERLINK("https://klasma.github.io/Logging_0883/klagomålsmail/A 42811-2024 FSC-klagomål mail.docx", "A 42811-2024")</f>
        <v/>
      </c>
      <c r="X1110">
        <f>HYPERLINK("https://klasma.github.io/Logging_0883/tillsyn/A 42811-2024 tillsynsbegäran.docx", "A 42811-2024")</f>
        <v/>
      </c>
      <c r="Y1110">
        <f>HYPERLINK("https://klasma.github.io/Logging_0883/tillsynsmail/A 42811-2024 tillsynsbegäran mail.docx", "A 42811-2024")</f>
        <v/>
      </c>
    </row>
    <row r="1111" ht="15" customHeight="1">
      <c r="A1111" t="inlineStr">
        <is>
          <t>A 42773-2024</t>
        </is>
      </c>
      <c r="B1111" s="1" t="n">
        <v>45566</v>
      </c>
      <c r="C1111" s="1" t="n">
        <v>45715</v>
      </c>
      <c r="D1111" t="inlineStr">
        <is>
          <t>KALMAR LÄN</t>
        </is>
      </c>
      <c r="E1111" t="inlineStr">
        <is>
          <t>HULTSFRED</t>
        </is>
      </c>
      <c r="G1111" t="n">
        <v>0.3</v>
      </c>
      <c r="H1111" t="n">
        <v>0</v>
      </c>
      <c r="I1111" t="n">
        <v>0</v>
      </c>
      <c r="J1111" t="n">
        <v>0</v>
      </c>
      <c r="K1111" t="n">
        <v>1</v>
      </c>
      <c r="L1111" t="n">
        <v>0</v>
      </c>
      <c r="M1111" t="n">
        <v>0</v>
      </c>
      <c r="N1111" t="n">
        <v>0</v>
      </c>
      <c r="O1111" t="n">
        <v>1</v>
      </c>
      <c r="P1111" t="n">
        <v>1</v>
      </c>
      <c r="Q1111" t="n">
        <v>1</v>
      </c>
      <c r="R1111" s="2" t="inlineStr">
        <is>
          <t>Lungrot</t>
        </is>
      </c>
      <c r="S1111">
        <f>HYPERLINK("https://klasma.github.io/Logging_0860/artfynd/A 42773-2024 artfynd.xlsx", "A 42773-2024")</f>
        <v/>
      </c>
      <c r="T1111">
        <f>HYPERLINK("https://klasma.github.io/Logging_0860/kartor/A 42773-2024 karta.png", "A 42773-2024")</f>
        <v/>
      </c>
      <c r="V1111">
        <f>HYPERLINK("https://klasma.github.io/Logging_0860/klagomål/A 42773-2024 FSC-klagomål.docx", "A 42773-2024")</f>
        <v/>
      </c>
      <c r="W1111">
        <f>HYPERLINK("https://klasma.github.io/Logging_0860/klagomålsmail/A 42773-2024 FSC-klagomål mail.docx", "A 42773-2024")</f>
        <v/>
      </c>
      <c r="X1111">
        <f>HYPERLINK("https://klasma.github.io/Logging_0860/tillsyn/A 42773-2024 tillsynsbegäran.docx", "A 42773-2024")</f>
        <v/>
      </c>
      <c r="Y1111">
        <f>HYPERLINK("https://klasma.github.io/Logging_0860/tillsynsmail/A 42773-2024 tillsynsbegäran mail.docx", "A 42773-2024")</f>
        <v/>
      </c>
    </row>
    <row r="1112" ht="15" customHeight="1">
      <c r="A1112" t="inlineStr">
        <is>
          <t>A 42740-2024</t>
        </is>
      </c>
      <c r="B1112" s="1" t="n">
        <v>45566</v>
      </c>
      <c r="C1112" s="1" t="n">
        <v>45715</v>
      </c>
      <c r="D1112" t="inlineStr">
        <is>
          <t>KALMAR LÄN</t>
        </is>
      </c>
      <c r="E1112" t="inlineStr">
        <is>
          <t>HULTSFRED</t>
        </is>
      </c>
      <c r="G1112" t="n">
        <v>1.1</v>
      </c>
      <c r="H1112" t="n">
        <v>0</v>
      </c>
      <c r="I1112" t="n">
        <v>1</v>
      </c>
      <c r="J1112" t="n">
        <v>0</v>
      </c>
      <c r="K1112" t="n">
        <v>0</v>
      </c>
      <c r="L1112" t="n">
        <v>0</v>
      </c>
      <c r="M1112" t="n">
        <v>0</v>
      </c>
      <c r="N1112" t="n">
        <v>0</v>
      </c>
      <c r="O1112" t="n">
        <v>0</v>
      </c>
      <c r="P1112" t="n">
        <v>0</v>
      </c>
      <c r="Q1112" t="n">
        <v>1</v>
      </c>
      <c r="R1112" s="2" t="inlineStr">
        <is>
          <t>Grönpyrola</t>
        </is>
      </c>
      <c r="S1112">
        <f>HYPERLINK("https://klasma.github.io/Logging_0860/artfynd/A 42740-2024 artfynd.xlsx", "A 42740-2024")</f>
        <v/>
      </c>
      <c r="T1112">
        <f>HYPERLINK("https://klasma.github.io/Logging_0860/kartor/A 42740-2024 karta.png", "A 42740-2024")</f>
        <v/>
      </c>
      <c r="V1112">
        <f>HYPERLINK("https://klasma.github.io/Logging_0860/klagomål/A 42740-2024 FSC-klagomål.docx", "A 42740-2024")</f>
        <v/>
      </c>
      <c r="W1112">
        <f>HYPERLINK("https://klasma.github.io/Logging_0860/klagomålsmail/A 42740-2024 FSC-klagomål mail.docx", "A 42740-2024")</f>
        <v/>
      </c>
      <c r="X1112">
        <f>HYPERLINK("https://klasma.github.io/Logging_0860/tillsyn/A 42740-2024 tillsynsbegäran.docx", "A 42740-2024")</f>
        <v/>
      </c>
      <c r="Y1112">
        <f>HYPERLINK("https://klasma.github.io/Logging_0860/tillsynsmail/A 42740-2024 tillsynsbegäran mail.docx", "A 42740-2024")</f>
        <v/>
      </c>
    </row>
    <row r="1113" ht="15" customHeight="1">
      <c r="A1113" t="inlineStr">
        <is>
          <t>A 43272-2024</t>
        </is>
      </c>
      <c r="B1113" s="1" t="n">
        <v>45568</v>
      </c>
      <c r="C1113" s="1" t="n">
        <v>45715</v>
      </c>
      <c r="D1113" t="inlineStr">
        <is>
          <t>KALMAR LÄN</t>
        </is>
      </c>
      <c r="E1113" t="inlineStr">
        <is>
          <t>HULTSFRED</t>
        </is>
      </c>
      <c r="G1113" t="n">
        <v>3.1</v>
      </c>
      <c r="H1113" t="n">
        <v>1</v>
      </c>
      <c r="I1113" t="n">
        <v>0</v>
      </c>
      <c r="J1113" t="n">
        <v>0</v>
      </c>
      <c r="K1113" t="n">
        <v>0</v>
      </c>
      <c r="L1113" t="n">
        <v>1</v>
      </c>
      <c r="M1113" t="n">
        <v>0</v>
      </c>
      <c r="N1113" t="n">
        <v>0</v>
      </c>
      <c r="O1113" t="n">
        <v>1</v>
      </c>
      <c r="P1113" t="n">
        <v>1</v>
      </c>
      <c r="Q1113" t="n">
        <v>1</v>
      </c>
      <c r="R1113" s="2" t="inlineStr">
        <is>
          <t>Bredgentiana</t>
        </is>
      </c>
      <c r="S1113">
        <f>HYPERLINK("https://klasma.github.io/Logging_0860/artfynd/A 43272-2024 artfynd.xlsx", "A 43272-2024")</f>
        <v/>
      </c>
      <c r="T1113">
        <f>HYPERLINK("https://klasma.github.io/Logging_0860/kartor/A 43272-2024 karta.png", "A 43272-2024")</f>
        <v/>
      </c>
      <c r="V1113">
        <f>HYPERLINK("https://klasma.github.io/Logging_0860/klagomål/A 43272-2024 FSC-klagomål.docx", "A 43272-2024")</f>
        <v/>
      </c>
      <c r="W1113">
        <f>HYPERLINK("https://klasma.github.io/Logging_0860/klagomålsmail/A 43272-2024 FSC-klagomål mail.docx", "A 43272-2024")</f>
        <v/>
      </c>
      <c r="X1113">
        <f>HYPERLINK("https://klasma.github.io/Logging_0860/tillsyn/A 43272-2024 tillsynsbegäran.docx", "A 43272-2024")</f>
        <v/>
      </c>
      <c r="Y1113">
        <f>HYPERLINK("https://klasma.github.io/Logging_0860/tillsynsmail/A 43272-2024 tillsynsbegäran mail.docx", "A 43272-2024")</f>
        <v/>
      </c>
    </row>
    <row r="1114" ht="15" customHeight="1">
      <c r="A1114" t="inlineStr">
        <is>
          <t>A 43608-2024</t>
        </is>
      </c>
      <c r="B1114" s="1" t="n">
        <v>45569</v>
      </c>
      <c r="C1114" s="1" t="n">
        <v>45715</v>
      </c>
      <c r="D1114" t="inlineStr">
        <is>
          <t>KALMAR LÄN</t>
        </is>
      </c>
      <c r="E1114" t="inlineStr">
        <is>
          <t>NYBRO</t>
        </is>
      </c>
      <c r="G1114" t="n">
        <v>3.9</v>
      </c>
      <c r="H1114" t="n">
        <v>0</v>
      </c>
      <c r="I1114" t="n">
        <v>0</v>
      </c>
      <c r="J1114" t="n">
        <v>1</v>
      </c>
      <c r="K1114" t="n">
        <v>0</v>
      </c>
      <c r="L1114" t="n">
        <v>0</v>
      </c>
      <c r="M1114" t="n">
        <v>0</v>
      </c>
      <c r="N1114" t="n">
        <v>0</v>
      </c>
      <c r="O1114" t="n">
        <v>1</v>
      </c>
      <c r="P1114" t="n">
        <v>0</v>
      </c>
      <c r="Q1114" t="n">
        <v>1</v>
      </c>
      <c r="R1114" s="2" t="inlineStr">
        <is>
          <t>Svinrot</t>
        </is>
      </c>
      <c r="S1114">
        <f>HYPERLINK("https://klasma.github.io/Logging_0881/artfynd/A 43608-2024 artfynd.xlsx", "A 43608-2024")</f>
        <v/>
      </c>
      <c r="T1114">
        <f>HYPERLINK("https://klasma.github.io/Logging_0881/kartor/A 43608-2024 karta.png", "A 43608-2024")</f>
        <v/>
      </c>
      <c r="V1114">
        <f>HYPERLINK("https://klasma.github.io/Logging_0881/klagomål/A 43608-2024 FSC-klagomål.docx", "A 43608-2024")</f>
        <v/>
      </c>
      <c r="W1114">
        <f>HYPERLINK("https://klasma.github.io/Logging_0881/klagomålsmail/A 43608-2024 FSC-klagomål mail.docx", "A 43608-2024")</f>
        <v/>
      </c>
      <c r="X1114">
        <f>HYPERLINK("https://klasma.github.io/Logging_0881/tillsyn/A 43608-2024 tillsynsbegäran.docx", "A 43608-2024")</f>
        <v/>
      </c>
      <c r="Y1114">
        <f>HYPERLINK("https://klasma.github.io/Logging_0881/tillsynsmail/A 43608-2024 tillsynsbegäran mail.docx", "A 43608-2024")</f>
        <v/>
      </c>
    </row>
    <row r="1115" ht="15" customHeight="1">
      <c r="A1115" t="inlineStr">
        <is>
          <t>A 43603-2024</t>
        </is>
      </c>
      <c r="B1115" s="1" t="n">
        <v>45569</v>
      </c>
      <c r="C1115" s="1" t="n">
        <v>45715</v>
      </c>
      <c r="D1115" t="inlineStr">
        <is>
          <t>KALMAR LÄN</t>
        </is>
      </c>
      <c r="E1115" t="inlineStr">
        <is>
          <t>BORGHOLM</t>
        </is>
      </c>
      <c r="G1115" t="n">
        <v>3.8</v>
      </c>
      <c r="H1115" t="n">
        <v>1</v>
      </c>
      <c r="I1115" t="n">
        <v>0</v>
      </c>
      <c r="J1115" t="n">
        <v>0</v>
      </c>
      <c r="K1115" t="n">
        <v>1</v>
      </c>
      <c r="L1115" t="n">
        <v>0</v>
      </c>
      <c r="M1115" t="n">
        <v>0</v>
      </c>
      <c r="N1115" t="n">
        <v>0</v>
      </c>
      <c r="O1115" t="n">
        <v>1</v>
      </c>
      <c r="P1115" t="n">
        <v>1</v>
      </c>
      <c r="Q1115" t="n">
        <v>1</v>
      </c>
      <c r="R1115" s="2" t="inlineStr">
        <is>
          <t>Väddnätfjäril</t>
        </is>
      </c>
      <c r="S1115">
        <f>HYPERLINK("https://klasma.github.io/Logging_0885/artfynd/A 43603-2024 artfynd.xlsx", "A 43603-2024")</f>
        <v/>
      </c>
      <c r="T1115">
        <f>HYPERLINK("https://klasma.github.io/Logging_0885/kartor/A 43603-2024 karta.png", "A 43603-2024")</f>
        <v/>
      </c>
      <c r="V1115">
        <f>HYPERLINK("https://klasma.github.io/Logging_0885/klagomål/A 43603-2024 FSC-klagomål.docx", "A 43603-2024")</f>
        <v/>
      </c>
      <c r="W1115">
        <f>HYPERLINK("https://klasma.github.io/Logging_0885/klagomålsmail/A 43603-2024 FSC-klagomål mail.docx", "A 43603-2024")</f>
        <v/>
      </c>
      <c r="X1115">
        <f>HYPERLINK("https://klasma.github.io/Logging_0885/tillsyn/A 43603-2024 tillsynsbegäran.docx", "A 43603-2024")</f>
        <v/>
      </c>
      <c r="Y1115">
        <f>HYPERLINK("https://klasma.github.io/Logging_0885/tillsynsmail/A 43603-2024 tillsynsbegäran mail.docx", "A 43603-2024")</f>
        <v/>
      </c>
    </row>
    <row r="1116" ht="15" customHeight="1">
      <c r="A1116" t="inlineStr">
        <is>
          <t>A 44333-2024</t>
        </is>
      </c>
      <c r="B1116" s="1" t="n">
        <v>45573</v>
      </c>
      <c r="C1116" s="1" t="n">
        <v>45715</v>
      </c>
      <c r="D1116" t="inlineStr">
        <is>
          <t>KALMAR LÄN</t>
        </is>
      </c>
      <c r="E1116" t="inlineStr">
        <is>
          <t>VÄSTERVIK</t>
        </is>
      </c>
      <c r="F1116" t="inlineStr">
        <is>
          <t>Holmen skog AB</t>
        </is>
      </c>
      <c r="G1116" t="n">
        <v>4.5</v>
      </c>
      <c r="H1116" t="n">
        <v>1</v>
      </c>
      <c r="I1116" t="n">
        <v>0</v>
      </c>
      <c r="J1116" t="n">
        <v>1</v>
      </c>
      <c r="K1116" t="n">
        <v>0</v>
      </c>
      <c r="L1116" t="n">
        <v>0</v>
      </c>
      <c r="M1116" t="n">
        <v>0</v>
      </c>
      <c r="N1116" t="n">
        <v>0</v>
      </c>
      <c r="O1116" t="n">
        <v>1</v>
      </c>
      <c r="P1116" t="n">
        <v>0</v>
      </c>
      <c r="Q1116" t="n">
        <v>1</v>
      </c>
      <c r="R1116" s="2" t="inlineStr">
        <is>
          <t>Havsörn</t>
        </is>
      </c>
      <c r="S1116">
        <f>HYPERLINK("https://klasma.github.io/Logging_0883/artfynd/A 44333-2024 artfynd.xlsx", "A 44333-2024")</f>
        <v/>
      </c>
      <c r="T1116">
        <f>HYPERLINK("https://klasma.github.io/Logging_0883/kartor/A 44333-2024 karta.png", "A 44333-2024")</f>
        <v/>
      </c>
      <c r="V1116">
        <f>HYPERLINK("https://klasma.github.io/Logging_0883/klagomål/A 44333-2024 FSC-klagomål.docx", "A 44333-2024")</f>
        <v/>
      </c>
      <c r="W1116">
        <f>HYPERLINK("https://klasma.github.io/Logging_0883/klagomålsmail/A 44333-2024 FSC-klagomål mail.docx", "A 44333-2024")</f>
        <v/>
      </c>
      <c r="X1116">
        <f>HYPERLINK("https://klasma.github.io/Logging_0883/tillsyn/A 44333-2024 tillsynsbegäran.docx", "A 44333-2024")</f>
        <v/>
      </c>
      <c r="Y1116">
        <f>HYPERLINK("https://klasma.github.io/Logging_0883/tillsynsmail/A 44333-2024 tillsynsbegäran mail.docx", "A 44333-2024")</f>
        <v/>
      </c>
      <c r="Z1116">
        <f>HYPERLINK("https://klasma.github.io/Logging_0883/fåglar/A 44333-2024 prioriterade fågelarter.docx", "A 44333-2024")</f>
        <v/>
      </c>
    </row>
    <row r="1117" ht="15" customHeight="1">
      <c r="A1117" t="inlineStr">
        <is>
          <t>A 44236-2024</t>
        </is>
      </c>
      <c r="B1117" s="1" t="n">
        <v>45573</v>
      </c>
      <c r="C1117" s="1" t="n">
        <v>45715</v>
      </c>
      <c r="D1117" t="inlineStr">
        <is>
          <t>KALMAR LÄN</t>
        </is>
      </c>
      <c r="E1117" t="inlineStr">
        <is>
          <t>TORSÅS</t>
        </is>
      </c>
      <c r="G1117" t="n">
        <v>3.5</v>
      </c>
      <c r="H1117" t="n">
        <v>0</v>
      </c>
      <c r="I1117" t="n">
        <v>0</v>
      </c>
      <c r="J1117" t="n">
        <v>1</v>
      </c>
      <c r="K1117" t="n">
        <v>0</v>
      </c>
      <c r="L1117" t="n">
        <v>0</v>
      </c>
      <c r="M1117" t="n">
        <v>0</v>
      </c>
      <c r="N1117" t="n">
        <v>0</v>
      </c>
      <c r="O1117" t="n">
        <v>1</v>
      </c>
      <c r="P1117" t="n">
        <v>0</v>
      </c>
      <c r="Q1117" t="n">
        <v>1</v>
      </c>
      <c r="R1117" s="2" t="inlineStr">
        <is>
          <t>Druvfingersvamp</t>
        </is>
      </c>
      <c r="S1117">
        <f>HYPERLINK("https://klasma.github.io/Logging_0834/artfynd/A 44236-2024 artfynd.xlsx", "A 44236-2024")</f>
        <v/>
      </c>
      <c r="T1117">
        <f>HYPERLINK("https://klasma.github.io/Logging_0834/kartor/A 44236-2024 karta.png", "A 44236-2024")</f>
        <v/>
      </c>
      <c r="V1117">
        <f>HYPERLINK("https://klasma.github.io/Logging_0834/klagomål/A 44236-2024 FSC-klagomål.docx", "A 44236-2024")</f>
        <v/>
      </c>
      <c r="W1117">
        <f>HYPERLINK("https://klasma.github.io/Logging_0834/klagomålsmail/A 44236-2024 FSC-klagomål mail.docx", "A 44236-2024")</f>
        <v/>
      </c>
      <c r="X1117">
        <f>HYPERLINK("https://klasma.github.io/Logging_0834/tillsyn/A 44236-2024 tillsynsbegäran.docx", "A 44236-2024")</f>
        <v/>
      </c>
      <c r="Y1117">
        <f>HYPERLINK("https://klasma.github.io/Logging_0834/tillsynsmail/A 44236-2024 tillsynsbegäran mail.docx", "A 44236-2024")</f>
        <v/>
      </c>
    </row>
    <row r="1118" ht="15" customHeight="1">
      <c r="A1118" t="inlineStr">
        <is>
          <t>A 44684-2024</t>
        </is>
      </c>
      <c r="B1118" s="1" t="n">
        <v>45574</v>
      </c>
      <c r="C1118" s="1" t="n">
        <v>45715</v>
      </c>
      <c r="D1118" t="inlineStr">
        <is>
          <t>KALMAR LÄN</t>
        </is>
      </c>
      <c r="E1118" t="inlineStr">
        <is>
          <t>VIMMERBY</t>
        </is>
      </c>
      <c r="G1118" t="n">
        <v>2.8</v>
      </c>
      <c r="H1118" t="n">
        <v>0</v>
      </c>
      <c r="I1118" t="n">
        <v>1</v>
      </c>
      <c r="J1118" t="n">
        <v>0</v>
      </c>
      <c r="K1118" t="n">
        <v>0</v>
      </c>
      <c r="L1118" t="n">
        <v>0</v>
      </c>
      <c r="M1118" t="n">
        <v>0</v>
      </c>
      <c r="N1118" t="n">
        <v>0</v>
      </c>
      <c r="O1118" t="n">
        <v>0</v>
      </c>
      <c r="P1118" t="n">
        <v>0</v>
      </c>
      <c r="Q1118" t="n">
        <v>1</v>
      </c>
      <c r="R1118" s="2" t="inlineStr">
        <is>
          <t>Blåmossa</t>
        </is>
      </c>
      <c r="S1118">
        <f>HYPERLINK("https://klasma.github.io/Logging_0884/artfynd/A 44684-2024 artfynd.xlsx", "A 44684-2024")</f>
        <v/>
      </c>
      <c r="T1118">
        <f>HYPERLINK("https://klasma.github.io/Logging_0884/kartor/A 44684-2024 karta.png", "A 44684-2024")</f>
        <v/>
      </c>
      <c r="U1118">
        <f>HYPERLINK("https://klasma.github.io/Logging_0884/knärot/A 44684-2024 karta knärot.png", "A 44684-2024")</f>
        <v/>
      </c>
      <c r="V1118">
        <f>HYPERLINK("https://klasma.github.io/Logging_0884/klagomål/A 44684-2024 FSC-klagomål.docx", "A 44684-2024")</f>
        <v/>
      </c>
      <c r="W1118">
        <f>HYPERLINK("https://klasma.github.io/Logging_0884/klagomålsmail/A 44684-2024 FSC-klagomål mail.docx", "A 44684-2024")</f>
        <v/>
      </c>
      <c r="X1118">
        <f>HYPERLINK("https://klasma.github.io/Logging_0884/tillsyn/A 44684-2024 tillsynsbegäran.docx", "A 44684-2024")</f>
        <v/>
      </c>
      <c r="Y1118">
        <f>HYPERLINK("https://klasma.github.io/Logging_0884/tillsynsmail/A 44684-2024 tillsynsbegäran mail.docx", "A 44684-2024")</f>
        <v/>
      </c>
    </row>
    <row r="1119" ht="15" customHeight="1">
      <c r="A1119" t="inlineStr">
        <is>
          <t>A 44515-2024</t>
        </is>
      </c>
      <c r="B1119" s="1" t="n">
        <v>45574</v>
      </c>
      <c r="C1119" s="1" t="n">
        <v>45715</v>
      </c>
      <c r="D1119" t="inlineStr">
        <is>
          <t>KALMAR LÄN</t>
        </is>
      </c>
      <c r="E1119" t="inlineStr">
        <is>
          <t>VIMMERBY</t>
        </is>
      </c>
      <c r="G1119" t="n">
        <v>1.4</v>
      </c>
      <c r="H1119" t="n">
        <v>1</v>
      </c>
      <c r="I1119" t="n">
        <v>0</v>
      </c>
      <c r="J1119" t="n">
        <v>0</v>
      </c>
      <c r="K1119" t="n">
        <v>1</v>
      </c>
      <c r="L1119" t="n">
        <v>0</v>
      </c>
      <c r="M1119" t="n">
        <v>0</v>
      </c>
      <c r="N1119" t="n">
        <v>0</v>
      </c>
      <c r="O1119" t="n">
        <v>1</v>
      </c>
      <c r="P1119" t="n">
        <v>1</v>
      </c>
      <c r="Q1119" t="n">
        <v>1</v>
      </c>
      <c r="R1119" s="2" t="inlineStr">
        <is>
          <t>Knärot</t>
        </is>
      </c>
      <c r="S1119">
        <f>HYPERLINK("https://klasma.github.io/Logging_0884/artfynd/A 44515-2024 artfynd.xlsx", "A 44515-2024")</f>
        <v/>
      </c>
      <c r="T1119">
        <f>HYPERLINK("https://klasma.github.io/Logging_0884/kartor/A 44515-2024 karta.png", "A 44515-2024")</f>
        <v/>
      </c>
      <c r="U1119">
        <f>HYPERLINK("https://klasma.github.io/Logging_0884/knärot/A 44515-2024 karta knärot.png", "A 44515-2024")</f>
        <v/>
      </c>
      <c r="V1119">
        <f>HYPERLINK("https://klasma.github.io/Logging_0884/klagomål/A 44515-2024 FSC-klagomål.docx", "A 44515-2024")</f>
        <v/>
      </c>
      <c r="W1119">
        <f>HYPERLINK("https://klasma.github.io/Logging_0884/klagomålsmail/A 44515-2024 FSC-klagomål mail.docx", "A 44515-2024")</f>
        <v/>
      </c>
      <c r="X1119">
        <f>HYPERLINK("https://klasma.github.io/Logging_0884/tillsyn/A 44515-2024 tillsynsbegäran.docx", "A 44515-2024")</f>
        <v/>
      </c>
      <c r="Y1119">
        <f>HYPERLINK("https://klasma.github.io/Logging_0884/tillsynsmail/A 44515-2024 tillsynsbegäran mail.docx", "A 44515-2024")</f>
        <v/>
      </c>
    </row>
    <row r="1120" ht="15" customHeight="1">
      <c r="A1120" t="inlineStr">
        <is>
          <t>A 44747-2024</t>
        </is>
      </c>
      <c r="B1120" s="1" t="n">
        <v>45574</v>
      </c>
      <c r="C1120" s="1" t="n">
        <v>45715</v>
      </c>
      <c r="D1120" t="inlineStr">
        <is>
          <t>KALMAR LÄN</t>
        </is>
      </c>
      <c r="E1120" t="inlineStr">
        <is>
          <t>KALMAR</t>
        </is>
      </c>
      <c r="F1120" t="inlineStr">
        <is>
          <t>Kommuner</t>
        </is>
      </c>
      <c r="G1120" t="n">
        <v>1.7</v>
      </c>
      <c r="H1120" t="n">
        <v>0</v>
      </c>
      <c r="I1120" t="n">
        <v>0</v>
      </c>
      <c r="J1120" t="n">
        <v>0</v>
      </c>
      <c r="K1120" t="n">
        <v>1</v>
      </c>
      <c r="L1120" t="n">
        <v>0</v>
      </c>
      <c r="M1120" t="n">
        <v>0</v>
      </c>
      <c r="N1120" t="n">
        <v>0</v>
      </c>
      <c r="O1120" t="n">
        <v>1</v>
      </c>
      <c r="P1120" t="n">
        <v>1</v>
      </c>
      <c r="Q1120" t="n">
        <v>1</v>
      </c>
      <c r="R1120" s="2" t="inlineStr">
        <is>
          <t>Lungrot</t>
        </is>
      </c>
      <c r="S1120">
        <f>HYPERLINK("https://klasma.github.io/Logging_0880/artfynd/A 44747-2024 artfynd.xlsx", "A 44747-2024")</f>
        <v/>
      </c>
      <c r="T1120">
        <f>HYPERLINK("https://klasma.github.io/Logging_0880/kartor/A 44747-2024 karta.png", "A 44747-2024")</f>
        <v/>
      </c>
      <c r="V1120">
        <f>HYPERLINK("https://klasma.github.io/Logging_0880/klagomål/A 44747-2024 FSC-klagomål.docx", "A 44747-2024")</f>
        <v/>
      </c>
      <c r="W1120">
        <f>HYPERLINK("https://klasma.github.io/Logging_0880/klagomålsmail/A 44747-2024 FSC-klagomål mail.docx", "A 44747-2024")</f>
        <v/>
      </c>
      <c r="X1120">
        <f>HYPERLINK("https://klasma.github.io/Logging_0880/tillsyn/A 44747-2024 tillsynsbegäran.docx", "A 44747-2024")</f>
        <v/>
      </c>
      <c r="Y1120">
        <f>HYPERLINK("https://klasma.github.io/Logging_0880/tillsynsmail/A 44747-2024 tillsynsbegäran mail.docx", "A 44747-2024")</f>
        <v/>
      </c>
    </row>
    <row r="1121" ht="15" customHeight="1">
      <c r="A1121" t="inlineStr">
        <is>
          <t>A 44723-2024</t>
        </is>
      </c>
      <c r="B1121" s="1" t="n">
        <v>45574</v>
      </c>
      <c r="C1121" s="1" t="n">
        <v>45715</v>
      </c>
      <c r="D1121" t="inlineStr">
        <is>
          <t>KALMAR LÄN</t>
        </is>
      </c>
      <c r="E1121" t="inlineStr">
        <is>
          <t>VIMMERBY</t>
        </is>
      </c>
      <c r="G1121" t="n">
        <v>6.9</v>
      </c>
      <c r="H1121" t="n">
        <v>0</v>
      </c>
      <c r="I1121" t="n">
        <v>1</v>
      </c>
      <c r="J1121" t="n">
        <v>0</v>
      </c>
      <c r="K1121" t="n">
        <v>0</v>
      </c>
      <c r="L1121" t="n">
        <v>0</v>
      </c>
      <c r="M1121" t="n">
        <v>0</v>
      </c>
      <c r="N1121" t="n">
        <v>0</v>
      </c>
      <c r="O1121" t="n">
        <v>0</v>
      </c>
      <c r="P1121" t="n">
        <v>0</v>
      </c>
      <c r="Q1121" t="n">
        <v>1</v>
      </c>
      <c r="R1121" s="2" t="inlineStr">
        <is>
          <t>Dropptaggsvamp</t>
        </is>
      </c>
      <c r="S1121">
        <f>HYPERLINK("https://klasma.github.io/Logging_0884/artfynd/A 44723-2024 artfynd.xlsx", "A 44723-2024")</f>
        <v/>
      </c>
      <c r="T1121">
        <f>HYPERLINK("https://klasma.github.io/Logging_0884/kartor/A 44723-2024 karta.png", "A 44723-2024")</f>
        <v/>
      </c>
      <c r="V1121">
        <f>HYPERLINK("https://klasma.github.io/Logging_0884/klagomål/A 44723-2024 FSC-klagomål.docx", "A 44723-2024")</f>
        <v/>
      </c>
      <c r="W1121">
        <f>HYPERLINK("https://klasma.github.io/Logging_0884/klagomålsmail/A 44723-2024 FSC-klagomål mail.docx", "A 44723-2024")</f>
        <v/>
      </c>
      <c r="X1121">
        <f>HYPERLINK("https://klasma.github.io/Logging_0884/tillsyn/A 44723-2024 tillsynsbegäran.docx", "A 44723-2024")</f>
        <v/>
      </c>
      <c r="Y1121">
        <f>HYPERLINK("https://klasma.github.io/Logging_0884/tillsynsmail/A 44723-2024 tillsynsbegäran mail.docx", "A 44723-2024")</f>
        <v/>
      </c>
    </row>
    <row r="1122" ht="15" customHeight="1">
      <c r="A1122" t="inlineStr">
        <is>
          <t>A 44954-2024</t>
        </is>
      </c>
      <c r="B1122" s="1" t="n">
        <v>45575</v>
      </c>
      <c r="C1122" s="1" t="n">
        <v>45715</v>
      </c>
      <c r="D1122" t="inlineStr">
        <is>
          <t>KALMAR LÄN</t>
        </is>
      </c>
      <c r="E1122" t="inlineStr">
        <is>
          <t>MÖNSTERÅS</t>
        </is>
      </c>
      <c r="G1122" t="n">
        <v>3.3</v>
      </c>
      <c r="H1122" t="n">
        <v>1</v>
      </c>
      <c r="I1122" t="n">
        <v>0</v>
      </c>
      <c r="J1122" t="n">
        <v>0</v>
      </c>
      <c r="K1122" t="n">
        <v>0</v>
      </c>
      <c r="L1122" t="n">
        <v>0</v>
      </c>
      <c r="M1122" t="n">
        <v>0</v>
      </c>
      <c r="N1122" t="n">
        <v>0</v>
      </c>
      <c r="O1122" t="n">
        <v>0</v>
      </c>
      <c r="P1122" t="n">
        <v>0</v>
      </c>
      <c r="Q1122" t="n">
        <v>1</v>
      </c>
      <c r="R1122" s="2" t="inlineStr">
        <is>
          <t>Revlummer</t>
        </is>
      </c>
      <c r="S1122">
        <f>HYPERLINK("https://klasma.github.io/Logging_0861/artfynd/A 44954-2024 artfynd.xlsx", "A 44954-2024")</f>
        <v/>
      </c>
      <c r="T1122">
        <f>HYPERLINK("https://klasma.github.io/Logging_0861/kartor/A 44954-2024 karta.png", "A 44954-2024")</f>
        <v/>
      </c>
      <c r="V1122">
        <f>HYPERLINK("https://klasma.github.io/Logging_0861/klagomål/A 44954-2024 FSC-klagomål.docx", "A 44954-2024")</f>
        <v/>
      </c>
      <c r="W1122">
        <f>HYPERLINK("https://klasma.github.io/Logging_0861/klagomålsmail/A 44954-2024 FSC-klagomål mail.docx", "A 44954-2024")</f>
        <v/>
      </c>
      <c r="X1122">
        <f>HYPERLINK("https://klasma.github.io/Logging_0861/tillsyn/A 44954-2024 tillsynsbegäran.docx", "A 44954-2024")</f>
        <v/>
      </c>
      <c r="Y1122">
        <f>HYPERLINK("https://klasma.github.io/Logging_0861/tillsynsmail/A 44954-2024 tillsynsbegäran mail.docx", "A 44954-2024")</f>
        <v/>
      </c>
    </row>
    <row r="1123" ht="15" customHeight="1">
      <c r="A1123" t="inlineStr">
        <is>
          <t>A 45462-2024</t>
        </is>
      </c>
      <c r="B1123" s="1" t="n">
        <v>45576</v>
      </c>
      <c r="C1123" s="1" t="n">
        <v>45715</v>
      </c>
      <c r="D1123" t="inlineStr">
        <is>
          <t>KALMAR LÄN</t>
        </is>
      </c>
      <c r="E1123" t="inlineStr">
        <is>
          <t>VÄSTERVIK</t>
        </is>
      </c>
      <c r="G1123" t="n">
        <v>3.5</v>
      </c>
      <c r="H1123" t="n">
        <v>1</v>
      </c>
      <c r="I1123" t="n">
        <v>0</v>
      </c>
      <c r="J1123" t="n">
        <v>1</v>
      </c>
      <c r="K1123" t="n">
        <v>0</v>
      </c>
      <c r="L1123" t="n">
        <v>0</v>
      </c>
      <c r="M1123" t="n">
        <v>0</v>
      </c>
      <c r="N1123" t="n">
        <v>0</v>
      </c>
      <c r="O1123" t="n">
        <v>1</v>
      </c>
      <c r="P1123" t="n">
        <v>0</v>
      </c>
      <c r="Q1123" t="n">
        <v>1</v>
      </c>
      <c r="R1123" s="2" t="inlineStr">
        <is>
          <t>Järpe</t>
        </is>
      </c>
      <c r="S1123">
        <f>HYPERLINK("https://klasma.github.io/Logging_0883/artfynd/A 45462-2024 artfynd.xlsx", "A 45462-2024")</f>
        <v/>
      </c>
      <c r="T1123">
        <f>HYPERLINK("https://klasma.github.io/Logging_0883/kartor/A 45462-2024 karta.png", "A 45462-2024")</f>
        <v/>
      </c>
      <c r="V1123">
        <f>HYPERLINK("https://klasma.github.io/Logging_0883/klagomål/A 45462-2024 FSC-klagomål.docx", "A 45462-2024")</f>
        <v/>
      </c>
      <c r="W1123">
        <f>HYPERLINK("https://klasma.github.io/Logging_0883/klagomålsmail/A 45462-2024 FSC-klagomål mail.docx", "A 45462-2024")</f>
        <v/>
      </c>
      <c r="X1123">
        <f>HYPERLINK("https://klasma.github.io/Logging_0883/tillsyn/A 45462-2024 tillsynsbegäran.docx", "A 45462-2024")</f>
        <v/>
      </c>
      <c r="Y1123">
        <f>HYPERLINK("https://klasma.github.io/Logging_0883/tillsynsmail/A 45462-2024 tillsynsbegäran mail.docx", "A 45462-2024")</f>
        <v/>
      </c>
      <c r="Z1123">
        <f>HYPERLINK("https://klasma.github.io/Logging_0883/fåglar/A 45462-2024 prioriterade fågelarter.docx", "A 45462-2024")</f>
        <v/>
      </c>
    </row>
    <row r="1124" ht="15" customHeight="1">
      <c r="A1124" t="inlineStr">
        <is>
          <t>A 45533-2024</t>
        </is>
      </c>
      <c r="B1124" s="1" t="n">
        <v>45579</v>
      </c>
      <c r="C1124" s="1" t="n">
        <v>45715</v>
      </c>
      <c r="D1124" t="inlineStr">
        <is>
          <t>KALMAR LÄN</t>
        </is>
      </c>
      <c r="E1124" t="inlineStr">
        <is>
          <t>HÖGSBY</t>
        </is>
      </c>
      <c r="G1124" t="n">
        <v>2.3</v>
      </c>
      <c r="H1124" t="n">
        <v>1</v>
      </c>
      <c r="I1124" t="n">
        <v>0</v>
      </c>
      <c r="J1124" t="n">
        <v>0</v>
      </c>
      <c r="K1124" t="n">
        <v>0</v>
      </c>
      <c r="L1124" t="n">
        <v>0</v>
      </c>
      <c r="M1124" t="n">
        <v>0</v>
      </c>
      <c r="N1124" t="n">
        <v>0</v>
      </c>
      <c r="O1124" t="n">
        <v>0</v>
      </c>
      <c r="P1124" t="n">
        <v>0</v>
      </c>
      <c r="Q1124" t="n">
        <v>1</v>
      </c>
      <c r="R1124" s="2" t="inlineStr">
        <is>
          <t>Blåsippa</t>
        </is>
      </c>
      <c r="S1124">
        <f>HYPERLINK("https://klasma.github.io/Logging_0821/artfynd/A 45533-2024 artfynd.xlsx", "A 45533-2024")</f>
        <v/>
      </c>
      <c r="T1124">
        <f>HYPERLINK("https://klasma.github.io/Logging_0821/kartor/A 45533-2024 karta.png", "A 45533-2024")</f>
        <v/>
      </c>
      <c r="V1124">
        <f>HYPERLINK("https://klasma.github.io/Logging_0821/klagomål/A 45533-2024 FSC-klagomål.docx", "A 45533-2024")</f>
        <v/>
      </c>
      <c r="W1124">
        <f>HYPERLINK("https://klasma.github.io/Logging_0821/klagomålsmail/A 45533-2024 FSC-klagomål mail.docx", "A 45533-2024")</f>
        <v/>
      </c>
      <c r="X1124">
        <f>HYPERLINK("https://klasma.github.io/Logging_0821/tillsyn/A 45533-2024 tillsynsbegäran.docx", "A 45533-2024")</f>
        <v/>
      </c>
      <c r="Y1124">
        <f>HYPERLINK("https://klasma.github.io/Logging_0821/tillsynsmail/A 45533-2024 tillsynsbegäran mail.docx", "A 45533-2024")</f>
        <v/>
      </c>
    </row>
    <row r="1125" ht="15" customHeight="1">
      <c r="A1125" t="inlineStr">
        <is>
          <t>A 45679-2024</t>
        </is>
      </c>
      <c r="B1125" s="1" t="n">
        <v>45579</v>
      </c>
      <c r="C1125" s="1" t="n">
        <v>45715</v>
      </c>
      <c r="D1125" t="inlineStr">
        <is>
          <t>KALMAR LÄN</t>
        </is>
      </c>
      <c r="E1125" t="inlineStr">
        <is>
          <t>VÄSTERVIK</t>
        </is>
      </c>
      <c r="F1125" t="inlineStr">
        <is>
          <t>Kyrkan</t>
        </is>
      </c>
      <c r="G1125" t="n">
        <v>2.8</v>
      </c>
      <c r="H1125" t="n">
        <v>1</v>
      </c>
      <c r="I1125" t="n">
        <v>0</v>
      </c>
      <c r="J1125" t="n">
        <v>0</v>
      </c>
      <c r="K1125" t="n">
        <v>1</v>
      </c>
      <c r="L1125" t="n">
        <v>0</v>
      </c>
      <c r="M1125" t="n">
        <v>0</v>
      </c>
      <c r="N1125" t="n">
        <v>0</v>
      </c>
      <c r="O1125" t="n">
        <v>1</v>
      </c>
      <c r="P1125" t="n">
        <v>1</v>
      </c>
      <c r="Q1125" t="n">
        <v>1</v>
      </c>
      <c r="R1125" s="2" t="inlineStr">
        <is>
          <t>Knärot</t>
        </is>
      </c>
      <c r="S1125">
        <f>HYPERLINK("https://klasma.github.io/Logging_0883/artfynd/A 45679-2024 artfynd.xlsx", "A 45679-2024")</f>
        <v/>
      </c>
      <c r="T1125">
        <f>HYPERLINK("https://klasma.github.io/Logging_0883/kartor/A 45679-2024 karta.png", "A 45679-2024")</f>
        <v/>
      </c>
      <c r="U1125">
        <f>HYPERLINK("https://klasma.github.io/Logging_0883/knärot/A 45679-2024 karta knärot.png", "A 45679-2024")</f>
        <v/>
      </c>
      <c r="V1125">
        <f>HYPERLINK("https://klasma.github.io/Logging_0883/klagomål/A 45679-2024 FSC-klagomål.docx", "A 45679-2024")</f>
        <v/>
      </c>
      <c r="W1125">
        <f>HYPERLINK("https://klasma.github.io/Logging_0883/klagomålsmail/A 45679-2024 FSC-klagomål mail.docx", "A 45679-2024")</f>
        <v/>
      </c>
      <c r="X1125">
        <f>HYPERLINK("https://klasma.github.io/Logging_0883/tillsyn/A 45679-2024 tillsynsbegäran.docx", "A 45679-2024")</f>
        <v/>
      </c>
      <c r="Y1125">
        <f>HYPERLINK("https://klasma.github.io/Logging_0883/tillsynsmail/A 45679-2024 tillsynsbegäran mail.docx", "A 45679-2024")</f>
        <v/>
      </c>
    </row>
    <row r="1126" ht="15" customHeight="1">
      <c r="A1126" t="inlineStr">
        <is>
          <t>A 45535-2024</t>
        </is>
      </c>
      <c r="B1126" s="1" t="n">
        <v>45579</v>
      </c>
      <c r="C1126" s="1" t="n">
        <v>45715</v>
      </c>
      <c r="D1126" t="inlineStr">
        <is>
          <t>KALMAR LÄN</t>
        </is>
      </c>
      <c r="E1126" t="inlineStr">
        <is>
          <t>HÖGSBY</t>
        </is>
      </c>
      <c r="G1126" t="n">
        <v>1.7</v>
      </c>
      <c r="H1126" t="n">
        <v>1</v>
      </c>
      <c r="I1126" t="n">
        <v>0</v>
      </c>
      <c r="J1126" t="n">
        <v>0</v>
      </c>
      <c r="K1126" t="n">
        <v>0</v>
      </c>
      <c r="L1126" t="n">
        <v>0</v>
      </c>
      <c r="M1126" t="n">
        <v>0</v>
      </c>
      <c r="N1126" t="n">
        <v>0</v>
      </c>
      <c r="O1126" t="n">
        <v>0</v>
      </c>
      <c r="P1126" t="n">
        <v>0</v>
      </c>
      <c r="Q1126" t="n">
        <v>1</v>
      </c>
      <c r="R1126" s="2" t="inlineStr">
        <is>
          <t>Blåsippa</t>
        </is>
      </c>
      <c r="S1126">
        <f>HYPERLINK("https://klasma.github.io/Logging_0821/artfynd/A 45535-2024 artfynd.xlsx", "A 45535-2024")</f>
        <v/>
      </c>
      <c r="T1126">
        <f>HYPERLINK("https://klasma.github.io/Logging_0821/kartor/A 45535-2024 karta.png", "A 45535-2024")</f>
        <v/>
      </c>
      <c r="V1126">
        <f>HYPERLINK("https://klasma.github.io/Logging_0821/klagomål/A 45535-2024 FSC-klagomål.docx", "A 45535-2024")</f>
        <v/>
      </c>
      <c r="W1126">
        <f>HYPERLINK("https://klasma.github.io/Logging_0821/klagomålsmail/A 45535-2024 FSC-klagomål mail.docx", "A 45535-2024")</f>
        <v/>
      </c>
      <c r="X1126">
        <f>HYPERLINK("https://klasma.github.io/Logging_0821/tillsyn/A 45535-2024 tillsynsbegäran.docx", "A 45535-2024")</f>
        <v/>
      </c>
      <c r="Y1126">
        <f>HYPERLINK("https://klasma.github.io/Logging_0821/tillsynsmail/A 45535-2024 tillsynsbegäran mail.docx", "A 45535-2024")</f>
        <v/>
      </c>
    </row>
    <row r="1127" ht="15" customHeight="1">
      <c r="A1127" t="inlineStr">
        <is>
          <t>A 46276-2024</t>
        </is>
      </c>
      <c r="B1127" s="1" t="n">
        <v>45581</v>
      </c>
      <c r="C1127" s="1" t="n">
        <v>45715</v>
      </c>
      <c r="D1127" t="inlineStr">
        <is>
          <t>KALMAR LÄN</t>
        </is>
      </c>
      <c r="E1127" t="inlineStr">
        <is>
          <t>OSKARSHAMN</t>
        </is>
      </c>
      <c r="G1127" t="n">
        <v>0.9</v>
      </c>
      <c r="H1127" t="n">
        <v>1</v>
      </c>
      <c r="I1127" t="n">
        <v>0</v>
      </c>
      <c r="J1127" t="n">
        <v>0</v>
      </c>
      <c r="K1127" t="n">
        <v>0</v>
      </c>
      <c r="L1127" t="n">
        <v>0</v>
      </c>
      <c r="M1127" t="n">
        <v>0</v>
      </c>
      <c r="N1127" t="n">
        <v>0</v>
      </c>
      <c r="O1127" t="n">
        <v>0</v>
      </c>
      <c r="P1127" t="n">
        <v>0</v>
      </c>
      <c r="Q1127" t="n">
        <v>1</v>
      </c>
      <c r="R1127" s="2" t="inlineStr">
        <is>
          <t>Blåsippa</t>
        </is>
      </c>
      <c r="S1127">
        <f>HYPERLINK("https://klasma.github.io/Logging_0882/artfynd/A 46276-2024 artfynd.xlsx", "A 46276-2024")</f>
        <v/>
      </c>
      <c r="T1127">
        <f>HYPERLINK("https://klasma.github.io/Logging_0882/kartor/A 46276-2024 karta.png", "A 46276-2024")</f>
        <v/>
      </c>
      <c r="V1127">
        <f>HYPERLINK("https://klasma.github.io/Logging_0882/klagomål/A 46276-2024 FSC-klagomål.docx", "A 46276-2024")</f>
        <v/>
      </c>
      <c r="W1127">
        <f>HYPERLINK("https://klasma.github.io/Logging_0882/klagomålsmail/A 46276-2024 FSC-klagomål mail.docx", "A 46276-2024")</f>
        <v/>
      </c>
      <c r="X1127">
        <f>HYPERLINK("https://klasma.github.io/Logging_0882/tillsyn/A 46276-2024 tillsynsbegäran.docx", "A 46276-2024")</f>
        <v/>
      </c>
      <c r="Y1127">
        <f>HYPERLINK("https://klasma.github.io/Logging_0882/tillsynsmail/A 46276-2024 tillsynsbegäran mail.docx", "A 46276-2024")</f>
        <v/>
      </c>
    </row>
    <row r="1128" ht="15" customHeight="1">
      <c r="A1128" t="inlineStr">
        <is>
          <t>A 46223-2024</t>
        </is>
      </c>
      <c r="B1128" s="1" t="n">
        <v>45581</v>
      </c>
      <c r="C1128" s="1" t="n">
        <v>45715</v>
      </c>
      <c r="D1128" t="inlineStr">
        <is>
          <t>KALMAR LÄN</t>
        </is>
      </c>
      <c r="E1128" t="inlineStr">
        <is>
          <t>NYBRO</t>
        </is>
      </c>
      <c r="G1128" t="n">
        <v>2.8</v>
      </c>
      <c r="H1128" t="n">
        <v>0</v>
      </c>
      <c r="I1128" t="n">
        <v>0</v>
      </c>
      <c r="J1128" t="n">
        <v>1</v>
      </c>
      <c r="K1128" t="n">
        <v>0</v>
      </c>
      <c r="L1128" t="n">
        <v>0</v>
      </c>
      <c r="M1128" t="n">
        <v>0</v>
      </c>
      <c r="N1128" t="n">
        <v>0</v>
      </c>
      <c r="O1128" t="n">
        <v>1</v>
      </c>
      <c r="P1128" t="n">
        <v>0</v>
      </c>
      <c r="Q1128" t="n">
        <v>1</v>
      </c>
      <c r="R1128" s="2" t="inlineStr">
        <is>
          <t>Sumpviol</t>
        </is>
      </c>
      <c r="S1128">
        <f>HYPERLINK("https://klasma.github.io/Logging_0881/artfynd/A 46223-2024 artfynd.xlsx", "A 46223-2024")</f>
        <v/>
      </c>
      <c r="T1128">
        <f>HYPERLINK("https://klasma.github.io/Logging_0881/kartor/A 46223-2024 karta.png", "A 46223-2024")</f>
        <v/>
      </c>
      <c r="V1128">
        <f>HYPERLINK("https://klasma.github.io/Logging_0881/klagomål/A 46223-2024 FSC-klagomål.docx", "A 46223-2024")</f>
        <v/>
      </c>
      <c r="W1128">
        <f>HYPERLINK("https://klasma.github.io/Logging_0881/klagomålsmail/A 46223-2024 FSC-klagomål mail.docx", "A 46223-2024")</f>
        <v/>
      </c>
      <c r="X1128">
        <f>HYPERLINK("https://klasma.github.io/Logging_0881/tillsyn/A 46223-2024 tillsynsbegäran.docx", "A 46223-2024")</f>
        <v/>
      </c>
      <c r="Y1128">
        <f>HYPERLINK("https://klasma.github.io/Logging_0881/tillsynsmail/A 46223-2024 tillsynsbegäran mail.docx", "A 46223-2024")</f>
        <v/>
      </c>
    </row>
    <row r="1129" ht="15" customHeight="1">
      <c r="A1129" t="inlineStr">
        <is>
          <t>A 47457-2024</t>
        </is>
      </c>
      <c r="B1129" s="1" t="n">
        <v>45587</v>
      </c>
      <c r="C1129" s="1" t="n">
        <v>45715</v>
      </c>
      <c r="D1129" t="inlineStr">
        <is>
          <t>KALMAR LÄN</t>
        </is>
      </c>
      <c r="E1129" t="inlineStr">
        <is>
          <t>NYBRO</t>
        </is>
      </c>
      <c r="G1129" t="n">
        <v>3</v>
      </c>
      <c r="H1129" t="n">
        <v>0</v>
      </c>
      <c r="I1129" t="n">
        <v>0</v>
      </c>
      <c r="J1129" t="n">
        <v>1</v>
      </c>
      <c r="K1129" t="n">
        <v>0</v>
      </c>
      <c r="L1129" t="n">
        <v>0</v>
      </c>
      <c r="M1129" t="n">
        <v>0</v>
      </c>
      <c r="N1129" t="n">
        <v>0</v>
      </c>
      <c r="O1129" t="n">
        <v>1</v>
      </c>
      <c r="P1129" t="n">
        <v>0</v>
      </c>
      <c r="Q1129" t="n">
        <v>1</v>
      </c>
      <c r="R1129" s="2" t="inlineStr">
        <is>
          <t>Brunag</t>
        </is>
      </c>
      <c r="S1129">
        <f>HYPERLINK("https://klasma.github.io/Logging_0881/artfynd/A 47457-2024 artfynd.xlsx", "A 47457-2024")</f>
        <v/>
      </c>
      <c r="T1129">
        <f>HYPERLINK("https://klasma.github.io/Logging_0881/kartor/A 47457-2024 karta.png", "A 47457-2024")</f>
        <v/>
      </c>
      <c r="V1129">
        <f>HYPERLINK("https://klasma.github.io/Logging_0881/klagomål/A 47457-2024 FSC-klagomål.docx", "A 47457-2024")</f>
        <v/>
      </c>
      <c r="W1129">
        <f>HYPERLINK("https://klasma.github.io/Logging_0881/klagomålsmail/A 47457-2024 FSC-klagomål mail.docx", "A 47457-2024")</f>
        <v/>
      </c>
      <c r="X1129">
        <f>HYPERLINK("https://klasma.github.io/Logging_0881/tillsyn/A 47457-2024 tillsynsbegäran.docx", "A 47457-2024")</f>
        <v/>
      </c>
      <c r="Y1129">
        <f>HYPERLINK("https://klasma.github.io/Logging_0881/tillsynsmail/A 47457-2024 tillsynsbegäran mail.docx", "A 47457-2024")</f>
        <v/>
      </c>
    </row>
    <row r="1130" ht="15" customHeight="1">
      <c r="A1130" t="inlineStr">
        <is>
          <t>A 48938-2024</t>
        </is>
      </c>
      <c r="B1130" s="1" t="n">
        <v>45594</v>
      </c>
      <c r="C1130" s="1" t="n">
        <v>45715</v>
      </c>
      <c r="D1130" t="inlineStr">
        <is>
          <t>KALMAR LÄN</t>
        </is>
      </c>
      <c r="E1130" t="inlineStr">
        <is>
          <t>HULTSFRED</t>
        </is>
      </c>
      <c r="G1130" t="n">
        <v>1.1</v>
      </c>
      <c r="H1130" t="n">
        <v>1</v>
      </c>
      <c r="I1130" t="n">
        <v>0</v>
      </c>
      <c r="J1130" t="n">
        <v>1</v>
      </c>
      <c r="K1130" t="n">
        <v>0</v>
      </c>
      <c r="L1130" t="n">
        <v>0</v>
      </c>
      <c r="M1130" t="n">
        <v>0</v>
      </c>
      <c r="N1130" t="n">
        <v>0</v>
      </c>
      <c r="O1130" t="n">
        <v>1</v>
      </c>
      <c r="P1130" t="n">
        <v>0</v>
      </c>
      <c r="Q1130" t="n">
        <v>1</v>
      </c>
      <c r="R1130" s="2" t="inlineStr">
        <is>
          <t>Järpe</t>
        </is>
      </c>
      <c r="S1130">
        <f>HYPERLINK("https://klasma.github.io/Logging_0860/artfynd/A 48938-2024 artfynd.xlsx", "A 48938-2024")</f>
        <v/>
      </c>
      <c r="T1130">
        <f>HYPERLINK("https://klasma.github.io/Logging_0860/kartor/A 48938-2024 karta.png", "A 48938-2024")</f>
        <v/>
      </c>
      <c r="V1130">
        <f>HYPERLINK("https://klasma.github.io/Logging_0860/klagomål/A 48938-2024 FSC-klagomål.docx", "A 48938-2024")</f>
        <v/>
      </c>
      <c r="W1130">
        <f>HYPERLINK("https://klasma.github.io/Logging_0860/klagomålsmail/A 48938-2024 FSC-klagomål mail.docx", "A 48938-2024")</f>
        <v/>
      </c>
      <c r="X1130">
        <f>HYPERLINK("https://klasma.github.io/Logging_0860/tillsyn/A 48938-2024 tillsynsbegäran.docx", "A 48938-2024")</f>
        <v/>
      </c>
      <c r="Y1130">
        <f>HYPERLINK("https://klasma.github.io/Logging_0860/tillsynsmail/A 48938-2024 tillsynsbegäran mail.docx", "A 48938-2024")</f>
        <v/>
      </c>
      <c r="Z1130">
        <f>HYPERLINK("https://klasma.github.io/Logging_0860/fåglar/A 48938-2024 prioriterade fågelarter.docx", "A 48938-2024")</f>
        <v/>
      </c>
    </row>
    <row r="1131" ht="15" customHeight="1">
      <c r="A1131" t="inlineStr">
        <is>
          <t>A 48980-2024</t>
        </is>
      </c>
      <c r="B1131" s="1" t="n">
        <v>45594</v>
      </c>
      <c r="C1131" s="1" t="n">
        <v>45715</v>
      </c>
      <c r="D1131" t="inlineStr">
        <is>
          <t>KALMAR LÄN</t>
        </is>
      </c>
      <c r="E1131" t="inlineStr">
        <is>
          <t>NYBRO</t>
        </is>
      </c>
      <c r="G1131" t="n">
        <v>41.9</v>
      </c>
      <c r="H1131" t="n">
        <v>0</v>
      </c>
      <c r="I1131" t="n">
        <v>0</v>
      </c>
      <c r="J1131" t="n">
        <v>0</v>
      </c>
      <c r="K1131" t="n">
        <v>1</v>
      </c>
      <c r="L1131" t="n">
        <v>0</v>
      </c>
      <c r="M1131" t="n">
        <v>0</v>
      </c>
      <c r="N1131" t="n">
        <v>0</v>
      </c>
      <c r="O1131" t="n">
        <v>1</v>
      </c>
      <c r="P1131" t="n">
        <v>1</v>
      </c>
      <c r="Q1131" t="n">
        <v>1</v>
      </c>
      <c r="R1131" s="2" t="inlineStr">
        <is>
          <t>Hjärtstilla</t>
        </is>
      </c>
      <c r="S1131">
        <f>HYPERLINK("https://klasma.github.io/Logging_0881/artfynd/A 48980-2024 artfynd.xlsx", "A 48980-2024")</f>
        <v/>
      </c>
      <c r="T1131">
        <f>HYPERLINK("https://klasma.github.io/Logging_0881/kartor/A 48980-2024 karta.png", "A 48980-2024")</f>
        <v/>
      </c>
      <c r="V1131">
        <f>HYPERLINK("https://klasma.github.io/Logging_0881/klagomål/A 48980-2024 FSC-klagomål.docx", "A 48980-2024")</f>
        <v/>
      </c>
      <c r="W1131">
        <f>HYPERLINK("https://klasma.github.io/Logging_0881/klagomålsmail/A 48980-2024 FSC-klagomål mail.docx", "A 48980-2024")</f>
        <v/>
      </c>
      <c r="X1131">
        <f>HYPERLINK("https://klasma.github.io/Logging_0881/tillsyn/A 48980-2024 tillsynsbegäran.docx", "A 48980-2024")</f>
        <v/>
      </c>
      <c r="Y1131">
        <f>HYPERLINK("https://klasma.github.io/Logging_0881/tillsynsmail/A 48980-2024 tillsynsbegäran mail.docx", "A 48980-2024")</f>
        <v/>
      </c>
    </row>
    <row r="1132" ht="15" customHeight="1">
      <c r="A1132" t="inlineStr">
        <is>
          <t>A 49265-2024</t>
        </is>
      </c>
      <c r="B1132" s="1" t="n">
        <v>45595</v>
      </c>
      <c r="C1132" s="1" t="n">
        <v>45715</v>
      </c>
      <c r="D1132" t="inlineStr">
        <is>
          <t>KALMAR LÄN</t>
        </is>
      </c>
      <c r="E1132" t="inlineStr">
        <is>
          <t>HULTSFRED</t>
        </is>
      </c>
      <c r="G1132" t="n">
        <v>4.9</v>
      </c>
      <c r="H1132" t="n">
        <v>0</v>
      </c>
      <c r="I1132" t="n">
        <v>0</v>
      </c>
      <c r="J1132" t="n">
        <v>1</v>
      </c>
      <c r="K1132" t="n">
        <v>0</v>
      </c>
      <c r="L1132" t="n">
        <v>0</v>
      </c>
      <c r="M1132" t="n">
        <v>0</v>
      </c>
      <c r="N1132" t="n">
        <v>0</v>
      </c>
      <c r="O1132" t="n">
        <v>1</v>
      </c>
      <c r="P1132" t="n">
        <v>0</v>
      </c>
      <c r="Q1132" t="n">
        <v>1</v>
      </c>
      <c r="R1132" s="2" t="inlineStr">
        <is>
          <t>Tennfibbla</t>
        </is>
      </c>
      <c r="S1132">
        <f>HYPERLINK("https://klasma.github.io/Logging_0860/artfynd/A 49265-2024 artfynd.xlsx", "A 49265-2024")</f>
        <v/>
      </c>
      <c r="T1132">
        <f>HYPERLINK("https://klasma.github.io/Logging_0860/kartor/A 49265-2024 karta.png", "A 49265-2024")</f>
        <v/>
      </c>
      <c r="V1132">
        <f>HYPERLINK("https://klasma.github.io/Logging_0860/klagomål/A 49265-2024 FSC-klagomål.docx", "A 49265-2024")</f>
        <v/>
      </c>
      <c r="W1132">
        <f>HYPERLINK("https://klasma.github.io/Logging_0860/klagomålsmail/A 49265-2024 FSC-klagomål mail.docx", "A 49265-2024")</f>
        <v/>
      </c>
      <c r="X1132">
        <f>HYPERLINK("https://klasma.github.io/Logging_0860/tillsyn/A 49265-2024 tillsynsbegäran.docx", "A 49265-2024")</f>
        <v/>
      </c>
      <c r="Y1132">
        <f>HYPERLINK("https://klasma.github.io/Logging_0860/tillsynsmail/A 49265-2024 tillsynsbegäran mail.docx", "A 49265-2024")</f>
        <v/>
      </c>
    </row>
    <row r="1133" ht="15" customHeight="1">
      <c r="A1133" t="inlineStr">
        <is>
          <t>A 49579-2024</t>
        </is>
      </c>
      <c r="B1133" s="1" t="n">
        <v>45596</v>
      </c>
      <c r="C1133" s="1" t="n">
        <v>45715</v>
      </c>
      <c r="D1133" t="inlineStr">
        <is>
          <t>KALMAR LÄN</t>
        </is>
      </c>
      <c r="E1133" t="inlineStr">
        <is>
          <t>NYBRO</t>
        </is>
      </c>
      <c r="G1133" t="n">
        <v>5</v>
      </c>
      <c r="H1133" t="n">
        <v>1</v>
      </c>
      <c r="I1133" t="n">
        <v>0</v>
      </c>
      <c r="J1133" t="n">
        <v>0</v>
      </c>
      <c r="K1133" t="n">
        <v>0</v>
      </c>
      <c r="L1133" t="n">
        <v>0</v>
      </c>
      <c r="M1133" t="n">
        <v>0</v>
      </c>
      <c r="N1133" t="n">
        <v>0</v>
      </c>
      <c r="O1133" t="n">
        <v>0</v>
      </c>
      <c r="P1133" t="n">
        <v>0</v>
      </c>
      <c r="Q1133" t="n">
        <v>1</v>
      </c>
      <c r="R1133" s="2" t="inlineStr">
        <is>
          <t>Fläcknycklar</t>
        </is>
      </c>
      <c r="S1133">
        <f>HYPERLINK("https://klasma.github.io/Logging_0881/artfynd/A 49579-2024 artfynd.xlsx", "A 49579-2024")</f>
        <v/>
      </c>
      <c r="T1133">
        <f>HYPERLINK("https://klasma.github.io/Logging_0881/kartor/A 49579-2024 karta.png", "A 49579-2024")</f>
        <v/>
      </c>
      <c r="V1133">
        <f>HYPERLINK("https://klasma.github.io/Logging_0881/klagomål/A 49579-2024 FSC-klagomål.docx", "A 49579-2024")</f>
        <v/>
      </c>
      <c r="W1133">
        <f>HYPERLINK("https://klasma.github.io/Logging_0881/klagomålsmail/A 49579-2024 FSC-klagomål mail.docx", "A 49579-2024")</f>
        <v/>
      </c>
      <c r="X1133">
        <f>HYPERLINK("https://klasma.github.io/Logging_0881/tillsyn/A 49579-2024 tillsynsbegäran.docx", "A 49579-2024")</f>
        <v/>
      </c>
      <c r="Y1133">
        <f>HYPERLINK("https://klasma.github.io/Logging_0881/tillsynsmail/A 49579-2024 tillsynsbegäran mail.docx", "A 49579-2024")</f>
        <v/>
      </c>
    </row>
    <row r="1134" ht="15" customHeight="1">
      <c r="A1134" t="inlineStr">
        <is>
          <t>A 50908-2024</t>
        </is>
      </c>
      <c r="B1134" s="1" t="n">
        <v>45602</v>
      </c>
      <c r="C1134" s="1" t="n">
        <v>45715</v>
      </c>
      <c r="D1134" t="inlineStr">
        <is>
          <t>KALMAR LÄN</t>
        </is>
      </c>
      <c r="E1134" t="inlineStr">
        <is>
          <t>NYBRO</t>
        </is>
      </c>
      <c r="G1134" t="n">
        <v>2.5</v>
      </c>
      <c r="H1134" t="n">
        <v>0</v>
      </c>
      <c r="I1134" t="n">
        <v>0</v>
      </c>
      <c r="J1134" t="n">
        <v>1</v>
      </c>
      <c r="K1134" t="n">
        <v>0</v>
      </c>
      <c r="L1134" t="n">
        <v>0</v>
      </c>
      <c r="M1134" t="n">
        <v>0</v>
      </c>
      <c r="N1134" t="n">
        <v>0</v>
      </c>
      <c r="O1134" t="n">
        <v>1</v>
      </c>
      <c r="P1134" t="n">
        <v>0</v>
      </c>
      <c r="Q1134" t="n">
        <v>1</v>
      </c>
      <c r="R1134" s="2" t="inlineStr">
        <is>
          <t>Asppraktbagge</t>
        </is>
      </c>
      <c r="S1134">
        <f>HYPERLINK("https://klasma.github.io/Logging_0881/artfynd/A 50908-2024 artfynd.xlsx", "A 50908-2024")</f>
        <v/>
      </c>
      <c r="T1134">
        <f>HYPERLINK("https://klasma.github.io/Logging_0881/kartor/A 50908-2024 karta.png", "A 50908-2024")</f>
        <v/>
      </c>
      <c r="V1134">
        <f>HYPERLINK("https://klasma.github.io/Logging_0881/klagomål/A 50908-2024 FSC-klagomål.docx", "A 50908-2024")</f>
        <v/>
      </c>
      <c r="W1134">
        <f>HYPERLINK("https://klasma.github.io/Logging_0881/klagomålsmail/A 50908-2024 FSC-klagomål mail.docx", "A 50908-2024")</f>
        <v/>
      </c>
      <c r="X1134">
        <f>HYPERLINK("https://klasma.github.io/Logging_0881/tillsyn/A 50908-2024 tillsynsbegäran.docx", "A 50908-2024")</f>
        <v/>
      </c>
      <c r="Y1134">
        <f>HYPERLINK("https://klasma.github.io/Logging_0881/tillsynsmail/A 50908-2024 tillsynsbegäran mail.docx", "A 50908-2024")</f>
        <v/>
      </c>
    </row>
    <row r="1135" ht="15" customHeight="1">
      <c r="A1135" t="inlineStr">
        <is>
          <t>A 51488-2024</t>
        </is>
      </c>
      <c r="B1135" s="1" t="n">
        <v>45604</v>
      </c>
      <c r="C1135" s="1" t="n">
        <v>45715</v>
      </c>
      <c r="D1135" t="inlineStr">
        <is>
          <t>KALMAR LÄN</t>
        </is>
      </c>
      <c r="E1135" t="inlineStr">
        <is>
          <t>VÄSTERVIK</t>
        </is>
      </c>
      <c r="F1135" t="inlineStr">
        <is>
          <t>Övriga Aktiebolag</t>
        </is>
      </c>
      <c r="G1135" t="n">
        <v>2.9</v>
      </c>
      <c r="H1135" t="n">
        <v>1</v>
      </c>
      <c r="I1135" t="n">
        <v>0</v>
      </c>
      <c r="J1135" t="n">
        <v>1</v>
      </c>
      <c r="K1135" t="n">
        <v>0</v>
      </c>
      <c r="L1135" t="n">
        <v>0</v>
      </c>
      <c r="M1135" t="n">
        <v>0</v>
      </c>
      <c r="N1135" t="n">
        <v>0</v>
      </c>
      <c r="O1135" t="n">
        <v>1</v>
      </c>
      <c r="P1135" t="n">
        <v>0</v>
      </c>
      <c r="Q1135" t="n">
        <v>1</v>
      </c>
      <c r="R1135" s="2" t="inlineStr">
        <is>
          <t>Entita</t>
        </is>
      </c>
      <c r="S1135">
        <f>HYPERLINK("https://klasma.github.io/Logging_0883/artfynd/A 51488-2024 artfynd.xlsx", "A 51488-2024")</f>
        <v/>
      </c>
      <c r="T1135">
        <f>HYPERLINK("https://klasma.github.io/Logging_0883/kartor/A 51488-2024 karta.png", "A 51488-2024")</f>
        <v/>
      </c>
      <c r="V1135">
        <f>HYPERLINK("https://klasma.github.io/Logging_0883/klagomål/A 51488-2024 FSC-klagomål.docx", "A 51488-2024")</f>
        <v/>
      </c>
      <c r="W1135">
        <f>HYPERLINK("https://klasma.github.io/Logging_0883/klagomålsmail/A 51488-2024 FSC-klagomål mail.docx", "A 51488-2024")</f>
        <v/>
      </c>
      <c r="X1135">
        <f>HYPERLINK("https://klasma.github.io/Logging_0883/tillsyn/A 51488-2024 tillsynsbegäran.docx", "A 51488-2024")</f>
        <v/>
      </c>
      <c r="Y1135">
        <f>HYPERLINK("https://klasma.github.io/Logging_0883/tillsynsmail/A 51488-2024 tillsynsbegäran mail.docx", "A 51488-2024")</f>
        <v/>
      </c>
      <c r="Z1135">
        <f>HYPERLINK("https://klasma.github.io/Logging_0883/fåglar/A 51488-2024 prioriterade fågelarter.docx", "A 51488-2024")</f>
        <v/>
      </c>
    </row>
    <row r="1136" ht="15" customHeight="1">
      <c r="A1136" t="inlineStr">
        <is>
          <t>A 51514-2024</t>
        </is>
      </c>
      <c r="B1136" s="1" t="n">
        <v>45604</v>
      </c>
      <c r="C1136" s="1" t="n">
        <v>45715</v>
      </c>
      <c r="D1136" t="inlineStr">
        <is>
          <t>KALMAR LÄN</t>
        </is>
      </c>
      <c r="E1136" t="inlineStr">
        <is>
          <t>VÄSTERVIK</t>
        </is>
      </c>
      <c r="F1136" t="inlineStr">
        <is>
          <t>Övriga Aktiebolag</t>
        </is>
      </c>
      <c r="G1136" t="n">
        <v>2.4</v>
      </c>
      <c r="H1136" t="n">
        <v>1</v>
      </c>
      <c r="I1136" t="n">
        <v>0</v>
      </c>
      <c r="J1136" t="n">
        <v>1</v>
      </c>
      <c r="K1136" t="n">
        <v>0</v>
      </c>
      <c r="L1136" t="n">
        <v>0</v>
      </c>
      <c r="M1136" t="n">
        <v>0</v>
      </c>
      <c r="N1136" t="n">
        <v>0</v>
      </c>
      <c r="O1136" t="n">
        <v>1</v>
      </c>
      <c r="P1136" t="n">
        <v>0</v>
      </c>
      <c r="Q1136" t="n">
        <v>1</v>
      </c>
      <c r="R1136" s="2" t="inlineStr">
        <is>
          <t>Havsörn</t>
        </is>
      </c>
      <c r="S1136">
        <f>HYPERLINK("https://klasma.github.io/Logging_0883/artfynd/A 51514-2024 artfynd.xlsx", "A 51514-2024")</f>
        <v/>
      </c>
      <c r="T1136">
        <f>HYPERLINK("https://klasma.github.io/Logging_0883/kartor/A 51514-2024 karta.png", "A 51514-2024")</f>
        <v/>
      </c>
      <c r="V1136">
        <f>HYPERLINK("https://klasma.github.io/Logging_0883/klagomål/A 51514-2024 FSC-klagomål.docx", "A 51514-2024")</f>
        <v/>
      </c>
      <c r="W1136">
        <f>HYPERLINK("https://klasma.github.io/Logging_0883/klagomålsmail/A 51514-2024 FSC-klagomål mail.docx", "A 51514-2024")</f>
        <v/>
      </c>
      <c r="X1136">
        <f>HYPERLINK("https://klasma.github.io/Logging_0883/tillsyn/A 51514-2024 tillsynsbegäran.docx", "A 51514-2024")</f>
        <v/>
      </c>
      <c r="Y1136">
        <f>HYPERLINK("https://klasma.github.io/Logging_0883/tillsynsmail/A 51514-2024 tillsynsbegäran mail.docx", "A 51514-2024")</f>
        <v/>
      </c>
      <c r="Z1136">
        <f>HYPERLINK("https://klasma.github.io/Logging_0883/fåglar/A 51514-2024 prioriterade fågelarter.docx", "A 51514-2024")</f>
        <v/>
      </c>
    </row>
    <row r="1137" ht="15" customHeight="1">
      <c r="A1137" t="inlineStr">
        <is>
          <t>A 51473-2024</t>
        </is>
      </c>
      <c r="B1137" s="1" t="n">
        <v>45604</v>
      </c>
      <c r="C1137" s="1" t="n">
        <v>45715</v>
      </c>
      <c r="D1137" t="inlineStr">
        <is>
          <t>KALMAR LÄN</t>
        </is>
      </c>
      <c r="E1137" t="inlineStr">
        <is>
          <t>NYBRO</t>
        </is>
      </c>
      <c r="G1137" t="n">
        <v>3.4</v>
      </c>
      <c r="H1137" t="n">
        <v>1</v>
      </c>
      <c r="I1137" t="n">
        <v>0</v>
      </c>
      <c r="J1137" t="n">
        <v>0</v>
      </c>
      <c r="K1137" t="n">
        <v>0</v>
      </c>
      <c r="L1137" t="n">
        <v>0</v>
      </c>
      <c r="M1137" t="n">
        <v>0</v>
      </c>
      <c r="N1137" t="n">
        <v>0</v>
      </c>
      <c r="O1137" t="n">
        <v>0</v>
      </c>
      <c r="P1137" t="n">
        <v>0</v>
      </c>
      <c r="Q1137" t="n">
        <v>1</v>
      </c>
      <c r="R1137" s="2" t="inlineStr">
        <is>
          <t>Orre</t>
        </is>
      </c>
      <c r="S1137">
        <f>HYPERLINK("https://klasma.github.io/Logging_0881/artfynd/A 51473-2024 artfynd.xlsx", "A 51473-2024")</f>
        <v/>
      </c>
      <c r="T1137">
        <f>HYPERLINK("https://klasma.github.io/Logging_0881/kartor/A 51473-2024 karta.png", "A 51473-2024")</f>
        <v/>
      </c>
      <c r="V1137">
        <f>HYPERLINK("https://klasma.github.io/Logging_0881/klagomål/A 51473-2024 FSC-klagomål.docx", "A 51473-2024")</f>
        <v/>
      </c>
      <c r="W1137">
        <f>HYPERLINK("https://klasma.github.io/Logging_0881/klagomålsmail/A 51473-2024 FSC-klagomål mail.docx", "A 51473-2024")</f>
        <v/>
      </c>
      <c r="X1137">
        <f>HYPERLINK("https://klasma.github.io/Logging_0881/tillsyn/A 51473-2024 tillsynsbegäran.docx", "A 51473-2024")</f>
        <v/>
      </c>
      <c r="Y1137">
        <f>HYPERLINK("https://klasma.github.io/Logging_0881/tillsynsmail/A 51473-2024 tillsynsbegäran mail.docx", "A 51473-2024")</f>
        <v/>
      </c>
      <c r="Z1137">
        <f>HYPERLINK("https://klasma.github.io/Logging_0881/fåglar/A 51473-2024 prioriterade fågelarter.docx", "A 51473-2024")</f>
        <v/>
      </c>
    </row>
    <row r="1138" ht="15" customHeight="1">
      <c r="A1138" t="inlineStr">
        <is>
          <t>A 51587-2024</t>
        </is>
      </c>
      <c r="B1138" s="1" t="n">
        <v>45604</v>
      </c>
      <c r="C1138" s="1" t="n">
        <v>45715</v>
      </c>
      <c r="D1138" t="inlineStr">
        <is>
          <t>KALMAR LÄN</t>
        </is>
      </c>
      <c r="E1138" t="inlineStr">
        <is>
          <t>HULTSFRED</t>
        </is>
      </c>
      <c r="G1138" t="n">
        <v>4</v>
      </c>
      <c r="H1138" t="n">
        <v>0</v>
      </c>
      <c r="I1138" t="n">
        <v>0</v>
      </c>
      <c r="J1138" t="n">
        <v>0</v>
      </c>
      <c r="K1138" t="n">
        <v>0</v>
      </c>
      <c r="L1138" t="n">
        <v>1</v>
      </c>
      <c r="M1138" t="n">
        <v>0</v>
      </c>
      <c r="N1138" t="n">
        <v>0</v>
      </c>
      <c r="O1138" t="n">
        <v>1</v>
      </c>
      <c r="P1138" t="n">
        <v>1</v>
      </c>
      <c r="Q1138" t="n">
        <v>1</v>
      </c>
      <c r="R1138" s="2" t="inlineStr">
        <is>
          <t>Ryl</t>
        </is>
      </c>
      <c r="S1138">
        <f>HYPERLINK("https://klasma.github.io/Logging_0860/artfynd/A 51587-2024 artfynd.xlsx", "A 51587-2024")</f>
        <v/>
      </c>
      <c r="T1138">
        <f>HYPERLINK("https://klasma.github.io/Logging_0860/kartor/A 51587-2024 karta.png", "A 51587-2024")</f>
        <v/>
      </c>
      <c r="V1138">
        <f>HYPERLINK("https://klasma.github.io/Logging_0860/klagomål/A 51587-2024 FSC-klagomål.docx", "A 51587-2024")</f>
        <v/>
      </c>
      <c r="W1138">
        <f>HYPERLINK("https://klasma.github.io/Logging_0860/klagomålsmail/A 51587-2024 FSC-klagomål mail.docx", "A 51587-2024")</f>
        <v/>
      </c>
      <c r="X1138">
        <f>HYPERLINK("https://klasma.github.io/Logging_0860/tillsyn/A 51587-2024 tillsynsbegäran.docx", "A 51587-2024")</f>
        <v/>
      </c>
      <c r="Y1138">
        <f>HYPERLINK("https://klasma.github.io/Logging_0860/tillsynsmail/A 51587-2024 tillsynsbegäran mail.docx", "A 51587-2024")</f>
        <v/>
      </c>
    </row>
    <row r="1139" ht="15" customHeight="1">
      <c r="A1139" t="inlineStr">
        <is>
          <t>A 53061-2024</t>
        </is>
      </c>
      <c r="B1139" s="1" t="n">
        <v>45611</v>
      </c>
      <c r="C1139" s="1" t="n">
        <v>45715</v>
      </c>
      <c r="D1139" t="inlineStr">
        <is>
          <t>KALMAR LÄN</t>
        </is>
      </c>
      <c r="E1139" t="inlineStr">
        <is>
          <t>KALMAR</t>
        </is>
      </c>
      <c r="G1139" t="n">
        <v>1.9</v>
      </c>
      <c r="H1139" t="n">
        <v>0</v>
      </c>
      <c r="I1139" t="n">
        <v>1</v>
      </c>
      <c r="J1139" t="n">
        <v>0</v>
      </c>
      <c r="K1139" t="n">
        <v>0</v>
      </c>
      <c r="L1139" t="n">
        <v>0</v>
      </c>
      <c r="M1139" t="n">
        <v>0</v>
      </c>
      <c r="N1139" t="n">
        <v>0</v>
      </c>
      <c r="O1139" t="n">
        <v>0</v>
      </c>
      <c r="P1139" t="n">
        <v>0</v>
      </c>
      <c r="Q1139" t="n">
        <v>1</v>
      </c>
      <c r="R1139" s="2" t="inlineStr">
        <is>
          <t>Blomkålssvamp</t>
        </is>
      </c>
      <c r="S1139">
        <f>HYPERLINK("https://klasma.github.io/Logging_0880/artfynd/A 53061-2024 artfynd.xlsx", "A 53061-2024")</f>
        <v/>
      </c>
      <c r="T1139">
        <f>HYPERLINK("https://klasma.github.io/Logging_0880/kartor/A 53061-2024 karta.png", "A 53061-2024")</f>
        <v/>
      </c>
      <c r="V1139">
        <f>HYPERLINK("https://klasma.github.io/Logging_0880/klagomål/A 53061-2024 FSC-klagomål.docx", "A 53061-2024")</f>
        <v/>
      </c>
      <c r="W1139">
        <f>HYPERLINK("https://klasma.github.io/Logging_0880/klagomålsmail/A 53061-2024 FSC-klagomål mail.docx", "A 53061-2024")</f>
        <v/>
      </c>
      <c r="X1139">
        <f>HYPERLINK("https://klasma.github.io/Logging_0880/tillsyn/A 53061-2024 tillsynsbegäran.docx", "A 53061-2024")</f>
        <v/>
      </c>
      <c r="Y1139">
        <f>HYPERLINK("https://klasma.github.io/Logging_0880/tillsynsmail/A 53061-2024 tillsynsbegäran mail.docx", "A 53061-2024")</f>
        <v/>
      </c>
    </row>
    <row r="1140" ht="15" customHeight="1">
      <c r="A1140" t="inlineStr">
        <is>
          <t>A 53075-2024</t>
        </is>
      </c>
      <c r="B1140" s="1" t="n">
        <v>45611</v>
      </c>
      <c r="C1140" s="1" t="n">
        <v>45715</v>
      </c>
      <c r="D1140" t="inlineStr">
        <is>
          <t>KALMAR LÄN</t>
        </is>
      </c>
      <c r="E1140" t="inlineStr">
        <is>
          <t>VÄSTERVIK</t>
        </is>
      </c>
      <c r="F1140" t="inlineStr">
        <is>
          <t>Holmen skog AB</t>
        </is>
      </c>
      <c r="G1140" t="n">
        <v>8.5</v>
      </c>
      <c r="H1140" t="n">
        <v>1</v>
      </c>
      <c r="I1140" t="n">
        <v>0</v>
      </c>
      <c r="J1140" t="n">
        <v>1</v>
      </c>
      <c r="K1140" t="n">
        <v>0</v>
      </c>
      <c r="L1140" t="n">
        <v>0</v>
      </c>
      <c r="M1140" t="n">
        <v>0</v>
      </c>
      <c r="N1140" t="n">
        <v>0</v>
      </c>
      <c r="O1140" t="n">
        <v>1</v>
      </c>
      <c r="P1140" t="n">
        <v>0</v>
      </c>
      <c r="Q1140" t="n">
        <v>1</v>
      </c>
      <c r="R1140" s="2" t="inlineStr">
        <is>
          <t>Talltita</t>
        </is>
      </c>
      <c r="S1140">
        <f>HYPERLINK("https://klasma.github.io/Logging_0883/artfynd/A 53075-2024 artfynd.xlsx", "A 53075-2024")</f>
        <v/>
      </c>
      <c r="T1140">
        <f>HYPERLINK("https://klasma.github.io/Logging_0883/kartor/A 53075-2024 karta.png", "A 53075-2024")</f>
        <v/>
      </c>
      <c r="V1140">
        <f>HYPERLINK("https://klasma.github.io/Logging_0883/klagomål/A 53075-2024 FSC-klagomål.docx", "A 53075-2024")</f>
        <v/>
      </c>
      <c r="W1140">
        <f>HYPERLINK("https://klasma.github.io/Logging_0883/klagomålsmail/A 53075-2024 FSC-klagomål mail.docx", "A 53075-2024")</f>
        <v/>
      </c>
      <c r="X1140">
        <f>HYPERLINK("https://klasma.github.io/Logging_0883/tillsyn/A 53075-2024 tillsynsbegäran.docx", "A 53075-2024")</f>
        <v/>
      </c>
      <c r="Y1140">
        <f>HYPERLINK("https://klasma.github.io/Logging_0883/tillsynsmail/A 53075-2024 tillsynsbegäran mail.docx", "A 53075-2024")</f>
        <v/>
      </c>
      <c r="Z1140">
        <f>HYPERLINK("https://klasma.github.io/Logging_0883/fåglar/A 53075-2024 prioriterade fågelarter.docx", "A 53075-2024")</f>
        <v/>
      </c>
    </row>
    <row r="1141" ht="15" customHeight="1">
      <c r="A1141" t="inlineStr">
        <is>
          <t>A 53841-2024</t>
        </is>
      </c>
      <c r="B1141" s="1" t="n">
        <v>45615</v>
      </c>
      <c r="C1141" s="1" t="n">
        <v>45715</v>
      </c>
      <c r="D1141" t="inlineStr">
        <is>
          <t>KALMAR LÄN</t>
        </is>
      </c>
      <c r="E1141" t="inlineStr">
        <is>
          <t>NYBRO</t>
        </is>
      </c>
      <c r="G1141" t="n">
        <v>1.8</v>
      </c>
      <c r="H1141" t="n">
        <v>1</v>
      </c>
      <c r="I1141" t="n">
        <v>0</v>
      </c>
      <c r="J1141" t="n">
        <v>0</v>
      </c>
      <c r="K1141" t="n">
        <v>0</v>
      </c>
      <c r="L1141" t="n">
        <v>0</v>
      </c>
      <c r="M1141" t="n">
        <v>0</v>
      </c>
      <c r="N1141" t="n">
        <v>0</v>
      </c>
      <c r="O1141" t="n">
        <v>0</v>
      </c>
      <c r="P1141" t="n">
        <v>0</v>
      </c>
      <c r="Q1141" t="n">
        <v>1</v>
      </c>
      <c r="R1141" s="2" t="inlineStr">
        <is>
          <t>Mattlummer</t>
        </is>
      </c>
      <c r="S1141">
        <f>HYPERLINK("https://klasma.github.io/Logging_0881/artfynd/A 53841-2024 artfynd.xlsx", "A 53841-2024")</f>
        <v/>
      </c>
      <c r="T1141">
        <f>HYPERLINK("https://klasma.github.io/Logging_0881/kartor/A 53841-2024 karta.png", "A 53841-2024")</f>
        <v/>
      </c>
      <c r="V1141">
        <f>HYPERLINK("https://klasma.github.io/Logging_0881/klagomål/A 53841-2024 FSC-klagomål.docx", "A 53841-2024")</f>
        <v/>
      </c>
      <c r="W1141">
        <f>HYPERLINK("https://klasma.github.io/Logging_0881/klagomålsmail/A 53841-2024 FSC-klagomål mail.docx", "A 53841-2024")</f>
        <v/>
      </c>
      <c r="X1141">
        <f>HYPERLINK("https://klasma.github.io/Logging_0881/tillsyn/A 53841-2024 tillsynsbegäran.docx", "A 53841-2024")</f>
        <v/>
      </c>
      <c r="Y1141">
        <f>HYPERLINK("https://klasma.github.io/Logging_0881/tillsynsmail/A 53841-2024 tillsynsbegäran mail.docx", "A 53841-2024")</f>
        <v/>
      </c>
    </row>
    <row r="1142" ht="15" customHeight="1">
      <c r="A1142" t="inlineStr">
        <is>
          <t>A 55299-2024</t>
        </is>
      </c>
      <c r="B1142" s="1" t="n">
        <v>45621</v>
      </c>
      <c r="C1142" s="1" t="n">
        <v>45715</v>
      </c>
      <c r="D1142" t="inlineStr">
        <is>
          <t>KALMAR LÄN</t>
        </is>
      </c>
      <c r="E1142" t="inlineStr">
        <is>
          <t>NYBRO</t>
        </is>
      </c>
      <c r="F1142" t="inlineStr">
        <is>
          <t>Sveaskog</t>
        </is>
      </c>
      <c r="G1142" t="n">
        <v>2.1</v>
      </c>
      <c r="H1142" t="n">
        <v>1</v>
      </c>
      <c r="I1142" t="n">
        <v>0</v>
      </c>
      <c r="J1142" t="n">
        <v>0</v>
      </c>
      <c r="K1142" t="n">
        <v>0</v>
      </c>
      <c r="L1142" t="n">
        <v>0</v>
      </c>
      <c r="M1142" t="n">
        <v>0</v>
      </c>
      <c r="N1142" t="n">
        <v>0</v>
      </c>
      <c r="O1142" t="n">
        <v>0</v>
      </c>
      <c r="P1142" t="n">
        <v>0</v>
      </c>
      <c r="Q1142" t="n">
        <v>1</v>
      </c>
      <c r="R1142" s="2" t="inlineStr">
        <is>
          <t>Sparvuggla</t>
        </is>
      </c>
      <c r="S1142">
        <f>HYPERLINK("https://klasma.github.io/Logging_0881/artfynd/A 55299-2024 artfynd.xlsx", "A 55299-2024")</f>
        <v/>
      </c>
      <c r="T1142">
        <f>HYPERLINK("https://klasma.github.io/Logging_0881/kartor/A 55299-2024 karta.png", "A 55299-2024")</f>
        <v/>
      </c>
      <c r="V1142">
        <f>HYPERLINK("https://klasma.github.io/Logging_0881/klagomål/A 55299-2024 FSC-klagomål.docx", "A 55299-2024")</f>
        <v/>
      </c>
      <c r="W1142">
        <f>HYPERLINK("https://klasma.github.io/Logging_0881/klagomålsmail/A 55299-2024 FSC-klagomål mail.docx", "A 55299-2024")</f>
        <v/>
      </c>
      <c r="X1142">
        <f>HYPERLINK("https://klasma.github.io/Logging_0881/tillsyn/A 55299-2024 tillsynsbegäran.docx", "A 55299-2024")</f>
        <v/>
      </c>
      <c r="Y1142">
        <f>HYPERLINK("https://klasma.github.io/Logging_0881/tillsynsmail/A 55299-2024 tillsynsbegäran mail.docx", "A 55299-2024")</f>
        <v/>
      </c>
      <c r="Z1142">
        <f>HYPERLINK("https://klasma.github.io/Logging_0881/fåglar/A 55299-2024 prioriterade fågelarter.docx", "A 55299-2024")</f>
        <v/>
      </c>
    </row>
    <row r="1143" ht="15" customHeight="1">
      <c r="A1143" t="inlineStr">
        <is>
          <t>A 55366-2024</t>
        </is>
      </c>
      <c r="B1143" s="1" t="n">
        <v>45621</v>
      </c>
      <c r="C1143" s="1" t="n">
        <v>45715</v>
      </c>
      <c r="D1143" t="inlineStr">
        <is>
          <t>KALMAR LÄN</t>
        </is>
      </c>
      <c r="E1143" t="inlineStr">
        <is>
          <t>BORGHOLM</t>
        </is>
      </c>
      <c r="G1143" t="n">
        <v>2.1</v>
      </c>
      <c r="H1143" t="n">
        <v>0</v>
      </c>
      <c r="I1143" t="n">
        <v>0</v>
      </c>
      <c r="J1143" t="n">
        <v>1</v>
      </c>
      <c r="K1143" t="n">
        <v>0</v>
      </c>
      <c r="L1143" t="n">
        <v>0</v>
      </c>
      <c r="M1143" t="n">
        <v>0</v>
      </c>
      <c r="N1143" t="n">
        <v>0</v>
      </c>
      <c r="O1143" t="n">
        <v>1</v>
      </c>
      <c r="P1143" t="n">
        <v>0</v>
      </c>
      <c r="Q1143" t="n">
        <v>1</v>
      </c>
      <c r="R1143" s="2" t="inlineStr">
        <is>
          <t>Koralltaggsvamp</t>
        </is>
      </c>
      <c r="S1143">
        <f>HYPERLINK("https://klasma.github.io/Logging_0885/artfynd/A 55366-2024 artfynd.xlsx", "A 55366-2024")</f>
        <v/>
      </c>
      <c r="T1143">
        <f>HYPERLINK("https://klasma.github.io/Logging_0885/kartor/A 55366-2024 karta.png", "A 55366-2024")</f>
        <v/>
      </c>
      <c r="V1143">
        <f>HYPERLINK("https://klasma.github.io/Logging_0885/klagomål/A 55366-2024 FSC-klagomål.docx", "A 55366-2024")</f>
        <v/>
      </c>
      <c r="W1143">
        <f>HYPERLINK("https://klasma.github.io/Logging_0885/klagomålsmail/A 55366-2024 FSC-klagomål mail.docx", "A 55366-2024")</f>
        <v/>
      </c>
      <c r="X1143">
        <f>HYPERLINK("https://klasma.github.io/Logging_0885/tillsyn/A 55366-2024 tillsynsbegäran.docx", "A 55366-2024")</f>
        <v/>
      </c>
      <c r="Y1143">
        <f>HYPERLINK("https://klasma.github.io/Logging_0885/tillsynsmail/A 55366-2024 tillsynsbegäran mail.docx", "A 55366-2024")</f>
        <v/>
      </c>
    </row>
    <row r="1144" ht="15" customHeight="1">
      <c r="A1144" t="inlineStr">
        <is>
          <t>A 55304-2024</t>
        </is>
      </c>
      <c r="B1144" s="1" t="n">
        <v>45621</v>
      </c>
      <c r="C1144" s="1" t="n">
        <v>45715</v>
      </c>
      <c r="D1144" t="inlineStr">
        <is>
          <t>KALMAR LÄN</t>
        </is>
      </c>
      <c r="E1144" t="inlineStr">
        <is>
          <t>NYBRO</t>
        </is>
      </c>
      <c r="F1144" t="inlineStr">
        <is>
          <t>Sveaskog</t>
        </is>
      </c>
      <c r="G1144" t="n">
        <v>0.9</v>
      </c>
      <c r="H1144" t="n">
        <v>1</v>
      </c>
      <c r="I1144" t="n">
        <v>0</v>
      </c>
      <c r="J1144" t="n">
        <v>0</v>
      </c>
      <c r="K1144" t="n">
        <v>0</v>
      </c>
      <c r="L1144" t="n">
        <v>0</v>
      </c>
      <c r="M1144" t="n">
        <v>0</v>
      </c>
      <c r="N1144" t="n">
        <v>0</v>
      </c>
      <c r="O1144" t="n">
        <v>0</v>
      </c>
      <c r="P1144" t="n">
        <v>0</v>
      </c>
      <c r="Q1144" t="n">
        <v>1</v>
      </c>
      <c r="R1144" s="2" t="inlineStr">
        <is>
          <t>Tjäder</t>
        </is>
      </c>
      <c r="S1144">
        <f>HYPERLINK("https://klasma.github.io/Logging_0881/artfynd/A 55304-2024 artfynd.xlsx", "A 55304-2024")</f>
        <v/>
      </c>
      <c r="T1144">
        <f>HYPERLINK("https://klasma.github.io/Logging_0881/kartor/A 55304-2024 karta.png", "A 55304-2024")</f>
        <v/>
      </c>
      <c r="V1144">
        <f>HYPERLINK("https://klasma.github.io/Logging_0881/klagomål/A 55304-2024 FSC-klagomål.docx", "A 55304-2024")</f>
        <v/>
      </c>
      <c r="W1144">
        <f>HYPERLINK("https://klasma.github.io/Logging_0881/klagomålsmail/A 55304-2024 FSC-klagomål mail.docx", "A 55304-2024")</f>
        <v/>
      </c>
      <c r="X1144">
        <f>HYPERLINK("https://klasma.github.io/Logging_0881/tillsyn/A 55304-2024 tillsynsbegäran.docx", "A 55304-2024")</f>
        <v/>
      </c>
      <c r="Y1144">
        <f>HYPERLINK("https://klasma.github.io/Logging_0881/tillsynsmail/A 55304-2024 tillsynsbegäran mail.docx", "A 55304-2024")</f>
        <v/>
      </c>
      <c r="Z1144">
        <f>HYPERLINK("https://klasma.github.io/Logging_0881/fåglar/A 55304-2024 prioriterade fågelarter.docx", "A 55304-2024")</f>
        <v/>
      </c>
    </row>
    <row r="1145" ht="15" customHeight="1">
      <c r="A1145" t="inlineStr">
        <is>
          <t>A 55360-2024</t>
        </is>
      </c>
      <c r="B1145" s="1" t="n">
        <v>45621</v>
      </c>
      <c r="C1145" s="1" t="n">
        <v>45715</v>
      </c>
      <c r="D1145" t="inlineStr">
        <is>
          <t>KALMAR LÄN</t>
        </is>
      </c>
      <c r="E1145" t="inlineStr">
        <is>
          <t>VÄSTERVIK</t>
        </is>
      </c>
      <c r="F1145" t="inlineStr">
        <is>
          <t>Sveaskog</t>
        </is>
      </c>
      <c r="G1145" t="n">
        <v>11.1</v>
      </c>
      <c r="H1145" t="n">
        <v>0</v>
      </c>
      <c r="I1145" t="n">
        <v>0</v>
      </c>
      <c r="J1145" t="n">
        <v>1</v>
      </c>
      <c r="K1145" t="n">
        <v>0</v>
      </c>
      <c r="L1145" t="n">
        <v>0</v>
      </c>
      <c r="M1145" t="n">
        <v>0</v>
      </c>
      <c r="N1145" t="n">
        <v>0</v>
      </c>
      <c r="O1145" t="n">
        <v>1</v>
      </c>
      <c r="P1145" t="n">
        <v>0</v>
      </c>
      <c r="Q1145" t="n">
        <v>1</v>
      </c>
      <c r="R1145" s="2" t="inlineStr">
        <is>
          <t>Vårstarr</t>
        </is>
      </c>
      <c r="S1145">
        <f>HYPERLINK("https://klasma.github.io/Logging_0883/artfynd/A 55360-2024 artfynd.xlsx", "A 55360-2024")</f>
        <v/>
      </c>
      <c r="T1145">
        <f>HYPERLINK("https://klasma.github.io/Logging_0883/kartor/A 55360-2024 karta.png", "A 55360-2024")</f>
        <v/>
      </c>
      <c r="V1145">
        <f>HYPERLINK("https://klasma.github.io/Logging_0883/klagomål/A 55360-2024 FSC-klagomål.docx", "A 55360-2024")</f>
        <v/>
      </c>
      <c r="W1145">
        <f>HYPERLINK("https://klasma.github.io/Logging_0883/klagomålsmail/A 55360-2024 FSC-klagomål mail.docx", "A 55360-2024")</f>
        <v/>
      </c>
      <c r="X1145">
        <f>HYPERLINK("https://klasma.github.io/Logging_0883/tillsyn/A 55360-2024 tillsynsbegäran.docx", "A 55360-2024")</f>
        <v/>
      </c>
      <c r="Y1145">
        <f>HYPERLINK("https://klasma.github.io/Logging_0883/tillsynsmail/A 55360-2024 tillsynsbegäran mail.docx", "A 55360-2024")</f>
        <v/>
      </c>
    </row>
    <row r="1146" ht="15" customHeight="1">
      <c r="A1146" t="inlineStr">
        <is>
          <t>A 55616-2024</t>
        </is>
      </c>
      <c r="B1146" s="1" t="n">
        <v>45622</v>
      </c>
      <c r="C1146" s="1" t="n">
        <v>45715</v>
      </c>
      <c r="D1146" t="inlineStr">
        <is>
          <t>KALMAR LÄN</t>
        </is>
      </c>
      <c r="E1146" t="inlineStr">
        <is>
          <t>VÄSTERVIK</t>
        </is>
      </c>
      <c r="G1146" t="n">
        <v>0.5</v>
      </c>
      <c r="H1146" t="n">
        <v>1</v>
      </c>
      <c r="I1146" t="n">
        <v>0</v>
      </c>
      <c r="J1146" t="n">
        <v>1</v>
      </c>
      <c r="K1146" t="n">
        <v>0</v>
      </c>
      <c r="L1146" t="n">
        <v>0</v>
      </c>
      <c r="M1146" t="n">
        <v>0</v>
      </c>
      <c r="N1146" t="n">
        <v>0</v>
      </c>
      <c r="O1146" t="n">
        <v>1</v>
      </c>
      <c r="P1146" t="n">
        <v>0</v>
      </c>
      <c r="Q1146" t="n">
        <v>1</v>
      </c>
      <c r="R1146" s="2" t="inlineStr">
        <is>
          <t>Entita</t>
        </is>
      </c>
      <c r="S1146">
        <f>HYPERLINK("https://klasma.github.io/Logging_0883/artfynd/A 55616-2024 artfynd.xlsx", "A 55616-2024")</f>
        <v/>
      </c>
      <c r="T1146">
        <f>HYPERLINK("https://klasma.github.io/Logging_0883/kartor/A 55616-2024 karta.png", "A 55616-2024")</f>
        <v/>
      </c>
      <c r="V1146">
        <f>HYPERLINK("https://klasma.github.io/Logging_0883/klagomål/A 55616-2024 FSC-klagomål.docx", "A 55616-2024")</f>
        <v/>
      </c>
      <c r="W1146">
        <f>HYPERLINK("https://klasma.github.io/Logging_0883/klagomålsmail/A 55616-2024 FSC-klagomål mail.docx", "A 55616-2024")</f>
        <v/>
      </c>
      <c r="X1146">
        <f>HYPERLINK("https://klasma.github.io/Logging_0883/tillsyn/A 55616-2024 tillsynsbegäran.docx", "A 55616-2024")</f>
        <v/>
      </c>
      <c r="Y1146">
        <f>HYPERLINK("https://klasma.github.io/Logging_0883/tillsynsmail/A 55616-2024 tillsynsbegäran mail.docx", "A 55616-2024")</f>
        <v/>
      </c>
      <c r="Z1146">
        <f>HYPERLINK("https://klasma.github.io/Logging_0883/fåglar/A 55616-2024 prioriterade fågelarter.docx", "A 55616-2024")</f>
        <v/>
      </c>
    </row>
    <row r="1147" ht="15" customHeight="1">
      <c r="A1147" t="inlineStr">
        <is>
          <t>A 56026-2024</t>
        </is>
      </c>
      <c r="B1147" s="1" t="n">
        <v>45624</v>
      </c>
      <c r="C1147" s="1" t="n">
        <v>45715</v>
      </c>
      <c r="D1147" t="inlineStr">
        <is>
          <t>KALMAR LÄN</t>
        </is>
      </c>
      <c r="E1147" t="inlineStr">
        <is>
          <t>HULTSFRED</t>
        </is>
      </c>
      <c r="F1147" t="inlineStr">
        <is>
          <t>Sveaskog</t>
        </is>
      </c>
      <c r="G1147" t="n">
        <v>4.5</v>
      </c>
      <c r="H1147" t="n">
        <v>0</v>
      </c>
      <c r="I1147" t="n">
        <v>1</v>
      </c>
      <c r="J1147" t="n">
        <v>0</v>
      </c>
      <c r="K1147" t="n">
        <v>0</v>
      </c>
      <c r="L1147" t="n">
        <v>0</v>
      </c>
      <c r="M1147" t="n">
        <v>0</v>
      </c>
      <c r="N1147" t="n">
        <v>0</v>
      </c>
      <c r="O1147" t="n">
        <v>0</v>
      </c>
      <c r="P1147" t="n">
        <v>0</v>
      </c>
      <c r="Q1147" t="n">
        <v>1</v>
      </c>
      <c r="R1147" s="2" t="inlineStr">
        <is>
          <t>Vårärt</t>
        </is>
      </c>
      <c r="S1147">
        <f>HYPERLINK("https://klasma.github.io/Logging_0860/artfynd/A 56026-2024 artfynd.xlsx", "A 56026-2024")</f>
        <v/>
      </c>
      <c r="T1147">
        <f>HYPERLINK("https://klasma.github.io/Logging_0860/kartor/A 56026-2024 karta.png", "A 56026-2024")</f>
        <v/>
      </c>
      <c r="V1147">
        <f>HYPERLINK("https://klasma.github.io/Logging_0860/klagomål/A 56026-2024 FSC-klagomål.docx", "A 56026-2024")</f>
        <v/>
      </c>
      <c r="W1147">
        <f>HYPERLINK("https://klasma.github.io/Logging_0860/klagomålsmail/A 56026-2024 FSC-klagomål mail.docx", "A 56026-2024")</f>
        <v/>
      </c>
      <c r="X1147">
        <f>HYPERLINK("https://klasma.github.io/Logging_0860/tillsyn/A 56026-2024 tillsynsbegäran.docx", "A 56026-2024")</f>
        <v/>
      </c>
      <c r="Y1147">
        <f>HYPERLINK("https://klasma.github.io/Logging_0860/tillsynsmail/A 56026-2024 tillsynsbegäran mail.docx", "A 56026-2024")</f>
        <v/>
      </c>
    </row>
    <row r="1148" ht="15" customHeight="1">
      <c r="A1148" t="inlineStr">
        <is>
          <t>A 56439-2024</t>
        </is>
      </c>
      <c r="B1148" s="1" t="n">
        <v>45625</v>
      </c>
      <c r="C1148" s="1" t="n">
        <v>45715</v>
      </c>
      <c r="D1148" t="inlineStr">
        <is>
          <t>KALMAR LÄN</t>
        </is>
      </c>
      <c r="E1148" t="inlineStr">
        <is>
          <t>VÄSTERVIK</t>
        </is>
      </c>
      <c r="F1148" t="inlineStr">
        <is>
          <t>Övriga Aktiebolag</t>
        </is>
      </c>
      <c r="G1148" t="n">
        <v>3.3</v>
      </c>
      <c r="H1148" t="n">
        <v>0</v>
      </c>
      <c r="I1148" t="n">
        <v>1</v>
      </c>
      <c r="J1148" t="n">
        <v>0</v>
      </c>
      <c r="K1148" t="n">
        <v>0</v>
      </c>
      <c r="L1148" t="n">
        <v>0</v>
      </c>
      <c r="M1148" t="n">
        <v>0</v>
      </c>
      <c r="N1148" t="n">
        <v>0</v>
      </c>
      <c r="O1148" t="n">
        <v>0</v>
      </c>
      <c r="P1148" t="n">
        <v>0</v>
      </c>
      <c r="Q1148" t="n">
        <v>1</v>
      </c>
      <c r="R1148" s="2" t="inlineStr">
        <is>
          <t>Hasselticka</t>
        </is>
      </c>
      <c r="S1148">
        <f>HYPERLINK("https://klasma.github.io/Logging_0883/artfynd/A 56439-2024 artfynd.xlsx", "A 56439-2024")</f>
        <v/>
      </c>
      <c r="T1148">
        <f>HYPERLINK("https://klasma.github.io/Logging_0883/kartor/A 56439-2024 karta.png", "A 56439-2024")</f>
        <v/>
      </c>
      <c r="V1148">
        <f>HYPERLINK("https://klasma.github.io/Logging_0883/klagomål/A 56439-2024 FSC-klagomål.docx", "A 56439-2024")</f>
        <v/>
      </c>
      <c r="W1148">
        <f>HYPERLINK("https://klasma.github.io/Logging_0883/klagomålsmail/A 56439-2024 FSC-klagomål mail.docx", "A 56439-2024")</f>
        <v/>
      </c>
      <c r="X1148">
        <f>HYPERLINK("https://klasma.github.io/Logging_0883/tillsyn/A 56439-2024 tillsynsbegäran.docx", "A 56439-2024")</f>
        <v/>
      </c>
      <c r="Y1148">
        <f>HYPERLINK("https://klasma.github.io/Logging_0883/tillsynsmail/A 56439-2024 tillsynsbegäran mail.docx", "A 56439-2024")</f>
        <v/>
      </c>
    </row>
    <row r="1149" ht="15" customHeight="1">
      <c r="A1149" t="inlineStr">
        <is>
          <t>A 57052-2024</t>
        </is>
      </c>
      <c r="B1149" s="1" t="n">
        <v>45629</v>
      </c>
      <c r="C1149" s="1" t="n">
        <v>45715</v>
      </c>
      <c r="D1149" t="inlineStr">
        <is>
          <t>KALMAR LÄN</t>
        </is>
      </c>
      <c r="E1149" t="inlineStr">
        <is>
          <t>HULTSFRED</t>
        </is>
      </c>
      <c r="G1149" t="n">
        <v>0.6</v>
      </c>
      <c r="H1149" t="n">
        <v>1</v>
      </c>
      <c r="I1149" t="n">
        <v>1</v>
      </c>
      <c r="J1149" t="n">
        <v>0</v>
      </c>
      <c r="K1149" t="n">
        <v>0</v>
      </c>
      <c r="L1149" t="n">
        <v>0</v>
      </c>
      <c r="M1149" t="n">
        <v>0</v>
      </c>
      <c r="N1149" t="n">
        <v>0</v>
      </c>
      <c r="O1149" t="n">
        <v>0</v>
      </c>
      <c r="P1149" t="n">
        <v>0</v>
      </c>
      <c r="Q1149" t="n">
        <v>1</v>
      </c>
      <c r="R1149" s="2" t="inlineStr">
        <is>
          <t>Plattlummer</t>
        </is>
      </c>
      <c r="S1149">
        <f>HYPERLINK("https://klasma.github.io/Logging_0860/artfynd/A 57052-2024 artfynd.xlsx", "A 57052-2024")</f>
        <v/>
      </c>
      <c r="T1149">
        <f>HYPERLINK("https://klasma.github.io/Logging_0860/kartor/A 57052-2024 karta.png", "A 57052-2024")</f>
        <v/>
      </c>
      <c r="U1149">
        <f>HYPERLINK("https://klasma.github.io/Logging_0860/knärot/A 57052-2024 karta knärot.png", "A 57052-2024")</f>
        <v/>
      </c>
      <c r="V1149">
        <f>HYPERLINK("https://klasma.github.io/Logging_0860/klagomål/A 57052-2024 FSC-klagomål.docx", "A 57052-2024")</f>
        <v/>
      </c>
      <c r="W1149">
        <f>HYPERLINK("https://klasma.github.io/Logging_0860/klagomålsmail/A 57052-2024 FSC-klagomål mail.docx", "A 57052-2024")</f>
        <v/>
      </c>
      <c r="X1149">
        <f>HYPERLINK("https://klasma.github.io/Logging_0860/tillsyn/A 57052-2024 tillsynsbegäran.docx", "A 57052-2024")</f>
        <v/>
      </c>
      <c r="Y1149">
        <f>HYPERLINK("https://klasma.github.io/Logging_0860/tillsynsmail/A 57052-2024 tillsynsbegäran mail.docx", "A 57052-2024")</f>
        <v/>
      </c>
    </row>
    <row r="1150" ht="15" customHeight="1">
      <c r="A1150" t="inlineStr">
        <is>
          <t>A 57852-2024</t>
        </is>
      </c>
      <c r="B1150" s="1" t="n">
        <v>45631</v>
      </c>
      <c r="C1150" s="1" t="n">
        <v>45715</v>
      </c>
      <c r="D1150" t="inlineStr">
        <is>
          <t>KALMAR LÄN</t>
        </is>
      </c>
      <c r="E1150" t="inlineStr">
        <is>
          <t>NYBRO</t>
        </is>
      </c>
      <c r="G1150" t="n">
        <v>2.3</v>
      </c>
      <c r="H1150" t="n">
        <v>0</v>
      </c>
      <c r="I1150" t="n">
        <v>0</v>
      </c>
      <c r="J1150" t="n">
        <v>1</v>
      </c>
      <c r="K1150" t="n">
        <v>0</v>
      </c>
      <c r="L1150" t="n">
        <v>0</v>
      </c>
      <c r="M1150" t="n">
        <v>0</v>
      </c>
      <c r="N1150" t="n">
        <v>0</v>
      </c>
      <c r="O1150" t="n">
        <v>1</v>
      </c>
      <c r="P1150" t="n">
        <v>0</v>
      </c>
      <c r="Q1150" t="n">
        <v>1</v>
      </c>
      <c r="R1150" s="2" t="inlineStr">
        <is>
          <t>Tallticka</t>
        </is>
      </c>
      <c r="S1150">
        <f>HYPERLINK("https://klasma.github.io/Logging_0881/artfynd/A 57852-2024 artfynd.xlsx", "A 57852-2024")</f>
        <v/>
      </c>
      <c r="T1150">
        <f>HYPERLINK("https://klasma.github.io/Logging_0881/kartor/A 57852-2024 karta.png", "A 57852-2024")</f>
        <v/>
      </c>
      <c r="V1150">
        <f>HYPERLINK("https://klasma.github.io/Logging_0881/klagomål/A 57852-2024 FSC-klagomål.docx", "A 57852-2024")</f>
        <v/>
      </c>
      <c r="W1150">
        <f>HYPERLINK("https://klasma.github.io/Logging_0881/klagomålsmail/A 57852-2024 FSC-klagomål mail.docx", "A 57852-2024")</f>
        <v/>
      </c>
      <c r="X1150">
        <f>HYPERLINK("https://klasma.github.io/Logging_0881/tillsyn/A 57852-2024 tillsynsbegäran.docx", "A 57852-2024")</f>
        <v/>
      </c>
      <c r="Y1150">
        <f>HYPERLINK("https://klasma.github.io/Logging_0881/tillsynsmail/A 57852-2024 tillsynsbegäran mail.docx", "A 57852-2024")</f>
        <v/>
      </c>
    </row>
    <row r="1151" ht="15" customHeight="1">
      <c r="A1151" t="inlineStr">
        <is>
          <t>A 58470-2024</t>
        </is>
      </c>
      <c r="B1151" s="1" t="n">
        <v>45635</v>
      </c>
      <c r="C1151" s="1" t="n">
        <v>45715</v>
      </c>
      <c r="D1151" t="inlineStr">
        <is>
          <t>KALMAR LÄN</t>
        </is>
      </c>
      <c r="E1151" t="inlineStr">
        <is>
          <t>HULTSFRED</t>
        </is>
      </c>
      <c r="G1151" t="n">
        <v>1</v>
      </c>
      <c r="H1151" t="n">
        <v>0</v>
      </c>
      <c r="I1151" t="n">
        <v>1</v>
      </c>
      <c r="J1151" t="n">
        <v>0</v>
      </c>
      <c r="K1151" t="n">
        <v>0</v>
      </c>
      <c r="L1151" t="n">
        <v>0</v>
      </c>
      <c r="M1151" t="n">
        <v>0</v>
      </c>
      <c r="N1151" t="n">
        <v>0</v>
      </c>
      <c r="O1151" t="n">
        <v>0</v>
      </c>
      <c r="P1151" t="n">
        <v>0</v>
      </c>
      <c r="Q1151" t="n">
        <v>1</v>
      </c>
      <c r="R1151" s="2" t="inlineStr">
        <is>
          <t>Guldlockmossa</t>
        </is>
      </c>
      <c r="S1151">
        <f>HYPERLINK("https://klasma.github.io/Logging_0860/artfynd/A 58470-2024 artfynd.xlsx", "A 58470-2024")</f>
        <v/>
      </c>
      <c r="T1151">
        <f>HYPERLINK("https://klasma.github.io/Logging_0860/kartor/A 58470-2024 karta.png", "A 58470-2024")</f>
        <v/>
      </c>
      <c r="V1151">
        <f>HYPERLINK("https://klasma.github.io/Logging_0860/klagomål/A 58470-2024 FSC-klagomål.docx", "A 58470-2024")</f>
        <v/>
      </c>
      <c r="W1151">
        <f>HYPERLINK("https://klasma.github.io/Logging_0860/klagomålsmail/A 58470-2024 FSC-klagomål mail.docx", "A 58470-2024")</f>
        <v/>
      </c>
      <c r="X1151">
        <f>HYPERLINK("https://klasma.github.io/Logging_0860/tillsyn/A 58470-2024 tillsynsbegäran.docx", "A 58470-2024")</f>
        <v/>
      </c>
      <c r="Y1151">
        <f>HYPERLINK("https://klasma.github.io/Logging_0860/tillsynsmail/A 58470-2024 tillsynsbegäran mail.docx", "A 58470-2024")</f>
        <v/>
      </c>
    </row>
    <row r="1152" ht="15" customHeight="1">
      <c r="A1152" t="inlineStr">
        <is>
          <t>A 59343-2024</t>
        </is>
      </c>
      <c r="B1152" s="1" t="n">
        <v>45637</v>
      </c>
      <c r="C1152" s="1" t="n">
        <v>45715</v>
      </c>
      <c r="D1152" t="inlineStr">
        <is>
          <t>KALMAR LÄN</t>
        </is>
      </c>
      <c r="E1152" t="inlineStr">
        <is>
          <t>VIMMERBY</t>
        </is>
      </c>
      <c r="G1152" t="n">
        <v>3.5</v>
      </c>
      <c r="H1152" t="n">
        <v>0</v>
      </c>
      <c r="I1152" t="n">
        <v>1</v>
      </c>
      <c r="J1152" t="n">
        <v>0</v>
      </c>
      <c r="K1152" t="n">
        <v>0</v>
      </c>
      <c r="L1152" t="n">
        <v>0</v>
      </c>
      <c r="M1152" t="n">
        <v>0</v>
      </c>
      <c r="N1152" t="n">
        <v>0</v>
      </c>
      <c r="O1152" t="n">
        <v>0</v>
      </c>
      <c r="P1152" t="n">
        <v>0</v>
      </c>
      <c r="Q1152" t="n">
        <v>1</v>
      </c>
      <c r="R1152" s="2" t="inlineStr">
        <is>
          <t>Vårärt</t>
        </is>
      </c>
      <c r="S1152">
        <f>HYPERLINK("https://klasma.github.io/Logging_0884/artfynd/A 59343-2024 artfynd.xlsx", "A 59343-2024")</f>
        <v/>
      </c>
      <c r="T1152">
        <f>HYPERLINK("https://klasma.github.io/Logging_0884/kartor/A 59343-2024 karta.png", "A 59343-2024")</f>
        <v/>
      </c>
      <c r="V1152">
        <f>HYPERLINK("https://klasma.github.io/Logging_0884/klagomål/A 59343-2024 FSC-klagomål.docx", "A 59343-2024")</f>
        <v/>
      </c>
      <c r="W1152">
        <f>HYPERLINK("https://klasma.github.io/Logging_0884/klagomålsmail/A 59343-2024 FSC-klagomål mail.docx", "A 59343-2024")</f>
        <v/>
      </c>
      <c r="X1152">
        <f>HYPERLINK("https://klasma.github.io/Logging_0884/tillsyn/A 59343-2024 tillsynsbegäran.docx", "A 59343-2024")</f>
        <v/>
      </c>
      <c r="Y1152">
        <f>HYPERLINK("https://klasma.github.io/Logging_0884/tillsynsmail/A 59343-2024 tillsynsbegäran mail.docx", "A 59343-2024")</f>
        <v/>
      </c>
    </row>
    <row r="1153" ht="15" customHeight="1">
      <c r="A1153" t="inlineStr">
        <is>
          <t>A 59616-2024</t>
        </is>
      </c>
      <c r="B1153" s="1" t="n">
        <v>45638</v>
      </c>
      <c r="C1153" s="1" t="n">
        <v>45715</v>
      </c>
      <c r="D1153" t="inlineStr">
        <is>
          <t>KALMAR LÄN</t>
        </is>
      </c>
      <c r="E1153" t="inlineStr">
        <is>
          <t>VÄSTERVIK</t>
        </is>
      </c>
      <c r="G1153" t="n">
        <v>2.3</v>
      </c>
      <c r="H1153" t="n">
        <v>1</v>
      </c>
      <c r="I1153" t="n">
        <v>0</v>
      </c>
      <c r="J1153" t="n">
        <v>0</v>
      </c>
      <c r="K1153" t="n">
        <v>1</v>
      </c>
      <c r="L1153" t="n">
        <v>0</v>
      </c>
      <c r="M1153" t="n">
        <v>0</v>
      </c>
      <c r="N1153" t="n">
        <v>0</v>
      </c>
      <c r="O1153" t="n">
        <v>1</v>
      </c>
      <c r="P1153" t="n">
        <v>1</v>
      </c>
      <c r="Q1153" t="n">
        <v>1</v>
      </c>
      <c r="R1153" s="2" t="inlineStr">
        <is>
          <t>Knärot</t>
        </is>
      </c>
      <c r="S1153">
        <f>HYPERLINK("https://klasma.github.io/Logging_0883/artfynd/A 59616-2024 artfynd.xlsx", "A 59616-2024")</f>
        <v/>
      </c>
      <c r="T1153">
        <f>HYPERLINK("https://klasma.github.io/Logging_0883/kartor/A 59616-2024 karta.png", "A 59616-2024")</f>
        <v/>
      </c>
      <c r="U1153">
        <f>HYPERLINK("https://klasma.github.io/Logging_0883/knärot/A 59616-2024 karta knärot.png", "A 59616-2024")</f>
        <v/>
      </c>
      <c r="V1153">
        <f>HYPERLINK("https://klasma.github.io/Logging_0883/klagomål/A 59616-2024 FSC-klagomål.docx", "A 59616-2024")</f>
        <v/>
      </c>
      <c r="W1153">
        <f>HYPERLINK("https://klasma.github.io/Logging_0883/klagomålsmail/A 59616-2024 FSC-klagomål mail.docx", "A 59616-2024")</f>
        <v/>
      </c>
      <c r="X1153">
        <f>HYPERLINK("https://klasma.github.io/Logging_0883/tillsyn/A 59616-2024 tillsynsbegäran.docx", "A 59616-2024")</f>
        <v/>
      </c>
      <c r="Y1153">
        <f>HYPERLINK("https://klasma.github.io/Logging_0883/tillsynsmail/A 59616-2024 tillsynsbegäran mail.docx", "A 59616-2024")</f>
        <v/>
      </c>
    </row>
    <row r="1154" ht="15" customHeight="1">
      <c r="A1154" t="inlineStr">
        <is>
          <t>A 59351-2024</t>
        </is>
      </c>
      <c r="B1154" s="1" t="n">
        <v>45638</v>
      </c>
      <c r="C1154" s="1" t="n">
        <v>45715</v>
      </c>
      <c r="D1154" t="inlineStr">
        <is>
          <t>KALMAR LÄN</t>
        </is>
      </c>
      <c r="E1154" t="inlineStr">
        <is>
          <t>VÄSTERVIK</t>
        </is>
      </c>
      <c r="G1154" t="n">
        <v>4</v>
      </c>
      <c r="H1154" t="n">
        <v>0</v>
      </c>
      <c r="I1154" t="n">
        <v>0</v>
      </c>
      <c r="J1154" t="n">
        <v>1</v>
      </c>
      <c r="K1154" t="n">
        <v>0</v>
      </c>
      <c r="L1154" t="n">
        <v>0</v>
      </c>
      <c r="M1154" t="n">
        <v>0</v>
      </c>
      <c r="N1154" t="n">
        <v>0</v>
      </c>
      <c r="O1154" t="n">
        <v>1</v>
      </c>
      <c r="P1154" t="n">
        <v>0</v>
      </c>
      <c r="Q1154" t="n">
        <v>1</v>
      </c>
      <c r="R1154" s="2" t="inlineStr">
        <is>
          <t>Nubbfibbla</t>
        </is>
      </c>
      <c r="S1154">
        <f>HYPERLINK("https://klasma.github.io/Logging_0883/artfynd/A 59351-2024 artfynd.xlsx", "A 59351-2024")</f>
        <v/>
      </c>
      <c r="T1154">
        <f>HYPERLINK("https://klasma.github.io/Logging_0883/kartor/A 59351-2024 karta.png", "A 59351-2024")</f>
        <v/>
      </c>
      <c r="V1154">
        <f>HYPERLINK("https://klasma.github.io/Logging_0883/klagomål/A 59351-2024 FSC-klagomål.docx", "A 59351-2024")</f>
        <v/>
      </c>
      <c r="W1154">
        <f>HYPERLINK("https://klasma.github.io/Logging_0883/klagomålsmail/A 59351-2024 FSC-klagomål mail.docx", "A 59351-2024")</f>
        <v/>
      </c>
      <c r="X1154">
        <f>HYPERLINK("https://klasma.github.io/Logging_0883/tillsyn/A 59351-2024 tillsynsbegäran.docx", "A 59351-2024")</f>
        <v/>
      </c>
      <c r="Y1154">
        <f>HYPERLINK("https://klasma.github.io/Logging_0883/tillsynsmail/A 59351-2024 tillsynsbegäran mail.docx", "A 59351-2024")</f>
        <v/>
      </c>
    </row>
    <row r="1155" ht="15" customHeight="1">
      <c r="A1155" t="inlineStr">
        <is>
          <t>A 61505-2024</t>
        </is>
      </c>
      <c r="B1155" s="1" t="n">
        <v>45646</v>
      </c>
      <c r="C1155" s="1" t="n">
        <v>45715</v>
      </c>
      <c r="D1155" t="inlineStr">
        <is>
          <t>KALMAR LÄN</t>
        </is>
      </c>
      <c r="E1155" t="inlineStr">
        <is>
          <t>MÖNSTERÅS</t>
        </is>
      </c>
      <c r="F1155" t="inlineStr">
        <is>
          <t>Kommuner</t>
        </is>
      </c>
      <c r="G1155" t="n">
        <v>1.1</v>
      </c>
      <c r="H1155" t="n">
        <v>0</v>
      </c>
      <c r="I1155" t="n">
        <v>0</v>
      </c>
      <c r="J1155" t="n">
        <v>1</v>
      </c>
      <c r="K1155" t="n">
        <v>0</v>
      </c>
      <c r="L1155" t="n">
        <v>0</v>
      </c>
      <c r="M1155" t="n">
        <v>0</v>
      </c>
      <c r="N1155" t="n">
        <v>0</v>
      </c>
      <c r="O1155" t="n">
        <v>1</v>
      </c>
      <c r="P1155" t="n">
        <v>0</v>
      </c>
      <c r="Q1155" t="n">
        <v>1</v>
      </c>
      <c r="R1155" s="2" t="inlineStr">
        <is>
          <t>Tallticka</t>
        </is>
      </c>
      <c r="S1155">
        <f>HYPERLINK("https://klasma.github.io/Logging_0861/artfynd/A 61505-2024 artfynd.xlsx", "A 61505-2024")</f>
        <v/>
      </c>
      <c r="T1155">
        <f>HYPERLINK("https://klasma.github.io/Logging_0861/kartor/A 61505-2024 karta.png", "A 61505-2024")</f>
        <v/>
      </c>
      <c r="V1155">
        <f>HYPERLINK("https://klasma.github.io/Logging_0861/klagomål/A 61505-2024 FSC-klagomål.docx", "A 61505-2024")</f>
        <v/>
      </c>
      <c r="W1155">
        <f>HYPERLINK("https://klasma.github.io/Logging_0861/klagomålsmail/A 61505-2024 FSC-klagomål mail.docx", "A 61505-2024")</f>
        <v/>
      </c>
      <c r="X1155">
        <f>HYPERLINK("https://klasma.github.io/Logging_0861/tillsyn/A 61505-2024 tillsynsbegäran.docx", "A 61505-2024")</f>
        <v/>
      </c>
      <c r="Y1155">
        <f>HYPERLINK("https://klasma.github.io/Logging_0861/tillsynsmail/A 61505-2024 tillsynsbegäran mail.docx", "A 61505-2024")</f>
        <v/>
      </c>
    </row>
    <row r="1156" ht="15" customHeight="1">
      <c r="A1156" t="inlineStr">
        <is>
          <t>A 61490-2024</t>
        </is>
      </c>
      <c r="B1156" s="1" t="n">
        <v>45646</v>
      </c>
      <c r="C1156" s="1" t="n">
        <v>45715</v>
      </c>
      <c r="D1156" t="inlineStr">
        <is>
          <t>KALMAR LÄN</t>
        </is>
      </c>
      <c r="E1156" t="inlineStr">
        <is>
          <t>MÖNSTERÅS</t>
        </is>
      </c>
      <c r="F1156" t="inlineStr">
        <is>
          <t>Kommuner</t>
        </is>
      </c>
      <c r="G1156" t="n">
        <v>8</v>
      </c>
      <c r="H1156" t="n">
        <v>0</v>
      </c>
      <c r="I1156" t="n">
        <v>0</v>
      </c>
      <c r="J1156" t="n">
        <v>1</v>
      </c>
      <c r="K1156" t="n">
        <v>0</v>
      </c>
      <c r="L1156" t="n">
        <v>0</v>
      </c>
      <c r="M1156" t="n">
        <v>0</v>
      </c>
      <c r="N1156" t="n">
        <v>0</v>
      </c>
      <c r="O1156" t="n">
        <v>1</v>
      </c>
      <c r="P1156" t="n">
        <v>0</v>
      </c>
      <c r="Q1156" t="n">
        <v>1</v>
      </c>
      <c r="R1156" s="2" t="inlineStr">
        <is>
          <t>Taggbock</t>
        </is>
      </c>
      <c r="S1156">
        <f>HYPERLINK("https://klasma.github.io/Logging_0861/artfynd/A 61490-2024 artfynd.xlsx", "A 61490-2024")</f>
        <v/>
      </c>
      <c r="T1156">
        <f>HYPERLINK("https://klasma.github.io/Logging_0861/kartor/A 61490-2024 karta.png", "A 61490-2024")</f>
        <v/>
      </c>
      <c r="V1156">
        <f>HYPERLINK("https://klasma.github.io/Logging_0861/klagomål/A 61490-2024 FSC-klagomål.docx", "A 61490-2024")</f>
        <v/>
      </c>
      <c r="W1156">
        <f>HYPERLINK("https://klasma.github.io/Logging_0861/klagomålsmail/A 61490-2024 FSC-klagomål mail.docx", "A 61490-2024")</f>
        <v/>
      </c>
      <c r="X1156">
        <f>HYPERLINK("https://klasma.github.io/Logging_0861/tillsyn/A 61490-2024 tillsynsbegäran.docx", "A 61490-2024")</f>
        <v/>
      </c>
      <c r="Y1156">
        <f>HYPERLINK("https://klasma.github.io/Logging_0861/tillsynsmail/A 61490-2024 tillsynsbegäran mail.docx", "A 61490-2024")</f>
        <v/>
      </c>
    </row>
    <row r="1157" ht="15" customHeight="1">
      <c r="A1157" t="inlineStr">
        <is>
          <t>A 61860-2024</t>
        </is>
      </c>
      <c r="B1157" s="1" t="n">
        <v>45649</v>
      </c>
      <c r="C1157" s="1" t="n">
        <v>45715</v>
      </c>
      <c r="D1157" t="inlineStr">
        <is>
          <t>KALMAR LÄN</t>
        </is>
      </c>
      <c r="E1157" t="inlineStr">
        <is>
          <t>VIMMERBY</t>
        </is>
      </c>
      <c r="G1157" t="n">
        <v>4.4</v>
      </c>
      <c r="H1157" t="n">
        <v>1</v>
      </c>
      <c r="I1157" t="n">
        <v>0</v>
      </c>
      <c r="J1157" t="n">
        <v>0</v>
      </c>
      <c r="K1157" t="n">
        <v>1</v>
      </c>
      <c r="L1157" t="n">
        <v>0</v>
      </c>
      <c r="M1157" t="n">
        <v>0</v>
      </c>
      <c r="N1157" t="n">
        <v>0</v>
      </c>
      <c r="O1157" t="n">
        <v>1</v>
      </c>
      <c r="P1157" t="n">
        <v>1</v>
      </c>
      <c r="Q1157" t="n">
        <v>1</v>
      </c>
      <c r="R1157" s="2" t="inlineStr">
        <is>
          <t>Knärot</t>
        </is>
      </c>
      <c r="S1157">
        <f>HYPERLINK("https://klasma.github.io/Logging_0884/artfynd/A 61860-2024 artfynd.xlsx", "A 61860-2024")</f>
        <v/>
      </c>
      <c r="T1157">
        <f>HYPERLINK("https://klasma.github.io/Logging_0884/kartor/A 61860-2024 karta.png", "A 61860-2024")</f>
        <v/>
      </c>
      <c r="U1157">
        <f>HYPERLINK("https://klasma.github.io/Logging_0884/knärot/A 61860-2024 karta knärot.png", "A 61860-2024")</f>
        <v/>
      </c>
      <c r="V1157">
        <f>HYPERLINK("https://klasma.github.io/Logging_0884/klagomål/A 61860-2024 FSC-klagomål.docx", "A 61860-2024")</f>
        <v/>
      </c>
      <c r="W1157">
        <f>HYPERLINK("https://klasma.github.io/Logging_0884/klagomålsmail/A 61860-2024 FSC-klagomål mail.docx", "A 61860-2024")</f>
        <v/>
      </c>
      <c r="X1157">
        <f>HYPERLINK("https://klasma.github.io/Logging_0884/tillsyn/A 61860-2024 tillsynsbegäran.docx", "A 61860-2024")</f>
        <v/>
      </c>
      <c r="Y1157">
        <f>HYPERLINK("https://klasma.github.io/Logging_0884/tillsynsmail/A 61860-2024 tillsynsbegäran mail.docx", "A 61860-2024")</f>
        <v/>
      </c>
    </row>
    <row r="1158" ht="15" customHeight="1">
      <c r="A1158" t="inlineStr">
        <is>
          <t>A 591-2025</t>
        </is>
      </c>
      <c r="B1158" s="1" t="n">
        <v>45664</v>
      </c>
      <c r="C1158" s="1" t="n">
        <v>45715</v>
      </c>
      <c r="D1158" t="inlineStr">
        <is>
          <t>KALMAR LÄN</t>
        </is>
      </c>
      <c r="E1158" t="inlineStr">
        <is>
          <t>KALMAR</t>
        </is>
      </c>
      <c r="G1158" t="n">
        <v>8</v>
      </c>
      <c r="H1158" t="n">
        <v>0</v>
      </c>
      <c r="I1158" t="n">
        <v>1</v>
      </c>
      <c r="J1158" t="n">
        <v>0</v>
      </c>
      <c r="K1158" t="n">
        <v>0</v>
      </c>
      <c r="L1158" t="n">
        <v>0</v>
      </c>
      <c r="M1158" t="n">
        <v>0</v>
      </c>
      <c r="N1158" t="n">
        <v>0</v>
      </c>
      <c r="O1158" t="n">
        <v>0</v>
      </c>
      <c r="P1158" t="n">
        <v>0</v>
      </c>
      <c r="Q1158" t="n">
        <v>1</v>
      </c>
      <c r="R1158" s="2" t="inlineStr">
        <is>
          <t>Murgröna</t>
        </is>
      </c>
      <c r="S1158">
        <f>HYPERLINK("https://klasma.github.io/Logging_0880/artfynd/A 591-2025 artfynd.xlsx", "A 591-2025")</f>
        <v/>
      </c>
      <c r="T1158">
        <f>HYPERLINK("https://klasma.github.io/Logging_0880/kartor/A 591-2025 karta.png", "A 591-2025")</f>
        <v/>
      </c>
      <c r="V1158">
        <f>HYPERLINK("https://klasma.github.io/Logging_0880/klagomål/A 591-2025 FSC-klagomål.docx", "A 591-2025")</f>
        <v/>
      </c>
      <c r="W1158">
        <f>HYPERLINK("https://klasma.github.io/Logging_0880/klagomålsmail/A 591-2025 FSC-klagomål mail.docx", "A 591-2025")</f>
        <v/>
      </c>
      <c r="X1158">
        <f>HYPERLINK("https://klasma.github.io/Logging_0880/tillsyn/A 591-2025 tillsynsbegäran.docx", "A 591-2025")</f>
        <v/>
      </c>
      <c r="Y1158">
        <f>HYPERLINK("https://klasma.github.io/Logging_0880/tillsynsmail/A 591-2025 tillsynsbegäran mail.docx", "A 591-2025")</f>
        <v/>
      </c>
    </row>
    <row r="1159" ht="15" customHeight="1">
      <c r="A1159" t="inlineStr">
        <is>
          <t>A 667-2025</t>
        </is>
      </c>
      <c r="B1159" s="1" t="n">
        <v>45664</v>
      </c>
      <c r="C1159" s="1" t="n">
        <v>45715</v>
      </c>
      <c r="D1159" t="inlineStr">
        <is>
          <t>KALMAR LÄN</t>
        </is>
      </c>
      <c r="E1159" t="inlineStr">
        <is>
          <t>VIMMERBY</t>
        </is>
      </c>
      <c r="G1159" t="n">
        <v>4.4</v>
      </c>
      <c r="H1159" t="n">
        <v>0</v>
      </c>
      <c r="I1159" t="n">
        <v>0</v>
      </c>
      <c r="J1159" t="n">
        <v>1</v>
      </c>
      <c r="K1159" t="n">
        <v>0</v>
      </c>
      <c r="L1159" t="n">
        <v>0</v>
      </c>
      <c r="M1159" t="n">
        <v>0</v>
      </c>
      <c r="N1159" t="n">
        <v>0</v>
      </c>
      <c r="O1159" t="n">
        <v>1</v>
      </c>
      <c r="P1159" t="n">
        <v>0</v>
      </c>
      <c r="Q1159" t="n">
        <v>1</v>
      </c>
      <c r="R1159" s="2" t="inlineStr">
        <is>
          <t>Tallticka</t>
        </is>
      </c>
      <c r="S1159">
        <f>HYPERLINK("https://klasma.github.io/Logging_0884/artfynd/A 667-2025 artfynd.xlsx", "A 667-2025")</f>
        <v/>
      </c>
      <c r="T1159">
        <f>HYPERLINK("https://klasma.github.io/Logging_0884/kartor/A 667-2025 karta.png", "A 667-2025")</f>
        <v/>
      </c>
      <c r="V1159">
        <f>HYPERLINK("https://klasma.github.io/Logging_0884/klagomål/A 667-2025 FSC-klagomål.docx", "A 667-2025")</f>
        <v/>
      </c>
      <c r="W1159">
        <f>HYPERLINK("https://klasma.github.io/Logging_0884/klagomålsmail/A 667-2025 FSC-klagomål mail.docx", "A 667-2025")</f>
        <v/>
      </c>
      <c r="X1159">
        <f>HYPERLINK("https://klasma.github.io/Logging_0884/tillsyn/A 667-2025 tillsynsbegäran.docx", "A 667-2025")</f>
        <v/>
      </c>
      <c r="Y1159">
        <f>HYPERLINK("https://klasma.github.io/Logging_0884/tillsynsmail/A 667-2025 tillsynsbegäran mail.docx", "A 667-2025")</f>
        <v/>
      </c>
    </row>
    <row r="1160" ht="15" customHeight="1">
      <c r="A1160" t="inlineStr">
        <is>
          <t>A 961-2025</t>
        </is>
      </c>
      <c r="B1160" s="1" t="n">
        <v>45666</v>
      </c>
      <c r="C1160" s="1" t="n">
        <v>45715</v>
      </c>
      <c r="D1160" t="inlineStr">
        <is>
          <t>KALMAR LÄN</t>
        </is>
      </c>
      <c r="E1160" t="inlineStr">
        <is>
          <t>VÄSTERVIK</t>
        </is>
      </c>
      <c r="G1160" t="n">
        <v>1.3</v>
      </c>
      <c r="H1160" t="n">
        <v>1</v>
      </c>
      <c r="I1160" t="n">
        <v>0</v>
      </c>
      <c r="J1160" t="n">
        <v>0</v>
      </c>
      <c r="K1160" t="n">
        <v>1</v>
      </c>
      <c r="L1160" t="n">
        <v>0</v>
      </c>
      <c r="M1160" t="n">
        <v>0</v>
      </c>
      <c r="N1160" t="n">
        <v>0</v>
      </c>
      <c r="O1160" t="n">
        <v>1</v>
      </c>
      <c r="P1160" t="n">
        <v>1</v>
      </c>
      <c r="Q1160" t="n">
        <v>1</v>
      </c>
      <c r="R1160" s="2" t="inlineStr">
        <is>
          <t>Knärot</t>
        </is>
      </c>
      <c r="S1160">
        <f>HYPERLINK("https://klasma.github.io/Logging_0883/artfynd/A 961-2025 artfynd.xlsx", "A 961-2025")</f>
        <v/>
      </c>
      <c r="T1160">
        <f>HYPERLINK("https://klasma.github.io/Logging_0883/kartor/A 961-2025 karta.png", "A 961-2025")</f>
        <v/>
      </c>
      <c r="U1160">
        <f>HYPERLINK("https://klasma.github.io/Logging_0883/knärot/A 961-2025 karta knärot.png", "A 961-2025")</f>
        <v/>
      </c>
      <c r="V1160">
        <f>HYPERLINK("https://klasma.github.io/Logging_0883/klagomål/A 961-2025 FSC-klagomål.docx", "A 961-2025")</f>
        <v/>
      </c>
      <c r="W1160">
        <f>HYPERLINK("https://klasma.github.io/Logging_0883/klagomålsmail/A 961-2025 FSC-klagomål mail.docx", "A 961-2025")</f>
        <v/>
      </c>
      <c r="X1160">
        <f>HYPERLINK("https://klasma.github.io/Logging_0883/tillsyn/A 961-2025 tillsynsbegäran.docx", "A 961-2025")</f>
        <v/>
      </c>
      <c r="Y1160">
        <f>HYPERLINK("https://klasma.github.io/Logging_0883/tillsynsmail/A 961-2025 tillsynsbegäran mail.docx", "A 961-2025")</f>
        <v/>
      </c>
    </row>
    <row r="1161" ht="15" customHeight="1">
      <c r="A1161" t="inlineStr">
        <is>
          <t>A 1201-2025</t>
        </is>
      </c>
      <c r="B1161" s="1" t="n">
        <v>45667</v>
      </c>
      <c r="C1161" s="1" t="n">
        <v>45715</v>
      </c>
      <c r="D1161" t="inlineStr">
        <is>
          <t>KALMAR LÄN</t>
        </is>
      </c>
      <c r="E1161" t="inlineStr">
        <is>
          <t>VIMMERBY</t>
        </is>
      </c>
      <c r="G1161" t="n">
        <v>6.4</v>
      </c>
      <c r="H1161" t="n">
        <v>1</v>
      </c>
      <c r="I1161" t="n">
        <v>0</v>
      </c>
      <c r="J1161" t="n">
        <v>0</v>
      </c>
      <c r="K1161" t="n">
        <v>1</v>
      </c>
      <c r="L1161" t="n">
        <v>0</v>
      </c>
      <c r="M1161" t="n">
        <v>0</v>
      </c>
      <c r="N1161" t="n">
        <v>0</v>
      </c>
      <c r="O1161" t="n">
        <v>1</v>
      </c>
      <c r="P1161" t="n">
        <v>1</v>
      </c>
      <c r="Q1161" t="n">
        <v>1</v>
      </c>
      <c r="R1161" s="2" t="inlineStr">
        <is>
          <t>Knärot</t>
        </is>
      </c>
      <c r="S1161">
        <f>HYPERLINK("https://klasma.github.io/Logging_0884/artfynd/A 1201-2025 artfynd.xlsx", "A 1201-2025")</f>
        <v/>
      </c>
      <c r="T1161">
        <f>HYPERLINK("https://klasma.github.io/Logging_0884/kartor/A 1201-2025 karta.png", "A 1201-2025")</f>
        <v/>
      </c>
      <c r="U1161">
        <f>HYPERLINK("https://klasma.github.io/Logging_0884/knärot/A 1201-2025 karta knärot.png", "A 1201-2025")</f>
        <v/>
      </c>
      <c r="V1161">
        <f>HYPERLINK("https://klasma.github.io/Logging_0884/klagomål/A 1201-2025 FSC-klagomål.docx", "A 1201-2025")</f>
        <v/>
      </c>
      <c r="W1161">
        <f>HYPERLINK("https://klasma.github.io/Logging_0884/klagomålsmail/A 1201-2025 FSC-klagomål mail.docx", "A 1201-2025")</f>
        <v/>
      </c>
      <c r="X1161">
        <f>HYPERLINK("https://klasma.github.io/Logging_0884/tillsyn/A 1201-2025 tillsynsbegäran.docx", "A 1201-2025")</f>
        <v/>
      </c>
      <c r="Y1161">
        <f>HYPERLINK("https://klasma.github.io/Logging_0884/tillsynsmail/A 1201-2025 tillsynsbegäran mail.docx", "A 1201-2025")</f>
        <v/>
      </c>
    </row>
    <row r="1162" ht="15" customHeight="1">
      <c r="A1162" t="inlineStr">
        <is>
          <t>A 1771-2025</t>
        </is>
      </c>
      <c r="B1162" s="1" t="n">
        <v>45671</v>
      </c>
      <c r="C1162" s="1" t="n">
        <v>45715</v>
      </c>
      <c r="D1162" t="inlineStr">
        <is>
          <t>KALMAR LÄN</t>
        </is>
      </c>
      <c r="E1162" t="inlineStr">
        <is>
          <t>HÖGSBY</t>
        </is>
      </c>
      <c r="G1162" t="n">
        <v>4.5</v>
      </c>
      <c r="H1162" t="n">
        <v>0</v>
      </c>
      <c r="I1162" t="n">
        <v>0</v>
      </c>
      <c r="J1162" t="n">
        <v>0</v>
      </c>
      <c r="K1162" t="n">
        <v>1</v>
      </c>
      <c r="L1162" t="n">
        <v>0</v>
      </c>
      <c r="M1162" t="n">
        <v>0</v>
      </c>
      <c r="N1162" t="n">
        <v>0</v>
      </c>
      <c r="O1162" t="n">
        <v>1</v>
      </c>
      <c r="P1162" t="n">
        <v>1</v>
      </c>
      <c r="Q1162" t="n">
        <v>1</v>
      </c>
      <c r="R1162" s="2" t="inlineStr">
        <is>
          <t>Mörkstiftig hällfibbla</t>
        </is>
      </c>
      <c r="S1162">
        <f>HYPERLINK("https://klasma.github.io/Logging_0821/artfynd/A 1771-2025 artfynd.xlsx", "A 1771-2025")</f>
        <v/>
      </c>
      <c r="T1162">
        <f>HYPERLINK("https://klasma.github.io/Logging_0821/kartor/A 1771-2025 karta.png", "A 1771-2025")</f>
        <v/>
      </c>
      <c r="V1162">
        <f>HYPERLINK("https://klasma.github.io/Logging_0821/klagomål/A 1771-2025 FSC-klagomål.docx", "A 1771-2025")</f>
        <v/>
      </c>
      <c r="W1162">
        <f>HYPERLINK("https://klasma.github.io/Logging_0821/klagomålsmail/A 1771-2025 FSC-klagomål mail.docx", "A 1771-2025")</f>
        <v/>
      </c>
      <c r="X1162">
        <f>HYPERLINK("https://klasma.github.io/Logging_0821/tillsyn/A 1771-2025 tillsynsbegäran.docx", "A 1771-2025")</f>
        <v/>
      </c>
      <c r="Y1162">
        <f>HYPERLINK("https://klasma.github.io/Logging_0821/tillsynsmail/A 1771-2025 tillsynsbegäran mail.docx", "A 1771-2025")</f>
        <v/>
      </c>
    </row>
    <row r="1163" ht="15" customHeight="1">
      <c r="A1163" t="inlineStr">
        <is>
          <t>A 1775-2025</t>
        </is>
      </c>
      <c r="B1163" s="1" t="n">
        <v>45671</v>
      </c>
      <c r="C1163" s="1" t="n">
        <v>45715</v>
      </c>
      <c r="D1163" t="inlineStr">
        <is>
          <t>KALMAR LÄN</t>
        </is>
      </c>
      <c r="E1163" t="inlineStr">
        <is>
          <t>VÄSTERVIK</t>
        </is>
      </c>
      <c r="G1163" t="n">
        <v>0.9</v>
      </c>
      <c r="H1163" t="n">
        <v>1</v>
      </c>
      <c r="I1163" t="n">
        <v>0</v>
      </c>
      <c r="J1163" t="n">
        <v>0</v>
      </c>
      <c r="K1163" t="n">
        <v>0</v>
      </c>
      <c r="L1163" t="n">
        <v>0</v>
      </c>
      <c r="M1163" t="n">
        <v>0</v>
      </c>
      <c r="N1163" t="n">
        <v>0</v>
      </c>
      <c r="O1163" t="n">
        <v>0</v>
      </c>
      <c r="P1163" t="n">
        <v>0</v>
      </c>
      <c r="Q1163" t="n">
        <v>1</v>
      </c>
      <c r="R1163" s="2" t="inlineStr">
        <is>
          <t>Kungsfågel</t>
        </is>
      </c>
      <c r="S1163">
        <f>HYPERLINK("https://klasma.github.io/Logging_0883/artfynd/A 1775-2025 artfynd.xlsx", "A 1775-2025")</f>
        <v/>
      </c>
      <c r="T1163">
        <f>HYPERLINK("https://klasma.github.io/Logging_0883/kartor/A 1775-2025 karta.png", "A 1775-2025")</f>
        <v/>
      </c>
      <c r="V1163">
        <f>HYPERLINK("https://klasma.github.io/Logging_0883/klagomål/A 1775-2025 FSC-klagomål.docx", "A 1775-2025")</f>
        <v/>
      </c>
      <c r="W1163">
        <f>HYPERLINK("https://klasma.github.io/Logging_0883/klagomålsmail/A 1775-2025 FSC-klagomål mail.docx", "A 1775-2025")</f>
        <v/>
      </c>
      <c r="X1163">
        <f>HYPERLINK("https://klasma.github.io/Logging_0883/tillsyn/A 1775-2025 tillsynsbegäran.docx", "A 1775-2025")</f>
        <v/>
      </c>
      <c r="Y1163">
        <f>HYPERLINK("https://klasma.github.io/Logging_0883/tillsynsmail/A 1775-2025 tillsynsbegäran mail.docx", "A 1775-2025")</f>
        <v/>
      </c>
      <c r="Z1163">
        <f>HYPERLINK("https://klasma.github.io/Logging_0883/fåglar/A 1775-2025 prioriterade fågelarter.docx", "A 1775-2025")</f>
        <v/>
      </c>
    </row>
    <row r="1164" ht="15" customHeight="1">
      <c r="A1164" t="inlineStr">
        <is>
          <t>A 2328-2025</t>
        </is>
      </c>
      <c r="B1164" s="1" t="n">
        <v>45673</v>
      </c>
      <c r="C1164" s="1" t="n">
        <v>45715</v>
      </c>
      <c r="D1164" t="inlineStr">
        <is>
          <t>KALMAR LÄN</t>
        </is>
      </c>
      <c r="E1164" t="inlineStr">
        <is>
          <t>VÄSTERVIK</t>
        </is>
      </c>
      <c r="F1164" t="inlineStr">
        <is>
          <t>Sveaskog</t>
        </is>
      </c>
      <c r="G1164" t="n">
        <v>1.4</v>
      </c>
      <c r="H1164" t="n">
        <v>1</v>
      </c>
      <c r="I1164" t="n">
        <v>0</v>
      </c>
      <c r="J1164" t="n">
        <v>0</v>
      </c>
      <c r="K1164" t="n">
        <v>0</v>
      </c>
      <c r="L1164" t="n">
        <v>0</v>
      </c>
      <c r="M1164" t="n">
        <v>0</v>
      </c>
      <c r="N1164" t="n">
        <v>0</v>
      </c>
      <c r="O1164" t="n">
        <v>0</v>
      </c>
      <c r="P1164" t="n">
        <v>0</v>
      </c>
      <c r="Q1164" t="n">
        <v>1</v>
      </c>
      <c r="R1164" s="2" t="inlineStr">
        <is>
          <t>Mattlummer</t>
        </is>
      </c>
      <c r="S1164">
        <f>HYPERLINK("https://klasma.github.io/Logging_0883/artfynd/A 2328-2025 artfynd.xlsx", "A 2328-2025")</f>
        <v/>
      </c>
      <c r="T1164">
        <f>HYPERLINK("https://klasma.github.io/Logging_0883/kartor/A 2328-2025 karta.png", "A 2328-2025")</f>
        <v/>
      </c>
      <c r="V1164">
        <f>HYPERLINK("https://klasma.github.io/Logging_0883/klagomål/A 2328-2025 FSC-klagomål.docx", "A 2328-2025")</f>
        <v/>
      </c>
      <c r="W1164">
        <f>HYPERLINK("https://klasma.github.io/Logging_0883/klagomålsmail/A 2328-2025 FSC-klagomål mail.docx", "A 2328-2025")</f>
        <v/>
      </c>
      <c r="X1164">
        <f>HYPERLINK("https://klasma.github.io/Logging_0883/tillsyn/A 2328-2025 tillsynsbegäran.docx", "A 2328-2025")</f>
        <v/>
      </c>
      <c r="Y1164">
        <f>HYPERLINK("https://klasma.github.io/Logging_0883/tillsynsmail/A 2328-2025 tillsynsbegäran mail.docx", "A 2328-2025")</f>
        <v/>
      </c>
    </row>
    <row r="1165" ht="15" customHeight="1">
      <c r="A1165" t="inlineStr">
        <is>
          <t>A 3075-2025</t>
        </is>
      </c>
      <c r="B1165" s="1" t="n">
        <v>45678</v>
      </c>
      <c r="C1165" s="1" t="n">
        <v>45715</v>
      </c>
      <c r="D1165" t="inlineStr">
        <is>
          <t>KALMAR LÄN</t>
        </is>
      </c>
      <c r="E1165" t="inlineStr">
        <is>
          <t>VIMMERBY</t>
        </is>
      </c>
      <c r="G1165" t="n">
        <v>4.5</v>
      </c>
      <c r="H1165" t="n">
        <v>1</v>
      </c>
      <c r="I1165" t="n">
        <v>0</v>
      </c>
      <c r="J1165" t="n">
        <v>1</v>
      </c>
      <c r="K1165" t="n">
        <v>0</v>
      </c>
      <c r="L1165" t="n">
        <v>0</v>
      </c>
      <c r="M1165" t="n">
        <v>0</v>
      </c>
      <c r="N1165" t="n">
        <v>0</v>
      </c>
      <c r="O1165" t="n">
        <v>1</v>
      </c>
      <c r="P1165" t="n">
        <v>0</v>
      </c>
      <c r="Q1165" t="n">
        <v>1</v>
      </c>
      <c r="R1165" s="2" t="inlineStr">
        <is>
          <t>Spillkråka</t>
        </is>
      </c>
      <c r="S1165">
        <f>HYPERLINK("https://klasma.github.io/Logging_0884/artfynd/A 3075-2025 artfynd.xlsx", "A 3075-2025")</f>
        <v/>
      </c>
      <c r="T1165">
        <f>HYPERLINK("https://klasma.github.io/Logging_0884/kartor/A 3075-2025 karta.png", "A 3075-2025")</f>
        <v/>
      </c>
      <c r="V1165">
        <f>HYPERLINK("https://klasma.github.io/Logging_0884/klagomål/A 3075-2025 FSC-klagomål.docx", "A 3075-2025")</f>
        <v/>
      </c>
      <c r="W1165">
        <f>HYPERLINK("https://klasma.github.io/Logging_0884/klagomålsmail/A 3075-2025 FSC-klagomål mail.docx", "A 3075-2025")</f>
        <v/>
      </c>
      <c r="X1165">
        <f>HYPERLINK("https://klasma.github.io/Logging_0884/tillsyn/A 3075-2025 tillsynsbegäran.docx", "A 3075-2025")</f>
        <v/>
      </c>
      <c r="Y1165">
        <f>HYPERLINK("https://klasma.github.io/Logging_0884/tillsynsmail/A 3075-2025 tillsynsbegäran mail.docx", "A 3075-2025")</f>
        <v/>
      </c>
      <c r="Z1165">
        <f>HYPERLINK("https://klasma.github.io/Logging_0884/fåglar/A 3075-2025 prioriterade fågelarter.docx", "A 3075-2025")</f>
        <v/>
      </c>
    </row>
    <row r="1166" ht="15" customHeight="1">
      <c r="A1166" t="inlineStr">
        <is>
          <t>A 3112-2025</t>
        </is>
      </c>
      <c r="B1166" s="1" t="n">
        <v>45678</v>
      </c>
      <c r="C1166" s="1" t="n">
        <v>45715</v>
      </c>
      <c r="D1166" t="inlineStr">
        <is>
          <t>KALMAR LÄN</t>
        </is>
      </c>
      <c r="E1166" t="inlineStr">
        <is>
          <t>VÄSTERVIK</t>
        </is>
      </c>
      <c r="G1166" t="n">
        <v>1.5</v>
      </c>
      <c r="H1166" t="n">
        <v>1</v>
      </c>
      <c r="I1166" t="n">
        <v>0</v>
      </c>
      <c r="J1166" t="n">
        <v>0</v>
      </c>
      <c r="K1166" t="n">
        <v>0</v>
      </c>
      <c r="L1166" t="n">
        <v>0</v>
      </c>
      <c r="M1166" t="n">
        <v>0</v>
      </c>
      <c r="N1166" t="n">
        <v>0</v>
      </c>
      <c r="O1166" t="n">
        <v>0</v>
      </c>
      <c r="P1166" t="n">
        <v>0</v>
      </c>
      <c r="Q1166" t="n">
        <v>1</v>
      </c>
      <c r="R1166" s="2" t="inlineStr">
        <is>
          <t>Mattlummer</t>
        </is>
      </c>
      <c r="S1166">
        <f>HYPERLINK("https://klasma.github.io/Logging_0883/artfynd/A 3112-2025 artfynd.xlsx", "A 3112-2025")</f>
        <v/>
      </c>
      <c r="T1166">
        <f>HYPERLINK("https://klasma.github.io/Logging_0883/kartor/A 3112-2025 karta.png", "A 3112-2025")</f>
        <v/>
      </c>
      <c r="V1166">
        <f>HYPERLINK("https://klasma.github.io/Logging_0883/klagomål/A 3112-2025 FSC-klagomål.docx", "A 3112-2025")</f>
        <v/>
      </c>
      <c r="W1166">
        <f>HYPERLINK("https://klasma.github.io/Logging_0883/klagomålsmail/A 3112-2025 FSC-klagomål mail.docx", "A 3112-2025")</f>
        <v/>
      </c>
      <c r="X1166">
        <f>HYPERLINK("https://klasma.github.io/Logging_0883/tillsyn/A 3112-2025 tillsynsbegäran.docx", "A 3112-2025")</f>
        <v/>
      </c>
      <c r="Y1166">
        <f>HYPERLINK("https://klasma.github.io/Logging_0883/tillsynsmail/A 3112-2025 tillsynsbegäran mail.docx", "A 3112-2025")</f>
        <v/>
      </c>
    </row>
    <row r="1167" ht="15" customHeight="1">
      <c r="A1167" t="inlineStr">
        <is>
          <t>A 3057-2025</t>
        </is>
      </c>
      <c r="B1167" s="1" t="n">
        <v>45678</v>
      </c>
      <c r="C1167" s="1" t="n">
        <v>45715</v>
      </c>
      <c r="D1167" t="inlineStr">
        <is>
          <t>KALMAR LÄN</t>
        </is>
      </c>
      <c r="E1167" t="inlineStr">
        <is>
          <t>VÄSTERVIK</t>
        </is>
      </c>
      <c r="G1167" t="n">
        <v>1</v>
      </c>
      <c r="H1167" t="n">
        <v>1</v>
      </c>
      <c r="I1167" t="n">
        <v>0</v>
      </c>
      <c r="J1167" t="n">
        <v>0</v>
      </c>
      <c r="K1167" t="n">
        <v>1</v>
      </c>
      <c r="L1167" t="n">
        <v>0</v>
      </c>
      <c r="M1167" t="n">
        <v>0</v>
      </c>
      <c r="N1167" t="n">
        <v>0</v>
      </c>
      <c r="O1167" t="n">
        <v>1</v>
      </c>
      <c r="P1167" t="n">
        <v>1</v>
      </c>
      <c r="Q1167" t="n">
        <v>1</v>
      </c>
      <c r="R1167" s="2" t="inlineStr">
        <is>
          <t>Knärot</t>
        </is>
      </c>
      <c r="S1167">
        <f>HYPERLINK("https://klasma.github.io/Logging_0883/artfynd/A 3057-2025 artfynd.xlsx", "A 3057-2025")</f>
        <v/>
      </c>
      <c r="T1167">
        <f>HYPERLINK("https://klasma.github.io/Logging_0883/kartor/A 3057-2025 karta.png", "A 3057-2025")</f>
        <v/>
      </c>
      <c r="U1167">
        <f>HYPERLINK("https://klasma.github.io/Logging_0883/knärot/A 3057-2025 karta knärot.png", "A 3057-2025")</f>
        <v/>
      </c>
      <c r="V1167">
        <f>HYPERLINK("https://klasma.github.io/Logging_0883/klagomål/A 3057-2025 FSC-klagomål.docx", "A 3057-2025")</f>
        <v/>
      </c>
      <c r="W1167">
        <f>HYPERLINK("https://klasma.github.io/Logging_0883/klagomålsmail/A 3057-2025 FSC-klagomål mail.docx", "A 3057-2025")</f>
        <v/>
      </c>
      <c r="X1167">
        <f>HYPERLINK("https://klasma.github.io/Logging_0883/tillsyn/A 3057-2025 tillsynsbegäran.docx", "A 3057-2025")</f>
        <v/>
      </c>
      <c r="Y1167">
        <f>HYPERLINK("https://klasma.github.io/Logging_0883/tillsynsmail/A 3057-2025 tillsynsbegäran mail.docx", "A 3057-2025")</f>
        <v/>
      </c>
    </row>
    <row r="1168" ht="15" customHeight="1">
      <c r="A1168" t="inlineStr">
        <is>
          <t>A 3673-2025</t>
        </is>
      </c>
      <c r="B1168" s="1" t="n">
        <v>45681</v>
      </c>
      <c r="C1168" s="1" t="n">
        <v>45715</v>
      </c>
      <c r="D1168" t="inlineStr">
        <is>
          <t>KALMAR LÄN</t>
        </is>
      </c>
      <c r="E1168" t="inlineStr">
        <is>
          <t>VÄSTERVIK</t>
        </is>
      </c>
      <c r="G1168" t="n">
        <v>1.1</v>
      </c>
      <c r="H1168" t="n">
        <v>0</v>
      </c>
      <c r="I1168" t="n">
        <v>1</v>
      </c>
      <c r="J1168" t="n">
        <v>0</v>
      </c>
      <c r="K1168" t="n">
        <v>0</v>
      </c>
      <c r="L1168" t="n">
        <v>0</v>
      </c>
      <c r="M1168" t="n">
        <v>0</v>
      </c>
      <c r="N1168" t="n">
        <v>0</v>
      </c>
      <c r="O1168" t="n">
        <v>0</v>
      </c>
      <c r="P1168" t="n">
        <v>0</v>
      </c>
      <c r="Q1168" t="n">
        <v>1</v>
      </c>
      <c r="R1168" s="2" t="inlineStr">
        <is>
          <t>Blodticka</t>
        </is>
      </c>
      <c r="S1168">
        <f>HYPERLINK("https://klasma.github.io/Logging_0883/artfynd/A 3673-2025 artfynd.xlsx", "A 3673-2025")</f>
        <v/>
      </c>
      <c r="T1168">
        <f>HYPERLINK("https://klasma.github.io/Logging_0883/kartor/A 3673-2025 karta.png", "A 3673-2025")</f>
        <v/>
      </c>
      <c r="V1168">
        <f>HYPERLINK("https://klasma.github.io/Logging_0883/klagomål/A 3673-2025 FSC-klagomål.docx", "A 3673-2025")</f>
        <v/>
      </c>
      <c r="W1168">
        <f>HYPERLINK("https://klasma.github.io/Logging_0883/klagomålsmail/A 3673-2025 FSC-klagomål mail.docx", "A 3673-2025")</f>
        <v/>
      </c>
      <c r="X1168">
        <f>HYPERLINK("https://klasma.github.io/Logging_0883/tillsyn/A 3673-2025 tillsynsbegäran.docx", "A 3673-2025")</f>
        <v/>
      </c>
      <c r="Y1168">
        <f>HYPERLINK("https://klasma.github.io/Logging_0883/tillsynsmail/A 3673-2025 tillsynsbegäran mail.docx", "A 3673-2025")</f>
        <v/>
      </c>
    </row>
    <row r="1169" ht="15" customHeight="1">
      <c r="A1169" t="inlineStr">
        <is>
          <t>A 3600-2025</t>
        </is>
      </c>
      <c r="B1169" s="1" t="n">
        <v>45681</v>
      </c>
      <c r="C1169" s="1" t="n">
        <v>45715</v>
      </c>
      <c r="D1169" t="inlineStr">
        <is>
          <t>KALMAR LÄN</t>
        </is>
      </c>
      <c r="E1169" t="inlineStr">
        <is>
          <t>VÄSTERVIK</t>
        </is>
      </c>
      <c r="G1169" t="n">
        <v>1</v>
      </c>
      <c r="H1169" t="n">
        <v>1</v>
      </c>
      <c r="I1169" t="n">
        <v>0</v>
      </c>
      <c r="J1169" t="n">
        <v>1</v>
      </c>
      <c r="K1169" t="n">
        <v>0</v>
      </c>
      <c r="L1169" t="n">
        <v>0</v>
      </c>
      <c r="M1169" t="n">
        <v>0</v>
      </c>
      <c r="N1169" t="n">
        <v>0</v>
      </c>
      <c r="O1169" t="n">
        <v>1</v>
      </c>
      <c r="P1169" t="n">
        <v>0</v>
      </c>
      <c r="Q1169" t="n">
        <v>1</v>
      </c>
      <c r="R1169" s="2" t="inlineStr">
        <is>
          <t>Spillkråka</t>
        </is>
      </c>
      <c r="S1169">
        <f>HYPERLINK("https://klasma.github.io/Logging_0883/artfynd/A 3600-2025 artfynd.xlsx", "A 3600-2025")</f>
        <v/>
      </c>
      <c r="T1169">
        <f>HYPERLINK("https://klasma.github.io/Logging_0883/kartor/A 3600-2025 karta.png", "A 3600-2025")</f>
        <v/>
      </c>
      <c r="V1169">
        <f>HYPERLINK("https://klasma.github.io/Logging_0883/klagomål/A 3600-2025 FSC-klagomål.docx", "A 3600-2025")</f>
        <v/>
      </c>
      <c r="W1169">
        <f>HYPERLINK("https://klasma.github.io/Logging_0883/klagomålsmail/A 3600-2025 FSC-klagomål mail.docx", "A 3600-2025")</f>
        <v/>
      </c>
      <c r="X1169">
        <f>HYPERLINK("https://klasma.github.io/Logging_0883/tillsyn/A 3600-2025 tillsynsbegäran.docx", "A 3600-2025")</f>
        <v/>
      </c>
      <c r="Y1169">
        <f>HYPERLINK("https://klasma.github.io/Logging_0883/tillsynsmail/A 3600-2025 tillsynsbegäran mail.docx", "A 3600-2025")</f>
        <v/>
      </c>
      <c r="Z1169">
        <f>HYPERLINK("https://klasma.github.io/Logging_0883/fåglar/A 3600-2025 prioriterade fågelarter.docx", "A 3600-2025")</f>
        <v/>
      </c>
    </row>
    <row r="1170" ht="15" customHeight="1">
      <c r="A1170" t="inlineStr">
        <is>
          <t>A 3631-2025</t>
        </is>
      </c>
      <c r="B1170" s="1" t="n">
        <v>45681</v>
      </c>
      <c r="C1170" s="1" t="n">
        <v>45715</v>
      </c>
      <c r="D1170" t="inlineStr">
        <is>
          <t>KALMAR LÄN</t>
        </is>
      </c>
      <c r="E1170" t="inlineStr">
        <is>
          <t>NYBRO</t>
        </is>
      </c>
      <c r="F1170" t="inlineStr">
        <is>
          <t>Kyrkan</t>
        </is>
      </c>
      <c r="G1170" t="n">
        <v>2.3</v>
      </c>
      <c r="H1170" t="n">
        <v>0</v>
      </c>
      <c r="I1170" t="n">
        <v>0</v>
      </c>
      <c r="J1170" t="n">
        <v>0</v>
      </c>
      <c r="K1170" t="n">
        <v>1</v>
      </c>
      <c r="L1170" t="n">
        <v>0</v>
      </c>
      <c r="M1170" t="n">
        <v>0</v>
      </c>
      <c r="N1170" t="n">
        <v>0</v>
      </c>
      <c r="O1170" t="n">
        <v>1</v>
      </c>
      <c r="P1170" t="n">
        <v>1</v>
      </c>
      <c r="Q1170" t="n">
        <v>1</v>
      </c>
      <c r="R1170" s="2" t="inlineStr">
        <is>
          <t>Åkerrättika</t>
        </is>
      </c>
      <c r="S1170">
        <f>HYPERLINK("https://klasma.github.io/Logging_0881/artfynd/A 3631-2025 artfynd.xlsx", "A 3631-2025")</f>
        <v/>
      </c>
      <c r="T1170">
        <f>HYPERLINK("https://klasma.github.io/Logging_0881/kartor/A 3631-2025 karta.png", "A 3631-2025")</f>
        <v/>
      </c>
      <c r="V1170">
        <f>HYPERLINK("https://klasma.github.io/Logging_0881/klagomål/A 3631-2025 FSC-klagomål.docx", "A 3631-2025")</f>
        <v/>
      </c>
      <c r="W1170">
        <f>HYPERLINK("https://klasma.github.io/Logging_0881/klagomålsmail/A 3631-2025 FSC-klagomål mail.docx", "A 3631-2025")</f>
        <v/>
      </c>
      <c r="X1170">
        <f>HYPERLINK("https://klasma.github.io/Logging_0881/tillsyn/A 3631-2025 tillsynsbegäran.docx", "A 3631-2025")</f>
        <v/>
      </c>
      <c r="Y1170">
        <f>HYPERLINK("https://klasma.github.io/Logging_0881/tillsynsmail/A 3631-2025 tillsynsbegäran mail.docx", "A 3631-2025")</f>
        <v/>
      </c>
    </row>
    <row r="1171" ht="15" customHeight="1">
      <c r="A1171" t="inlineStr">
        <is>
          <t>A 3920-2025</t>
        </is>
      </c>
      <c r="B1171" s="1" t="n">
        <v>45684</v>
      </c>
      <c r="C1171" s="1" t="n">
        <v>45715</v>
      </c>
      <c r="D1171" t="inlineStr">
        <is>
          <t>KALMAR LÄN</t>
        </is>
      </c>
      <c r="E1171" t="inlineStr">
        <is>
          <t>KALMAR</t>
        </is>
      </c>
      <c r="G1171" t="n">
        <v>44</v>
      </c>
      <c r="H1171" t="n">
        <v>0</v>
      </c>
      <c r="I1171" t="n">
        <v>0</v>
      </c>
      <c r="J1171" t="n">
        <v>1</v>
      </c>
      <c r="K1171" t="n">
        <v>0</v>
      </c>
      <c r="L1171" t="n">
        <v>0</v>
      </c>
      <c r="M1171" t="n">
        <v>0</v>
      </c>
      <c r="N1171" t="n">
        <v>0</v>
      </c>
      <c r="O1171" t="n">
        <v>1</v>
      </c>
      <c r="P1171" t="n">
        <v>0</v>
      </c>
      <c r="Q1171" t="n">
        <v>1</v>
      </c>
      <c r="R1171" s="2" t="inlineStr">
        <is>
          <t>Sumpviol</t>
        </is>
      </c>
      <c r="S1171">
        <f>HYPERLINK("https://klasma.github.io/Logging_0880/artfynd/A 3920-2025 artfynd.xlsx", "A 3920-2025")</f>
        <v/>
      </c>
      <c r="T1171">
        <f>HYPERLINK("https://klasma.github.io/Logging_0880/kartor/A 3920-2025 karta.png", "A 3920-2025")</f>
        <v/>
      </c>
      <c r="V1171">
        <f>HYPERLINK("https://klasma.github.io/Logging_0880/klagomål/A 3920-2025 FSC-klagomål.docx", "A 3920-2025")</f>
        <v/>
      </c>
      <c r="W1171">
        <f>HYPERLINK("https://klasma.github.io/Logging_0880/klagomålsmail/A 3920-2025 FSC-klagomål mail.docx", "A 3920-2025")</f>
        <v/>
      </c>
      <c r="X1171">
        <f>HYPERLINK("https://klasma.github.io/Logging_0880/tillsyn/A 3920-2025 tillsynsbegäran.docx", "A 3920-2025")</f>
        <v/>
      </c>
      <c r="Y1171">
        <f>HYPERLINK("https://klasma.github.io/Logging_0880/tillsynsmail/A 3920-2025 tillsynsbegäran mail.docx", "A 3920-2025")</f>
        <v/>
      </c>
    </row>
    <row r="1172" ht="15" customHeight="1">
      <c r="A1172" t="inlineStr">
        <is>
          <t>A 4750-2025</t>
        </is>
      </c>
      <c r="B1172" s="1" t="n">
        <v>45688</v>
      </c>
      <c r="C1172" s="1" t="n">
        <v>45715</v>
      </c>
      <c r="D1172" t="inlineStr">
        <is>
          <t>KALMAR LÄN</t>
        </is>
      </c>
      <c r="E1172" t="inlineStr">
        <is>
          <t>VÄSTERVIK</t>
        </is>
      </c>
      <c r="F1172" t="inlineStr">
        <is>
          <t>Holmen skog AB</t>
        </is>
      </c>
      <c r="G1172" t="n">
        <v>0.9</v>
      </c>
      <c r="H1172" t="n">
        <v>1</v>
      </c>
      <c r="I1172" t="n">
        <v>0</v>
      </c>
      <c r="J1172" t="n">
        <v>1</v>
      </c>
      <c r="K1172" t="n">
        <v>0</v>
      </c>
      <c r="L1172" t="n">
        <v>0</v>
      </c>
      <c r="M1172" t="n">
        <v>0</v>
      </c>
      <c r="N1172" t="n">
        <v>0</v>
      </c>
      <c r="O1172" t="n">
        <v>1</v>
      </c>
      <c r="P1172" t="n">
        <v>0</v>
      </c>
      <c r="Q1172" t="n">
        <v>1</v>
      </c>
      <c r="R1172" s="2" t="inlineStr">
        <is>
          <t>Talltita</t>
        </is>
      </c>
      <c r="S1172">
        <f>HYPERLINK("https://klasma.github.io/Logging_0883/artfynd/A 4750-2025 artfynd.xlsx", "A 4750-2025")</f>
        <v/>
      </c>
      <c r="T1172">
        <f>HYPERLINK("https://klasma.github.io/Logging_0883/kartor/A 4750-2025 karta.png", "A 4750-2025")</f>
        <v/>
      </c>
      <c r="V1172">
        <f>HYPERLINK("https://klasma.github.io/Logging_0883/klagomål/A 4750-2025 FSC-klagomål.docx", "A 4750-2025")</f>
        <v/>
      </c>
      <c r="W1172">
        <f>HYPERLINK("https://klasma.github.io/Logging_0883/klagomålsmail/A 4750-2025 FSC-klagomål mail.docx", "A 4750-2025")</f>
        <v/>
      </c>
      <c r="X1172">
        <f>HYPERLINK("https://klasma.github.io/Logging_0883/tillsyn/A 4750-2025 tillsynsbegäran.docx", "A 4750-2025")</f>
        <v/>
      </c>
      <c r="Y1172">
        <f>HYPERLINK("https://klasma.github.io/Logging_0883/tillsynsmail/A 4750-2025 tillsynsbegäran mail.docx", "A 4750-2025")</f>
        <v/>
      </c>
      <c r="Z1172">
        <f>HYPERLINK("https://klasma.github.io/Logging_0883/fåglar/A 4750-2025 prioriterade fågelarter.docx", "A 4750-2025")</f>
        <v/>
      </c>
    </row>
    <row r="1173" ht="15" customHeight="1">
      <c r="A1173" t="inlineStr">
        <is>
          <t>A 4778-2025</t>
        </is>
      </c>
      <c r="B1173" s="1" t="n">
        <v>45688</v>
      </c>
      <c r="C1173" s="1" t="n">
        <v>45715</v>
      </c>
      <c r="D1173" t="inlineStr">
        <is>
          <t>KALMAR LÄN</t>
        </is>
      </c>
      <c r="E1173" t="inlineStr">
        <is>
          <t>VÄSTERVIK</t>
        </is>
      </c>
      <c r="F1173" t="inlineStr">
        <is>
          <t>Holmen skog AB</t>
        </is>
      </c>
      <c r="G1173" t="n">
        <v>3.8</v>
      </c>
      <c r="H1173" t="n">
        <v>1</v>
      </c>
      <c r="I1173" t="n">
        <v>0</v>
      </c>
      <c r="J1173" t="n">
        <v>0</v>
      </c>
      <c r="K1173" t="n">
        <v>1</v>
      </c>
      <c r="L1173" t="n">
        <v>0</v>
      </c>
      <c r="M1173" t="n">
        <v>0</v>
      </c>
      <c r="N1173" t="n">
        <v>0</v>
      </c>
      <c r="O1173" t="n">
        <v>1</v>
      </c>
      <c r="P1173" t="n">
        <v>1</v>
      </c>
      <c r="Q1173" t="n">
        <v>1</v>
      </c>
      <c r="R1173" s="2" t="inlineStr">
        <is>
          <t>Knärot</t>
        </is>
      </c>
      <c r="S1173">
        <f>HYPERLINK("https://klasma.github.io/Logging_0883/artfynd/A 4778-2025 artfynd.xlsx", "A 4778-2025")</f>
        <v/>
      </c>
      <c r="T1173">
        <f>HYPERLINK("https://klasma.github.io/Logging_0883/kartor/A 4778-2025 karta.png", "A 4778-2025")</f>
        <v/>
      </c>
      <c r="U1173">
        <f>HYPERLINK("https://klasma.github.io/Logging_0883/knärot/A 4778-2025 karta knärot.png", "A 4778-2025")</f>
        <v/>
      </c>
      <c r="V1173">
        <f>HYPERLINK("https://klasma.github.io/Logging_0883/klagomål/A 4778-2025 FSC-klagomål.docx", "A 4778-2025")</f>
        <v/>
      </c>
      <c r="W1173">
        <f>HYPERLINK("https://klasma.github.io/Logging_0883/klagomålsmail/A 4778-2025 FSC-klagomål mail.docx", "A 4778-2025")</f>
        <v/>
      </c>
      <c r="X1173">
        <f>HYPERLINK("https://klasma.github.io/Logging_0883/tillsyn/A 4778-2025 tillsynsbegäran.docx", "A 4778-2025")</f>
        <v/>
      </c>
      <c r="Y1173">
        <f>HYPERLINK("https://klasma.github.io/Logging_0883/tillsynsmail/A 4778-2025 tillsynsbegäran mail.docx", "A 4778-2025")</f>
        <v/>
      </c>
    </row>
    <row r="1174" ht="15" customHeight="1">
      <c r="A1174" t="inlineStr">
        <is>
          <t>A 4719-2025</t>
        </is>
      </c>
      <c r="B1174" s="1" t="n">
        <v>45688</v>
      </c>
      <c r="C1174" s="1" t="n">
        <v>45715</v>
      </c>
      <c r="D1174" t="inlineStr">
        <is>
          <t>KALMAR LÄN</t>
        </is>
      </c>
      <c r="E1174" t="inlineStr">
        <is>
          <t>VÄSTERVIK</t>
        </is>
      </c>
      <c r="G1174" t="n">
        <v>10.4</v>
      </c>
      <c r="H1174" t="n">
        <v>0</v>
      </c>
      <c r="I1174" t="n">
        <v>1</v>
      </c>
      <c r="J1174" t="n">
        <v>0</v>
      </c>
      <c r="K1174" t="n">
        <v>0</v>
      </c>
      <c r="L1174" t="n">
        <v>0</v>
      </c>
      <c r="M1174" t="n">
        <v>0</v>
      </c>
      <c r="N1174" t="n">
        <v>0</v>
      </c>
      <c r="O1174" t="n">
        <v>0</v>
      </c>
      <c r="P1174" t="n">
        <v>0</v>
      </c>
      <c r="Q1174" t="n">
        <v>1</v>
      </c>
      <c r="R1174" s="2" t="inlineStr">
        <is>
          <t>Dropptaggsvamp</t>
        </is>
      </c>
      <c r="S1174">
        <f>HYPERLINK("https://klasma.github.io/Logging_0883/artfynd/A 4719-2025 artfynd.xlsx", "A 4719-2025")</f>
        <v/>
      </c>
      <c r="T1174">
        <f>HYPERLINK("https://klasma.github.io/Logging_0883/kartor/A 4719-2025 karta.png", "A 4719-2025")</f>
        <v/>
      </c>
      <c r="V1174">
        <f>HYPERLINK("https://klasma.github.io/Logging_0883/klagomål/A 4719-2025 FSC-klagomål.docx", "A 4719-2025")</f>
        <v/>
      </c>
      <c r="W1174">
        <f>HYPERLINK("https://klasma.github.io/Logging_0883/klagomålsmail/A 4719-2025 FSC-klagomål mail.docx", "A 4719-2025")</f>
        <v/>
      </c>
      <c r="X1174">
        <f>HYPERLINK("https://klasma.github.io/Logging_0883/tillsyn/A 4719-2025 tillsynsbegäran.docx", "A 4719-2025")</f>
        <v/>
      </c>
      <c r="Y1174">
        <f>HYPERLINK("https://klasma.github.io/Logging_0883/tillsynsmail/A 4719-2025 tillsynsbegäran mail.docx", "A 4719-2025")</f>
        <v/>
      </c>
    </row>
    <row r="1175" ht="15" customHeight="1">
      <c r="A1175" t="inlineStr">
        <is>
          <t>A 4963-2025</t>
        </is>
      </c>
      <c r="B1175" s="1" t="n">
        <v>45690</v>
      </c>
      <c r="C1175" s="1" t="n">
        <v>45715</v>
      </c>
      <c r="D1175" t="inlineStr">
        <is>
          <t>KALMAR LÄN</t>
        </is>
      </c>
      <c r="E1175" t="inlineStr">
        <is>
          <t>HULTSFRED</t>
        </is>
      </c>
      <c r="F1175" t="inlineStr">
        <is>
          <t>Sveaskog</t>
        </is>
      </c>
      <c r="G1175" t="n">
        <v>5.1</v>
      </c>
      <c r="H1175" t="n">
        <v>1</v>
      </c>
      <c r="I1175" t="n">
        <v>0</v>
      </c>
      <c r="J1175" t="n">
        <v>1</v>
      </c>
      <c r="K1175" t="n">
        <v>0</v>
      </c>
      <c r="L1175" t="n">
        <v>0</v>
      </c>
      <c r="M1175" t="n">
        <v>0</v>
      </c>
      <c r="N1175" t="n">
        <v>0</v>
      </c>
      <c r="O1175" t="n">
        <v>1</v>
      </c>
      <c r="P1175" t="n">
        <v>0</v>
      </c>
      <c r="Q1175" t="n">
        <v>1</v>
      </c>
      <c r="R1175" s="2" t="inlineStr">
        <is>
          <t>Spillkråka</t>
        </is>
      </c>
      <c r="S1175">
        <f>HYPERLINK("https://klasma.github.io/Logging_0860/artfynd/A 4963-2025 artfynd.xlsx", "A 4963-2025")</f>
        <v/>
      </c>
      <c r="T1175">
        <f>HYPERLINK("https://klasma.github.io/Logging_0860/kartor/A 4963-2025 karta.png", "A 4963-2025")</f>
        <v/>
      </c>
      <c r="V1175">
        <f>HYPERLINK("https://klasma.github.io/Logging_0860/klagomål/A 4963-2025 FSC-klagomål.docx", "A 4963-2025")</f>
        <v/>
      </c>
      <c r="W1175">
        <f>HYPERLINK("https://klasma.github.io/Logging_0860/klagomålsmail/A 4963-2025 FSC-klagomål mail.docx", "A 4963-2025")</f>
        <v/>
      </c>
      <c r="X1175">
        <f>HYPERLINK("https://klasma.github.io/Logging_0860/tillsyn/A 4963-2025 tillsynsbegäran.docx", "A 4963-2025")</f>
        <v/>
      </c>
      <c r="Y1175">
        <f>HYPERLINK("https://klasma.github.io/Logging_0860/tillsynsmail/A 4963-2025 tillsynsbegäran mail.docx", "A 4963-2025")</f>
        <v/>
      </c>
      <c r="Z1175">
        <f>HYPERLINK("https://klasma.github.io/Logging_0860/fåglar/A 4963-2025 prioriterade fågelarter.docx", "A 4963-2025")</f>
        <v/>
      </c>
    </row>
    <row r="1176" ht="15" customHeight="1">
      <c r="A1176" t="inlineStr">
        <is>
          <t>A 4964-2025</t>
        </is>
      </c>
      <c r="B1176" s="1" t="n">
        <v>45690</v>
      </c>
      <c r="C1176" s="1" t="n">
        <v>45715</v>
      </c>
      <c r="D1176" t="inlineStr">
        <is>
          <t>KALMAR LÄN</t>
        </is>
      </c>
      <c r="E1176" t="inlineStr">
        <is>
          <t>HULTSFRED</t>
        </is>
      </c>
      <c r="F1176" t="inlineStr">
        <is>
          <t>Sveaskog</t>
        </is>
      </c>
      <c r="G1176" t="n">
        <v>12.2</v>
      </c>
      <c r="H1176" t="n">
        <v>1</v>
      </c>
      <c r="I1176" t="n">
        <v>0</v>
      </c>
      <c r="J1176" t="n">
        <v>1</v>
      </c>
      <c r="K1176" t="n">
        <v>0</v>
      </c>
      <c r="L1176" t="n">
        <v>0</v>
      </c>
      <c r="M1176" t="n">
        <v>0</v>
      </c>
      <c r="N1176" t="n">
        <v>0</v>
      </c>
      <c r="O1176" t="n">
        <v>1</v>
      </c>
      <c r="P1176" t="n">
        <v>0</v>
      </c>
      <c r="Q1176" t="n">
        <v>1</v>
      </c>
      <c r="R1176" s="2" t="inlineStr">
        <is>
          <t>Spillkråka</t>
        </is>
      </c>
      <c r="S1176">
        <f>HYPERLINK("https://klasma.github.io/Logging_0860/artfynd/A 4964-2025 artfynd.xlsx", "A 4964-2025")</f>
        <v/>
      </c>
      <c r="T1176">
        <f>HYPERLINK("https://klasma.github.io/Logging_0860/kartor/A 4964-2025 karta.png", "A 4964-2025")</f>
        <v/>
      </c>
      <c r="V1176">
        <f>HYPERLINK("https://klasma.github.io/Logging_0860/klagomål/A 4964-2025 FSC-klagomål.docx", "A 4964-2025")</f>
        <v/>
      </c>
      <c r="W1176">
        <f>HYPERLINK("https://klasma.github.io/Logging_0860/klagomålsmail/A 4964-2025 FSC-klagomål mail.docx", "A 4964-2025")</f>
        <v/>
      </c>
      <c r="X1176">
        <f>HYPERLINK("https://klasma.github.io/Logging_0860/tillsyn/A 4964-2025 tillsynsbegäran.docx", "A 4964-2025")</f>
        <v/>
      </c>
      <c r="Y1176">
        <f>HYPERLINK("https://klasma.github.io/Logging_0860/tillsynsmail/A 4964-2025 tillsynsbegäran mail.docx", "A 4964-2025")</f>
        <v/>
      </c>
      <c r="Z1176">
        <f>HYPERLINK("https://klasma.github.io/Logging_0860/fåglar/A 4964-2025 prioriterade fågelarter.docx", "A 4964-2025")</f>
        <v/>
      </c>
    </row>
    <row r="1177" ht="15" customHeight="1">
      <c r="A1177" t="inlineStr">
        <is>
          <t>A 5840-2025</t>
        </is>
      </c>
      <c r="B1177" s="1" t="n">
        <v>45695</v>
      </c>
      <c r="C1177" s="1" t="n">
        <v>45715</v>
      </c>
      <c r="D1177" t="inlineStr">
        <is>
          <t>KALMAR LÄN</t>
        </is>
      </c>
      <c r="E1177" t="inlineStr">
        <is>
          <t>VÄSTERVIK</t>
        </is>
      </c>
      <c r="F1177" t="inlineStr">
        <is>
          <t>Holmen skog AB</t>
        </is>
      </c>
      <c r="G1177" t="n">
        <v>2.7</v>
      </c>
      <c r="H1177" t="n">
        <v>0</v>
      </c>
      <c r="I1177" t="n">
        <v>0</v>
      </c>
      <c r="J1177" t="n">
        <v>1</v>
      </c>
      <c r="K1177" t="n">
        <v>0</v>
      </c>
      <c r="L1177" t="n">
        <v>0</v>
      </c>
      <c r="M1177" t="n">
        <v>0</v>
      </c>
      <c r="N1177" t="n">
        <v>0</v>
      </c>
      <c r="O1177" t="n">
        <v>1</v>
      </c>
      <c r="P1177" t="n">
        <v>0</v>
      </c>
      <c r="Q1177" t="n">
        <v>1</v>
      </c>
      <c r="R1177" s="2" t="inlineStr">
        <is>
          <t>Krusfrö</t>
        </is>
      </c>
      <c r="S1177">
        <f>HYPERLINK("https://klasma.github.io/Logging_0883/artfynd/A 5840-2025 artfynd.xlsx", "A 5840-2025")</f>
        <v/>
      </c>
      <c r="T1177">
        <f>HYPERLINK("https://klasma.github.io/Logging_0883/kartor/A 5840-2025 karta.png", "A 5840-2025")</f>
        <v/>
      </c>
      <c r="V1177">
        <f>HYPERLINK("https://klasma.github.io/Logging_0883/klagomål/A 5840-2025 FSC-klagomål.docx", "A 5840-2025")</f>
        <v/>
      </c>
      <c r="W1177">
        <f>HYPERLINK("https://klasma.github.io/Logging_0883/klagomålsmail/A 5840-2025 FSC-klagomål mail.docx", "A 5840-2025")</f>
        <v/>
      </c>
      <c r="X1177">
        <f>HYPERLINK("https://klasma.github.io/Logging_0883/tillsyn/A 5840-2025 tillsynsbegäran.docx", "A 5840-2025")</f>
        <v/>
      </c>
      <c r="Y1177">
        <f>HYPERLINK("https://klasma.github.io/Logging_0883/tillsynsmail/A 5840-2025 tillsynsbegäran mail.docx", "A 5840-2025")</f>
        <v/>
      </c>
    </row>
    <row r="1178" ht="15" customHeight="1">
      <c r="A1178" t="inlineStr">
        <is>
          <t>A 6061-2025</t>
        </is>
      </c>
      <c r="B1178" s="1" t="n">
        <v>45695</v>
      </c>
      <c r="C1178" s="1" t="n">
        <v>45715</v>
      </c>
      <c r="D1178" t="inlineStr">
        <is>
          <t>KALMAR LÄN</t>
        </is>
      </c>
      <c r="E1178" t="inlineStr">
        <is>
          <t>NYBRO</t>
        </is>
      </c>
      <c r="G1178" t="n">
        <v>1.9</v>
      </c>
      <c r="H1178" t="n">
        <v>1</v>
      </c>
      <c r="I1178" t="n">
        <v>1</v>
      </c>
      <c r="J1178" t="n">
        <v>0</v>
      </c>
      <c r="K1178" t="n">
        <v>0</v>
      </c>
      <c r="L1178" t="n">
        <v>0</v>
      </c>
      <c r="M1178" t="n">
        <v>0</v>
      </c>
      <c r="N1178" t="n">
        <v>0</v>
      </c>
      <c r="O1178" t="n">
        <v>0</v>
      </c>
      <c r="P1178" t="n">
        <v>0</v>
      </c>
      <c r="Q1178" t="n">
        <v>1</v>
      </c>
      <c r="R1178" s="2" t="inlineStr">
        <is>
          <t>Purpurknipprot</t>
        </is>
      </c>
      <c r="S1178">
        <f>HYPERLINK("https://klasma.github.io/Logging_0881/artfynd/A 6061-2025 artfynd.xlsx", "A 6061-2025")</f>
        <v/>
      </c>
      <c r="T1178">
        <f>HYPERLINK("https://klasma.github.io/Logging_0881/kartor/A 6061-2025 karta.png", "A 6061-2025")</f>
        <v/>
      </c>
      <c r="V1178">
        <f>HYPERLINK("https://klasma.github.io/Logging_0881/klagomål/A 6061-2025 FSC-klagomål.docx", "A 6061-2025")</f>
        <v/>
      </c>
      <c r="W1178">
        <f>HYPERLINK("https://klasma.github.io/Logging_0881/klagomålsmail/A 6061-2025 FSC-klagomål mail.docx", "A 6061-2025")</f>
        <v/>
      </c>
      <c r="X1178">
        <f>HYPERLINK("https://klasma.github.io/Logging_0881/tillsyn/A 6061-2025 tillsynsbegäran.docx", "A 6061-2025")</f>
        <v/>
      </c>
      <c r="Y1178">
        <f>HYPERLINK("https://klasma.github.io/Logging_0881/tillsynsmail/A 6061-2025 tillsynsbegäran mail.docx", "A 6061-2025")</f>
        <v/>
      </c>
    </row>
    <row r="1179" ht="15" customHeight="1">
      <c r="A1179" t="inlineStr">
        <is>
          <t>A 6449-2025</t>
        </is>
      </c>
      <c r="B1179" s="1" t="n">
        <v>45699</v>
      </c>
      <c r="C1179" s="1" t="n">
        <v>45715</v>
      </c>
      <c r="D1179" t="inlineStr">
        <is>
          <t>KALMAR LÄN</t>
        </is>
      </c>
      <c r="E1179" t="inlineStr">
        <is>
          <t>VIMMERBY</t>
        </is>
      </c>
      <c r="G1179" t="n">
        <v>0.7</v>
      </c>
      <c r="H1179" t="n">
        <v>0</v>
      </c>
      <c r="I1179" t="n">
        <v>0</v>
      </c>
      <c r="J1179" t="n">
        <v>1</v>
      </c>
      <c r="K1179" t="n">
        <v>0</v>
      </c>
      <c r="L1179" t="n">
        <v>0</v>
      </c>
      <c r="M1179" t="n">
        <v>0</v>
      </c>
      <c r="N1179" t="n">
        <v>0</v>
      </c>
      <c r="O1179" t="n">
        <v>1</v>
      </c>
      <c r="P1179" t="n">
        <v>0</v>
      </c>
      <c r="Q1179" t="n">
        <v>1</v>
      </c>
      <c r="R1179" s="2" t="inlineStr">
        <is>
          <t>Skogshare</t>
        </is>
      </c>
      <c r="S1179">
        <f>HYPERLINK("https://klasma.github.io/Logging_0884/artfynd/A 6449-2025 artfynd.xlsx", "A 6449-2025")</f>
        <v/>
      </c>
      <c r="T1179">
        <f>HYPERLINK("https://klasma.github.io/Logging_0884/kartor/A 6449-2025 karta.png", "A 6449-2025")</f>
        <v/>
      </c>
      <c r="V1179">
        <f>HYPERLINK("https://klasma.github.io/Logging_0884/klagomål/A 6449-2025 FSC-klagomål.docx", "A 6449-2025")</f>
        <v/>
      </c>
      <c r="W1179">
        <f>HYPERLINK("https://klasma.github.io/Logging_0884/klagomålsmail/A 6449-2025 FSC-klagomål mail.docx", "A 6449-2025")</f>
        <v/>
      </c>
      <c r="X1179">
        <f>HYPERLINK("https://klasma.github.io/Logging_0884/tillsyn/A 6449-2025 tillsynsbegäran.docx", "A 6449-2025")</f>
        <v/>
      </c>
      <c r="Y1179">
        <f>HYPERLINK("https://klasma.github.io/Logging_0884/tillsynsmail/A 6449-2025 tillsynsbegäran mail.docx", "A 6449-2025")</f>
        <v/>
      </c>
    </row>
    <row r="1180" ht="15" customHeight="1">
      <c r="A1180" t="inlineStr">
        <is>
          <t>A 6605-2025</t>
        </is>
      </c>
      <c r="B1180" s="1" t="n">
        <v>45700</v>
      </c>
      <c r="C1180" s="1" t="n">
        <v>45715</v>
      </c>
      <c r="D1180" t="inlineStr">
        <is>
          <t>KALMAR LÄN</t>
        </is>
      </c>
      <c r="E1180" t="inlineStr">
        <is>
          <t>VÄSTERVIK</t>
        </is>
      </c>
      <c r="G1180" t="n">
        <v>4.5</v>
      </c>
      <c r="H1180" t="n">
        <v>0</v>
      </c>
      <c r="I1180" t="n">
        <v>1</v>
      </c>
      <c r="J1180" t="n">
        <v>0</v>
      </c>
      <c r="K1180" t="n">
        <v>0</v>
      </c>
      <c r="L1180" t="n">
        <v>0</v>
      </c>
      <c r="M1180" t="n">
        <v>0</v>
      </c>
      <c r="N1180" t="n">
        <v>0</v>
      </c>
      <c r="O1180" t="n">
        <v>0</v>
      </c>
      <c r="P1180" t="n">
        <v>0</v>
      </c>
      <c r="Q1180" t="n">
        <v>1</v>
      </c>
      <c r="R1180" s="2" t="inlineStr">
        <is>
          <t>Dropptaggsvamp</t>
        </is>
      </c>
      <c r="S1180">
        <f>HYPERLINK("https://klasma.github.io/Logging_0883/artfynd/A 6605-2025 artfynd.xlsx", "A 6605-2025")</f>
        <v/>
      </c>
      <c r="T1180">
        <f>HYPERLINK("https://klasma.github.io/Logging_0883/kartor/A 6605-2025 karta.png", "A 6605-2025")</f>
        <v/>
      </c>
      <c r="V1180">
        <f>HYPERLINK("https://klasma.github.io/Logging_0883/klagomål/A 6605-2025 FSC-klagomål.docx", "A 6605-2025")</f>
        <v/>
      </c>
      <c r="W1180">
        <f>HYPERLINK("https://klasma.github.io/Logging_0883/klagomålsmail/A 6605-2025 FSC-klagomål mail.docx", "A 6605-2025")</f>
        <v/>
      </c>
      <c r="X1180">
        <f>HYPERLINK("https://klasma.github.io/Logging_0883/tillsyn/A 6605-2025 tillsynsbegäran.docx", "A 6605-2025")</f>
        <v/>
      </c>
      <c r="Y1180">
        <f>HYPERLINK("https://klasma.github.io/Logging_0883/tillsynsmail/A 6605-2025 tillsynsbegäran mail.docx", "A 6605-2025")</f>
        <v/>
      </c>
    </row>
    <row r="1181" ht="15" customHeight="1">
      <c r="A1181" t="inlineStr">
        <is>
          <t>A 6634-2025</t>
        </is>
      </c>
      <c r="B1181" s="1" t="n">
        <v>45700</v>
      </c>
      <c r="C1181" s="1" t="n">
        <v>45715</v>
      </c>
      <c r="D1181" t="inlineStr">
        <is>
          <t>KALMAR LÄN</t>
        </is>
      </c>
      <c r="E1181" t="inlineStr">
        <is>
          <t>VÄSTERVIK</t>
        </is>
      </c>
      <c r="G1181" t="n">
        <v>2.2</v>
      </c>
      <c r="H1181" t="n">
        <v>0</v>
      </c>
      <c r="I1181" t="n">
        <v>1</v>
      </c>
      <c r="J1181" t="n">
        <v>0</v>
      </c>
      <c r="K1181" t="n">
        <v>0</v>
      </c>
      <c r="L1181" t="n">
        <v>0</v>
      </c>
      <c r="M1181" t="n">
        <v>0</v>
      </c>
      <c r="N1181" t="n">
        <v>0</v>
      </c>
      <c r="O1181" t="n">
        <v>0</v>
      </c>
      <c r="P1181" t="n">
        <v>0</v>
      </c>
      <c r="Q1181" t="n">
        <v>1</v>
      </c>
      <c r="R1181" s="2" t="inlineStr">
        <is>
          <t>Ögonpyrola</t>
        </is>
      </c>
      <c r="S1181">
        <f>HYPERLINK("https://klasma.github.io/Logging_0883/artfynd/A 6634-2025 artfynd.xlsx", "A 6634-2025")</f>
        <v/>
      </c>
      <c r="T1181">
        <f>HYPERLINK("https://klasma.github.io/Logging_0883/kartor/A 6634-2025 karta.png", "A 6634-2025")</f>
        <v/>
      </c>
      <c r="V1181">
        <f>HYPERLINK("https://klasma.github.io/Logging_0883/klagomål/A 6634-2025 FSC-klagomål.docx", "A 6634-2025")</f>
        <v/>
      </c>
      <c r="W1181">
        <f>HYPERLINK("https://klasma.github.io/Logging_0883/klagomålsmail/A 6634-2025 FSC-klagomål mail.docx", "A 6634-2025")</f>
        <v/>
      </c>
      <c r="X1181">
        <f>HYPERLINK("https://klasma.github.io/Logging_0883/tillsyn/A 6634-2025 tillsynsbegäran.docx", "A 6634-2025")</f>
        <v/>
      </c>
      <c r="Y1181">
        <f>HYPERLINK("https://klasma.github.io/Logging_0883/tillsynsmail/A 6634-2025 tillsynsbegäran mail.docx", "A 6634-2025")</f>
        <v/>
      </c>
    </row>
    <row r="1182" ht="15" customHeight="1">
      <c r="A1182" t="inlineStr">
        <is>
          <t>A 6931-2025</t>
        </is>
      </c>
      <c r="B1182" s="1" t="n">
        <v>45701</v>
      </c>
      <c r="C1182" s="1" t="n">
        <v>45715</v>
      </c>
      <c r="D1182" t="inlineStr">
        <is>
          <t>KALMAR LÄN</t>
        </is>
      </c>
      <c r="E1182" t="inlineStr">
        <is>
          <t>NYBRO</t>
        </is>
      </c>
      <c r="G1182" t="n">
        <v>2.7</v>
      </c>
      <c r="H1182" t="n">
        <v>0</v>
      </c>
      <c r="I1182" t="n">
        <v>1</v>
      </c>
      <c r="J1182" t="n">
        <v>0</v>
      </c>
      <c r="K1182" t="n">
        <v>0</v>
      </c>
      <c r="L1182" t="n">
        <v>0</v>
      </c>
      <c r="M1182" t="n">
        <v>0</v>
      </c>
      <c r="N1182" t="n">
        <v>0</v>
      </c>
      <c r="O1182" t="n">
        <v>0</v>
      </c>
      <c r="P1182" t="n">
        <v>0</v>
      </c>
      <c r="Q1182" t="n">
        <v>1</v>
      </c>
      <c r="R1182" s="2" t="inlineStr">
        <is>
          <t>Grönpyrola</t>
        </is>
      </c>
      <c r="S1182">
        <f>HYPERLINK("https://klasma.github.io/Logging_0881/artfynd/A 6931-2025 artfynd.xlsx", "A 6931-2025")</f>
        <v/>
      </c>
      <c r="T1182">
        <f>HYPERLINK("https://klasma.github.io/Logging_0881/kartor/A 6931-2025 karta.png", "A 6931-2025")</f>
        <v/>
      </c>
      <c r="V1182">
        <f>HYPERLINK("https://klasma.github.io/Logging_0881/klagomål/A 6931-2025 FSC-klagomål.docx", "A 6931-2025")</f>
        <v/>
      </c>
      <c r="W1182">
        <f>HYPERLINK("https://klasma.github.io/Logging_0881/klagomålsmail/A 6931-2025 FSC-klagomål mail.docx", "A 6931-2025")</f>
        <v/>
      </c>
      <c r="X1182">
        <f>HYPERLINK("https://klasma.github.io/Logging_0881/tillsyn/A 6931-2025 tillsynsbegäran.docx", "A 6931-2025")</f>
        <v/>
      </c>
      <c r="Y1182">
        <f>HYPERLINK("https://klasma.github.io/Logging_0881/tillsynsmail/A 6931-2025 tillsynsbegäran mail.docx", "A 6931-2025")</f>
        <v/>
      </c>
    </row>
    <row r="1183" ht="15" customHeight="1">
      <c r="A1183" t="inlineStr">
        <is>
          <t>A 7201-2025</t>
        </is>
      </c>
      <c r="B1183" s="1" t="n">
        <v>45702</v>
      </c>
      <c r="C1183" s="1" t="n">
        <v>45715</v>
      </c>
      <c r="D1183" t="inlineStr">
        <is>
          <t>KALMAR LÄN</t>
        </is>
      </c>
      <c r="E1183" t="inlineStr">
        <is>
          <t>HULTSFRED</t>
        </is>
      </c>
      <c r="F1183" t="inlineStr">
        <is>
          <t>Sveaskog</t>
        </is>
      </c>
      <c r="G1183" t="n">
        <v>2.9</v>
      </c>
      <c r="H1183" t="n">
        <v>1</v>
      </c>
      <c r="I1183" t="n">
        <v>0</v>
      </c>
      <c r="J1183" t="n">
        <v>0</v>
      </c>
      <c r="K1183" t="n">
        <v>0</v>
      </c>
      <c r="L1183" t="n">
        <v>0</v>
      </c>
      <c r="M1183" t="n">
        <v>0</v>
      </c>
      <c r="N1183" t="n">
        <v>0</v>
      </c>
      <c r="O1183" t="n">
        <v>0</v>
      </c>
      <c r="P1183" t="n">
        <v>0</v>
      </c>
      <c r="Q1183" t="n">
        <v>1</v>
      </c>
      <c r="R1183" s="2" t="inlineStr">
        <is>
          <t>Blåsippa</t>
        </is>
      </c>
      <c r="S1183">
        <f>HYPERLINK("https://klasma.github.io/Logging_0860/artfynd/A 7201-2025 artfynd.xlsx", "A 7201-2025")</f>
        <v/>
      </c>
      <c r="T1183">
        <f>HYPERLINK("https://klasma.github.io/Logging_0860/kartor/A 7201-2025 karta.png", "A 7201-2025")</f>
        <v/>
      </c>
      <c r="V1183">
        <f>HYPERLINK("https://klasma.github.io/Logging_0860/klagomål/A 7201-2025 FSC-klagomål.docx", "A 7201-2025")</f>
        <v/>
      </c>
      <c r="W1183">
        <f>HYPERLINK("https://klasma.github.io/Logging_0860/klagomålsmail/A 7201-2025 FSC-klagomål mail.docx", "A 7201-2025")</f>
        <v/>
      </c>
      <c r="X1183">
        <f>HYPERLINK("https://klasma.github.io/Logging_0860/tillsyn/A 7201-2025 tillsynsbegäran.docx", "A 7201-2025")</f>
        <v/>
      </c>
      <c r="Y1183">
        <f>HYPERLINK("https://klasma.github.io/Logging_0860/tillsynsmail/A 7201-2025 tillsynsbegäran mail.docx", "A 7201-2025")</f>
        <v/>
      </c>
    </row>
    <row r="1184" ht="15" customHeight="1">
      <c r="A1184" t="inlineStr">
        <is>
          <t>A 7371-2025</t>
        </is>
      </c>
      <c r="B1184" s="1" t="n">
        <v>45704</v>
      </c>
      <c r="C1184" s="1" t="n">
        <v>45715</v>
      </c>
      <c r="D1184" t="inlineStr">
        <is>
          <t>KALMAR LÄN</t>
        </is>
      </c>
      <c r="E1184" t="inlineStr">
        <is>
          <t>KALMAR</t>
        </is>
      </c>
      <c r="G1184" t="n">
        <v>4.5</v>
      </c>
      <c r="H1184" t="n">
        <v>0</v>
      </c>
      <c r="I1184" t="n">
        <v>1</v>
      </c>
      <c r="J1184" t="n">
        <v>0</v>
      </c>
      <c r="K1184" t="n">
        <v>0</v>
      </c>
      <c r="L1184" t="n">
        <v>0</v>
      </c>
      <c r="M1184" t="n">
        <v>0</v>
      </c>
      <c r="N1184" t="n">
        <v>0</v>
      </c>
      <c r="O1184" t="n">
        <v>0</v>
      </c>
      <c r="P1184" t="n">
        <v>0</v>
      </c>
      <c r="Q1184" t="n">
        <v>1</v>
      </c>
      <c r="R1184" s="2" t="inlineStr">
        <is>
          <t>Blåmossa</t>
        </is>
      </c>
      <c r="S1184">
        <f>HYPERLINK("https://klasma.github.io/Logging_0880/artfynd/A 7371-2025 artfynd.xlsx", "A 7371-2025")</f>
        <v/>
      </c>
      <c r="T1184">
        <f>HYPERLINK("https://klasma.github.io/Logging_0880/kartor/A 7371-2025 karta.png", "A 7371-2025")</f>
        <v/>
      </c>
      <c r="V1184">
        <f>HYPERLINK("https://klasma.github.io/Logging_0880/klagomål/A 7371-2025 FSC-klagomål.docx", "A 7371-2025")</f>
        <v/>
      </c>
      <c r="W1184">
        <f>HYPERLINK("https://klasma.github.io/Logging_0880/klagomålsmail/A 7371-2025 FSC-klagomål mail.docx", "A 7371-2025")</f>
        <v/>
      </c>
      <c r="X1184">
        <f>HYPERLINK("https://klasma.github.io/Logging_0880/tillsyn/A 7371-2025 tillsynsbegäran.docx", "A 7371-2025")</f>
        <v/>
      </c>
      <c r="Y1184">
        <f>HYPERLINK("https://klasma.github.io/Logging_0880/tillsynsmail/A 7371-2025 tillsynsbegäran mail.docx", "A 7371-2025")</f>
        <v/>
      </c>
    </row>
    <row r="1185" ht="15" customHeight="1">
      <c r="A1185" t="inlineStr">
        <is>
          <t>A 7460-2025</t>
        </is>
      </c>
      <c r="B1185" s="1" t="n">
        <v>45705</v>
      </c>
      <c r="C1185" s="1" t="n">
        <v>45715</v>
      </c>
      <c r="D1185" t="inlineStr">
        <is>
          <t>KALMAR LÄN</t>
        </is>
      </c>
      <c r="E1185" t="inlineStr">
        <is>
          <t>HÖGSBY</t>
        </is>
      </c>
      <c r="G1185" t="n">
        <v>1.9</v>
      </c>
      <c r="H1185" t="n">
        <v>0</v>
      </c>
      <c r="I1185" t="n">
        <v>1</v>
      </c>
      <c r="J1185" t="n">
        <v>0</v>
      </c>
      <c r="K1185" t="n">
        <v>0</v>
      </c>
      <c r="L1185" t="n">
        <v>0</v>
      </c>
      <c r="M1185" t="n">
        <v>0</v>
      </c>
      <c r="N1185" t="n">
        <v>0</v>
      </c>
      <c r="O1185" t="n">
        <v>0</v>
      </c>
      <c r="P1185" t="n">
        <v>0</v>
      </c>
      <c r="Q1185" t="n">
        <v>1</v>
      </c>
      <c r="R1185" s="2" t="inlineStr">
        <is>
          <t>Grovticka</t>
        </is>
      </c>
      <c r="S1185">
        <f>HYPERLINK("https://klasma.github.io/Logging_0821/artfynd/A 7460-2025 artfynd.xlsx", "A 7460-2025")</f>
        <v/>
      </c>
      <c r="T1185">
        <f>HYPERLINK("https://klasma.github.io/Logging_0821/kartor/A 7460-2025 karta.png", "A 7460-2025")</f>
        <v/>
      </c>
      <c r="V1185">
        <f>HYPERLINK("https://klasma.github.io/Logging_0821/klagomål/A 7460-2025 FSC-klagomål.docx", "A 7460-2025")</f>
        <v/>
      </c>
      <c r="W1185">
        <f>HYPERLINK("https://klasma.github.io/Logging_0821/klagomålsmail/A 7460-2025 FSC-klagomål mail.docx", "A 7460-2025")</f>
        <v/>
      </c>
      <c r="X1185">
        <f>HYPERLINK("https://klasma.github.io/Logging_0821/tillsyn/A 7460-2025 tillsynsbegäran.docx", "A 7460-2025")</f>
        <v/>
      </c>
      <c r="Y1185">
        <f>HYPERLINK("https://klasma.github.io/Logging_0821/tillsynsmail/A 7460-2025 tillsynsbegäran mail.docx", "A 7460-2025")</f>
        <v/>
      </c>
    </row>
    <row r="1186" ht="15" customHeight="1">
      <c r="A1186" t="inlineStr">
        <is>
          <t>A 9067-2025</t>
        </is>
      </c>
      <c r="B1186" s="1" t="n">
        <v>45713</v>
      </c>
      <c r="C1186" s="1" t="n">
        <v>45715</v>
      </c>
      <c r="D1186" t="inlineStr">
        <is>
          <t>KALMAR LÄN</t>
        </is>
      </c>
      <c r="E1186" t="inlineStr">
        <is>
          <t>VIMMERBY</t>
        </is>
      </c>
      <c r="G1186" t="n">
        <v>3.9</v>
      </c>
      <c r="H1186" t="n">
        <v>0</v>
      </c>
      <c r="I1186" t="n">
        <v>1</v>
      </c>
      <c r="J1186" t="n">
        <v>0</v>
      </c>
      <c r="K1186" t="n">
        <v>0</v>
      </c>
      <c r="L1186" t="n">
        <v>0</v>
      </c>
      <c r="M1186" t="n">
        <v>0</v>
      </c>
      <c r="N1186" t="n">
        <v>0</v>
      </c>
      <c r="O1186" t="n">
        <v>0</v>
      </c>
      <c r="P1186" t="n">
        <v>0</v>
      </c>
      <c r="Q1186" t="n">
        <v>1</v>
      </c>
      <c r="R1186" s="2" t="inlineStr">
        <is>
          <t>Ögonpyrola</t>
        </is>
      </c>
      <c r="S1186">
        <f>HYPERLINK("https://klasma.github.io/Logging_0884/artfynd/A 9067-2025 artfynd.xlsx", "A 9067-2025")</f>
        <v/>
      </c>
      <c r="T1186">
        <f>HYPERLINK("https://klasma.github.io/Logging_0884/kartor/A 9067-2025 karta.png", "A 9067-2025")</f>
        <v/>
      </c>
      <c r="V1186">
        <f>HYPERLINK("https://klasma.github.io/Logging_0884/klagomål/A 9067-2025 FSC-klagomål.docx", "A 9067-2025")</f>
        <v/>
      </c>
      <c r="W1186">
        <f>HYPERLINK("https://klasma.github.io/Logging_0884/klagomålsmail/A 9067-2025 FSC-klagomål mail.docx", "A 9067-2025")</f>
        <v/>
      </c>
      <c r="X1186">
        <f>HYPERLINK("https://klasma.github.io/Logging_0884/tillsyn/A 9067-2025 tillsynsbegäran.docx", "A 9067-2025")</f>
        <v/>
      </c>
      <c r="Y1186">
        <f>HYPERLINK("https://klasma.github.io/Logging_0884/tillsynsmail/A 9067-2025 tillsynsbegäran mail.docx", "A 9067-2025")</f>
        <v/>
      </c>
    </row>
    <row r="1187" ht="15" customHeight="1">
      <c r="A1187" t="inlineStr">
        <is>
          <t>A 9136-2025</t>
        </is>
      </c>
      <c r="B1187" s="1" t="n">
        <v>45714</v>
      </c>
      <c r="C1187" s="1" t="n">
        <v>45715</v>
      </c>
      <c r="D1187" t="inlineStr">
        <is>
          <t>KALMAR LÄN</t>
        </is>
      </c>
      <c r="E1187" t="inlineStr">
        <is>
          <t>NYBRO</t>
        </is>
      </c>
      <c r="G1187" t="n">
        <v>2.5</v>
      </c>
      <c r="H1187" t="n">
        <v>0</v>
      </c>
      <c r="I1187" t="n">
        <v>1</v>
      </c>
      <c r="J1187" t="n">
        <v>0</v>
      </c>
      <c r="K1187" t="n">
        <v>0</v>
      </c>
      <c r="L1187" t="n">
        <v>0</v>
      </c>
      <c r="M1187" t="n">
        <v>0</v>
      </c>
      <c r="N1187" t="n">
        <v>0</v>
      </c>
      <c r="O1187" t="n">
        <v>0</v>
      </c>
      <c r="P1187" t="n">
        <v>0</v>
      </c>
      <c r="Q1187" t="n">
        <v>1</v>
      </c>
      <c r="R1187" s="2" t="inlineStr">
        <is>
          <t>Blåmossa</t>
        </is>
      </c>
      <c r="S1187">
        <f>HYPERLINK("https://klasma.github.io/Logging_0881/artfynd/A 9136-2025 artfynd.xlsx", "A 9136-2025")</f>
        <v/>
      </c>
      <c r="T1187">
        <f>HYPERLINK("https://klasma.github.io/Logging_0881/kartor/A 9136-2025 karta.png", "A 9136-2025")</f>
        <v/>
      </c>
      <c r="V1187">
        <f>HYPERLINK("https://klasma.github.io/Logging_0881/klagomål/A 9136-2025 FSC-klagomål.docx", "A 9136-2025")</f>
        <v/>
      </c>
      <c r="W1187">
        <f>HYPERLINK("https://klasma.github.io/Logging_0881/klagomålsmail/A 9136-2025 FSC-klagomål mail.docx", "A 9136-2025")</f>
        <v/>
      </c>
      <c r="X1187">
        <f>HYPERLINK("https://klasma.github.io/Logging_0881/tillsyn/A 9136-2025 tillsynsbegäran.docx", "A 9136-2025")</f>
        <v/>
      </c>
      <c r="Y1187">
        <f>HYPERLINK("https://klasma.github.io/Logging_0881/tillsynsmail/A 9136-2025 tillsynsbegäran mail.docx", "A 9136-2025")</f>
        <v/>
      </c>
    </row>
    <row r="1188" ht="15" customHeight="1">
      <c r="A1188" t="inlineStr">
        <is>
          <t>A 9261-2025</t>
        </is>
      </c>
      <c r="B1188" s="1" t="n">
        <v>45714</v>
      </c>
      <c r="C1188" s="1" t="n">
        <v>45715</v>
      </c>
      <c r="D1188" t="inlineStr">
        <is>
          <t>KALMAR LÄN</t>
        </is>
      </c>
      <c r="E1188" t="inlineStr">
        <is>
          <t>VÄSTERVIK</t>
        </is>
      </c>
      <c r="F1188" t="inlineStr">
        <is>
          <t>Sveaskog</t>
        </is>
      </c>
      <c r="G1188" t="n">
        <v>4.9</v>
      </c>
      <c r="H1188" t="n">
        <v>1</v>
      </c>
      <c r="I1188" t="n">
        <v>0</v>
      </c>
      <c r="J1188" t="n">
        <v>1</v>
      </c>
      <c r="K1188" t="n">
        <v>0</v>
      </c>
      <c r="L1188" t="n">
        <v>0</v>
      </c>
      <c r="M1188" t="n">
        <v>0</v>
      </c>
      <c r="N1188" t="n">
        <v>0</v>
      </c>
      <c r="O1188" t="n">
        <v>1</v>
      </c>
      <c r="P1188" t="n">
        <v>0</v>
      </c>
      <c r="Q1188" t="n">
        <v>1</v>
      </c>
      <c r="R1188" s="2" t="inlineStr">
        <is>
          <t>Havsörn</t>
        </is>
      </c>
      <c r="S1188">
        <f>HYPERLINK("https://klasma.github.io/Logging_0883/artfynd/A 9261-2025 artfynd.xlsx", "A 9261-2025")</f>
        <v/>
      </c>
      <c r="T1188">
        <f>HYPERLINK("https://klasma.github.io/Logging_0883/kartor/A 9261-2025 karta.png", "A 9261-2025")</f>
        <v/>
      </c>
      <c r="V1188">
        <f>HYPERLINK("https://klasma.github.io/Logging_0883/klagomål/A 9261-2025 FSC-klagomål.docx", "A 9261-2025")</f>
        <v/>
      </c>
      <c r="W1188">
        <f>HYPERLINK("https://klasma.github.io/Logging_0883/klagomålsmail/A 9261-2025 FSC-klagomål mail.docx", "A 9261-2025")</f>
        <v/>
      </c>
      <c r="X1188">
        <f>HYPERLINK("https://klasma.github.io/Logging_0883/tillsyn/A 9261-2025 tillsynsbegäran.docx", "A 9261-2025")</f>
        <v/>
      </c>
      <c r="Y1188">
        <f>HYPERLINK("https://klasma.github.io/Logging_0883/tillsynsmail/A 9261-2025 tillsynsbegäran mail.docx", "A 9261-2025")</f>
        <v/>
      </c>
      <c r="Z1188">
        <f>HYPERLINK("https://klasma.github.io/Logging_0883/fåglar/A 9261-2025 prioriterade fågelarter.docx", "A 9261-2025")</f>
        <v/>
      </c>
    </row>
    <row r="1189" ht="15" customHeight="1">
      <c r="A1189" t="inlineStr">
        <is>
          <t>A 9265-2025</t>
        </is>
      </c>
      <c r="B1189" s="1" t="n">
        <v>45714</v>
      </c>
      <c r="C1189" s="1" t="n">
        <v>45715</v>
      </c>
      <c r="D1189" t="inlineStr">
        <is>
          <t>KALMAR LÄN</t>
        </is>
      </c>
      <c r="E1189" t="inlineStr">
        <is>
          <t>VÄSTERVIK</t>
        </is>
      </c>
      <c r="F1189" t="inlineStr">
        <is>
          <t>Sveaskog</t>
        </is>
      </c>
      <c r="G1189" t="n">
        <v>2.2</v>
      </c>
      <c r="H1189" t="n">
        <v>1</v>
      </c>
      <c r="I1189" t="n">
        <v>0</v>
      </c>
      <c r="J1189" t="n">
        <v>1</v>
      </c>
      <c r="K1189" t="n">
        <v>0</v>
      </c>
      <c r="L1189" t="n">
        <v>0</v>
      </c>
      <c r="M1189" t="n">
        <v>0</v>
      </c>
      <c r="N1189" t="n">
        <v>0</v>
      </c>
      <c r="O1189" t="n">
        <v>1</v>
      </c>
      <c r="P1189" t="n">
        <v>0</v>
      </c>
      <c r="Q1189" t="n">
        <v>1</v>
      </c>
      <c r="R1189" s="2" t="inlineStr">
        <is>
          <t>Havsörn</t>
        </is>
      </c>
      <c r="S1189">
        <f>HYPERLINK("https://klasma.github.io/Logging_0883/artfynd/A 9265-2025 artfynd.xlsx", "A 9265-2025")</f>
        <v/>
      </c>
      <c r="T1189">
        <f>HYPERLINK("https://klasma.github.io/Logging_0883/kartor/A 9265-2025 karta.png", "A 9265-2025")</f>
        <v/>
      </c>
      <c r="V1189">
        <f>HYPERLINK("https://klasma.github.io/Logging_0883/klagomål/A 9265-2025 FSC-klagomål.docx", "A 9265-2025")</f>
        <v/>
      </c>
      <c r="W1189">
        <f>HYPERLINK("https://klasma.github.io/Logging_0883/klagomålsmail/A 9265-2025 FSC-klagomål mail.docx", "A 9265-2025")</f>
        <v/>
      </c>
      <c r="X1189">
        <f>HYPERLINK("https://klasma.github.io/Logging_0883/tillsyn/A 9265-2025 tillsynsbegäran.docx", "A 9265-2025")</f>
        <v/>
      </c>
      <c r="Y1189">
        <f>HYPERLINK("https://klasma.github.io/Logging_0883/tillsynsmail/A 9265-2025 tillsynsbegäran mail.docx", "A 9265-2025")</f>
        <v/>
      </c>
      <c r="Z1189">
        <f>HYPERLINK("https://klasma.github.io/Logging_0883/fåglar/A 9265-2025 prioriterade fågelarter.docx", "A 9265-2025")</f>
        <v/>
      </c>
    </row>
    <row r="1190" ht="15" customHeight="1">
      <c r="A1190" t="inlineStr">
        <is>
          <t>A 17837-2019</t>
        </is>
      </c>
      <c r="B1190" s="1" t="n">
        <v>43556</v>
      </c>
      <c r="C1190" s="1" t="n">
        <v>45715</v>
      </c>
      <c r="D1190" t="inlineStr">
        <is>
          <t>KALMAR LÄN</t>
        </is>
      </c>
      <c r="E1190" t="inlineStr">
        <is>
          <t>OSKARSHAMN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17715-2019</t>
        </is>
      </c>
      <c r="B1191" s="1" t="n">
        <v>43556</v>
      </c>
      <c r="C1191" s="1" t="n">
        <v>45715</v>
      </c>
      <c r="D1191" t="inlineStr">
        <is>
          <t>KALMAR LÄN</t>
        </is>
      </c>
      <c r="E1191" t="inlineStr">
        <is>
          <t>HULTSFRED</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17794-2019</t>
        </is>
      </c>
      <c r="B1192" s="1" t="n">
        <v>43556</v>
      </c>
      <c r="C1192" s="1" t="n">
        <v>45715</v>
      </c>
      <c r="D1192" t="inlineStr">
        <is>
          <t>KALMAR LÄN</t>
        </is>
      </c>
      <c r="E1192" t="inlineStr">
        <is>
          <t>VÄSTERVIK</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17719-2019</t>
        </is>
      </c>
      <c r="B1193" s="1" t="n">
        <v>43556</v>
      </c>
      <c r="C1193" s="1" t="n">
        <v>45715</v>
      </c>
      <c r="D1193" t="inlineStr">
        <is>
          <t>KALMAR LÄN</t>
        </is>
      </c>
      <c r="E1193" t="inlineStr">
        <is>
          <t>KALMAR</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18259-2019</t>
        </is>
      </c>
      <c r="B1194" s="1" t="n">
        <v>43557</v>
      </c>
      <c r="C1194" s="1" t="n">
        <v>45715</v>
      </c>
      <c r="D1194" t="inlineStr">
        <is>
          <t>KALMAR LÄN</t>
        </is>
      </c>
      <c r="E1194" t="inlineStr">
        <is>
          <t>HULTSFRED</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17945-2019</t>
        </is>
      </c>
      <c r="B1195" s="1" t="n">
        <v>43557</v>
      </c>
      <c r="C1195" s="1" t="n">
        <v>45715</v>
      </c>
      <c r="D1195" t="inlineStr">
        <is>
          <t>KALMAR LÄN</t>
        </is>
      </c>
      <c r="E1195" t="inlineStr">
        <is>
          <t>OSKARSHAMN</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17908-2019</t>
        </is>
      </c>
      <c r="B1196" s="1" t="n">
        <v>43557</v>
      </c>
      <c r="C1196" s="1" t="n">
        <v>45715</v>
      </c>
      <c r="D1196" t="inlineStr">
        <is>
          <t>KALMAR LÄN</t>
        </is>
      </c>
      <c r="E1196" t="inlineStr">
        <is>
          <t>OSKARSHAMN</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18241-2019</t>
        </is>
      </c>
      <c r="B1197" s="1" t="n">
        <v>43558</v>
      </c>
      <c r="C1197" s="1" t="n">
        <v>45715</v>
      </c>
      <c r="D1197" t="inlineStr">
        <is>
          <t>KALMAR LÄN</t>
        </is>
      </c>
      <c r="E1197" t="inlineStr">
        <is>
          <t>OSKARSHAMN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18184-2019</t>
        </is>
      </c>
      <c r="B1198" s="1" t="n">
        <v>43558</v>
      </c>
      <c r="C1198" s="1" t="n">
        <v>45715</v>
      </c>
      <c r="D1198" t="inlineStr">
        <is>
          <t>KALMAR LÄN</t>
        </is>
      </c>
      <c r="E1198" t="inlineStr">
        <is>
          <t>NYBRO</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18236-2019</t>
        </is>
      </c>
      <c r="B1199" s="1" t="n">
        <v>43558</v>
      </c>
      <c r="C1199" s="1" t="n">
        <v>45715</v>
      </c>
      <c r="D1199" t="inlineStr">
        <is>
          <t>KALMAR LÄN</t>
        </is>
      </c>
      <c r="E1199" t="inlineStr">
        <is>
          <t>KALMAR</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18290-2019</t>
        </is>
      </c>
      <c r="B1200" s="1" t="n">
        <v>43558</v>
      </c>
      <c r="C1200" s="1" t="n">
        <v>45715</v>
      </c>
      <c r="D1200" t="inlineStr">
        <is>
          <t>KALMAR LÄN</t>
        </is>
      </c>
      <c r="E1200" t="inlineStr">
        <is>
          <t>EMMABODA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18229-2019</t>
        </is>
      </c>
      <c r="B1201" s="1" t="n">
        <v>43558</v>
      </c>
      <c r="C1201" s="1" t="n">
        <v>45715</v>
      </c>
      <c r="D1201" t="inlineStr">
        <is>
          <t>KALMAR LÄN</t>
        </is>
      </c>
      <c r="E1201" t="inlineStr">
        <is>
          <t>KALMAR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18293-2019</t>
        </is>
      </c>
      <c r="B1202" s="1" t="n">
        <v>43558</v>
      </c>
      <c r="C1202" s="1" t="n">
        <v>45715</v>
      </c>
      <c r="D1202" t="inlineStr">
        <is>
          <t>KALMAR LÄN</t>
        </is>
      </c>
      <c r="E1202" t="inlineStr">
        <is>
          <t>EMMABODA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18251-2019</t>
        </is>
      </c>
      <c r="B1203" s="1" t="n">
        <v>43558</v>
      </c>
      <c r="C1203" s="1" t="n">
        <v>45715</v>
      </c>
      <c r="D1203" t="inlineStr">
        <is>
          <t>KALMAR LÄN</t>
        </is>
      </c>
      <c r="E1203" t="inlineStr">
        <is>
          <t>HULTSFRED</t>
        </is>
      </c>
      <c r="F1203" t="inlineStr">
        <is>
          <t>Övriga Aktiebolag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18417-2019</t>
        </is>
      </c>
      <c r="B1204" s="1" t="n">
        <v>43559</v>
      </c>
      <c r="C1204" s="1" t="n">
        <v>45715</v>
      </c>
      <c r="D1204" t="inlineStr">
        <is>
          <t>KALMAR LÄN</t>
        </is>
      </c>
      <c r="E1204" t="inlineStr">
        <is>
          <t>VÄSTERVIK</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18456-2019</t>
        </is>
      </c>
      <c r="B1205" s="1" t="n">
        <v>43559</v>
      </c>
      <c r="C1205" s="1" t="n">
        <v>45715</v>
      </c>
      <c r="D1205" t="inlineStr">
        <is>
          <t>KALMAR LÄN</t>
        </is>
      </c>
      <c r="E1205" t="inlineStr">
        <is>
          <t>KALMAR</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18455-2019</t>
        </is>
      </c>
      <c r="B1206" s="1" t="n">
        <v>43559</v>
      </c>
      <c r="C1206" s="1" t="n">
        <v>45715</v>
      </c>
      <c r="D1206" t="inlineStr">
        <is>
          <t>KALMAR LÄN</t>
        </is>
      </c>
      <c r="E1206" t="inlineStr">
        <is>
          <t>NYBRO</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18658-2019</t>
        </is>
      </c>
      <c r="B1207" s="1" t="n">
        <v>43559</v>
      </c>
      <c r="C1207" s="1" t="n">
        <v>45715</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18505-2019</t>
        </is>
      </c>
      <c r="B1208" s="1" t="n">
        <v>43559</v>
      </c>
      <c r="C1208" s="1" t="n">
        <v>45715</v>
      </c>
      <c r="D1208" t="inlineStr">
        <is>
          <t>KALMAR LÄN</t>
        </is>
      </c>
      <c r="E1208" t="inlineStr">
        <is>
          <t>EMMABODA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18656-2019</t>
        </is>
      </c>
      <c r="B1209" s="1" t="n">
        <v>43559</v>
      </c>
      <c r="C1209" s="1" t="n">
        <v>45715</v>
      </c>
      <c r="D1209" t="inlineStr">
        <is>
          <t>KALMAR LÄN</t>
        </is>
      </c>
      <c r="E1209" t="inlineStr">
        <is>
          <t>VIMMERBY</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18552-2019</t>
        </is>
      </c>
      <c r="B1210" s="1" t="n">
        <v>43559</v>
      </c>
      <c r="C1210" s="1" t="n">
        <v>45715</v>
      </c>
      <c r="D1210" t="inlineStr">
        <is>
          <t>KALMAR LÄN</t>
        </is>
      </c>
      <c r="E1210" t="inlineStr">
        <is>
          <t>VÄSTERVIK</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18673-2019</t>
        </is>
      </c>
      <c r="B1211" s="1" t="n">
        <v>43559</v>
      </c>
      <c r="C1211" s="1" t="n">
        <v>45715</v>
      </c>
      <c r="D1211" t="inlineStr">
        <is>
          <t>KALMAR LÄN</t>
        </is>
      </c>
      <c r="E1211" t="inlineStr">
        <is>
          <t>EMMABODA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18419-2019</t>
        </is>
      </c>
      <c r="B1212" s="1" t="n">
        <v>43559</v>
      </c>
      <c r="C1212" s="1" t="n">
        <v>45715</v>
      </c>
      <c r="D1212" t="inlineStr">
        <is>
          <t>KALMAR LÄN</t>
        </is>
      </c>
      <c r="E1212" t="inlineStr">
        <is>
          <t>VÄSTERVIK</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18735-2019</t>
        </is>
      </c>
      <c r="B1213" s="1" t="n">
        <v>43560</v>
      </c>
      <c r="C1213" s="1" t="n">
        <v>45715</v>
      </c>
      <c r="D1213" t="inlineStr">
        <is>
          <t>KALMAR LÄN</t>
        </is>
      </c>
      <c r="E1213" t="inlineStr">
        <is>
          <t>EMMABODA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18730-2019</t>
        </is>
      </c>
      <c r="B1214" s="1" t="n">
        <v>43560</v>
      </c>
      <c r="C1214" s="1" t="n">
        <v>45715</v>
      </c>
      <c r="D1214" t="inlineStr">
        <is>
          <t>KALMAR LÄN</t>
        </is>
      </c>
      <c r="E1214" t="inlineStr">
        <is>
          <t>NYBRO</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18768-2019</t>
        </is>
      </c>
      <c r="B1215" s="1" t="n">
        <v>43560</v>
      </c>
      <c r="C1215" s="1" t="n">
        <v>45715</v>
      </c>
      <c r="D1215" t="inlineStr">
        <is>
          <t>KALMAR LÄN</t>
        </is>
      </c>
      <c r="E1215" t="inlineStr">
        <is>
          <t>VÄSTERVIK</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18727-2019</t>
        </is>
      </c>
      <c r="B1216" s="1" t="n">
        <v>43560</v>
      </c>
      <c r="C1216" s="1" t="n">
        <v>45715</v>
      </c>
      <c r="D1216" t="inlineStr">
        <is>
          <t>KALMAR LÄN</t>
        </is>
      </c>
      <c r="E1216" t="inlineStr">
        <is>
          <t>NYBRO</t>
        </is>
      </c>
      <c r="G1216" t="n">
        <v>7</v>
      </c>
      <c r="H1216" t="n">
        <v>0</v>
      </c>
      <c r="I1216" t="n">
        <v>0</v>
      </c>
      <c r="J1216" t="n">
        <v>0</v>
      </c>
      <c r="K1216" t="n">
        <v>0</v>
      </c>
      <c r="L1216" t="n">
        <v>0</v>
      </c>
      <c r="M1216" t="n">
        <v>0</v>
      </c>
      <c r="N1216" t="n">
        <v>0</v>
      </c>
      <c r="O1216" t="n">
        <v>0</v>
      </c>
      <c r="P1216" t="n">
        <v>0</v>
      </c>
      <c r="Q1216" t="n">
        <v>0</v>
      </c>
      <c r="R1216" s="2" t="inlineStr"/>
    </row>
    <row r="1217" ht="15" customHeight="1">
      <c r="A1217" t="inlineStr">
        <is>
          <t>A 18603-2019</t>
        </is>
      </c>
      <c r="B1217" s="1" t="n">
        <v>43560</v>
      </c>
      <c r="C1217" s="1" t="n">
        <v>45715</v>
      </c>
      <c r="D1217" t="inlineStr">
        <is>
          <t>KALMAR LÄN</t>
        </is>
      </c>
      <c r="E1217" t="inlineStr">
        <is>
          <t>NYBRO</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18755-2019</t>
        </is>
      </c>
      <c r="B1218" s="1" t="n">
        <v>43560</v>
      </c>
      <c r="C1218" s="1" t="n">
        <v>45715</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18859-2019</t>
        </is>
      </c>
      <c r="B1219" s="1" t="n">
        <v>43563</v>
      </c>
      <c r="C1219" s="1" t="n">
        <v>45715</v>
      </c>
      <c r="D1219" t="inlineStr">
        <is>
          <t>KALMAR LÄN</t>
        </is>
      </c>
      <c r="E1219" t="inlineStr">
        <is>
          <t>TORSÅS</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18848-2019</t>
        </is>
      </c>
      <c r="B1220" s="1" t="n">
        <v>43563</v>
      </c>
      <c r="C1220" s="1" t="n">
        <v>45715</v>
      </c>
      <c r="D1220" t="inlineStr">
        <is>
          <t>KALMAR LÄN</t>
        </is>
      </c>
      <c r="E1220" t="inlineStr">
        <is>
          <t>TORSÅS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19036-2019</t>
        </is>
      </c>
      <c r="B1221" s="1" t="n">
        <v>43563</v>
      </c>
      <c r="C1221" s="1" t="n">
        <v>45715</v>
      </c>
      <c r="D1221" t="inlineStr">
        <is>
          <t>KALMAR LÄN</t>
        </is>
      </c>
      <c r="E1221" t="inlineStr">
        <is>
          <t>EMMABODA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19057-2019</t>
        </is>
      </c>
      <c r="B1222" s="1" t="n">
        <v>43563</v>
      </c>
      <c r="C1222" s="1" t="n">
        <v>45715</v>
      </c>
      <c r="D1222" t="inlineStr">
        <is>
          <t>KALMAR LÄN</t>
        </is>
      </c>
      <c r="E1222" t="inlineStr">
        <is>
          <t>VIMMERBY</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19056-2019</t>
        </is>
      </c>
      <c r="B1223" s="1" t="n">
        <v>43563</v>
      </c>
      <c r="C1223" s="1" t="n">
        <v>45715</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19054-2019</t>
        </is>
      </c>
      <c r="B1224" s="1" t="n">
        <v>43563</v>
      </c>
      <c r="C1224" s="1" t="n">
        <v>45715</v>
      </c>
      <c r="D1224" t="inlineStr">
        <is>
          <t>KALMAR LÄN</t>
        </is>
      </c>
      <c r="E1224" t="inlineStr">
        <is>
          <t>VIMMERBY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19201-2019</t>
        </is>
      </c>
      <c r="B1225" s="1" t="n">
        <v>43564</v>
      </c>
      <c r="C1225" s="1" t="n">
        <v>45715</v>
      </c>
      <c r="D1225" t="inlineStr">
        <is>
          <t>KALMAR LÄN</t>
        </is>
      </c>
      <c r="E1225" t="inlineStr">
        <is>
          <t>NYBRO</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19080-2019</t>
        </is>
      </c>
      <c r="B1226" s="1" t="n">
        <v>43564</v>
      </c>
      <c r="C1226" s="1" t="n">
        <v>45715</v>
      </c>
      <c r="D1226" t="inlineStr">
        <is>
          <t>KALMAR LÄN</t>
        </is>
      </c>
      <c r="E1226" t="inlineStr">
        <is>
          <t>NYBRO</t>
        </is>
      </c>
      <c r="G1226" t="n">
        <v>19.2</v>
      </c>
      <c r="H1226" t="n">
        <v>0</v>
      </c>
      <c r="I1226" t="n">
        <v>0</v>
      </c>
      <c r="J1226" t="n">
        <v>0</v>
      </c>
      <c r="K1226" t="n">
        <v>0</v>
      </c>
      <c r="L1226" t="n">
        <v>0</v>
      </c>
      <c r="M1226" t="n">
        <v>0</v>
      </c>
      <c r="N1226" t="n">
        <v>0</v>
      </c>
      <c r="O1226" t="n">
        <v>0</v>
      </c>
      <c r="P1226" t="n">
        <v>0</v>
      </c>
      <c r="Q1226" t="n">
        <v>0</v>
      </c>
      <c r="R1226" s="2" t="inlineStr"/>
    </row>
    <row r="1227" ht="15" customHeight="1">
      <c r="A1227" t="inlineStr">
        <is>
          <t>A 19209-2019</t>
        </is>
      </c>
      <c r="B1227" s="1" t="n">
        <v>43564</v>
      </c>
      <c r="C1227" s="1" t="n">
        <v>45715</v>
      </c>
      <c r="D1227" t="inlineStr">
        <is>
          <t>KALMAR LÄN</t>
        </is>
      </c>
      <c r="E1227" t="inlineStr">
        <is>
          <t>NYBRO</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19089-2019</t>
        </is>
      </c>
      <c r="B1228" s="1" t="n">
        <v>43564</v>
      </c>
      <c r="C1228" s="1" t="n">
        <v>45715</v>
      </c>
      <c r="D1228" t="inlineStr">
        <is>
          <t>KALMAR LÄN</t>
        </is>
      </c>
      <c r="E1228" t="inlineStr">
        <is>
          <t>MÖNSTERÅS</t>
        </is>
      </c>
      <c r="F1228" t="inlineStr">
        <is>
          <t>Kommuner</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19087-2019</t>
        </is>
      </c>
      <c r="B1229" s="1" t="n">
        <v>43564</v>
      </c>
      <c r="C1229" s="1" t="n">
        <v>45715</v>
      </c>
      <c r="D1229" t="inlineStr">
        <is>
          <t>KALMAR LÄN</t>
        </is>
      </c>
      <c r="E1229" t="inlineStr">
        <is>
          <t>MÖNSTERÅS</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19141-2019</t>
        </is>
      </c>
      <c r="B1230" s="1" t="n">
        <v>43564</v>
      </c>
      <c r="C1230" s="1" t="n">
        <v>45715</v>
      </c>
      <c r="D1230" t="inlineStr">
        <is>
          <t>KALMAR LÄN</t>
        </is>
      </c>
      <c r="E1230" t="inlineStr">
        <is>
          <t>VÄSTERVIK</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19242-2019</t>
        </is>
      </c>
      <c r="B1231" s="1" t="n">
        <v>43564</v>
      </c>
      <c r="C1231" s="1" t="n">
        <v>45715</v>
      </c>
      <c r="D1231" t="inlineStr">
        <is>
          <t>KALMAR LÄN</t>
        </is>
      </c>
      <c r="E1231" t="inlineStr">
        <is>
          <t>NYBRO</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19205-2019</t>
        </is>
      </c>
      <c r="B1232" s="1" t="n">
        <v>43564</v>
      </c>
      <c r="C1232" s="1" t="n">
        <v>45715</v>
      </c>
      <c r="D1232" t="inlineStr">
        <is>
          <t>KALMAR LÄN</t>
        </is>
      </c>
      <c r="E1232" t="inlineStr">
        <is>
          <t>NYBRO</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19314-2019</t>
        </is>
      </c>
      <c r="B1233" s="1" t="n">
        <v>43565</v>
      </c>
      <c r="C1233" s="1" t="n">
        <v>45715</v>
      </c>
      <c r="D1233" t="inlineStr">
        <is>
          <t>KALMAR LÄN</t>
        </is>
      </c>
      <c r="E1233" t="inlineStr">
        <is>
          <t>HULTSFRED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19387-2019</t>
        </is>
      </c>
      <c r="B1234" s="1" t="n">
        <v>43565</v>
      </c>
      <c r="C1234" s="1" t="n">
        <v>45715</v>
      </c>
      <c r="D1234" t="inlineStr">
        <is>
          <t>KALMAR LÄN</t>
        </is>
      </c>
      <c r="E1234" t="inlineStr">
        <is>
          <t>TORSÅS</t>
        </is>
      </c>
      <c r="G1234" t="n">
        <v>7.9</v>
      </c>
      <c r="H1234" t="n">
        <v>0</v>
      </c>
      <c r="I1234" t="n">
        <v>0</v>
      </c>
      <c r="J1234" t="n">
        <v>0</v>
      </c>
      <c r="K1234" t="n">
        <v>0</v>
      </c>
      <c r="L1234" t="n">
        <v>0</v>
      </c>
      <c r="M1234" t="n">
        <v>0</v>
      </c>
      <c r="N1234" t="n">
        <v>0</v>
      </c>
      <c r="O1234" t="n">
        <v>0</v>
      </c>
      <c r="P1234" t="n">
        <v>0</v>
      </c>
      <c r="Q1234" t="n">
        <v>0</v>
      </c>
      <c r="R1234" s="2" t="inlineStr"/>
    </row>
    <row r="1235" ht="15" customHeight="1">
      <c r="A1235" t="inlineStr">
        <is>
          <t>A 19414-2019</t>
        </is>
      </c>
      <c r="B1235" s="1" t="n">
        <v>43565</v>
      </c>
      <c r="C1235" s="1" t="n">
        <v>45715</v>
      </c>
      <c r="D1235" t="inlineStr">
        <is>
          <t>KALMAR LÄN</t>
        </is>
      </c>
      <c r="E1235" t="inlineStr">
        <is>
          <t>VÄSTERVIK</t>
        </is>
      </c>
      <c r="F1235" t="inlineStr">
        <is>
          <t>Sveaskog</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19678-2019</t>
        </is>
      </c>
      <c r="B1236" s="1" t="n">
        <v>43566</v>
      </c>
      <c r="C1236" s="1" t="n">
        <v>45715</v>
      </c>
      <c r="D1236" t="inlineStr">
        <is>
          <t>KALMAR LÄN</t>
        </is>
      </c>
      <c r="E1236" t="inlineStr">
        <is>
          <t>EMMABODA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19693-2019</t>
        </is>
      </c>
      <c r="B1237" s="1" t="n">
        <v>43566</v>
      </c>
      <c r="C1237" s="1" t="n">
        <v>45715</v>
      </c>
      <c r="D1237" t="inlineStr">
        <is>
          <t>KALMAR LÄN</t>
        </is>
      </c>
      <c r="E1237" t="inlineStr">
        <is>
          <t>TORSÅS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19618-2019</t>
        </is>
      </c>
      <c r="B1238" s="1" t="n">
        <v>43566</v>
      </c>
      <c r="C1238" s="1" t="n">
        <v>45715</v>
      </c>
      <c r="D1238" t="inlineStr">
        <is>
          <t>KALMAR LÄN</t>
        </is>
      </c>
      <c r="E1238" t="inlineStr">
        <is>
          <t>OSKARSHAMN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19616-2019</t>
        </is>
      </c>
      <c r="B1239" s="1" t="n">
        <v>43566</v>
      </c>
      <c r="C1239" s="1" t="n">
        <v>45715</v>
      </c>
      <c r="D1239" t="inlineStr">
        <is>
          <t>KALMAR LÄN</t>
        </is>
      </c>
      <c r="E1239" t="inlineStr">
        <is>
          <t>VIMMERBY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19715-2019</t>
        </is>
      </c>
      <c r="B1240" s="1" t="n">
        <v>43566</v>
      </c>
      <c r="C1240" s="1" t="n">
        <v>45715</v>
      </c>
      <c r="D1240" t="inlineStr">
        <is>
          <t>KALMAR LÄN</t>
        </is>
      </c>
      <c r="E1240" t="inlineStr">
        <is>
          <t>HÖGSBY</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19653-2019</t>
        </is>
      </c>
      <c r="B1241" s="1" t="n">
        <v>43566</v>
      </c>
      <c r="C1241" s="1" t="n">
        <v>45715</v>
      </c>
      <c r="D1241" t="inlineStr">
        <is>
          <t>KALMAR LÄN</t>
        </is>
      </c>
      <c r="E1241" t="inlineStr">
        <is>
          <t>VÄSTERVIK</t>
        </is>
      </c>
      <c r="F1241" t="inlineStr">
        <is>
          <t>Sveaskog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19632-2019</t>
        </is>
      </c>
      <c r="B1242" s="1" t="n">
        <v>43566</v>
      </c>
      <c r="C1242" s="1" t="n">
        <v>45715</v>
      </c>
      <c r="D1242" t="inlineStr">
        <is>
          <t>KALMAR LÄN</t>
        </is>
      </c>
      <c r="E1242" t="inlineStr">
        <is>
          <t>VIMMERBY</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19565-2019</t>
        </is>
      </c>
      <c r="B1243" s="1" t="n">
        <v>43566</v>
      </c>
      <c r="C1243" s="1" t="n">
        <v>45715</v>
      </c>
      <c r="D1243" t="inlineStr">
        <is>
          <t>KALMAR LÄN</t>
        </is>
      </c>
      <c r="E1243" t="inlineStr">
        <is>
          <t>KALMAR</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19744-2019</t>
        </is>
      </c>
      <c r="B1244" s="1" t="n">
        <v>43567</v>
      </c>
      <c r="C1244" s="1" t="n">
        <v>45715</v>
      </c>
      <c r="D1244" t="inlineStr">
        <is>
          <t>KALMAR LÄN</t>
        </is>
      </c>
      <c r="E1244" t="inlineStr">
        <is>
          <t>NYBRO</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19838-2019</t>
        </is>
      </c>
      <c r="B1245" s="1" t="n">
        <v>43567</v>
      </c>
      <c r="C1245" s="1" t="n">
        <v>45715</v>
      </c>
      <c r="D1245" t="inlineStr">
        <is>
          <t>KALMAR LÄN</t>
        </is>
      </c>
      <c r="E1245" t="inlineStr">
        <is>
          <t>NYBRO</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19742-2019</t>
        </is>
      </c>
      <c r="B1246" s="1" t="n">
        <v>43567</v>
      </c>
      <c r="C1246" s="1" t="n">
        <v>45715</v>
      </c>
      <c r="D1246" t="inlineStr">
        <is>
          <t>KALMAR LÄN</t>
        </is>
      </c>
      <c r="E1246" t="inlineStr">
        <is>
          <t>NYBRO</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19743-2019</t>
        </is>
      </c>
      <c r="B1247" s="1" t="n">
        <v>43567</v>
      </c>
      <c r="C1247" s="1" t="n">
        <v>45715</v>
      </c>
      <c r="D1247" t="inlineStr">
        <is>
          <t>KALMAR LÄN</t>
        </is>
      </c>
      <c r="E1247" t="inlineStr">
        <is>
          <t>NYBRO</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19819-2019</t>
        </is>
      </c>
      <c r="B1248" s="1" t="n">
        <v>43567</v>
      </c>
      <c r="C1248" s="1" t="n">
        <v>45715</v>
      </c>
      <c r="D1248" t="inlineStr">
        <is>
          <t>KALMAR LÄN</t>
        </is>
      </c>
      <c r="E1248" t="inlineStr">
        <is>
          <t>VÄSTERVIK</t>
        </is>
      </c>
      <c r="F1248" t="inlineStr">
        <is>
          <t>Sveaskog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20287-2019</t>
        </is>
      </c>
      <c r="B1249" s="1" t="n">
        <v>43567</v>
      </c>
      <c r="C1249" s="1" t="n">
        <v>45715</v>
      </c>
      <c r="D1249" t="inlineStr">
        <is>
          <t>KALMAR LÄN</t>
        </is>
      </c>
      <c r="E1249" t="inlineStr">
        <is>
          <t>NYBRO</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19798-2019</t>
        </is>
      </c>
      <c r="B1250" s="1" t="n">
        <v>43567</v>
      </c>
      <c r="C1250" s="1" t="n">
        <v>45715</v>
      </c>
      <c r="D1250" t="inlineStr">
        <is>
          <t>KALMAR LÄN</t>
        </is>
      </c>
      <c r="E1250" t="inlineStr">
        <is>
          <t>KALMAR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20225-2019</t>
        </is>
      </c>
      <c r="B1251" s="1" t="n">
        <v>43567</v>
      </c>
      <c r="C1251" s="1" t="n">
        <v>45715</v>
      </c>
      <c r="D1251" t="inlineStr">
        <is>
          <t>KALMAR LÄN</t>
        </is>
      </c>
      <c r="E1251" t="inlineStr">
        <is>
          <t>OSKARSHAMN</t>
        </is>
      </c>
      <c r="G1251" t="n">
        <v>11.4</v>
      </c>
      <c r="H1251" t="n">
        <v>0</v>
      </c>
      <c r="I1251" t="n">
        <v>0</v>
      </c>
      <c r="J1251" t="n">
        <v>0</v>
      </c>
      <c r="K1251" t="n">
        <v>0</v>
      </c>
      <c r="L1251" t="n">
        <v>0</v>
      </c>
      <c r="M1251" t="n">
        <v>0</v>
      </c>
      <c r="N1251" t="n">
        <v>0</v>
      </c>
      <c r="O1251" t="n">
        <v>0</v>
      </c>
      <c r="P1251" t="n">
        <v>0</v>
      </c>
      <c r="Q1251" t="n">
        <v>0</v>
      </c>
      <c r="R1251" s="2" t="inlineStr"/>
    </row>
    <row r="1252" ht="15" customHeight="1">
      <c r="A1252" t="inlineStr">
        <is>
          <t>A 19837-2019</t>
        </is>
      </c>
      <c r="B1252" s="1" t="n">
        <v>43567</v>
      </c>
      <c r="C1252" s="1" t="n">
        <v>45715</v>
      </c>
      <c r="D1252" t="inlineStr">
        <is>
          <t>KALMAR LÄN</t>
        </is>
      </c>
      <c r="E1252" t="inlineStr">
        <is>
          <t>NYBRO</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19764-2019</t>
        </is>
      </c>
      <c r="B1253" s="1" t="n">
        <v>43567</v>
      </c>
      <c r="C1253" s="1" t="n">
        <v>45715</v>
      </c>
      <c r="D1253" t="inlineStr">
        <is>
          <t>KALMAR LÄN</t>
        </is>
      </c>
      <c r="E1253" t="inlineStr">
        <is>
          <t>NYBRO</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19899-2019</t>
        </is>
      </c>
      <c r="B1254" s="1" t="n">
        <v>43567</v>
      </c>
      <c r="C1254" s="1" t="n">
        <v>45715</v>
      </c>
      <c r="D1254" t="inlineStr">
        <is>
          <t>KALMAR LÄN</t>
        </is>
      </c>
      <c r="E1254" t="inlineStr">
        <is>
          <t>VIMMERBY</t>
        </is>
      </c>
      <c r="F1254" t="inlineStr">
        <is>
          <t>Övriga Aktiebolag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19825-2019</t>
        </is>
      </c>
      <c r="B1255" s="1" t="n">
        <v>43567</v>
      </c>
      <c r="C1255" s="1" t="n">
        <v>45715</v>
      </c>
      <c r="D1255" t="inlineStr">
        <is>
          <t>KALMAR LÄN</t>
        </is>
      </c>
      <c r="E1255" t="inlineStr">
        <is>
          <t>VÄSTERVIK</t>
        </is>
      </c>
      <c r="F1255" t="inlineStr">
        <is>
          <t>Sveaskog</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19959-2019</t>
        </is>
      </c>
      <c r="B1256" s="1" t="n">
        <v>43569</v>
      </c>
      <c r="C1256" s="1" t="n">
        <v>45715</v>
      </c>
      <c r="D1256" t="inlineStr">
        <is>
          <t>KALMAR LÄN</t>
        </is>
      </c>
      <c r="E1256" t="inlineStr">
        <is>
          <t>EMMABODA</t>
        </is>
      </c>
      <c r="G1256" t="n">
        <v>8.1</v>
      </c>
      <c r="H1256" t="n">
        <v>0</v>
      </c>
      <c r="I1256" t="n">
        <v>0</v>
      </c>
      <c r="J1256" t="n">
        <v>0</v>
      </c>
      <c r="K1256" t="n">
        <v>0</v>
      </c>
      <c r="L1256" t="n">
        <v>0</v>
      </c>
      <c r="M1256" t="n">
        <v>0</v>
      </c>
      <c r="N1256" t="n">
        <v>0</v>
      </c>
      <c r="O1256" t="n">
        <v>0</v>
      </c>
      <c r="P1256" t="n">
        <v>0</v>
      </c>
      <c r="Q1256" t="n">
        <v>0</v>
      </c>
      <c r="R1256" s="2" t="inlineStr"/>
    </row>
    <row r="1257" ht="15" customHeight="1">
      <c r="A1257" t="inlineStr">
        <is>
          <t>A 19960-2019</t>
        </is>
      </c>
      <c r="B1257" s="1" t="n">
        <v>43569</v>
      </c>
      <c r="C1257" s="1" t="n">
        <v>45715</v>
      </c>
      <c r="D1257" t="inlineStr">
        <is>
          <t>KALMAR LÄN</t>
        </is>
      </c>
      <c r="E1257" t="inlineStr">
        <is>
          <t>EMMABODA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20035-2019</t>
        </is>
      </c>
      <c r="B1258" s="1" t="n">
        <v>43570</v>
      </c>
      <c r="C1258" s="1" t="n">
        <v>45715</v>
      </c>
      <c r="D1258" t="inlineStr">
        <is>
          <t>KALMAR LÄN</t>
        </is>
      </c>
      <c r="E1258" t="inlineStr">
        <is>
          <t>VIMMERBY</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19982-2019</t>
        </is>
      </c>
      <c r="B1259" s="1" t="n">
        <v>43570</v>
      </c>
      <c r="C1259" s="1" t="n">
        <v>45715</v>
      </c>
      <c r="D1259" t="inlineStr">
        <is>
          <t>KALMAR LÄN</t>
        </is>
      </c>
      <c r="E1259" t="inlineStr">
        <is>
          <t>EMMABODA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19983-2019</t>
        </is>
      </c>
      <c r="B1260" s="1" t="n">
        <v>43570</v>
      </c>
      <c r="C1260" s="1" t="n">
        <v>45715</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20060-2019</t>
        </is>
      </c>
      <c r="B1261" s="1" t="n">
        <v>43570</v>
      </c>
      <c r="C1261" s="1" t="n">
        <v>45715</v>
      </c>
      <c r="D1261" t="inlineStr">
        <is>
          <t>KALMAR LÄN</t>
        </is>
      </c>
      <c r="E1261" t="inlineStr">
        <is>
          <t>NYBRO</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20080-2019</t>
        </is>
      </c>
      <c r="B1262" s="1" t="n">
        <v>43570</v>
      </c>
      <c r="C1262" s="1" t="n">
        <v>45715</v>
      </c>
      <c r="D1262" t="inlineStr">
        <is>
          <t>KALMAR LÄN</t>
        </is>
      </c>
      <c r="E1262" t="inlineStr">
        <is>
          <t>VIMMERBY</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20259-2019</t>
        </is>
      </c>
      <c r="B1263" s="1" t="n">
        <v>43570</v>
      </c>
      <c r="C1263" s="1" t="n">
        <v>45715</v>
      </c>
      <c r="D1263" t="inlineStr">
        <is>
          <t>KALMAR LÄN</t>
        </is>
      </c>
      <c r="E1263" t="inlineStr">
        <is>
          <t>HULTSFRED</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20085-2019</t>
        </is>
      </c>
      <c r="B1264" s="1" t="n">
        <v>43570</v>
      </c>
      <c r="C1264" s="1" t="n">
        <v>45715</v>
      </c>
      <c r="D1264" t="inlineStr">
        <is>
          <t>KALMAR LÄN</t>
        </is>
      </c>
      <c r="E1264" t="inlineStr">
        <is>
          <t>KALMAR</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20069-2019</t>
        </is>
      </c>
      <c r="B1265" s="1" t="n">
        <v>43570</v>
      </c>
      <c r="C1265" s="1" t="n">
        <v>45715</v>
      </c>
      <c r="D1265" t="inlineStr">
        <is>
          <t>KALMAR LÄN</t>
        </is>
      </c>
      <c r="E1265" t="inlineStr">
        <is>
          <t>VIMMERBY</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20314-2019</t>
        </is>
      </c>
      <c r="B1266" s="1" t="n">
        <v>43571</v>
      </c>
      <c r="C1266" s="1" t="n">
        <v>45715</v>
      </c>
      <c r="D1266" t="inlineStr">
        <is>
          <t>KALMAR LÄN</t>
        </is>
      </c>
      <c r="E1266" t="inlineStr">
        <is>
          <t>VIMMERBY</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20371-2019</t>
        </is>
      </c>
      <c r="B1267" s="1" t="n">
        <v>43571</v>
      </c>
      <c r="C1267" s="1" t="n">
        <v>45715</v>
      </c>
      <c r="D1267" t="inlineStr">
        <is>
          <t>KALMAR LÄN</t>
        </is>
      </c>
      <c r="E1267" t="inlineStr">
        <is>
          <t>VÄSTERVIK</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20223-2019</t>
        </is>
      </c>
      <c r="B1268" s="1" t="n">
        <v>43571</v>
      </c>
      <c r="C1268" s="1" t="n">
        <v>45715</v>
      </c>
      <c r="D1268" t="inlineStr">
        <is>
          <t>KALMAR LÄN</t>
        </is>
      </c>
      <c r="E1268" t="inlineStr">
        <is>
          <t>HULTSFRED</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20312-2019</t>
        </is>
      </c>
      <c r="B1269" s="1" t="n">
        <v>43571</v>
      </c>
      <c r="C1269" s="1" t="n">
        <v>45715</v>
      </c>
      <c r="D1269" t="inlineStr">
        <is>
          <t>KALMAR LÄN</t>
        </is>
      </c>
      <c r="E1269" t="inlineStr">
        <is>
          <t>VIMMERBY</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20415-2019</t>
        </is>
      </c>
      <c r="B1270" s="1" t="n">
        <v>43571</v>
      </c>
      <c r="C1270" s="1" t="n">
        <v>45715</v>
      </c>
      <c r="D1270" t="inlineStr">
        <is>
          <t>KALMAR LÄN</t>
        </is>
      </c>
      <c r="E1270" t="inlineStr">
        <is>
          <t>NYBRO</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20430-2019</t>
        </is>
      </c>
      <c r="B1271" s="1" t="n">
        <v>43571</v>
      </c>
      <c r="C1271" s="1" t="n">
        <v>45715</v>
      </c>
      <c r="D1271" t="inlineStr">
        <is>
          <t>KALMAR LÄN</t>
        </is>
      </c>
      <c r="E1271" t="inlineStr">
        <is>
          <t>MÖNSTERÅS</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20459-2019</t>
        </is>
      </c>
      <c r="B1272" s="1" t="n">
        <v>43571</v>
      </c>
      <c r="C1272" s="1" t="n">
        <v>45715</v>
      </c>
      <c r="D1272" t="inlineStr">
        <is>
          <t>KALMAR LÄN</t>
        </is>
      </c>
      <c r="E1272" t="inlineStr">
        <is>
          <t>NYBRO</t>
        </is>
      </c>
      <c r="G1272" t="n">
        <v>45.1</v>
      </c>
      <c r="H1272" t="n">
        <v>0</v>
      </c>
      <c r="I1272" t="n">
        <v>0</v>
      </c>
      <c r="J1272" t="n">
        <v>0</v>
      </c>
      <c r="K1272" t="n">
        <v>0</v>
      </c>
      <c r="L1272" t="n">
        <v>0</v>
      </c>
      <c r="M1272" t="n">
        <v>0</v>
      </c>
      <c r="N1272" t="n">
        <v>0</v>
      </c>
      <c r="O1272" t="n">
        <v>0</v>
      </c>
      <c r="P1272" t="n">
        <v>0</v>
      </c>
      <c r="Q1272" t="n">
        <v>0</v>
      </c>
      <c r="R1272" s="2" t="inlineStr"/>
    </row>
    <row r="1273" ht="15" customHeight="1">
      <c r="A1273" t="inlineStr">
        <is>
          <t>A 20426-2019</t>
        </is>
      </c>
      <c r="B1273" s="1" t="n">
        <v>43571</v>
      </c>
      <c r="C1273" s="1" t="n">
        <v>45715</v>
      </c>
      <c r="D1273" t="inlineStr">
        <is>
          <t>KALMAR LÄN</t>
        </is>
      </c>
      <c r="E1273" t="inlineStr">
        <is>
          <t>TORSÅS</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20564-2019</t>
        </is>
      </c>
      <c r="B1274" s="1" t="n">
        <v>43572</v>
      </c>
      <c r="C1274" s="1" t="n">
        <v>45715</v>
      </c>
      <c r="D1274" t="inlineStr">
        <is>
          <t>KALMAR LÄN</t>
        </is>
      </c>
      <c r="E1274" t="inlineStr">
        <is>
          <t>HULTSFRED</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20553-2019</t>
        </is>
      </c>
      <c r="B1275" s="1" t="n">
        <v>43572</v>
      </c>
      <c r="C1275" s="1" t="n">
        <v>45715</v>
      </c>
      <c r="D1275" t="inlineStr">
        <is>
          <t>KALMAR LÄN</t>
        </is>
      </c>
      <c r="E1275" t="inlineStr">
        <is>
          <t>HÖGSBY</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20486-2019</t>
        </is>
      </c>
      <c r="B1276" s="1" t="n">
        <v>43572</v>
      </c>
      <c r="C1276" s="1" t="n">
        <v>45715</v>
      </c>
      <c r="D1276" t="inlineStr">
        <is>
          <t>KALMAR LÄN</t>
        </is>
      </c>
      <c r="E1276" t="inlineStr">
        <is>
          <t>HÖGSBY</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20565-2019</t>
        </is>
      </c>
      <c r="B1277" s="1" t="n">
        <v>43572</v>
      </c>
      <c r="C1277" s="1" t="n">
        <v>45715</v>
      </c>
      <c r="D1277" t="inlineStr">
        <is>
          <t>KALMAR LÄN</t>
        </is>
      </c>
      <c r="E1277" t="inlineStr">
        <is>
          <t>VIMMERBY</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20737-2019</t>
        </is>
      </c>
      <c r="B1278" s="1" t="n">
        <v>43573</v>
      </c>
      <c r="C1278" s="1" t="n">
        <v>45715</v>
      </c>
      <c r="D1278" t="inlineStr">
        <is>
          <t>KALMAR LÄN</t>
        </is>
      </c>
      <c r="E1278" t="inlineStr">
        <is>
          <t>NYBRO</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20821-2019</t>
        </is>
      </c>
      <c r="B1279" s="1" t="n">
        <v>43573</v>
      </c>
      <c r="C1279" s="1" t="n">
        <v>45715</v>
      </c>
      <c r="D1279" t="inlineStr">
        <is>
          <t>KALMAR LÄN</t>
        </is>
      </c>
      <c r="E1279" t="inlineStr">
        <is>
          <t>HÖGSBY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20820-2019</t>
        </is>
      </c>
      <c r="B1280" s="1" t="n">
        <v>43574</v>
      </c>
      <c r="C1280" s="1" t="n">
        <v>45715</v>
      </c>
      <c r="D1280" t="inlineStr">
        <is>
          <t>KALMAR LÄN</t>
        </is>
      </c>
      <c r="E1280" t="inlineStr">
        <is>
          <t>HÖGSBY</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20815-2019</t>
        </is>
      </c>
      <c r="B1281" s="1" t="n">
        <v>43574</v>
      </c>
      <c r="C1281" s="1" t="n">
        <v>45715</v>
      </c>
      <c r="D1281" t="inlineStr">
        <is>
          <t>KALMAR LÄN</t>
        </is>
      </c>
      <c r="E1281" t="inlineStr">
        <is>
          <t>HÖGSBY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20835-2019</t>
        </is>
      </c>
      <c r="B1282" s="1" t="n">
        <v>43575</v>
      </c>
      <c r="C1282" s="1" t="n">
        <v>45715</v>
      </c>
      <c r="D1282" t="inlineStr">
        <is>
          <t>KALMAR LÄN</t>
        </is>
      </c>
      <c r="E1282" t="inlineStr">
        <is>
          <t>EMMABODA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21142-2019</t>
        </is>
      </c>
      <c r="B1283" s="1" t="n">
        <v>43577</v>
      </c>
      <c r="C1283" s="1" t="n">
        <v>45715</v>
      </c>
      <c r="D1283" t="inlineStr">
        <is>
          <t>KALMAR LÄN</t>
        </is>
      </c>
      <c r="E1283" t="inlineStr">
        <is>
          <t>TORSÅS</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21137-2019</t>
        </is>
      </c>
      <c r="B1284" s="1" t="n">
        <v>43577</v>
      </c>
      <c r="C1284" s="1" t="n">
        <v>45715</v>
      </c>
      <c r="D1284" t="inlineStr">
        <is>
          <t>KALMAR LÄN</t>
        </is>
      </c>
      <c r="E1284" t="inlineStr">
        <is>
          <t>TORSÅS</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20856-2019</t>
        </is>
      </c>
      <c r="B1285" s="1" t="n">
        <v>43578</v>
      </c>
      <c r="C1285" s="1" t="n">
        <v>45715</v>
      </c>
      <c r="D1285" t="inlineStr">
        <is>
          <t>KALMAR LÄN</t>
        </is>
      </c>
      <c r="E1285" t="inlineStr">
        <is>
          <t>VIMMERBY</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20961-2019</t>
        </is>
      </c>
      <c r="B1286" s="1" t="n">
        <v>43578</v>
      </c>
      <c r="C1286" s="1" t="n">
        <v>45715</v>
      </c>
      <c r="D1286" t="inlineStr">
        <is>
          <t>KALMAR LÄN</t>
        </is>
      </c>
      <c r="E1286" t="inlineStr">
        <is>
          <t>HÖGSBY</t>
        </is>
      </c>
      <c r="G1286" t="n">
        <v>9.1</v>
      </c>
      <c r="H1286" t="n">
        <v>0</v>
      </c>
      <c r="I1286" t="n">
        <v>0</v>
      </c>
      <c r="J1286" t="n">
        <v>0</v>
      </c>
      <c r="K1286" t="n">
        <v>0</v>
      </c>
      <c r="L1286" t="n">
        <v>0</v>
      </c>
      <c r="M1286" t="n">
        <v>0</v>
      </c>
      <c r="N1286" t="n">
        <v>0</v>
      </c>
      <c r="O1286" t="n">
        <v>0</v>
      </c>
      <c r="P1286" t="n">
        <v>0</v>
      </c>
      <c r="Q1286" t="n">
        <v>0</v>
      </c>
      <c r="R1286" s="2" t="inlineStr"/>
    </row>
    <row r="1287" ht="15" customHeight="1">
      <c r="A1287" t="inlineStr">
        <is>
          <t>A 20900-2019</t>
        </is>
      </c>
      <c r="B1287" s="1" t="n">
        <v>43578</v>
      </c>
      <c r="C1287" s="1" t="n">
        <v>45715</v>
      </c>
      <c r="D1287" t="inlineStr">
        <is>
          <t>KALMAR LÄN</t>
        </is>
      </c>
      <c r="E1287" t="inlineStr">
        <is>
          <t>EMMABODA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21008-2019</t>
        </is>
      </c>
      <c r="B1288" s="1" t="n">
        <v>43578</v>
      </c>
      <c r="C1288" s="1" t="n">
        <v>45715</v>
      </c>
      <c r="D1288" t="inlineStr">
        <is>
          <t>KALMAR LÄN</t>
        </is>
      </c>
      <c r="E1288" t="inlineStr">
        <is>
          <t>HULTSFRED</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21240-2019</t>
        </is>
      </c>
      <c r="B1289" s="1" t="n">
        <v>43578</v>
      </c>
      <c r="C1289" s="1" t="n">
        <v>45715</v>
      </c>
      <c r="D1289" t="inlineStr">
        <is>
          <t>KALMAR LÄN</t>
        </is>
      </c>
      <c r="E1289" t="inlineStr">
        <is>
          <t>TORSÅS</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21075-2019</t>
        </is>
      </c>
      <c r="B1290" s="1" t="n">
        <v>43578</v>
      </c>
      <c r="C1290" s="1" t="n">
        <v>45715</v>
      </c>
      <c r="D1290" t="inlineStr">
        <is>
          <t>KALMAR LÄN</t>
        </is>
      </c>
      <c r="E1290" t="inlineStr">
        <is>
          <t>KALMAR</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20912-2019</t>
        </is>
      </c>
      <c r="B1291" s="1" t="n">
        <v>43578</v>
      </c>
      <c r="C1291" s="1" t="n">
        <v>45715</v>
      </c>
      <c r="D1291" t="inlineStr">
        <is>
          <t>KALMAR LÄN</t>
        </is>
      </c>
      <c r="E1291" t="inlineStr">
        <is>
          <t>EMMABODA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21074-2019</t>
        </is>
      </c>
      <c r="B1292" s="1" t="n">
        <v>43578</v>
      </c>
      <c r="C1292" s="1" t="n">
        <v>45715</v>
      </c>
      <c r="D1292" t="inlineStr">
        <is>
          <t>KALMAR LÄN</t>
        </is>
      </c>
      <c r="E1292" t="inlineStr">
        <is>
          <t>KALMAR</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21304-2019</t>
        </is>
      </c>
      <c r="B1293" s="1" t="n">
        <v>43578</v>
      </c>
      <c r="C1293" s="1" t="n">
        <v>45715</v>
      </c>
      <c r="D1293" t="inlineStr">
        <is>
          <t>KALMAR LÄN</t>
        </is>
      </c>
      <c r="E1293" t="inlineStr">
        <is>
          <t>KALMAR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21133-2019</t>
        </is>
      </c>
      <c r="B1294" s="1" t="n">
        <v>43579</v>
      </c>
      <c r="C1294" s="1" t="n">
        <v>45715</v>
      </c>
      <c r="D1294" t="inlineStr">
        <is>
          <t>KALMAR LÄN</t>
        </is>
      </c>
      <c r="E1294" t="inlineStr">
        <is>
          <t>EMMABODA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21203-2019</t>
        </is>
      </c>
      <c r="B1295" s="1" t="n">
        <v>43579</v>
      </c>
      <c r="C1295" s="1" t="n">
        <v>45715</v>
      </c>
      <c r="D1295" t="inlineStr">
        <is>
          <t>KALMAR LÄN</t>
        </is>
      </c>
      <c r="E1295" t="inlineStr">
        <is>
          <t>TORSÅS</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21134-2019</t>
        </is>
      </c>
      <c r="B1296" s="1" t="n">
        <v>43579</v>
      </c>
      <c r="C1296" s="1" t="n">
        <v>45715</v>
      </c>
      <c r="D1296" t="inlineStr">
        <is>
          <t>KALMAR LÄN</t>
        </is>
      </c>
      <c r="E1296" t="inlineStr">
        <is>
          <t>EMMABODA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21138-2019</t>
        </is>
      </c>
      <c r="B1297" s="1" t="n">
        <v>43579</v>
      </c>
      <c r="C1297" s="1" t="n">
        <v>45715</v>
      </c>
      <c r="D1297" t="inlineStr">
        <is>
          <t>KALMAR LÄN</t>
        </is>
      </c>
      <c r="E1297" t="inlineStr">
        <is>
          <t>TORSÅS</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21202-2019</t>
        </is>
      </c>
      <c r="B1298" s="1" t="n">
        <v>43579</v>
      </c>
      <c r="C1298" s="1" t="n">
        <v>45715</v>
      </c>
      <c r="D1298" t="inlineStr">
        <is>
          <t>KALMAR LÄN</t>
        </is>
      </c>
      <c r="E1298" t="inlineStr">
        <is>
          <t>TORSÅS</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21219-2019</t>
        </is>
      </c>
      <c r="B1299" s="1" t="n">
        <v>43579</v>
      </c>
      <c r="C1299" s="1" t="n">
        <v>45715</v>
      </c>
      <c r="D1299" t="inlineStr">
        <is>
          <t>KALMAR LÄN</t>
        </is>
      </c>
      <c r="E1299" t="inlineStr">
        <is>
          <t>HÖGSBY</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21197-2019</t>
        </is>
      </c>
      <c r="B1300" s="1" t="n">
        <v>43579</v>
      </c>
      <c r="C1300" s="1" t="n">
        <v>45715</v>
      </c>
      <c r="D1300" t="inlineStr">
        <is>
          <t>KALMAR LÄN</t>
        </is>
      </c>
      <c r="E1300" t="inlineStr">
        <is>
          <t>EMMABODA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21223-2019</t>
        </is>
      </c>
      <c r="B1301" s="1" t="n">
        <v>43579</v>
      </c>
      <c r="C1301" s="1" t="n">
        <v>45715</v>
      </c>
      <c r="D1301" t="inlineStr">
        <is>
          <t>KALMAR LÄN</t>
        </is>
      </c>
      <c r="E1301" t="inlineStr">
        <is>
          <t>NYBRO</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21294-2019</t>
        </is>
      </c>
      <c r="B1302" s="1" t="n">
        <v>43579</v>
      </c>
      <c r="C1302" s="1" t="n">
        <v>45715</v>
      </c>
      <c r="D1302" t="inlineStr">
        <is>
          <t>KALMAR LÄN</t>
        </is>
      </c>
      <c r="E1302" t="inlineStr">
        <is>
          <t>NYBRO</t>
        </is>
      </c>
      <c r="G1302" t="n">
        <v>22.6</v>
      </c>
      <c r="H1302" t="n">
        <v>0</v>
      </c>
      <c r="I1302" t="n">
        <v>0</v>
      </c>
      <c r="J1302" t="n">
        <v>0</v>
      </c>
      <c r="K1302" t="n">
        <v>0</v>
      </c>
      <c r="L1302" t="n">
        <v>0</v>
      </c>
      <c r="M1302" t="n">
        <v>0</v>
      </c>
      <c r="N1302" t="n">
        <v>0</v>
      </c>
      <c r="O1302" t="n">
        <v>0</v>
      </c>
      <c r="P1302" t="n">
        <v>0</v>
      </c>
      <c r="Q1302" t="n">
        <v>0</v>
      </c>
      <c r="R1302" s="2" t="inlineStr"/>
    </row>
    <row r="1303" ht="15" customHeight="1">
      <c r="A1303" t="inlineStr">
        <is>
          <t>A 21358-2019</t>
        </is>
      </c>
      <c r="B1303" s="1" t="n">
        <v>43579</v>
      </c>
      <c r="C1303" s="1" t="n">
        <v>45715</v>
      </c>
      <c r="D1303" t="inlineStr">
        <is>
          <t>KALMAR LÄN</t>
        </is>
      </c>
      <c r="E1303" t="inlineStr">
        <is>
          <t>NYBRO</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21366-2019</t>
        </is>
      </c>
      <c r="B1304" s="1" t="n">
        <v>43579</v>
      </c>
      <c r="C1304" s="1" t="n">
        <v>45715</v>
      </c>
      <c r="D1304" t="inlineStr">
        <is>
          <t>KALMAR LÄN</t>
        </is>
      </c>
      <c r="E1304" t="inlineStr">
        <is>
          <t>HULTSFRED</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21393-2019</t>
        </is>
      </c>
      <c r="B1305" s="1" t="n">
        <v>43579</v>
      </c>
      <c r="C1305" s="1" t="n">
        <v>45715</v>
      </c>
      <c r="D1305" t="inlineStr">
        <is>
          <t>KALMAR LÄN</t>
        </is>
      </c>
      <c r="E1305" t="inlineStr">
        <is>
          <t>HÖGSBY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21323-2019</t>
        </is>
      </c>
      <c r="B1306" s="1" t="n">
        <v>43579</v>
      </c>
      <c r="C1306" s="1" t="n">
        <v>45715</v>
      </c>
      <c r="D1306" t="inlineStr">
        <is>
          <t>KALMAR LÄN</t>
        </is>
      </c>
      <c r="E1306" t="inlineStr">
        <is>
          <t>OSKARSHAMN</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21311-2019</t>
        </is>
      </c>
      <c r="B1307" s="1" t="n">
        <v>43579</v>
      </c>
      <c r="C1307" s="1" t="n">
        <v>45715</v>
      </c>
      <c r="D1307" t="inlineStr">
        <is>
          <t>KALMAR LÄN</t>
        </is>
      </c>
      <c r="E1307" t="inlineStr">
        <is>
          <t>NYBRO</t>
        </is>
      </c>
      <c r="G1307" t="n">
        <v>14.3</v>
      </c>
      <c r="H1307" t="n">
        <v>0</v>
      </c>
      <c r="I1307" t="n">
        <v>0</v>
      </c>
      <c r="J1307" t="n">
        <v>0</v>
      </c>
      <c r="K1307" t="n">
        <v>0</v>
      </c>
      <c r="L1307" t="n">
        <v>0</v>
      </c>
      <c r="M1307" t="n">
        <v>0</v>
      </c>
      <c r="N1307" t="n">
        <v>0</v>
      </c>
      <c r="O1307" t="n">
        <v>0</v>
      </c>
      <c r="P1307" t="n">
        <v>0</v>
      </c>
      <c r="Q1307" t="n">
        <v>0</v>
      </c>
      <c r="R1307" s="2" t="inlineStr"/>
    </row>
    <row r="1308" ht="15" customHeight="1">
      <c r="A1308" t="inlineStr">
        <is>
          <t>A 21220-2019</t>
        </is>
      </c>
      <c r="B1308" s="1" t="n">
        <v>43579</v>
      </c>
      <c r="C1308" s="1" t="n">
        <v>45715</v>
      </c>
      <c r="D1308" t="inlineStr">
        <is>
          <t>KALMAR LÄN</t>
        </is>
      </c>
      <c r="E1308" t="inlineStr">
        <is>
          <t>NYBRO</t>
        </is>
      </c>
      <c r="G1308" t="n">
        <v>21.6</v>
      </c>
      <c r="H1308" t="n">
        <v>0</v>
      </c>
      <c r="I1308" t="n">
        <v>0</v>
      </c>
      <c r="J1308" t="n">
        <v>0</v>
      </c>
      <c r="K1308" t="n">
        <v>0</v>
      </c>
      <c r="L1308" t="n">
        <v>0</v>
      </c>
      <c r="M1308" t="n">
        <v>0</v>
      </c>
      <c r="N1308" t="n">
        <v>0</v>
      </c>
      <c r="O1308" t="n">
        <v>0</v>
      </c>
      <c r="P1308" t="n">
        <v>0</v>
      </c>
      <c r="Q1308" t="n">
        <v>0</v>
      </c>
      <c r="R1308" s="2" t="inlineStr"/>
    </row>
    <row r="1309" ht="15" customHeight="1">
      <c r="A1309" t="inlineStr">
        <is>
          <t>A 21140-2019</t>
        </is>
      </c>
      <c r="B1309" s="1" t="n">
        <v>43579</v>
      </c>
      <c r="C1309" s="1" t="n">
        <v>45715</v>
      </c>
      <c r="D1309" t="inlineStr">
        <is>
          <t>KALMAR LÄN</t>
        </is>
      </c>
      <c r="E1309" t="inlineStr">
        <is>
          <t>MÖNSTERÅS</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21216-2019</t>
        </is>
      </c>
      <c r="B1310" s="1" t="n">
        <v>43579</v>
      </c>
      <c r="C1310" s="1" t="n">
        <v>45715</v>
      </c>
      <c r="D1310" t="inlineStr">
        <is>
          <t>KALMAR LÄN</t>
        </is>
      </c>
      <c r="E1310" t="inlineStr">
        <is>
          <t>NYBRO</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21187-2019</t>
        </is>
      </c>
      <c r="B1311" s="1" t="n">
        <v>43579</v>
      </c>
      <c r="C1311" s="1" t="n">
        <v>45715</v>
      </c>
      <c r="D1311" t="inlineStr">
        <is>
          <t>KALMAR LÄN</t>
        </is>
      </c>
      <c r="E1311" t="inlineStr">
        <is>
          <t>MÖNSTERÅS</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21439-2019</t>
        </is>
      </c>
      <c r="B1312" s="1" t="n">
        <v>43580</v>
      </c>
      <c r="C1312" s="1" t="n">
        <v>45715</v>
      </c>
      <c r="D1312" t="inlineStr">
        <is>
          <t>KALMAR LÄN</t>
        </is>
      </c>
      <c r="E1312" t="inlineStr">
        <is>
          <t>EMMABODA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21504-2019</t>
        </is>
      </c>
      <c r="B1313" s="1" t="n">
        <v>43580</v>
      </c>
      <c r="C1313" s="1" t="n">
        <v>45715</v>
      </c>
      <c r="D1313" t="inlineStr">
        <is>
          <t>KALMAR LÄN</t>
        </is>
      </c>
      <c r="E1313" t="inlineStr">
        <is>
          <t>HÖGSBY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21557-2019</t>
        </is>
      </c>
      <c r="B1314" s="1" t="n">
        <v>43580</v>
      </c>
      <c r="C1314" s="1" t="n">
        <v>45715</v>
      </c>
      <c r="D1314" t="inlineStr">
        <is>
          <t>KALMAR LÄN</t>
        </is>
      </c>
      <c r="E1314" t="inlineStr">
        <is>
          <t>VIMMERBY</t>
        </is>
      </c>
      <c r="G1314" t="n">
        <v>13.8</v>
      </c>
      <c r="H1314" t="n">
        <v>0</v>
      </c>
      <c r="I1314" t="n">
        <v>0</v>
      </c>
      <c r="J1314" t="n">
        <v>0</v>
      </c>
      <c r="K1314" t="n">
        <v>0</v>
      </c>
      <c r="L1314" t="n">
        <v>0</v>
      </c>
      <c r="M1314" t="n">
        <v>0</v>
      </c>
      <c r="N1314" t="n">
        <v>0</v>
      </c>
      <c r="O1314" t="n">
        <v>0</v>
      </c>
      <c r="P1314" t="n">
        <v>0</v>
      </c>
      <c r="Q1314" t="n">
        <v>0</v>
      </c>
      <c r="R1314" s="2" t="inlineStr"/>
    </row>
    <row r="1315" ht="15" customHeight="1">
      <c r="A1315" t="inlineStr">
        <is>
          <t>A 21500-2019</t>
        </is>
      </c>
      <c r="B1315" s="1" t="n">
        <v>43580</v>
      </c>
      <c r="C1315" s="1" t="n">
        <v>45715</v>
      </c>
      <c r="D1315" t="inlineStr">
        <is>
          <t>KALMAR LÄN</t>
        </is>
      </c>
      <c r="E1315" t="inlineStr">
        <is>
          <t>VIMMERBY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21443-2019</t>
        </is>
      </c>
      <c r="B1316" s="1" t="n">
        <v>43580</v>
      </c>
      <c r="C1316" s="1" t="n">
        <v>45715</v>
      </c>
      <c r="D1316" t="inlineStr">
        <is>
          <t>KALMAR LÄN</t>
        </is>
      </c>
      <c r="E1316" t="inlineStr">
        <is>
          <t>EMMABODA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21688-2019</t>
        </is>
      </c>
      <c r="B1317" s="1" t="n">
        <v>43581</v>
      </c>
      <c r="C1317" s="1" t="n">
        <v>45715</v>
      </c>
      <c r="D1317" t="inlineStr">
        <is>
          <t>KALMAR LÄN</t>
        </is>
      </c>
      <c r="E1317" t="inlineStr">
        <is>
          <t>VIMMERBY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21599-2019</t>
        </is>
      </c>
      <c r="B1318" s="1" t="n">
        <v>43581</v>
      </c>
      <c r="C1318" s="1" t="n">
        <v>45715</v>
      </c>
      <c r="D1318" t="inlineStr">
        <is>
          <t>KALMAR LÄN</t>
        </is>
      </c>
      <c r="E1318" t="inlineStr">
        <is>
          <t>KALMAR</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21783-2019</t>
        </is>
      </c>
      <c r="B1319" s="1" t="n">
        <v>43581</v>
      </c>
      <c r="C1319" s="1" t="n">
        <v>45715</v>
      </c>
      <c r="D1319" t="inlineStr">
        <is>
          <t>KALMAR LÄN</t>
        </is>
      </c>
      <c r="E1319" t="inlineStr">
        <is>
          <t>KALMAR</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21657-2019</t>
        </is>
      </c>
      <c r="B1320" s="1" t="n">
        <v>43581</v>
      </c>
      <c r="C1320" s="1" t="n">
        <v>45715</v>
      </c>
      <c r="D1320" t="inlineStr">
        <is>
          <t>KALMAR LÄN</t>
        </is>
      </c>
      <c r="E1320" t="inlineStr">
        <is>
          <t>EMMABODA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21667-2019</t>
        </is>
      </c>
      <c r="B1321" s="1" t="n">
        <v>43581</v>
      </c>
      <c r="C1321" s="1" t="n">
        <v>45715</v>
      </c>
      <c r="D1321" t="inlineStr">
        <is>
          <t>KALMAR LÄN</t>
        </is>
      </c>
      <c r="E1321" t="inlineStr">
        <is>
          <t>HÖGSBY</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21821-2019</t>
        </is>
      </c>
      <c r="B1322" s="1" t="n">
        <v>43583</v>
      </c>
      <c r="C1322" s="1" t="n">
        <v>45715</v>
      </c>
      <c r="D1322" t="inlineStr">
        <is>
          <t>KALMAR LÄN</t>
        </is>
      </c>
      <c r="E1322" t="inlineStr">
        <is>
          <t>NYBRO</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21822-2019</t>
        </is>
      </c>
      <c r="B1323" s="1" t="n">
        <v>43583</v>
      </c>
      <c r="C1323" s="1" t="n">
        <v>45715</v>
      </c>
      <c r="D1323" t="inlineStr">
        <is>
          <t>KALMAR LÄN</t>
        </is>
      </c>
      <c r="E1323" t="inlineStr">
        <is>
          <t>NYBRO</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21868-2019</t>
        </is>
      </c>
      <c r="B1324" s="1" t="n">
        <v>43584</v>
      </c>
      <c r="C1324" s="1" t="n">
        <v>45715</v>
      </c>
      <c r="D1324" t="inlineStr">
        <is>
          <t>KALMAR LÄN</t>
        </is>
      </c>
      <c r="E1324" t="inlineStr">
        <is>
          <t>HULTSFRED</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21909-2019</t>
        </is>
      </c>
      <c r="B1325" s="1" t="n">
        <v>43584</v>
      </c>
      <c r="C1325" s="1" t="n">
        <v>45715</v>
      </c>
      <c r="D1325" t="inlineStr">
        <is>
          <t>KALMAR LÄN</t>
        </is>
      </c>
      <c r="E1325" t="inlineStr">
        <is>
          <t>MÖNSTERÅS</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22055-2019</t>
        </is>
      </c>
      <c r="B1326" s="1" t="n">
        <v>43584</v>
      </c>
      <c r="C1326" s="1" t="n">
        <v>45715</v>
      </c>
      <c r="D1326" t="inlineStr">
        <is>
          <t>KALMAR LÄN</t>
        </is>
      </c>
      <c r="E1326" t="inlineStr">
        <is>
          <t>HULTSFRED</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22062-2019</t>
        </is>
      </c>
      <c r="B1327" s="1" t="n">
        <v>43584</v>
      </c>
      <c r="C1327" s="1" t="n">
        <v>45715</v>
      </c>
      <c r="D1327" t="inlineStr">
        <is>
          <t>KALMAR LÄN</t>
        </is>
      </c>
      <c r="E1327" t="inlineStr">
        <is>
          <t>HÖGSBY</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21940-2019</t>
        </is>
      </c>
      <c r="B1328" s="1" t="n">
        <v>43584</v>
      </c>
      <c r="C1328" s="1" t="n">
        <v>45715</v>
      </c>
      <c r="D1328" t="inlineStr">
        <is>
          <t>KALMAR LÄN</t>
        </is>
      </c>
      <c r="E1328" t="inlineStr">
        <is>
          <t>HULTSFRED</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22023-2019</t>
        </is>
      </c>
      <c r="B1329" s="1" t="n">
        <v>43584</v>
      </c>
      <c r="C1329" s="1" t="n">
        <v>45715</v>
      </c>
      <c r="D1329" t="inlineStr">
        <is>
          <t>KALMAR LÄN</t>
        </is>
      </c>
      <c r="E1329" t="inlineStr">
        <is>
          <t>HÖGSBY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21926-2019</t>
        </is>
      </c>
      <c r="B1330" s="1" t="n">
        <v>43584</v>
      </c>
      <c r="C1330" s="1" t="n">
        <v>45715</v>
      </c>
      <c r="D1330" t="inlineStr">
        <is>
          <t>KALMAR LÄN</t>
        </is>
      </c>
      <c r="E1330" t="inlineStr">
        <is>
          <t>MÖNSTERÅS</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21912-2019</t>
        </is>
      </c>
      <c r="B1331" s="1" t="n">
        <v>43584</v>
      </c>
      <c r="C1331" s="1" t="n">
        <v>45715</v>
      </c>
      <c r="D1331" t="inlineStr">
        <is>
          <t>KALMAR LÄN</t>
        </is>
      </c>
      <c r="E1331" t="inlineStr">
        <is>
          <t>MÖNSTERÅS</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22047-2019</t>
        </is>
      </c>
      <c r="B1332" s="1" t="n">
        <v>43584</v>
      </c>
      <c r="C1332" s="1" t="n">
        <v>45715</v>
      </c>
      <c r="D1332" t="inlineStr">
        <is>
          <t>KALMAR LÄN</t>
        </is>
      </c>
      <c r="E1332" t="inlineStr">
        <is>
          <t>KALMAR</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21932-2019</t>
        </is>
      </c>
      <c r="B1333" s="1" t="n">
        <v>43584</v>
      </c>
      <c r="C1333" s="1" t="n">
        <v>45715</v>
      </c>
      <c r="D1333" t="inlineStr">
        <is>
          <t>KALMAR LÄN</t>
        </is>
      </c>
      <c r="E1333" t="inlineStr">
        <is>
          <t>HULTSFRED</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21861-2019</t>
        </is>
      </c>
      <c r="B1334" s="1" t="n">
        <v>43584</v>
      </c>
      <c r="C1334" s="1" t="n">
        <v>45715</v>
      </c>
      <c r="D1334" t="inlineStr">
        <is>
          <t>KALMAR LÄN</t>
        </is>
      </c>
      <c r="E1334" t="inlineStr">
        <is>
          <t>HULTSFRED</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22155-2019</t>
        </is>
      </c>
      <c r="B1335" s="1" t="n">
        <v>43585</v>
      </c>
      <c r="C1335" s="1" t="n">
        <v>45715</v>
      </c>
      <c r="D1335" t="inlineStr">
        <is>
          <t>KALMAR LÄN</t>
        </is>
      </c>
      <c r="E1335" t="inlineStr">
        <is>
          <t>KALMAR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22154-2019</t>
        </is>
      </c>
      <c r="B1336" s="1" t="n">
        <v>43585</v>
      </c>
      <c r="C1336" s="1" t="n">
        <v>45715</v>
      </c>
      <c r="D1336" t="inlineStr">
        <is>
          <t>KALMAR LÄN</t>
        </is>
      </c>
      <c r="E1336" t="inlineStr">
        <is>
          <t>HULTSFRED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22356-2019</t>
        </is>
      </c>
      <c r="B1337" s="1" t="n">
        <v>43587</v>
      </c>
      <c r="C1337" s="1" t="n">
        <v>45715</v>
      </c>
      <c r="D1337" t="inlineStr">
        <is>
          <t>KALMAR LÄN</t>
        </is>
      </c>
      <c r="E1337" t="inlineStr">
        <is>
          <t>KALMAR</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22362-2019</t>
        </is>
      </c>
      <c r="B1338" s="1" t="n">
        <v>43587</v>
      </c>
      <c r="C1338" s="1" t="n">
        <v>45715</v>
      </c>
      <c r="D1338" t="inlineStr">
        <is>
          <t>KALMAR LÄN</t>
        </is>
      </c>
      <c r="E1338" t="inlineStr">
        <is>
          <t>NYBRO</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22402-2019</t>
        </is>
      </c>
      <c r="B1339" s="1" t="n">
        <v>43587</v>
      </c>
      <c r="C1339" s="1" t="n">
        <v>45715</v>
      </c>
      <c r="D1339" t="inlineStr">
        <is>
          <t>KALMAR LÄN</t>
        </is>
      </c>
      <c r="E1339" t="inlineStr">
        <is>
          <t>EMMABODA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22492-2019</t>
        </is>
      </c>
      <c r="B1340" s="1" t="n">
        <v>43587</v>
      </c>
      <c r="C1340" s="1" t="n">
        <v>45715</v>
      </c>
      <c r="D1340" t="inlineStr">
        <is>
          <t>KALMAR LÄN</t>
        </is>
      </c>
      <c r="E1340" t="inlineStr">
        <is>
          <t>NYBRO</t>
        </is>
      </c>
      <c r="G1340" t="n">
        <v>10.2</v>
      </c>
      <c r="H1340" t="n">
        <v>0</v>
      </c>
      <c r="I1340" t="n">
        <v>0</v>
      </c>
      <c r="J1340" t="n">
        <v>0</v>
      </c>
      <c r="K1340" t="n">
        <v>0</v>
      </c>
      <c r="L1340" t="n">
        <v>0</v>
      </c>
      <c r="M1340" t="n">
        <v>0</v>
      </c>
      <c r="N1340" t="n">
        <v>0</v>
      </c>
      <c r="O1340" t="n">
        <v>0</v>
      </c>
      <c r="P1340" t="n">
        <v>0</v>
      </c>
      <c r="Q1340" t="n">
        <v>0</v>
      </c>
      <c r="R1340" s="2" t="inlineStr"/>
    </row>
    <row r="1341" ht="15" customHeight="1">
      <c r="A1341" t="inlineStr">
        <is>
          <t>A 22372-2019</t>
        </is>
      </c>
      <c r="B1341" s="1" t="n">
        <v>43587</v>
      </c>
      <c r="C1341" s="1" t="n">
        <v>45715</v>
      </c>
      <c r="D1341" t="inlineStr">
        <is>
          <t>KALMAR LÄN</t>
        </is>
      </c>
      <c r="E1341" t="inlineStr">
        <is>
          <t>VIMMERBY</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22405-2019</t>
        </is>
      </c>
      <c r="B1342" s="1" t="n">
        <v>43587</v>
      </c>
      <c r="C1342" s="1" t="n">
        <v>45715</v>
      </c>
      <c r="D1342" t="inlineStr">
        <is>
          <t>KALMAR LÄN</t>
        </is>
      </c>
      <c r="E1342" t="inlineStr">
        <is>
          <t>OSKARSHAMN</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22485-2019</t>
        </is>
      </c>
      <c r="B1343" s="1" t="n">
        <v>43587</v>
      </c>
      <c r="C1343" s="1" t="n">
        <v>45715</v>
      </c>
      <c r="D1343" t="inlineStr">
        <is>
          <t>KALMAR LÄN</t>
        </is>
      </c>
      <c r="E1343" t="inlineStr">
        <is>
          <t>NYBRO</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22436-2019</t>
        </is>
      </c>
      <c r="B1344" s="1" t="n">
        <v>43587</v>
      </c>
      <c r="C1344" s="1" t="n">
        <v>45715</v>
      </c>
      <c r="D1344" t="inlineStr">
        <is>
          <t>KALMAR LÄN</t>
        </is>
      </c>
      <c r="E1344" t="inlineStr">
        <is>
          <t>NYBRO</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22505-2019</t>
        </is>
      </c>
      <c r="B1345" s="1" t="n">
        <v>43587</v>
      </c>
      <c r="C1345" s="1" t="n">
        <v>45715</v>
      </c>
      <c r="D1345" t="inlineStr">
        <is>
          <t>KALMAR LÄN</t>
        </is>
      </c>
      <c r="E1345" t="inlineStr">
        <is>
          <t>NYBRO</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22614-2019</t>
        </is>
      </c>
      <c r="B1346" s="1" t="n">
        <v>43587</v>
      </c>
      <c r="C1346" s="1" t="n">
        <v>45715</v>
      </c>
      <c r="D1346" t="inlineStr">
        <is>
          <t>KALMAR LÄN</t>
        </is>
      </c>
      <c r="E1346" t="inlineStr">
        <is>
          <t>NYBRO</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22552-2019</t>
        </is>
      </c>
      <c r="B1347" s="1" t="n">
        <v>43587</v>
      </c>
      <c r="C1347" s="1" t="n">
        <v>45715</v>
      </c>
      <c r="D1347" t="inlineStr">
        <is>
          <t>KALMAR LÄN</t>
        </is>
      </c>
      <c r="E1347" t="inlineStr">
        <is>
          <t>NYBRO</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22518-2019</t>
        </is>
      </c>
      <c r="B1348" s="1" t="n">
        <v>43587</v>
      </c>
      <c r="C1348" s="1" t="n">
        <v>45715</v>
      </c>
      <c r="D1348" t="inlineStr">
        <is>
          <t>KALMAR LÄN</t>
        </is>
      </c>
      <c r="E1348" t="inlineStr">
        <is>
          <t>HULTSFRED</t>
        </is>
      </c>
      <c r="F1348" t="inlineStr">
        <is>
          <t>Övriga Aktiebolag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22610-2019</t>
        </is>
      </c>
      <c r="B1349" s="1" t="n">
        <v>43587</v>
      </c>
      <c r="C1349" s="1" t="n">
        <v>45715</v>
      </c>
      <c r="D1349" t="inlineStr">
        <is>
          <t>KALMAR LÄN</t>
        </is>
      </c>
      <c r="E1349" t="inlineStr">
        <is>
          <t>NYBRO</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23178-2019</t>
        </is>
      </c>
      <c r="B1350" s="1" t="n">
        <v>43587</v>
      </c>
      <c r="C1350" s="1" t="n">
        <v>45715</v>
      </c>
      <c r="D1350" t="inlineStr">
        <is>
          <t>KALMAR LÄN</t>
        </is>
      </c>
      <c r="E1350" t="inlineStr">
        <is>
          <t>HULTSFRED</t>
        </is>
      </c>
      <c r="F1350" t="inlineStr">
        <is>
          <t>Övriga Aktiebolag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22548-2019</t>
        </is>
      </c>
      <c r="B1351" s="1" t="n">
        <v>43587</v>
      </c>
      <c r="C1351" s="1" t="n">
        <v>45715</v>
      </c>
      <c r="D1351" t="inlineStr">
        <is>
          <t>KALMAR LÄN</t>
        </is>
      </c>
      <c r="E1351" t="inlineStr">
        <is>
          <t>NYBRO</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22618-2019</t>
        </is>
      </c>
      <c r="B1352" s="1" t="n">
        <v>43587</v>
      </c>
      <c r="C1352" s="1" t="n">
        <v>45715</v>
      </c>
      <c r="D1352" t="inlineStr">
        <is>
          <t>KALMAR LÄN</t>
        </is>
      </c>
      <c r="E1352" t="inlineStr">
        <is>
          <t>NYBRO</t>
        </is>
      </c>
      <c r="G1352" t="n">
        <v>39.8</v>
      </c>
      <c r="H1352" t="n">
        <v>0</v>
      </c>
      <c r="I1352" t="n">
        <v>0</v>
      </c>
      <c r="J1352" t="n">
        <v>0</v>
      </c>
      <c r="K1352" t="n">
        <v>0</v>
      </c>
      <c r="L1352" t="n">
        <v>0</v>
      </c>
      <c r="M1352" t="n">
        <v>0</v>
      </c>
      <c r="N1352" t="n">
        <v>0</v>
      </c>
      <c r="O1352" t="n">
        <v>0</v>
      </c>
      <c r="P1352" t="n">
        <v>0</v>
      </c>
      <c r="Q1352" t="n">
        <v>0</v>
      </c>
      <c r="R1352" s="2" t="inlineStr"/>
    </row>
    <row r="1353" ht="15" customHeight="1">
      <c r="A1353" t="inlineStr">
        <is>
          <t>A 22509-2019</t>
        </is>
      </c>
      <c r="B1353" s="1" t="n">
        <v>43587</v>
      </c>
      <c r="C1353" s="1" t="n">
        <v>45715</v>
      </c>
      <c r="D1353" t="inlineStr">
        <is>
          <t>KALMAR LÄN</t>
        </is>
      </c>
      <c r="E1353" t="inlineStr">
        <is>
          <t>NYBRO</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22437-2019</t>
        </is>
      </c>
      <c r="B1354" s="1" t="n">
        <v>43587</v>
      </c>
      <c r="C1354" s="1" t="n">
        <v>45715</v>
      </c>
      <c r="D1354" t="inlineStr">
        <is>
          <t>KALMAR LÄN</t>
        </is>
      </c>
      <c r="E1354" t="inlineStr">
        <is>
          <t>NYBRO</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22378-2019</t>
        </is>
      </c>
      <c r="B1355" s="1" t="n">
        <v>43587</v>
      </c>
      <c r="C1355" s="1" t="n">
        <v>45715</v>
      </c>
      <c r="D1355" t="inlineStr">
        <is>
          <t>KALMAR LÄN</t>
        </is>
      </c>
      <c r="E1355" t="inlineStr">
        <is>
          <t>NYBRO</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22361-2019</t>
        </is>
      </c>
      <c r="B1356" s="1" t="n">
        <v>43587</v>
      </c>
      <c r="C1356" s="1" t="n">
        <v>45715</v>
      </c>
      <c r="D1356" t="inlineStr">
        <is>
          <t>KALMAR LÄN</t>
        </is>
      </c>
      <c r="E1356" t="inlineStr">
        <is>
          <t>NYBRO</t>
        </is>
      </c>
      <c r="G1356" t="n">
        <v>8.800000000000001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22355-2019</t>
        </is>
      </c>
      <c r="B1357" s="1" t="n">
        <v>43587</v>
      </c>
      <c r="C1357" s="1" t="n">
        <v>45715</v>
      </c>
      <c r="D1357" t="inlineStr">
        <is>
          <t>KALMAR LÄN</t>
        </is>
      </c>
      <c r="E1357" t="inlineStr">
        <is>
          <t>NYBRO</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22545-2019</t>
        </is>
      </c>
      <c r="B1358" s="1" t="n">
        <v>43587</v>
      </c>
      <c r="C1358" s="1" t="n">
        <v>45715</v>
      </c>
      <c r="D1358" t="inlineStr">
        <is>
          <t>KALMAR LÄN</t>
        </is>
      </c>
      <c r="E1358" t="inlineStr">
        <is>
          <t>NYBRO</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22572-2019</t>
        </is>
      </c>
      <c r="B1359" s="1" t="n">
        <v>43587</v>
      </c>
      <c r="C1359" s="1" t="n">
        <v>45715</v>
      </c>
      <c r="D1359" t="inlineStr">
        <is>
          <t>KALMAR LÄN</t>
        </is>
      </c>
      <c r="E1359" t="inlineStr">
        <is>
          <t>HÖGSBY</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22659-2019</t>
        </is>
      </c>
      <c r="B1360" s="1" t="n">
        <v>43588</v>
      </c>
      <c r="C1360" s="1" t="n">
        <v>45715</v>
      </c>
      <c r="D1360" t="inlineStr">
        <is>
          <t>KALMAR LÄN</t>
        </is>
      </c>
      <c r="E1360" t="inlineStr">
        <is>
          <t>VIMMERBY</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22798-2019</t>
        </is>
      </c>
      <c r="B1361" s="1" t="n">
        <v>43589</v>
      </c>
      <c r="C1361" s="1" t="n">
        <v>45715</v>
      </c>
      <c r="D1361" t="inlineStr">
        <is>
          <t>KALMAR LÄN</t>
        </is>
      </c>
      <c r="E1361" t="inlineStr">
        <is>
          <t>EMMABODA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22867-2019</t>
        </is>
      </c>
      <c r="B1362" s="1" t="n">
        <v>43591</v>
      </c>
      <c r="C1362" s="1" t="n">
        <v>45715</v>
      </c>
      <c r="D1362" t="inlineStr">
        <is>
          <t>KALMAR LÄN</t>
        </is>
      </c>
      <c r="E1362" t="inlineStr">
        <is>
          <t>NYBRO</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22955-2019</t>
        </is>
      </c>
      <c r="B1363" s="1" t="n">
        <v>43591</v>
      </c>
      <c r="C1363" s="1" t="n">
        <v>45715</v>
      </c>
      <c r="D1363" t="inlineStr">
        <is>
          <t>KALMAR LÄN</t>
        </is>
      </c>
      <c r="E1363" t="inlineStr">
        <is>
          <t>KALMAR</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22906-2019</t>
        </is>
      </c>
      <c r="B1364" s="1" t="n">
        <v>43591</v>
      </c>
      <c r="C1364" s="1" t="n">
        <v>45715</v>
      </c>
      <c r="D1364" t="inlineStr">
        <is>
          <t>KALMAR LÄN</t>
        </is>
      </c>
      <c r="E1364" t="inlineStr">
        <is>
          <t>NYBRO</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22959-2019</t>
        </is>
      </c>
      <c r="B1365" s="1" t="n">
        <v>43591</v>
      </c>
      <c r="C1365" s="1" t="n">
        <v>45715</v>
      </c>
      <c r="D1365" t="inlineStr">
        <is>
          <t>KALMAR LÄN</t>
        </is>
      </c>
      <c r="E1365" t="inlineStr">
        <is>
          <t>KALMAR</t>
        </is>
      </c>
      <c r="G1365" t="n">
        <v>14.5</v>
      </c>
      <c r="H1365" t="n">
        <v>0</v>
      </c>
      <c r="I1365" t="n">
        <v>0</v>
      </c>
      <c r="J1365" t="n">
        <v>0</v>
      </c>
      <c r="K1365" t="n">
        <v>0</v>
      </c>
      <c r="L1365" t="n">
        <v>0</v>
      </c>
      <c r="M1365" t="n">
        <v>0</v>
      </c>
      <c r="N1365" t="n">
        <v>0</v>
      </c>
      <c r="O1365" t="n">
        <v>0</v>
      </c>
      <c r="P1365" t="n">
        <v>0</v>
      </c>
      <c r="Q1365" t="n">
        <v>0</v>
      </c>
      <c r="R1365" s="2" t="inlineStr"/>
      <c r="U1365">
        <f>HYPERLINK("https://klasma.github.io/Logging_0880/knärot/A 22959-2019 karta knärot.png", "A 22959-2019")</f>
        <v/>
      </c>
      <c r="V1365">
        <f>HYPERLINK("https://klasma.github.io/Logging_0880/klagomål/A 22959-2019 FSC-klagomål.docx", "A 22959-2019")</f>
        <v/>
      </c>
      <c r="W1365">
        <f>HYPERLINK("https://klasma.github.io/Logging_0880/klagomålsmail/A 22959-2019 FSC-klagomål mail.docx", "A 22959-2019")</f>
        <v/>
      </c>
      <c r="X1365">
        <f>HYPERLINK("https://klasma.github.io/Logging_0880/tillsyn/A 22959-2019 tillsynsbegäran.docx", "A 22959-2019")</f>
        <v/>
      </c>
      <c r="Y1365">
        <f>HYPERLINK("https://klasma.github.io/Logging_0880/tillsynsmail/A 22959-2019 tillsynsbegäran mail.docx", "A 22959-2019")</f>
        <v/>
      </c>
    </row>
    <row r="1366" ht="15" customHeight="1">
      <c r="A1366" t="inlineStr">
        <is>
          <t>A 22882-2019</t>
        </is>
      </c>
      <c r="B1366" s="1" t="n">
        <v>43591</v>
      </c>
      <c r="C1366" s="1" t="n">
        <v>45715</v>
      </c>
      <c r="D1366" t="inlineStr">
        <is>
          <t>KALMAR LÄN</t>
        </is>
      </c>
      <c r="E1366" t="inlineStr">
        <is>
          <t>EMMABODA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22932-2019</t>
        </is>
      </c>
      <c r="B1367" s="1" t="n">
        <v>43591</v>
      </c>
      <c r="C1367" s="1" t="n">
        <v>45715</v>
      </c>
      <c r="D1367" t="inlineStr">
        <is>
          <t>KALMAR LÄN</t>
        </is>
      </c>
      <c r="E1367" t="inlineStr">
        <is>
          <t>NYBRO</t>
        </is>
      </c>
      <c r="F1367" t="inlineStr">
        <is>
          <t>Kommuner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23000-2019</t>
        </is>
      </c>
      <c r="B1368" s="1" t="n">
        <v>43591</v>
      </c>
      <c r="C1368" s="1" t="n">
        <v>45715</v>
      </c>
      <c r="D1368" t="inlineStr">
        <is>
          <t>KALMAR LÄN</t>
        </is>
      </c>
      <c r="E1368" t="inlineStr">
        <is>
          <t>NYBRO</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22994-2019</t>
        </is>
      </c>
      <c r="B1369" s="1" t="n">
        <v>43591</v>
      </c>
      <c r="C1369" s="1" t="n">
        <v>45715</v>
      </c>
      <c r="D1369" t="inlineStr">
        <is>
          <t>KALMAR LÄN</t>
        </is>
      </c>
      <c r="E1369" t="inlineStr">
        <is>
          <t>NYBRO</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22998-2019</t>
        </is>
      </c>
      <c r="B1370" s="1" t="n">
        <v>43591</v>
      </c>
      <c r="C1370" s="1" t="n">
        <v>45715</v>
      </c>
      <c r="D1370" t="inlineStr">
        <is>
          <t>KALMAR LÄN</t>
        </is>
      </c>
      <c r="E1370" t="inlineStr">
        <is>
          <t>NYBRO</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23036-2019</t>
        </is>
      </c>
      <c r="B1371" s="1" t="n">
        <v>43591</v>
      </c>
      <c r="C1371" s="1" t="n">
        <v>45715</v>
      </c>
      <c r="D1371" t="inlineStr">
        <is>
          <t>KALMAR LÄN</t>
        </is>
      </c>
      <c r="E1371" t="inlineStr">
        <is>
          <t>BORGHOLM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22957-2019</t>
        </is>
      </c>
      <c r="B1372" s="1" t="n">
        <v>43591</v>
      </c>
      <c r="C1372" s="1" t="n">
        <v>45715</v>
      </c>
      <c r="D1372" t="inlineStr">
        <is>
          <t>KALMAR LÄN</t>
        </is>
      </c>
      <c r="E1372" t="inlineStr">
        <is>
          <t>KALMAR</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23191-2019</t>
        </is>
      </c>
      <c r="B1373" s="1" t="n">
        <v>43592</v>
      </c>
      <c r="C1373" s="1" t="n">
        <v>45715</v>
      </c>
      <c r="D1373" t="inlineStr">
        <is>
          <t>KALMAR LÄN</t>
        </is>
      </c>
      <c r="E1373" t="inlineStr">
        <is>
          <t>BORGHOLM</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23166-2019</t>
        </is>
      </c>
      <c r="B1374" s="1" t="n">
        <v>43592</v>
      </c>
      <c r="C1374" s="1" t="n">
        <v>45715</v>
      </c>
      <c r="D1374" t="inlineStr">
        <is>
          <t>KALMAR LÄN</t>
        </is>
      </c>
      <c r="E1374" t="inlineStr">
        <is>
          <t>KALMAR</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23498-2019</t>
        </is>
      </c>
      <c r="B1375" s="1" t="n">
        <v>43593</v>
      </c>
      <c r="C1375" s="1" t="n">
        <v>45715</v>
      </c>
      <c r="D1375" t="inlineStr">
        <is>
          <t>KALMAR LÄN</t>
        </is>
      </c>
      <c r="E1375" t="inlineStr">
        <is>
          <t>VIMMERBY</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23421-2019</t>
        </is>
      </c>
      <c r="B1376" s="1" t="n">
        <v>43593</v>
      </c>
      <c r="C1376" s="1" t="n">
        <v>45715</v>
      </c>
      <c r="D1376" t="inlineStr">
        <is>
          <t>KALMAR LÄN</t>
        </is>
      </c>
      <c r="E1376" t="inlineStr">
        <is>
          <t>HULTSFRED</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23635-2019</t>
        </is>
      </c>
      <c r="B1377" s="1" t="n">
        <v>43594</v>
      </c>
      <c r="C1377" s="1" t="n">
        <v>45715</v>
      </c>
      <c r="D1377" t="inlineStr">
        <is>
          <t>KALMAR LÄN</t>
        </is>
      </c>
      <c r="E1377" t="inlineStr">
        <is>
          <t>NYBRO</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23633-2019</t>
        </is>
      </c>
      <c r="B1378" s="1" t="n">
        <v>43594</v>
      </c>
      <c r="C1378" s="1" t="n">
        <v>45715</v>
      </c>
      <c r="D1378" t="inlineStr">
        <is>
          <t>KALMAR LÄN</t>
        </is>
      </c>
      <c r="E1378" t="inlineStr">
        <is>
          <t>NYBRO</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23831-2019</t>
        </is>
      </c>
      <c r="B1379" s="1" t="n">
        <v>43595</v>
      </c>
      <c r="C1379" s="1" t="n">
        <v>45715</v>
      </c>
      <c r="D1379" t="inlineStr">
        <is>
          <t>KALMAR LÄN</t>
        </is>
      </c>
      <c r="E1379" t="inlineStr">
        <is>
          <t>OSKARSHAMN</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23773-2019</t>
        </is>
      </c>
      <c r="B1380" s="1" t="n">
        <v>43595</v>
      </c>
      <c r="C1380" s="1" t="n">
        <v>45715</v>
      </c>
      <c r="D1380" t="inlineStr">
        <is>
          <t>KALMAR LÄN</t>
        </is>
      </c>
      <c r="E1380" t="inlineStr">
        <is>
          <t>OSKARSHAMN</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23819-2019</t>
        </is>
      </c>
      <c r="B1381" s="1" t="n">
        <v>43595</v>
      </c>
      <c r="C1381" s="1" t="n">
        <v>45715</v>
      </c>
      <c r="D1381" t="inlineStr">
        <is>
          <t>KALMAR LÄN</t>
        </is>
      </c>
      <c r="E1381" t="inlineStr">
        <is>
          <t>OSKARSHAMN</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23841-2019</t>
        </is>
      </c>
      <c r="B1382" s="1" t="n">
        <v>43595</v>
      </c>
      <c r="C1382" s="1" t="n">
        <v>45715</v>
      </c>
      <c r="D1382" t="inlineStr">
        <is>
          <t>KALMAR LÄN</t>
        </is>
      </c>
      <c r="E1382" t="inlineStr">
        <is>
          <t>HULTSFRED</t>
        </is>
      </c>
      <c r="F1382" t="inlineStr">
        <is>
          <t>Sveaskog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23768-2019</t>
        </is>
      </c>
      <c r="B1383" s="1" t="n">
        <v>43595</v>
      </c>
      <c r="C1383" s="1" t="n">
        <v>45715</v>
      </c>
      <c r="D1383" t="inlineStr">
        <is>
          <t>KALMAR LÄN</t>
        </is>
      </c>
      <c r="E1383" t="inlineStr">
        <is>
          <t>OSKARSHAMN</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24085-2019</t>
        </is>
      </c>
      <c r="B1384" s="1" t="n">
        <v>43598</v>
      </c>
      <c r="C1384" s="1" t="n">
        <v>45715</v>
      </c>
      <c r="D1384" t="inlineStr">
        <is>
          <t>KALMAR LÄN</t>
        </is>
      </c>
      <c r="E1384" t="inlineStr">
        <is>
          <t>HÖGSBY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24133-2019</t>
        </is>
      </c>
      <c r="B1385" s="1" t="n">
        <v>43598</v>
      </c>
      <c r="C1385" s="1" t="n">
        <v>45715</v>
      </c>
      <c r="D1385" t="inlineStr">
        <is>
          <t>KALMAR LÄN</t>
        </is>
      </c>
      <c r="E1385" t="inlineStr">
        <is>
          <t>VÄSTERVIK</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24054-2019</t>
        </is>
      </c>
      <c r="B1386" s="1" t="n">
        <v>43598</v>
      </c>
      <c r="C1386" s="1" t="n">
        <v>45715</v>
      </c>
      <c r="D1386" t="inlineStr">
        <is>
          <t>KALMAR LÄN</t>
        </is>
      </c>
      <c r="E1386" t="inlineStr">
        <is>
          <t>MÖNSTERÅS</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24407-2019</t>
        </is>
      </c>
      <c r="B1387" s="1" t="n">
        <v>43598</v>
      </c>
      <c r="C1387" s="1" t="n">
        <v>45715</v>
      </c>
      <c r="D1387" t="inlineStr">
        <is>
          <t>KALMAR LÄN</t>
        </is>
      </c>
      <c r="E1387" t="inlineStr">
        <is>
          <t>NYBRO</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24120-2019</t>
        </is>
      </c>
      <c r="B1388" s="1" t="n">
        <v>43598</v>
      </c>
      <c r="C1388" s="1" t="n">
        <v>45715</v>
      </c>
      <c r="D1388" t="inlineStr">
        <is>
          <t>KALMAR LÄN</t>
        </is>
      </c>
      <c r="E1388" t="inlineStr">
        <is>
          <t>TORSÅS</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24100-2019</t>
        </is>
      </c>
      <c r="B1389" s="1" t="n">
        <v>43598</v>
      </c>
      <c r="C1389" s="1" t="n">
        <v>45715</v>
      </c>
      <c r="D1389" t="inlineStr">
        <is>
          <t>KALMAR LÄN</t>
        </is>
      </c>
      <c r="E1389" t="inlineStr">
        <is>
          <t>TORSÅS</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24277-2019</t>
        </is>
      </c>
      <c r="B1390" s="1" t="n">
        <v>43599</v>
      </c>
      <c r="C1390" s="1" t="n">
        <v>45715</v>
      </c>
      <c r="D1390" t="inlineStr">
        <is>
          <t>KALMAR LÄN</t>
        </is>
      </c>
      <c r="E1390" t="inlineStr">
        <is>
          <t>HÖGSBY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24274-2019</t>
        </is>
      </c>
      <c r="B1391" s="1" t="n">
        <v>43599</v>
      </c>
      <c r="C1391" s="1" t="n">
        <v>45715</v>
      </c>
      <c r="D1391" t="inlineStr">
        <is>
          <t>KALMAR LÄN</t>
        </is>
      </c>
      <c r="E1391" t="inlineStr">
        <is>
          <t>HÖGSBY</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24254-2019</t>
        </is>
      </c>
      <c r="B1392" s="1" t="n">
        <v>43599</v>
      </c>
      <c r="C1392" s="1" t="n">
        <v>45715</v>
      </c>
      <c r="D1392" t="inlineStr">
        <is>
          <t>KALMAR LÄN</t>
        </is>
      </c>
      <c r="E1392" t="inlineStr">
        <is>
          <t>VIMMERBY</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24276-2019</t>
        </is>
      </c>
      <c r="B1393" s="1" t="n">
        <v>43599</v>
      </c>
      <c r="C1393" s="1" t="n">
        <v>45715</v>
      </c>
      <c r="D1393" t="inlineStr">
        <is>
          <t>KALMAR LÄN</t>
        </is>
      </c>
      <c r="E1393" t="inlineStr">
        <is>
          <t>HÖGSBY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24265-2019</t>
        </is>
      </c>
      <c r="B1394" s="1" t="n">
        <v>43599</v>
      </c>
      <c r="C1394" s="1" t="n">
        <v>45715</v>
      </c>
      <c r="D1394" t="inlineStr">
        <is>
          <t>KALMAR LÄN</t>
        </is>
      </c>
      <c r="E1394" t="inlineStr">
        <is>
          <t>HÖGSBY</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24356-2019</t>
        </is>
      </c>
      <c r="B1395" s="1" t="n">
        <v>43599</v>
      </c>
      <c r="C1395" s="1" t="n">
        <v>45715</v>
      </c>
      <c r="D1395" t="inlineStr">
        <is>
          <t>KALMAR LÄN</t>
        </is>
      </c>
      <c r="E1395" t="inlineStr">
        <is>
          <t>VÄSTERVIK</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24358-2019</t>
        </is>
      </c>
      <c r="B1396" s="1" t="n">
        <v>43599</v>
      </c>
      <c r="C1396" s="1" t="n">
        <v>45715</v>
      </c>
      <c r="D1396" t="inlineStr">
        <is>
          <t>KALMAR LÄN</t>
        </is>
      </c>
      <c r="E1396" t="inlineStr">
        <is>
          <t>VÄSTERVIK</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24316-2019</t>
        </is>
      </c>
      <c r="B1397" s="1" t="n">
        <v>43599</v>
      </c>
      <c r="C1397" s="1" t="n">
        <v>45715</v>
      </c>
      <c r="D1397" t="inlineStr">
        <is>
          <t>KALMAR LÄN</t>
        </is>
      </c>
      <c r="E1397" t="inlineStr">
        <is>
          <t>VÄSTERVIK</t>
        </is>
      </c>
      <c r="G1397" t="n">
        <v>14.9</v>
      </c>
      <c r="H1397" t="n">
        <v>0</v>
      </c>
      <c r="I1397" t="n">
        <v>0</v>
      </c>
      <c r="J1397" t="n">
        <v>0</v>
      </c>
      <c r="K1397" t="n">
        <v>0</v>
      </c>
      <c r="L1397" t="n">
        <v>0</v>
      </c>
      <c r="M1397" t="n">
        <v>0</v>
      </c>
      <c r="N1397" t="n">
        <v>0</v>
      </c>
      <c r="O1397" t="n">
        <v>0</v>
      </c>
      <c r="P1397" t="n">
        <v>0</v>
      </c>
      <c r="Q1397" t="n">
        <v>0</v>
      </c>
      <c r="R1397" s="2" t="inlineStr"/>
    </row>
    <row r="1398" ht="15" customHeight="1">
      <c r="A1398" t="inlineStr">
        <is>
          <t>A 24318-2019</t>
        </is>
      </c>
      <c r="B1398" s="1" t="n">
        <v>43599</v>
      </c>
      <c r="C1398" s="1" t="n">
        <v>45715</v>
      </c>
      <c r="D1398" t="inlineStr">
        <is>
          <t>KALMAR LÄN</t>
        </is>
      </c>
      <c r="E1398" t="inlineStr">
        <is>
          <t>VÄSTERVIK</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24354-2019</t>
        </is>
      </c>
      <c r="B1399" s="1" t="n">
        <v>43599</v>
      </c>
      <c r="C1399" s="1" t="n">
        <v>45715</v>
      </c>
      <c r="D1399" t="inlineStr">
        <is>
          <t>KALMAR LÄN</t>
        </is>
      </c>
      <c r="E1399" t="inlineStr">
        <is>
          <t>VÄSTERVIK</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24273-2019</t>
        </is>
      </c>
      <c r="B1400" s="1" t="n">
        <v>43599</v>
      </c>
      <c r="C1400" s="1" t="n">
        <v>45715</v>
      </c>
      <c r="D1400" t="inlineStr">
        <is>
          <t>KALMAR LÄN</t>
        </is>
      </c>
      <c r="E1400" t="inlineStr">
        <is>
          <t>HÖGSBY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24496-2019</t>
        </is>
      </c>
      <c r="B1401" s="1" t="n">
        <v>43600</v>
      </c>
      <c r="C1401" s="1" t="n">
        <v>45715</v>
      </c>
      <c r="D1401" t="inlineStr">
        <is>
          <t>KALMAR LÄN</t>
        </is>
      </c>
      <c r="E1401" t="inlineStr">
        <is>
          <t>TORSÅS</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24538-2019</t>
        </is>
      </c>
      <c r="B1402" s="1" t="n">
        <v>43600</v>
      </c>
      <c r="C1402" s="1" t="n">
        <v>45715</v>
      </c>
      <c r="D1402" t="inlineStr">
        <is>
          <t>KALMAR LÄN</t>
        </is>
      </c>
      <c r="E1402" t="inlineStr">
        <is>
          <t>EMMABODA</t>
        </is>
      </c>
      <c r="G1402" t="n">
        <v>8.699999999999999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24550-2019</t>
        </is>
      </c>
      <c r="B1403" s="1" t="n">
        <v>43600</v>
      </c>
      <c r="C1403" s="1" t="n">
        <v>45715</v>
      </c>
      <c r="D1403" t="inlineStr">
        <is>
          <t>KALMAR LÄN</t>
        </is>
      </c>
      <c r="E1403" t="inlineStr">
        <is>
          <t>VÄSTERVIK</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24531-2019</t>
        </is>
      </c>
      <c r="B1404" s="1" t="n">
        <v>43600</v>
      </c>
      <c r="C1404" s="1" t="n">
        <v>45715</v>
      </c>
      <c r="D1404" t="inlineStr">
        <is>
          <t>KALMAR LÄN</t>
        </is>
      </c>
      <c r="E1404" t="inlineStr">
        <is>
          <t>EMMABODA</t>
        </is>
      </c>
      <c r="G1404" t="n">
        <v>7.8</v>
      </c>
      <c r="H1404" t="n">
        <v>0</v>
      </c>
      <c r="I1404" t="n">
        <v>0</v>
      </c>
      <c r="J1404" t="n">
        <v>0</v>
      </c>
      <c r="K1404" t="n">
        <v>0</v>
      </c>
      <c r="L1404" t="n">
        <v>0</v>
      </c>
      <c r="M1404" t="n">
        <v>0</v>
      </c>
      <c r="N1404" t="n">
        <v>0</v>
      </c>
      <c r="O1404" t="n">
        <v>0</v>
      </c>
      <c r="P1404" t="n">
        <v>0</v>
      </c>
      <c r="Q1404" t="n">
        <v>0</v>
      </c>
      <c r="R1404" s="2" t="inlineStr"/>
    </row>
    <row r="1405" ht="15" customHeight="1">
      <c r="A1405" t="inlineStr">
        <is>
          <t>A 24514-2019</t>
        </is>
      </c>
      <c r="B1405" s="1" t="n">
        <v>43600</v>
      </c>
      <c r="C1405" s="1" t="n">
        <v>45715</v>
      </c>
      <c r="D1405" t="inlineStr">
        <is>
          <t>KALMAR LÄN</t>
        </is>
      </c>
      <c r="E1405" t="inlineStr">
        <is>
          <t>NYBRO</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24540-2019</t>
        </is>
      </c>
      <c r="B1406" s="1" t="n">
        <v>43600</v>
      </c>
      <c r="C1406" s="1" t="n">
        <v>45715</v>
      </c>
      <c r="D1406" t="inlineStr">
        <is>
          <t>KALMAR LÄN</t>
        </is>
      </c>
      <c r="E1406" t="inlineStr">
        <is>
          <t>EMMABODA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24520-2019</t>
        </is>
      </c>
      <c r="B1407" s="1" t="n">
        <v>43600</v>
      </c>
      <c r="C1407" s="1" t="n">
        <v>45715</v>
      </c>
      <c r="D1407" t="inlineStr">
        <is>
          <t>KALMAR LÄN</t>
        </is>
      </c>
      <c r="E1407" t="inlineStr">
        <is>
          <t>NYBRO</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24982-2019</t>
        </is>
      </c>
      <c r="B1408" s="1" t="n">
        <v>43600</v>
      </c>
      <c r="C1408" s="1" t="n">
        <v>45715</v>
      </c>
      <c r="D1408" t="inlineStr">
        <is>
          <t>KALMAR LÄN</t>
        </is>
      </c>
      <c r="E1408" t="inlineStr">
        <is>
          <t>KALMAR</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24536-2019</t>
        </is>
      </c>
      <c r="B1409" s="1" t="n">
        <v>43600</v>
      </c>
      <c r="C1409" s="1" t="n">
        <v>45715</v>
      </c>
      <c r="D1409" t="inlineStr">
        <is>
          <t>KALMAR LÄN</t>
        </is>
      </c>
      <c r="E1409" t="inlineStr">
        <is>
          <t>EMMABODA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24683-2019</t>
        </is>
      </c>
      <c r="B1410" s="1" t="n">
        <v>43601</v>
      </c>
      <c r="C1410" s="1" t="n">
        <v>45715</v>
      </c>
      <c r="D1410" t="inlineStr">
        <is>
          <t>KALMAR LÄN</t>
        </is>
      </c>
      <c r="E1410" t="inlineStr">
        <is>
          <t>VÄSTERVIK</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24656-2019</t>
        </is>
      </c>
      <c r="B1411" s="1" t="n">
        <v>43601</v>
      </c>
      <c r="C1411" s="1" t="n">
        <v>45715</v>
      </c>
      <c r="D1411" t="inlineStr">
        <is>
          <t>KALMAR LÄN</t>
        </is>
      </c>
      <c r="E1411" t="inlineStr">
        <is>
          <t>NYBRO</t>
        </is>
      </c>
      <c r="G1411" t="n">
        <v>14.2</v>
      </c>
      <c r="H1411" t="n">
        <v>0</v>
      </c>
      <c r="I1411" t="n">
        <v>0</v>
      </c>
      <c r="J1411" t="n">
        <v>0</v>
      </c>
      <c r="K1411" t="n">
        <v>0</v>
      </c>
      <c r="L1411" t="n">
        <v>0</v>
      </c>
      <c r="M1411" t="n">
        <v>0</v>
      </c>
      <c r="N1411" t="n">
        <v>0</v>
      </c>
      <c r="O1411" t="n">
        <v>0</v>
      </c>
      <c r="P1411" t="n">
        <v>0</v>
      </c>
      <c r="Q1411" t="n">
        <v>0</v>
      </c>
      <c r="R1411" s="2" t="inlineStr"/>
    </row>
    <row r="1412" ht="15" customHeight="1">
      <c r="A1412" t="inlineStr">
        <is>
          <t>A 24605-2019</t>
        </is>
      </c>
      <c r="B1412" s="1" t="n">
        <v>43601</v>
      </c>
      <c r="C1412" s="1" t="n">
        <v>45715</v>
      </c>
      <c r="D1412" t="inlineStr">
        <is>
          <t>KALMAR LÄN</t>
        </is>
      </c>
      <c r="E1412" t="inlineStr">
        <is>
          <t>NYBRO</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24659-2019</t>
        </is>
      </c>
      <c r="B1413" s="1" t="n">
        <v>43601</v>
      </c>
      <c r="C1413" s="1" t="n">
        <v>45715</v>
      </c>
      <c r="D1413" t="inlineStr">
        <is>
          <t>KALMAR LÄN</t>
        </is>
      </c>
      <c r="E1413" t="inlineStr">
        <is>
          <t>NYBRO</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24822-2019</t>
        </is>
      </c>
      <c r="B1414" s="1" t="n">
        <v>43602</v>
      </c>
      <c r="C1414" s="1" t="n">
        <v>45715</v>
      </c>
      <c r="D1414" t="inlineStr">
        <is>
          <t>KALMAR LÄN</t>
        </is>
      </c>
      <c r="E1414" t="inlineStr">
        <is>
          <t>MÖNSTERÅS</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24851-2019</t>
        </is>
      </c>
      <c r="B1415" s="1" t="n">
        <v>43602</v>
      </c>
      <c r="C1415" s="1" t="n">
        <v>45715</v>
      </c>
      <c r="D1415" t="inlineStr">
        <is>
          <t>KALMAR LÄN</t>
        </is>
      </c>
      <c r="E1415" t="inlineStr">
        <is>
          <t>MÖRBYLÅNGA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24937-2019</t>
        </is>
      </c>
      <c r="B1416" s="1" t="n">
        <v>43602</v>
      </c>
      <c r="C1416" s="1" t="n">
        <v>45715</v>
      </c>
      <c r="D1416" t="inlineStr">
        <is>
          <t>KALMAR LÄN</t>
        </is>
      </c>
      <c r="E1416" t="inlineStr">
        <is>
          <t>VIMMERBY</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24950-2019</t>
        </is>
      </c>
      <c r="B1417" s="1" t="n">
        <v>43602</v>
      </c>
      <c r="C1417" s="1" t="n">
        <v>45715</v>
      </c>
      <c r="D1417" t="inlineStr">
        <is>
          <t>KALMAR LÄN</t>
        </is>
      </c>
      <c r="E1417" t="inlineStr">
        <is>
          <t>MÖNSTERÅS</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24944-2019</t>
        </is>
      </c>
      <c r="B1418" s="1" t="n">
        <v>43602</v>
      </c>
      <c r="C1418" s="1" t="n">
        <v>45715</v>
      </c>
      <c r="D1418" t="inlineStr">
        <is>
          <t>KALMAR LÄN</t>
        </is>
      </c>
      <c r="E1418" t="inlineStr">
        <is>
          <t>VÄSTERVIK</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25095-2019</t>
        </is>
      </c>
      <c r="B1419" s="1" t="n">
        <v>43605</v>
      </c>
      <c r="C1419" s="1" t="n">
        <v>45715</v>
      </c>
      <c r="D1419" t="inlineStr">
        <is>
          <t>KALMAR LÄN</t>
        </is>
      </c>
      <c r="E1419" t="inlineStr">
        <is>
          <t>EMMABODA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25173-2019</t>
        </is>
      </c>
      <c r="B1420" s="1" t="n">
        <v>43605</v>
      </c>
      <c r="C1420" s="1" t="n">
        <v>45715</v>
      </c>
      <c r="D1420" t="inlineStr">
        <is>
          <t>KALMAR LÄN</t>
        </is>
      </c>
      <c r="E1420" t="inlineStr">
        <is>
          <t>MÖNSTERÅS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25169-2019</t>
        </is>
      </c>
      <c r="B1421" s="1" t="n">
        <v>43605</v>
      </c>
      <c r="C1421" s="1" t="n">
        <v>45715</v>
      </c>
      <c r="D1421" t="inlineStr">
        <is>
          <t>KALMAR LÄN</t>
        </is>
      </c>
      <c r="E1421" t="inlineStr">
        <is>
          <t>KALMAR</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25282-2019</t>
        </is>
      </c>
      <c r="B1422" s="1" t="n">
        <v>43605</v>
      </c>
      <c r="C1422" s="1" t="n">
        <v>45715</v>
      </c>
      <c r="D1422" t="inlineStr">
        <is>
          <t>KALMAR LÄN</t>
        </is>
      </c>
      <c r="E1422" t="inlineStr">
        <is>
          <t>HULTSFRED</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25281-2019</t>
        </is>
      </c>
      <c r="B1423" s="1" t="n">
        <v>43605</v>
      </c>
      <c r="C1423" s="1" t="n">
        <v>45715</v>
      </c>
      <c r="D1423" t="inlineStr">
        <is>
          <t>KALMAR LÄN</t>
        </is>
      </c>
      <c r="E1423" t="inlineStr">
        <is>
          <t>HULTSFRED</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25289-2019</t>
        </is>
      </c>
      <c r="B1424" s="1" t="n">
        <v>43605</v>
      </c>
      <c r="C1424" s="1" t="n">
        <v>45715</v>
      </c>
      <c r="D1424" t="inlineStr">
        <is>
          <t>KALMAR LÄN</t>
        </is>
      </c>
      <c r="E1424" t="inlineStr">
        <is>
          <t>NYBRO</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25204-2019</t>
        </is>
      </c>
      <c r="B1425" s="1" t="n">
        <v>43605</v>
      </c>
      <c r="C1425" s="1" t="n">
        <v>45715</v>
      </c>
      <c r="D1425" t="inlineStr">
        <is>
          <t>KALMAR LÄN</t>
        </is>
      </c>
      <c r="E1425" t="inlineStr">
        <is>
          <t>EMMABODA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25511-2019</t>
        </is>
      </c>
      <c r="B1426" s="1" t="n">
        <v>43606</v>
      </c>
      <c r="C1426" s="1" t="n">
        <v>45715</v>
      </c>
      <c r="D1426" t="inlineStr">
        <is>
          <t>KALMAR LÄN</t>
        </is>
      </c>
      <c r="E1426" t="inlineStr">
        <is>
          <t>KALMAR</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25458-2019</t>
        </is>
      </c>
      <c r="B1427" s="1" t="n">
        <v>43606</v>
      </c>
      <c r="C1427" s="1" t="n">
        <v>45715</v>
      </c>
      <c r="D1427" t="inlineStr">
        <is>
          <t>KALMAR LÄN</t>
        </is>
      </c>
      <c r="E1427" t="inlineStr">
        <is>
          <t>HÖGSBY</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26470-2019</t>
        </is>
      </c>
      <c r="B1428" s="1" t="n">
        <v>43606</v>
      </c>
      <c r="C1428" s="1" t="n">
        <v>45715</v>
      </c>
      <c r="D1428" t="inlineStr">
        <is>
          <t>KALMAR LÄN</t>
        </is>
      </c>
      <c r="E1428" t="inlineStr">
        <is>
          <t>VÄSTERVIK</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25512-2019</t>
        </is>
      </c>
      <c r="B1429" s="1" t="n">
        <v>43606</v>
      </c>
      <c r="C1429" s="1" t="n">
        <v>45715</v>
      </c>
      <c r="D1429" t="inlineStr">
        <is>
          <t>KALMAR LÄN</t>
        </is>
      </c>
      <c r="E1429" t="inlineStr">
        <is>
          <t>KALMAR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26380-2019</t>
        </is>
      </c>
      <c r="B1430" s="1" t="n">
        <v>43606</v>
      </c>
      <c r="C1430" s="1" t="n">
        <v>45715</v>
      </c>
      <c r="D1430" t="inlineStr">
        <is>
          <t>KALMAR LÄN</t>
        </is>
      </c>
      <c r="E1430" t="inlineStr">
        <is>
          <t>OSKARSHAMN</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25608-2019</t>
        </is>
      </c>
      <c r="B1431" s="1" t="n">
        <v>43607</v>
      </c>
      <c r="C1431" s="1" t="n">
        <v>45715</v>
      </c>
      <c r="D1431" t="inlineStr">
        <is>
          <t>KALMAR LÄN</t>
        </is>
      </c>
      <c r="E1431" t="inlineStr">
        <is>
          <t>HÖGSBY</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25673-2019</t>
        </is>
      </c>
      <c r="B1432" s="1" t="n">
        <v>43607</v>
      </c>
      <c r="C1432" s="1" t="n">
        <v>45715</v>
      </c>
      <c r="D1432" t="inlineStr">
        <is>
          <t>KALMAR LÄN</t>
        </is>
      </c>
      <c r="E1432" t="inlineStr">
        <is>
          <t>NYBRO</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25689-2019</t>
        </is>
      </c>
      <c r="B1433" s="1" t="n">
        <v>43607</v>
      </c>
      <c r="C1433" s="1" t="n">
        <v>45715</v>
      </c>
      <c r="D1433" t="inlineStr">
        <is>
          <t>KALMAR LÄN</t>
        </is>
      </c>
      <c r="E1433" t="inlineStr">
        <is>
          <t>NYBRO</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25701-2019</t>
        </is>
      </c>
      <c r="B1434" s="1" t="n">
        <v>43607</v>
      </c>
      <c r="C1434" s="1" t="n">
        <v>45715</v>
      </c>
      <c r="D1434" t="inlineStr">
        <is>
          <t>KALMAR LÄN</t>
        </is>
      </c>
      <c r="E1434" t="inlineStr">
        <is>
          <t>NYBRO</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25585-2019</t>
        </is>
      </c>
      <c r="B1435" s="1" t="n">
        <v>43607</v>
      </c>
      <c r="C1435" s="1" t="n">
        <v>45715</v>
      </c>
      <c r="D1435" t="inlineStr">
        <is>
          <t>KALMAR LÄN</t>
        </is>
      </c>
      <c r="E1435" t="inlineStr">
        <is>
          <t>OSKARSHAMN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25753-2019</t>
        </is>
      </c>
      <c r="B1436" s="1" t="n">
        <v>43608</v>
      </c>
      <c r="C1436" s="1" t="n">
        <v>45715</v>
      </c>
      <c r="D1436" t="inlineStr">
        <is>
          <t>KALMAR LÄN</t>
        </is>
      </c>
      <c r="E1436" t="inlineStr">
        <is>
          <t>NYBRO</t>
        </is>
      </c>
      <c r="F1436" t="inlineStr">
        <is>
          <t>Sveaskog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25869-2019</t>
        </is>
      </c>
      <c r="B1437" s="1" t="n">
        <v>43608</v>
      </c>
      <c r="C1437" s="1" t="n">
        <v>45715</v>
      </c>
      <c r="D1437" t="inlineStr">
        <is>
          <t>KALMAR LÄN</t>
        </is>
      </c>
      <c r="E1437" t="inlineStr">
        <is>
          <t>OSKARSHAMN</t>
        </is>
      </c>
      <c r="F1437" t="inlineStr">
        <is>
          <t>Sveaskog</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25906-2019</t>
        </is>
      </c>
      <c r="B1438" s="1" t="n">
        <v>43608</v>
      </c>
      <c r="C1438" s="1" t="n">
        <v>45715</v>
      </c>
      <c r="D1438" t="inlineStr">
        <is>
          <t>KALMAR LÄN</t>
        </is>
      </c>
      <c r="E1438" t="inlineStr">
        <is>
          <t>MÖNSTERÅS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25870-2019</t>
        </is>
      </c>
      <c r="B1439" s="1" t="n">
        <v>43608</v>
      </c>
      <c r="C1439" s="1" t="n">
        <v>45715</v>
      </c>
      <c r="D1439" t="inlineStr">
        <is>
          <t>KALMAR LÄN</t>
        </is>
      </c>
      <c r="E1439" t="inlineStr">
        <is>
          <t>OSKARSHAMN</t>
        </is>
      </c>
      <c r="F1439" t="inlineStr">
        <is>
          <t>Sveaskog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26834-2019</t>
        </is>
      </c>
      <c r="B1440" s="1" t="n">
        <v>43608</v>
      </c>
      <c r="C1440" s="1" t="n">
        <v>45715</v>
      </c>
      <c r="D1440" t="inlineStr">
        <is>
          <t>KALMAR LÄN</t>
        </is>
      </c>
      <c r="E1440" t="inlineStr">
        <is>
          <t>VÄSTERVIK</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25835-2019</t>
        </is>
      </c>
      <c r="B1441" s="1" t="n">
        <v>43608</v>
      </c>
      <c r="C1441" s="1" t="n">
        <v>45715</v>
      </c>
      <c r="D1441" t="inlineStr">
        <is>
          <t>KALMAR LÄN</t>
        </is>
      </c>
      <c r="E1441" t="inlineStr">
        <is>
          <t>EMMABODA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26833-2019</t>
        </is>
      </c>
      <c r="B1442" s="1" t="n">
        <v>43608</v>
      </c>
      <c r="C1442" s="1" t="n">
        <v>45715</v>
      </c>
      <c r="D1442" t="inlineStr">
        <is>
          <t>KALMAR LÄN</t>
        </is>
      </c>
      <c r="E1442" t="inlineStr">
        <is>
          <t>VÄSTERVIK</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25871-2019</t>
        </is>
      </c>
      <c r="B1443" s="1" t="n">
        <v>43608</v>
      </c>
      <c r="C1443" s="1" t="n">
        <v>45715</v>
      </c>
      <c r="D1443" t="inlineStr">
        <is>
          <t>KALMAR LÄN</t>
        </is>
      </c>
      <c r="E1443" t="inlineStr">
        <is>
          <t>OSKARSHAMN</t>
        </is>
      </c>
      <c r="F1443" t="inlineStr">
        <is>
          <t>Sveaskog</t>
        </is>
      </c>
      <c r="G1443" t="n">
        <v>9.800000000000001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26073-2019</t>
        </is>
      </c>
      <c r="B1444" s="1" t="n">
        <v>43609</v>
      </c>
      <c r="C1444" s="1" t="n">
        <v>45715</v>
      </c>
      <c r="D1444" t="inlineStr">
        <is>
          <t>KALMAR LÄN</t>
        </is>
      </c>
      <c r="E1444" t="inlineStr">
        <is>
          <t>VIMMERBY</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26385-2019</t>
        </is>
      </c>
      <c r="B1445" s="1" t="n">
        <v>43612</v>
      </c>
      <c r="C1445" s="1" t="n">
        <v>45715</v>
      </c>
      <c r="D1445" t="inlineStr">
        <is>
          <t>KALMAR LÄN</t>
        </is>
      </c>
      <c r="E1445" t="inlineStr">
        <is>
          <t>HÖGSBY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26422-2019</t>
        </is>
      </c>
      <c r="B1446" s="1" t="n">
        <v>43612</v>
      </c>
      <c r="C1446" s="1" t="n">
        <v>45715</v>
      </c>
      <c r="D1446" t="inlineStr">
        <is>
          <t>KALMAR LÄN</t>
        </is>
      </c>
      <c r="E1446" t="inlineStr">
        <is>
          <t>TORSÅS</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26409-2019</t>
        </is>
      </c>
      <c r="B1447" s="1" t="n">
        <v>43612</v>
      </c>
      <c r="C1447" s="1" t="n">
        <v>45715</v>
      </c>
      <c r="D1447" t="inlineStr">
        <is>
          <t>KALMAR LÄN</t>
        </is>
      </c>
      <c r="E1447" t="inlineStr">
        <is>
          <t>NYBRO</t>
        </is>
      </c>
      <c r="G1447" t="n">
        <v>18.1</v>
      </c>
      <c r="H1447" t="n">
        <v>0</v>
      </c>
      <c r="I1447" t="n">
        <v>0</v>
      </c>
      <c r="J1447" t="n">
        <v>0</v>
      </c>
      <c r="K1447" t="n">
        <v>0</v>
      </c>
      <c r="L1447" t="n">
        <v>0</v>
      </c>
      <c r="M1447" t="n">
        <v>0</v>
      </c>
      <c r="N1447" t="n">
        <v>0</v>
      </c>
      <c r="O1447" t="n">
        <v>0</v>
      </c>
      <c r="P1447" t="n">
        <v>0</v>
      </c>
      <c r="Q1447" t="n">
        <v>0</v>
      </c>
      <c r="R1447" s="2" t="inlineStr"/>
    </row>
    <row r="1448" ht="15" customHeight="1">
      <c r="A1448" t="inlineStr">
        <is>
          <t>A 26567-2019</t>
        </is>
      </c>
      <c r="B1448" s="1" t="n">
        <v>43612</v>
      </c>
      <c r="C1448" s="1" t="n">
        <v>45715</v>
      </c>
      <c r="D1448" t="inlineStr">
        <is>
          <t>KALMAR LÄN</t>
        </is>
      </c>
      <c r="E1448" t="inlineStr">
        <is>
          <t>VÄSTERVIK</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26582-2019</t>
        </is>
      </c>
      <c r="B1449" s="1" t="n">
        <v>43612</v>
      </c>
      <c r="C1449" s="1" t="n">
        <v>45715</v>
      </c>
      <c r="D1449" t="inlineStr">
        <is>
          <t>KALMAR LÄN</t>
        </is>
      </c>
      <c r="E1449" t="inlineStr">
        <is>
          <t>EMMABODA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26590-2019</t>
        </is>
      </c>
      <c r="B1450" s="1" t="n">
        <v>43612</v>
      </c>
      <c r="C1450" s="1" t="n">
        <v>45715</v>
      </c>
      <c r="D1450" t="inlineStr">
        <is>
          <t>KALMAR LÄN</t>
        </is>
      </c>
      <c r="E1450" t="inlineStr">
        <is>
          <t>VÄSTERVIK</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26563-2019</t>
        </is>
      </c>
      <c r="B1451" s="1" t="n">
        <v>43612</v>
      </c>
      <c r="C1451" s="1" t="n">
        <v>45715</v>
      </c>
      <c r="D1451" t="inlineStr">
        <is>
          <t>KALMAR LÄN</t>
        </is>
      </c>
      <c r="E1451" t="inlineStr">
        <is>
          <t>MÖRBYLÅNGA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26571-2019</t>
        </is>
      </c>
      <c r="B1452" s="1" t="n">
        <v>43612</v>
      </c>
      <c r="C1452" s="1" t="n">
        <v>45715</v>
      </c>
      <c r="D1452" t="inlineStr">
        <is>
          <t>KALMAR LÄN</t>
        </is>
      </c>
      <c r="E1452" t="inlineStr">
        <is>
          <t>BORGHOLM</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26576-2019</t>
        </is>
      </c>
      <c r="B1453" s="1" t="n">
        <v>43612</v>
      </c>
      <c r="C1453" s="1" t="n">
        <v>45715</v>
      </c>
      <c r="D1453" t="inlineStr">
        <is>
          <t>KALMAR LÄN</t>
        </is>
      </c>
      <c r="E1453" t="inlineStr">
        <is>
          <t>EMMABODA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26420-2019</t>
        </is>
      </c>
      <c r="B1454" s="1" t="n">
        <v>43612</v>
      </c>
      <c r="C1454" s="1" t="n">
        <v>45715</v>
      </c>
      <c r="D1454" t="inlineStr">
        <is>
          <t>KALMAR LÄN</t>
        </is>
      </c>
      <c r="E1454" t="inlineStr">
        <is>
          <t>KALMAR</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26585-2019</t>
        </is>
      </c>
      <c r="B1455" s="1" t="n">
        <v>43612</v>
      </c>
      <c r="C1455" s="1" t="n">
        <v>45715</v>
      </c>
      <c r="D1455" t="inlineStr">
        <is>
          <t>KALMAR LÄN</t>
        </is>
      </c>
      <c r="E1455" t="inlineStr">
        <is>
          <t>VÄSTERVIK</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26578-2019</t>
        </is>
      </c>
      <c r="B1456" s="1" t="n">
        <v>43612</v>
      </c>
      <c r="C1456" s="1" t="n">
        <v>45715</v>
      </c>
      <c r="D1456" t="inlineStr">
        <is>
          <t>KALMAR LÄN</t>
        </is>
      </c>
      <c r="E1456" t="inlineStr">
        <is>
          <t>VÄSTERVIK</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26609-2019</t>
        </is>
      </c>
      <c r="B1457" s="1" t="n">
        <v>43612</v>
      </c>
      <c r="C1457" s="1" t="n">
        <v>45715</v>
      </c>
      <c r="D1457" t="inlineStr">
        <is>
          <t>KALMAR LÄN</t>
        </is>
      </c>
      <c r="E1457" t="inlineStr">
        <is>
          <t>TORSÅS</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26546-2019</t>
        </is>
      </c>
      <c r="B1458" s="1" t="n">
        <v>43612</v>
      </c>
      <c r="C1458" s="1" t="n">
        <v>45715</v>
      </c>
      <c r="D1458" t="inlineStr">
        <is>
          <t>KALMAR LÄN</t>
        </is>
      </c>
      <c r="E1458" t="inlineStr">
        <is>
          <t>TORSÅS</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26579-2019</t>
        </is>
      </c>
      <c r="B1459" s="1" t="n">
        <v>43612</v>
      </c>
      <c r="C1459" s="1" t="n">
        <v>45715</v>
      </c>
      <c r="D1459" t="inlineStr">
        <is>
          <t>KALMAR LÄN</t>
        </is>
      </c>
      <c r="E1459" t="inlineStr">
        <is>
          <t>EMMABODA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26510-2019</t>
        </is>
      </c>
      <c r="B1460" s="1" t="n">
        <v>43612</v>
      </c>
      <c r="C1460" s="1" t="n">
        <v>45715</v>
      </c>
      <c r="D1460" t="inlineStr">
        <is>
          <t>KALMAR LÄN</t>
        </is>
      </c>
      <c r="E1460" t="inlineStr">
        <is>
          <t>HÖGSBY</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26359-2019</t>
        </is>
      </c>
      <c r="B1461" s="1" t="n">
        <v>43612</v>
      </c>
      <c r="C1461" s="1" t="n">
        <v>45715</v>
      </c>
      <c r="D1461" t="inlineStr">
        <is>
          <t>KALMAR LÄN</t>
        </is>
      </c>
      <c r="E1461" t="inlineStr">
        <is>
          <t>NYBRO</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26669-2019</t>
        </is>
      </c>
      <c r="B1462" s="1" t="n">
        <v>43613</v>
      </c>
      <c r="C1462" s="1" t="n">
        <v>45715</v>
      </c>
      <c r="D1462" t="inlineStr">
        <is>
          <t>KALMAR LÄN</t>
        </is>
      </c>
      <c r="E1462" t="inlineStr">
        <is>
          <t>TORSÅS</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26714-2019</t>
        </is>
      </c>
      <c r="B1463" s="1" t="n">
        <v>43613</v>
      </c>
      <c r="C1463" s="1" t="n">
        <v>45715</v>
      </c>
      <c r="D1463" t="inlineStr">
        <is>
          <t>KALMAR LÄN</t>
        </is>
      </c>
      <c r="E1463" t="inlineStr">
        <is>
          <t>KALMAR</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26765-2019</t>
        </is>
      </c>
      <c r="B1464" s="1" t="n">
        <v>43613</v>
      </c>
      <c r="C1464" s="1" t="n">
        <v>45715</v>
      </c>
      <c r="D1464" t="inlineStr">
        <is>
          <t>KALMAR LÄN</t>
        </is>
      </c>
      <c r="E1464" t="inlineStr">
        <is>
          <t>TORSÅS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26762-2019</t>
        </is>
      </c>
      <c r="B1465" s="1" t="n">
        <v>43613</v>
      </c>
      <c r="C1465" s="1" t="n">
        <v>45715</v>
      </c>
      <c r="D1465" t="inlineStr">
        <is>
          <t>KALMAR LÄN</t>
        </is>
      </c>
      <c r="E1465" t="inlineStr">
        <is>
          <t>TORSÅS</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26820-2019</t>
        </is>
      </c>
      <c r="B1466" s="1" t="n">
        <v>43613</v>
      </c>
      <c r="C1466" s="1" t="n">
        <v>45715</v>
      </c>
      <c r="D1466" t="inlineStr">
        <is>
          <t>KALMAR LÄN</t>
        </is>
      </c>
      <c r="E1466" t="inlineStr">
        <is>
          <t>EMMABODA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28038-2019</t>
        </is>
      </c>
      <c r="B1467" s="1" t="n">
        <v>43613</v>
      </c>
      <c r="C1467" s="1" t="n">
        <v>45715</v>
      </c>
      <c r="D1467" t="inlineStr">
        <is>
          <t>KALMAR LÄN</t>
        </is>
      </c>
      <c r="E1467" t="inlineStr">
        <is>
          <t>OSKARSHAMN</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26660-2019</t>
        </is>
      </c>
      <c r="B1468" s="1" t="n">
        <v>43613</v>
      </c>
      <c r="C1468" s="1" t="n">
        <v>45715</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26695-2019</t>
        </is>
      </c>
      <c r="B1469" s="1" t="n">
        <v>43613</v>
      </c>
      <c r="C1469" s="1" t="n">
        <v>45715</v>
      </c>
      <c r="D1469" t="inlineStr">
        <is>
          <t>KALMAR LÄN</t>
        </is>
      </c>
      <c r="E1469" t="inlineStr">
        <is>
          <t>EMMABODA</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26934-2019</t>
        </is>
      </c>
      <c r="B1470" s="1" t="n">
        <v>43613</v>
      </c>
      <c r="C1470" s="1" t="n">
        <v>45715</v>
      </c>
      <c r="D1470" t="inlineStr">
        <is>
          <t>KALMAR LÄN</t>
        </is>
      </c>
      <c r="E1470" t="inlineStr">
        <is>
          <t>MÖNSTERÅS</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26793-2019</t>
        </is>
      </c>
      <c r="B1471" s="1" t="n">
        <v>43613</v>
      </c>
      <c r="C1471" s="1" t="n">
        <v>45715</v>
      </c>
      <c r="D1471" t="inlineStr">
        <is>
          <t>KALMAR LÄN</t>
        </is>
      </c>
      <c r="E1471" t="inlineStr">
        <is>
          <t>NYBRO</t>
        </is>
      </c>
      <c r="G1471" t="n">
        <v>9.9</v>
      </c>
      <c r="H1471" t="n">
        <v>0</v>
      </c>
      <c r="I1471" t="n">
        <v>0</v>
      </c>
      <c r="J1471" t="n">
        <v>0</v>
      </c>
      <c r="K1471" t="n">
        <v>0</v>
      </c>
      <c r="L1471" t="n">
        <v>0</v>
      </c>
      <c r="M1471" t="n">
        <v>0</v>
      </c>
      <c r="N1471" t="n">
        <v>0</v>
      </c>
      <c r="O1471" t="n">
        <v>0</v>
      </c>
      <c r="P1471" t="n">
        <v>0</v>
      </c>
      <c r="Q1471" t="n">
        <v>0</v>
      </c>
      <c r="R1471" s="2" t="inlineStr"/>
    </row>
    <row r="1472" ht="15" customHeight="1">
      <c r="A1472" t="inlineStr">
        <is>
          <t>A 26712-2019</t>
        </is>
      </c>
      <c r="B1472" s="1" t="n">
        <v>43613</v>
      </c>
      <c r="C1472" s="1" t="n">
        <v>45715</v>
      </c>
      <c r="D1472" t="inlineStr">
        <is>
          <t>KALMAR LÄN</t>
        </is>
      </c>
      <c r="E1472" t="inlineStr">
        <is>
          <t>KALMAR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28046-2019</t>
        </is>
      </c>
      <c r="B1473" s="1" t="n">
        <v>43613</v>
      </c>
      <c r="C1473" s="1" t="n">
        <v>45715</v>
      </c>
      <c r="D1473" t="inlineStr">
        <is>
          <t>KALMAR LÄN</t>
        </is>
      </c>
      <c r="E1473" t="inlineStr">
        <is>
          <t>KALMAR</t>
        </is>
      </c>
      <c r="G1473" t="n">
        <v>14.8</v>
      </c>
      <c r="H1473" t="n">
        <v>0</v>
      </c>
      <c r="I1473" t="n">
        <v>0</v>
      </c>
      <c r="J1473" t="n">
        <v>0</v>
      </c>
      <c r="K1473" t="n">
        <v>0</v>
      </c>
      <c r="L1473" t="n">
        <v>0</v>
      </c>
      <c r="M1473" t="n">
        <v>0</v>
      </c>
      <c r="N1473" t="n">
        <v>0</v>
      </c>
      <c r="O1473" t="n">
        <v>0</v>
      </c>
      <c r="P1473" t="n">
        <v>0</v>
      </c>
      <c r="Q1473" t="n">
        <v>0</v>
      </c>
      <c r="R1473" s="2" t="inlineStr"/>
    </row>
    <row r="1474" ht="15" customHeight="1">
      <c r="A1474" t="inlineStr">
        <is>
          <t>A 26936-2019</t>
        </is>
      </c>
      <c r="B1474" s="1" t="n">
        <v>43613</v>
      </c>
      <c r="C1474" s="1" t="n">
        <v>45715</v>
      </c>
      <c r="D1474" t="inlineStr">
        <is>
          <t>KALMAR LÄN</t>
        </is>
      </c>
      <c r="E1474" t="inlineStr">
        <is>
          <t>MÖNSTERÅS</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29781-2019</t>
        </is>
      </c>
      <c r="B1475" s="1" t="n">
        <v>43613</v>
      </c>
      <c r="C1475" s="1" t="n">
        <v>45715</v>
      </c>
      <c r="D1475" t="inlineStr">
        <is>
          <t>KALMAR LÄN</t>
        </is>
      </c>
      <c r="E1475" t="inlineStr">
        <is>
          <t>KALMAR</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29785-2019</t>
        </is>
      </c>
      <c r="B1476" s="1" t="n">
        <v>43613</v>
      </c>
      <c r="C1476" s="1" t="n">
        <v>45715</v>
      </c>
      <c r="D1476" t="inlineStr">
        <is>
          <t>KALMAR LÄN</t>
        </is>
      </c>
      <c r="E1476" t="inlineStr">
        <is>
          <t>KALMAR</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27129-2019</t>
        </is>
      </c>
      <c r="B1477" s="1" t="n">
        <v>43614</v>
      </c>
      <c r="C1477" s="1" t="n">
        <v>45715</v>
      </c>
      <c r="D1477" t="inlineStr">
        <is>
          <t>KALMAR LÄN</t>
        </is>
      </c>
      <c r="E1477" t="inlineStr">
        <is>
          <t>MÖNSTERÅS</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27047-2019</t>
        </is>
      </c>
      <c r="B1478" s="1" t="n">
        <v>43614</v>
      </c>
      <c r="C1478" s="1" t="n">
        <v>45715</v>
      </c>
      <c r="D1478" t="inlineStr">
        <is>
          <t>KALMAR LÄN</t>
        </is>
      </c>
      <c r="E1478" t="inlineStr">
        <is>
          <t>TORSÅS</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27206-2019</t>
        </is>
      </c>
      <c r="B1479" s="1" t="n">
        <v>43614</v>
      </c>
      <c r="C1479" s="1" t="n">
        <v>45715</v>
      </c>
      <c r="D1479" t="inlineStr">
        <is>
          <t>KALMAR LÄN</t>
        </is>
      </c>
      <c r="E1479" t="inlineStr">
        <is>
          <t>VÄSTERVIK</t>
        </is>
      </c>
      <c r="F1479" t="inlineStr">
        <is>
          <t>Sveaskog</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27057-2019</t>
        </is>
      </c>
      <c r="B1480" s="1" t="n">
        <v>43614</v>
      </c>
      <c r="C1480" s="1" t="n">
        <v>45715</v>
      </c>
      <c r="D1480" t="inlineStr">
        <is>
          <t>KALMAR LÄN</t>
        </is>
      </c>
      <c r="E1480" t="inlineStr">
        <is>
          <t>TORSÅS</t>
        </is>
      </c>
      <c r="G1480" t="n">
        <v>21.6</v>
      </c>
      <c r="H1480" t="n">
        <v>0</v>
      </c>
      <c r="I1480" t="n">
        <v>0</v>
      </c>
      <c r="J1480" t="n">
        <v>0</v>
      </c>
      <c r="K1480" t="n">
        <v>0</v>
      </c>
      <c r="L1480" t="n">
        <v>0</v>
      </c>
      <c r="M1480" t="n">
        <v>0</v>
      </c>
      <c r="N1480" t="n">
        <v>0</v>
      </c>
      <c r="O1480" t="n">
        <v>0</v>
      </c>
      <c r="P1480" t="n">
        <v>0</v>
      </c>
      <c r="Q1480" t="n">
        <v>0</v>
      </c>
      <c r="R1480" s="2" t="inlineStr"/>
    </row>
    <row r="1481" ht="15" customHeight="1">
      <c r="A1481" t="inlineStr">
        <is>
          <t>A 27394-2019</t>
        </is>
      </c>
      <c r="B1481" s="1" t="n">
        <v>43616</v>
      </c>
      <c r="C1481" s="1" t="n">
        <v>45715</v>
      </c>
      <c r="D1481" t="inlineStr">
        <is>
          <t>KALMAR LÄN</t>
        </is>
      </c>
      <c r="E1481" t="inlineStr">
        <is>
          <t>TORSÅS</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27459-2019</t>
        </is>
      </c>
      <c r="B1482" s="1" t="n">
        <v>43618</v>
      </c>
      <c r="C1482" s="1" t="n">
        <v>45715</v>
      </c>
      <c r="D1482" t="inlineStr">
        <is>
          <t>KALMAR LÄN</t>
        </is>
      </c>
      <c r="E1482" t="inlineStr">
        <is>
          <t>EMMABODA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27460-2019</t>
        </is>
      </c>
      <c r="B1483" s="1" t="n">
        <v>43618</v>
      </c>
      <c r="C1483" s="1" t="n">
        <v>45715</v>
      </c>
      <c r="D1483" t="inlineStr">
        <is>
          <t>KALMAR LÄN</t>
        </is>
      </c>
      <c r="E1483" t="inlineStr">
        <is>
          <t>EMMABODA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27526-2019</t>
        </is>
      </c>
      <c r="B1484" s="1" t="n">
        <v>43619</v>
      </c>
      <c r="C1484" s="1" t="n">
        <v>45715</v>
      </c>
      <c r="D1484" t="inlineStr">
        <is>
          <t>KALMAR LÄN</t>
        </is>
      </c>
      <c r="E1484" t="inlineStr">
        <is>
          <t>MÖNSTERÅS</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27630-2019</t>
        </is>
      </c>
      <c r="B1485" s="1" t="n">
        <v>43619</v>
      </c>
      <c r="C1485" s="1" t="n">
        <v>45715</v>
      </c>
      <c r="D1485" t="inlineStr">
        <is>
          <t>KALMAR LÄN</t>
        </is>
      </c>
      <c r="E1485" t="inlineStr">
        <is>
          <t>NYBRO</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27732-2019</t>
        </is>
      </c>
      <c r="B1486" s="1" t="n">
        <v>43619</v>
      </c>
      <c r="C1486" s="1" t="n">
        <v>45715</v>
      </c>
      <c r="D1486" t="inlineStr">
        <is>
          <t>KALMAR LÄN</t>
        </is>
      </c>
      <c r="E1486" t="inlineStr">
        <is>
          <t>HÖGSBY</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27741-2019</t>
        </is>
      </c>
      <c r="B1487" s="1" t="n">
        <v>43619</v>
      </c>
      <c r="C1487" s="1" t="n">
        <v>45715</v>
      </c>
      <c r="D1487" t="inlineStr">
        <is>
          <t>KALMAR LÄN</t>
        </is>
      </c>
      <c r="E1487" t="inlineStr">
        <is>
          <t>NYBRO</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28970-2019</t>
        </is>
      </c>
      <c r="B1488" s="1" t="n">
        <v>43619</v>
      </c>
      <c r="C1488" s="1" t="n">
        <v>45715</v>
      </c>
      <c r="D1488" t="inlineStr">
        <is>
          <t>KALMAR LÄN</t>
        </is>
      </c>
      <c r="E1488" t="inlineStr">
        <is>
          <t>VÄSTERVIK</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27581-2019</t>
        </is>
      </c>
      <c r="B1489" s="1" t="n">
        <v>43619</v>
      </c>
      <c r="C1489" s="1" t="n">
        <v>45715</v>
      </c>
      <c r="D1489" t="inlineStr">
        <is>
          <t>KALMAR LÄN</t>
        </is>
      </c>
      <c r="E1489" t="inlineStr">
        <is>
          <t>OSKARSHAMN</t>
        </is>
      </c>
      <c r="F1489" t="inlineStr">
        <is>
          <t>Sveaskog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27534-2019</t>
        </is>
      </c>
      <c r="B1490" s="1" t="n">
        <v>43619</v>
      </c>
      <c r="C1490" s="1" t="n">
        <v>45715</v>
      </c>
      <c r="D1490" t="inlineStr">
        <is>
          <t>KALMAR LÄN</t>
        </is>
      </c>
      <c r="E1490" t="inlineStr">
        <is>
          <t>OSKARSHAMN</t>
        </is>
      </c>
      <c r="F1490" t="inlineStr">
        <is>
          <t>Sveaskog</t>
        </is>
      </c>
      <c r="G1490" t="n">
        <v>9.699999999999999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27654-2019</t>
        </is>
      </c>
      <c r="B1491" s="1" t="n">
        <v>43619</v>
      </c>
      <c r="C1491" s="1" t="n">
        <v>45715</v>
      </c>
      <c r="D1491" t="inlineStr">
        <is>
          <t>KALMAR LÄN</t>
        </is>
      </c>
      <c r="E1491" t="inlineStr">
        <is>
          <t>VÄSTERVIK</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27584-2019</t>
        </is>
      </c>
      <c r="B1492" s="1" t="n">
        <v>43619</v>
      </c>
      <c r="C1492" s="1" t="n">
        <v>45715</v>
      </c>
      <c r="D1492" t="inlineStr">
        <is>
          <t>KALMAR LÄN</t>
        </is>
      </c>
      <c r="E1492" t="inlineStr">
        <is>
          <t>OSKARSHAMN</t>
        </is>
      </c>
      <c r="F1492" t="inlineStr">
        <is>
          <t>Sveaskog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27910-2019</t>
        </is>
      </c>
      <c r="B1493" s="1" t="n">
        <v>43620</v>
      </c>
      <c r="C1493" s="1" t="n">
        <v>45715</v>
      </c>
      <c r="D1493" t="inlineStr">
        <is>
          <t>KALMAR LÄN</t>
        </is>
      </c>
      <c r="E1493" t="inlineStr">
        <is>
          <t>NYBRO</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27941-2019</t>
        </is>
      </c>
      <c r="B1494" s="1" t="n">
        <v>43620</v>
      </c>
      <c r="C1494" s="1" t="n">
        <v>45715</v>
      </c>
      <c r="D1494" t="inlineStr">
        <is>
          <t>KALMAR LÄN</t>
        </is>
      </c>
      <c r="E1494" t="inlineStr">
        <is>
          <t>KALMAR</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27863-2019</t>
        </is>
      </c>
      <c r="B1495" s="1" t="n">
        <v>43620</v>
      </c>
      <c r="C1495" s="1" t="n">
        <v>45715</v>
      </c>
      <c r="D1495" t="inlineStr">
        <is>
          <t>KALMAR LÄN</t>
        </is>
      </c>
      <c r="E1495" t="inlineStr">
        <is>
          <t>EMMABODA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27904-2019</t>
        </is>
      </c>
      <c r="B1496" s="1" t="n">
        <v>43620</v>
      </c>
      <c r="C1496" s="1" t="n">
        <v>45715</v>
      </c>
      <c r="D1496" t="inlineStr">
        <is>
          <t>KALMAR LÄN</t>
        </is>
      </c>
      <c r="E1496" t="inlineStr">
        <is>
          <t>MÖNSTERÅS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29026-2019</t>
        </is>
      </c>
      <c r="B1497" s="1" t="n">
        <v>43620</v>
      </c>
      <c r="C1497" s="1" t="n">
        <v>45715</v>
      </c>
      <c r="D1497" t="inlineStr">
        <is>
          <t>KALMAR LÄN</t>
        </is>
      </c>
      <c r="E1497" t="inlineStr">
        <is>
          <t>NYBRO</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28070-2019</t>
        </is>
      </c>
      <c r="B1498" s="1" t="n">
        <v>43621</v>
      </c>
      <c r="C1498" s="1" t="n">
        <v>45715</v>
      </c>
      <c r="D1498" t="inlineStr">
        <is>
          <t>KALMAR LÄN</t>
        </is>
      </c>
      <c r="E1498" t="inlineStr">
        <is>
          <t>NYBRO</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27989-2019</t>
        </is>
      </c>
      <c r="B1499" s="1" t="n">
        <v>43621</v>
      </c>
      <c r="C1499" s="1" t="n">
        <v>45715</v>
      </c>
      <c r="D1499" t="inlineStr">
        <is>
          <t>KALMAR LÄN</t>
        </is>
      </c>
      <c r="E1499" t="inlineStr">
        <is>
          <t>NYBRO</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28013-2019</t>
        </is>
      </c>
      <c r="B1500" s="1" t="n">
        <v>43621</v>
      </c>
      <c r="C1500" s="1" t="n">
        <v>45715</v>
      </c>
      <c r="D1500" t="inlineStr">
        <is>
          <t>KALMAR LÄN</t>
        </is>
      </c>
      <c r="E1500" t="inlineStr">
        <is>
          <t>VIMMERBY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28347-2019</t>
        </is>
      </c>
      <c r="B1501" s="1" t="n">
        <v>43624</v>
      </c>
      <c r="C1501" s="1" t="n">
        <v>45715</v>
      </c>
      <c r="D1501" t="inlineStr">
        <is>
          <t>KALMAR LÄN</t>
        </is>
      </c>
      <c r="E1501" t="inlineStr">
        <is>
          <t>VÄSTERVIK</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28348-2019</t>
        </is>
      </c>
      <c r="B1502" s="1" t="n">
        <v>43624</v>
      </c>
      <c r="C1502" s="1" t="n">
        <v>45715</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28363-2019</t>
        </is>
      </c>
      <c r="B1503" s="1" t="n">
        <v>43625</v>
      </c>
      <c r="C1503" s="1" t="n">
        <v>45715</v>
      </c>
      <c r="D1503" t="inlineStr">
        <is>
          <t>KALMAR LÄN</t>
        </is>
      </c>
      <c r="E1503" t="inlineStr">
        <is>
          <t>KALMAR</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28438-2019</t>
        </is>
      </c>
      <c r="B1504" s="1" t="n">
        <v>43626</v>
      </c>
      <c r="C1504" s="1" t="n">
        <v>45715</v>
      </c>
      <c r="D1504" t="inlineStr">
        <is>
          <t>KALMAR LÄN</t>
        </is>
      </c>
      <c r="E1504" t="inlineStr">
        <is>
          <t>NYBRO</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28540-2019</t>
        </is>
      </c>
      <c r="B1505" s="1" t="n">
        <v>43626</v>
      </c>
      <c r="C1505" s="1" t="n">
        <v>45715</v>
      </c>
      <c r="D1505" t="inlineStr">
        <is>
          <t>KALMAR LÄN</t>
        </is>
      </c>
      <c r="E1505" t="inlineStr">
        <is>
          <t>EMMABODA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28414-2019</t>
        </is>
      </c>
      <c r="B1506" s="1" t="n">
        <v>43626</v>
      </c>
      <c r="C1506" s="1" t="n">
        <v>45715</v>
      </c>
      <c r="D1506" t="inlineStr">
        <is>
          <t>KALMAR LÄN</t>
        </is>
      </c>
      <c r="E1506" t="inlineStr">
        <is>
          <t>VIMMERBY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28594-2019</t>
        </is>
      </c>
      <c r="B1507" s="1" t="n">
        <v>43626</v>
      </c>
      <c r="C1507" s="1" t="n">
        <v>45715</v>
      </c>
      <c r="D1507" t="inlineStr">
        <is>
          <t>KALMAR LÄN</t>
        </is>
      </c>
      <c r="E1507" t="inlineStr">
        <is>
          <t>VÄSTERVIK</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28593-2019</t>
        </is>
      </c>
      <c r="B1508" s="1" t="n">
        <v>43626</v>
      </c>
      <c r="C1508" s="1" t="n">
        <v>45715</v>
      </c>
      <c r="D1508" t="inlineStr">
        <is>
          <t>KALMAR LÄN</t>
        </is>
      </c>
      <c r="E1508" t="inlineStr">
        <is>
          <t>TORSÅS</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28590-2019</t>
        </is>
      </c>
      <c r="B1509" s="1" t="n">
        <v>43626</v>
      </c>
      <c r="C1509" s="1" t="n">
        <v>45715</v>
      </c>
      <c r="D1509" t="inlineStr">
        <is>
          <t>KALMAR LÄN</t>
        </is>
      </c>
      <c r="E1509" t="inlineStr">
        <is>
          <t>VÄSTERVIK</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28539-2019</t>
        </is>
      </c>
      <c r="B1510" s="1" t="n">
        <v>43626</v>
      </c>
      <c r="C1510" s="1" t="n">
        <v>45715</v>
      </c>
      <c r="D1510" t="inlineStr">
        <is>
          <t>KALMAR LÄN</t>
        </is>
      </c>
      <c r="E1510" t="inlineStr">
        <is>
          <t>EMMABODA</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28771-2019</t>
        </is>
      </c>
      <c r="B1511" s="1" t="n">
        <v>43627</v>
      </c>
      <c r="C1511" s="1" t="n">
        <v>45715</v>
      </c>
      <c r="D1511" t="inlineStr">
        <is>
          <t>KALMAR LÄN</t>
        </is>
      </c>
      <c r="E1511" t="inlineStr">
        <is>
          <t>MÖNSTERÅS</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28745-2019</t>
        </is>
      </c>
      <c r="B1512" s="1" t="n">
        <v>43627</v>
      </c>
      <c r="C1512" s="1" t="n">
        <v>45715</v>
      </c>
      <c r="D1512" t="inlineStr">
        <is>
          <t>KALMAR LÄN</t>
        </is>
      </c>
      <c r="E1512" t="inlineStr">
        <is>
          <t>TORSÅS</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28764-2019</t>
        </is>
      </c>
      <c r="B1513" s="1" t="n">
        <v>43627</v>
      </c>
      <c r="C1513" s="1" t="n">
        <v>45715</v>
      </c>
      <c r="D1513" t="inlineStr">
        <is>
          <t>KALMAR LÄN</t>
        </is>
      </c>
      <c r="E1513" t="inlineStr">
        <is>
          <t>TORSÅS</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28816-2019</t>
        </is>
      </c>
      <c r="B1514" s="1" t="n">
        <v>43627</v>
      </c>
      <c r="C1514" s="1" t="n">
        <v>45715</v>
      </c>
      <c r="D1514" t="inlineStr">
        <is>
          <t>KALMAR LÄN</t>
        </is>
      </c>
      <c r="E1514" t="inlineStr">
        <is>
          <t>HULTSFRED</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28797-2019</t>
        </is>
      </c>
      <c r="B1515" s="1" t="n">
        <v>43627</v>
      </c>
      <c r="C1515" s="1" t="n">
        <v>45715</v>
      </c>
      <c r="D1515" t="inlineStr">
        <is>
          <t>KALMAR LÄN</t>
        </is>
      </c>
      <c r="E1515" t="inlineStr">
        <is>
          <t>EMMABODA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28820-2019</t>
        </is>
      </c>
      <c r="B1516" s="1" t="n">
        <v>43627</v>
      </c>
      <c r="C1516" s="1" t="n">
        <v>45715</v>
      </c>
      <c r="D1516" t="inlineStr">
        <is>
          <t>KALMAR LÄN</t>
        </is>
      </c>
      <c r="E1516" t="inlineStr">
        <is>
          <t>MÖNSTERÅS</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29519-2019</t>
        </is>
      </c>
      <c r="B1517" s="1" t="n">
        <v>43627</v>
      </c>
      <c r="C1517" s="1" t="n">
        <v>45715</v>
      </c>
      <c r="D1517" t="inlineStr">
        <is>
          <t>KALMAR LÄN</t>
        </is>
      </c>
      <c r="E1517" t="inlineStr">
        <is>
          <t>VÄSTERVIK</t>
        </is>
      </c>
      <c r="F1517" t="inlineStr">
        <is>
          <t>Kommuner</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29068-2019</t>
        </is>
      </c>
      <c r="B1518" s="1" t="n">
        <v>43628</v>
      </c>
      <c r="C1518" s="1" t="n">
        <v>45715</v>
      </c>
      <c r="D1518" t="inlineStr">
        <is>
          <t>KALMAR LÄN</t>
        </is>
      </c>
      <c r="E1518" t="inlineStr">
        <is>
          <t>HULTSFRED</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29070-2019</t>
        </is>
      </c>
      <c r="B1519" s="1" t="n">
        <v>43628</v>
      </c>
      <c r="C1519" s="1" t="n">
        <v>45715</v>
      </c>
      <c r="D1519" t="inlineStr">
        <is>
          <t>KALMAR LÄN</t>
        </is>
      </c>
      <c r="E1519" t="inlineStr">
        <is>
          <t>HULTSFRED</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29067-2019</t>
        </is>
      </c>
      <c r="B1520" s="1" t="n">
        <v>43628</v>
      </c>
      <c r="C1520" s="1" t="n">
        <v>45715</v>
      </c>
      <c r="D1520" t="inlineStr">
        <is>
          <t>KALMAR LÄN</t>
        </is>
      </c>
      <c r="E1520" t="inlineStr">
        <is>
          <t>HULTSFRED</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29056-2019</t>
        </is>
      </c>
      <c r="B1521" s="1" t="n">
        <v>43628</v>
      </c>
      <c r="C1521" s="1" t="n">
        <v>45715</v>
      </c>
      <c r="D1521" t="inlineStr">
        <is>
          <t>KALMAR LÄN</t>
        </is>
      </c>
      <c r="E1521" t="inlineStr">
        <is>
          <t>NYBRO</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29004-2019</t>
        </is>
      </c>
      <c r="B1522" s="1" t="n">
        <v>43628</v>
      </c>
      <c r="C1522" s="1" t="n">
        <v>45715</v>
      </c>
      <c r="D1522" t="inlineStr">
        <is>
          <t>KALMAR LÄN</t>
        </is>
      </c>
      <c r="E1522" t="inlineStr">
        <is>
          <t>VIMMERBY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29228-2019</t>
        </is>
      </c>
      <c r="B1523" s="1" t="n">
        <v>43629</v>
      </c>
      <c r="C1523" s="1" t="n">
        <v>45715</v>
      </c>
      <c r="D1523" t="inlineStr">
        <is>
          <t>KALMAR LÄN</t>
        </is>
      </c>
      <c r="E1523" t="inlineStr">
        <is>
          <t>VIMMERBY</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29262-2019</t>
        </is>
      </c>
      <c r="B1524" s="1" t="n">
        <v>43629</v>
      </c>
      <c r="C1524" s="1" t="n">
        <v>45715</v>
      </c>
      <c r="D1524" t="inlineStr">
        <is>
          <t>KALMAR LÄN</t>
        </is>
      </c>
      <c r="E1524" t="inlineStr">
        <is>
          <t>TORSÅS</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29380-2019</t>
        </is>
      </c>
      <c r="B1525" s="1" t="n">
        <v>43629</v>
      </c>
      <c r="C1525" s="1" t="n">
        <v>45715</v>
      </c>
      <c r="D1525" t="inlineStr">
        <is>
          <t>KALMAR LÄN</t>
        </is>
      </c>
      <c r="E1525" t="inlineStr">
        <is>
          <t>TORSÅS</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29464-2019</t>
        </is>
      </c>
      <c r="B1526" s="1" t="n">
        <v>43629</v>
      </c>
      <c r="C1526" s="1" t="n">
        <v>45715</v>
      </c>
      <c r="D1526" t="inlineStr">
        <is>
          <t>KALMAR LÄN</t>
        </is>
      </c>
      <c r="E1526" t="inlineStr">
        <is>
          <t>EMMABODA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29408-2019</t>
        </is>
      </c>
      <c r="B1527" s="1" t="n">
        <v>43629</v>
      </c>
      <c r="C1527" s="1" t="n">
        <v>45715</v>
      </c>
      <c r="D1527" t="inlineStr">
        <is>
          <t>KALMAR LÄN</t>
        </is>
      </c>
      <c r="E1527" t="inlineStr">
        <is>
          <t>VIMMERBY</t>
        </is>
      </c>
      <c r="G1527" t="n">
        <v>10.2</v>
      </c>
      <c r="H1527" t="n">
        <v>0</v>
      </c>
      <c r="I1527" t="n">
        <v>0</v>
      </c>
      <c r="J1527" t="n">
        <v>0</v>
      </c>
      <c r="K1527" t="n">
        <v>0</v>
      </c>
      <c r="L1527" t="n">
        <v>0</v>
      </c>
      <c r="M1527" t="n">
        <v>0</v>
      </c>
      <c r="N1527" t="n">
        <v>0</v>
      </c>
      <c r="O1527" t="n">
        <v>0</v>
      </c>
      <c r="P1527" t="n">
        <v>0</v>
      </c>
      <c r="Q1527" t="n">
        <v>0</v>
      </c>
      <c r="R1527" s="2" t="inlineStr"/>
    </row>
    <row r="1528" ht="15" customHeight="1">
      <c r="A1528" t="inlineStr">
        <is>
          <t>A 29349-2019</t>
        </is>
      </c>
      <c r="B1528" s="1" t="n">
        <v>43629</v>
      </c>
      <c r="C1528" s="1" t="n">
        <v>45715</v>
      </c>
      <c r="D1528" t="inlineStr">
        <is>
          <t>KALMAR LÄN</t>
        </is>
      </c>
      <c r="E1528" t="inlineStr">
        <is>
          <t>TORSÅS</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29465-2019</t>
        </is>
      </c>
      <c r="B1529" s="1" t="n">
        <v>43629</v>
      </c>
      <c r="C1529" s="1" t="n">
        <v>45715</v>
      </c>
      <c r="D1529" t="inlineStr">
        <is>
          <t>KALMAR LÄN</t>
        </is>
      </c>
      <c r="E1529" t="inlineStr">
        <is>
          <t>EMMABODA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29296-2019</t>
        </is>
      </c>
      <c r="B1530" s="1" t="n">
        <v>43629</v>
      </c>
      <c r="C1530" s="1" t="n">
        <v>45715</v>
      </c>
      <c r="D1530" t="inlineStr">
        <is>
          <t>KALMAR LÄN</t>
        </is>
      </c>
      <c r="E1530" t="inlineStr">
        <is>
          <t>TORSÅS</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29317-2019</t>
        </is>
      </c>
      <c r="B1531" s="1" t="n">
        <v>43629</v>
      </c>
      <c r="C1531" s="1" t="n">
        <v>45715</v>
      </c>
      <c r="D1531" t="inlineStr">
        <is>
          <t>KALMAR LÄN</t>
        </is>
      </c>
      <c r="E1531" t="inlineStr">
        <is>
          <t>KALMAR</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29463-2019</t>
        </is>
      </c>
      <c r="B1532" s="1" t="n">
        <v>43629</v>
      </c>
      <c r="C1532" s="1" t="n">
        <v>45715</v>
      </c>
      <c r="D1532" t="inlineStr">
        <is>
          <t>KALMAR LÄN</t>
        </is>
      </c>
      <c r="E1532" t="inlineStr">
        <is>
          <t>EMMABODA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29499-2019</t>
        </is>
      </c>
      <c r="B1533" s="1" t="n">
        <v>43630</v>
      </c>
      <c r="C1533" s="1" t="n">
        <v>45715</v>
      </c>
      <c r="D1533" t="inlineStr">
        <is>
          <t>KALMAR LÄN</t>
        </is>
      </c>
      <c r="E1533" t="inlineStr">
        <is>
          <t>TORSÅS</t>
        </is>
      </c>
      <c r="G1533" t="n">
        <v>10.7</v>
      </c>
      <c r="H1533" t="n">
        <v>0</v>
      </c>
      <c r="I1533" t="n">
        <v>0</v>
      </c>
      <c r="J1533" t="n">
        <v>0</v>
      </c>
      <c r="K1533" t="n">
        <v>0</v>
      </c>
      <c r="L1533" t="n">
        <v>0</v>
      </c>
      <c r="M1533" t="n">
        <v>0</v>
      </c>
      <c r="N1533" t="n">
        <v>0</v>
      </c>
      <c r="O1533" t="n">
        <v>0</v>
      </c>
      <c r="P1533" t="n">
        <v>0</v>
      </c>
      <c r="Q1533" t="n">
        <v>0</v>
      </c>
      <c r="R1533" s="2" t="inlineStr"/>
    </row>
    <row r="1534" ht="15" customHeight="1">
      <c r="A1534" t="inlineStr">
        <is>
          <t>A 29605-2019</t>
        </is>
      </c>
      <c r="B1534" s="1" t="n">
        <v>43630</v>
      </c>
      <c r="C1534" s="1" t="n">
        <v>45715</v>
      </c>
      <c r="D1534" t="inlineStr">
        <is>
          <t>KALMAR LÄN</t>
        </is>
      </c>
      <c r="E1534" t="inlineStr">
        <is>
          <t>OSKARSHAMN</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29618-2019</t>
        </is>
      </c>
      <c r="B1535" s="1" t="n">
        <v>43630</v>
      </c>
      <c r="C1535" s="1" t="n">
        <v>45715</v>
      </c>
      <c r="D1535" t="inlineStr">
        <is>
          <t>KALMAR LÄN</t>
        </is>
      </c>
      <c r="E1535" t="inlineStr">
        <is>
          <t>EMMABODA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29597-2019</t>
        </is>
      </c>
      <c r="B1536" s="1" t="n">
        <v>43630</v>
      </c>
      <c r="C1536" s="1" t="n">
        <v>45715</v>
      </c>
      <c r="D1536" t="inlineStr">
        <is>
          <t>KALMAR LÄN</t>
        </is>
      </c>
      <c r="E1536" t="inlineStr">
        <is>
          <t>EMMABODA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29693-2019</t>
        </is>
      </c>
      <c r="B1537" s="1" t="n">
        <v>43630</v>
      </c>
      <c r="C1537" s="1" t="n">
        <v>45715</v>
      </c>
      <c r="D1537" t="inlineStr">
        <is>
          <t>KALMAR LÄN</t>
        </is>
      </c>
      <c r="E1537" t="inlineStr">
        <is>
          <t>VIMMERBY</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29602-2019</t>
        </is>
      </c>
      <c r="B1538" s="1" t="n">
        <v>43630</v>
      </c>
      <c r="C1538" s="1" t="n">
        <v>45715</v>
      </c>
      <c r="D1538" t="inlineStr">
        <is>
          <t>KALMAR LÄN</t>
        </is>
      </c>
      <c r="E1538" t="inlineStr">
        <is>
          <t>EMMABODA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29599-2019</t>
        </is>
      </c>
      <c r="B1539" s="1" t="n">
        <v>43630</v>
      </c>
      <c r="C1539" s="1" t="n">
        <v>45715</v>
      </c>
      <c r="D1539" t="inlineStr">
        <is>
          <t>KALMAR LÄN</t>
        </is>
      </c>
      <c r="E1539" t="inlineStr">
        <is>
          <t>EMMABODA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29627-2019</t>
        </is>
      </c>
      <c r="B1540" s="1" t="n">
        <v>43630</v>
      </c>
      <c r="C1540" s="1" t="n">
        <v>45715</v>
      </c>
      <c r="D1540" t="inlineStr">
        <is>
          <t>KALMAR LÄN</t>
        </is>
      </c>
      <c r="E1540" t="inlineStr">
        <is>
          <t>TORSÅS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29675-2019</t>
        </is>
      </c>
      <c r="B1541" s="1" t="n">
        <v>43630</v>
      </c>
      <c r="C1541" s="1" t="n">
        <v>45715</v>
      </c>
      <c r="D1541" t="inlineStr">
        <is>
          <t>KALMAR LÄN</t>
        </is>
      </c>
      <c r="E1541" t="inlineStr">
        <is>
          <t>VIMMERBY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29717-2019</t>
        </is>
      </c>
      <c r="B1542" s="1" t="n">
        <v>43630</v>
      </c>
      <c r="C1542" s="1" t="n">
        <v>45715</v>
      </c>
      <c r="D1542" t="inlineStr">
        <is>
          <t>KALMAR LÄN</t>
        </is>
      </c>
      <c r="E1542" t="inlineStr">
        <is>
          <t>HÖGSBY</t>
        </is>
      </c>
      <c r="F1542" t="inlineStr">
        <is>
          <t>Sveaskog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29775-2019</t>
        </is>
      </c>
      <c r="B1543" s="1" t="n">
        <v>43632</v>
      </c>
      <c r="C1543" s="1" t="n">
        <v>45715</v>
      </c>
      <c r="D1543" t="inlineStr">
        <is>
          <t>KALMAR LÄN</t>
        </is>
      </c>
      <c r="E1543" t="inlineStr">
        <is>
          <t>VIMMERBY</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29763-2019</t>
        </is>
      </c>
      <c r="B1544" s="1" t="n">
        <v>43632</v>
      </c>
      <c r="C1544" s="1" t="n">
        <v>45715</v>
      </c>
      <c r="D1544" t="inlineStr">
        <is>
          <t>KALMAR LÄN</t>
        </is>
      </c>
      <c r="E1544" t="inlineStr">
        <is>
          <t>EMMABODA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29773-2019</t>
        </is>
      </c>
      <c r="B1545" s="1" t="n">
        <v>43632</v>
      </c>
      <c r="C1545" s="1" t="n">
        <v>45715</v>
      </c>
      <c r="D1545" t="inlineStr">
        <is>
          <t>KALMAR LÄN</t>
        </is>
      </c>
      <c r="E1545" t="inlineStr">
        <is>
          <t>VIMMERBY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29818-2019</t>
        </is>
      </c>
      <c r="B1546" s="1" t="n">
        <v>43633</v>
      </c>
      <c r="C1546" s="1" t="n">
        <v>45715</v>
      </c>
      <c r="D1546" t="inlineStr">
        <is>
          <t>KALMAR LÄN</t>
        </is>
      </c>
      <c r="E1546" t="inlineStr">
        <is>
          <t>OSKARSHAMN</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30058-2019</t>
        </is>
      </c>
      <c r="B1547" s="1" t="n">
        <v>43633</v>
      </c>
      <c r="C1547" s="1" t="n">
        <v>45715</v>
      </c>
      <c r="D1547" t="inlineStr">
        <is>
          <t>KALMAR LÄN</t>
        </is>
      </c>
      <c r="E1547" t="inlineStr">
        <is>
          <t>VÄSTERVIK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30057-2019</t>
        </is>
      </c>
      <c r="B1548" s="1" t="n">
        <v>43633</v>
      </c>
      <c r="C1548" s="1" t="n">
        <v>45715</v>
      </c>
      <c r="D1548" t="inlineStr">
        <is>
          <t>KALMAR LÄN</t>
        </is>
      </c>
      <c r="E1548" t="inlineStr">
        <is>
          <t>VÄSTERVIK</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30114-2019</t>
        </is>
      </c>
      <c r="B1549" s="1" t="n">
        <v>43633</v>
      </c>
      <c r="C1549" s="1" t="n">
        <v>45715</v>
      </c>
      <c r="D1549" t="inlineStr">
        <is>
          <t>KALMAR LÄN</t>
        </is>
      </c>
      <c r="E1549" t="inlineStr">
        <is>
          <t>HULTSFRED</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29922-2019</t>
        </is>
      </c>
      <c r="B1550" s="1" t="n">
        <v>43633</v>
      </c>
      <c r="C1550" s="1" t="n">
        <v>45715</v>
      </c>
      <c r="D1550" t="inlineStr">
        <is>
          <t>KALMAR LÄN</t>
        </is>
      </c>
      <c r="E1550" t="inlineStr">
        <is>
          <t>VÄSTERVIK</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30195-2019</t>
        </is>
      </c>
      <c r="B1551" s="1" t="n">
        <v>43634</v>
      </c>
      <c r="C1551" s="1" t="n">
        <v>45715</v>
      </c>
      <c r="D1551" t="inlineStr">
        <is>
          <t>KALMAR LÄN</t>
        </is>
      </c>
      <c r="E1551" t="inlineStr">
        <is>
          <t>NYBRO</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30276-2019</t>
        </is>
      </c>
      <c r="B1552" s="1" t="n">
        <v>43634</v>
      </c>
      <c r="C1552" s="1" t="n">
        <v>45715</v>
      </c>
      <c r="D1552" t="inlineStr">
        <is>
          <t>KALMAR LÄN</t>
        </is>
      </c>
      <c r="E1552" t="inlineStr">
        <is>
          <t>HÖGSBY</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30342-2019</t>
        </is>
      </c>
      <c r="B1553" s="1" t="n">
        <v>43634</v>
      </c>
      <c r="C1553" s="1" t="n">
        <v>45715</v>
      </c>
      <c r="D1553" t="inlineStr">
        <is>
          <t>KALMAR LÄN</t>
        </is>
      </c>
      <c r="E1553" t="inlineStr">
        <is>
          <t>MÖNSTERÅS</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30362-2019</t>
        </is>
      </c>
      <c r="B1554" s="1" t="n">
        <v>43634</v>
      </c>
      <c r="C1554" s="1" t="n">
        <v>45715</v>
      </c>
      <c r="D1554" t="inlineStr">
        <is>
          <t>KALMAR LÄN</t>
        </is>
      </c>
      <c r="E1554" t="inlineStr">
        <is>
          <t>HULTSFRED</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30340-2019</t>
        </is>
      </c>
      <c r="B1555" s="1" t="n">
        <v>43634</v>
      </c>
      <c r="C1555" s="1" t="n">
        <v>45715</v>
      </c>
      <c r="D1555" t="inlineStr">
        <is>
          <t>KALMAR LÄN</t>
        </is>
      </c>
      <c r="E1555" t="inlineStr">
        <is>
          <t>MÖNSTERÅS</t>
        </is>
      </c>
      <c r="G1555" t="n">
        <v>8.6</v>
      </c>
      <c r="H1555" t="n">
        <v>0</v>
      </c>
      <c r="I1555" t="n">
        <v>0</v>
      </c>
      <c r="J1555" t="n">
        <v>0</v>
      </c>
      <c r="K1555" t="n">
        <v>0</v>
      </c>
      <c r="L1555" t="n">
        <v>0</v>
      </c>
      <c r="M1555" t="n">
        <v>0</v>
      </c>
      <c r="N1555" t="n">
        <v>0</v>
      </c>
      <c r="O1555" t="n">
        <v>0</v>
      </c>
      <c r="P1555" t="n">
        <v>0</v>
      </c>
      <c r="Q1555" t="n">
        <v>0</v>
      </c>
      <c r="R1555" s="2" t="inlineStr"/>
    </row>
    <row r="1556" ht="15" customHeight="1">
      <c r="A1556" t="inlineStr">
        <is>
          <t>A 30360-2019</t>
        </is>
      </c>
      <c r="B1556" s="1" t="n">
        <v>43634</v>
      </c>
      <c r="C1556" s="1" t="n">
        <v>45715</v>
      </c>
      <c r="D1556" t="inlineStr">
        <is>
          <t>KALMAR LÄN</t>
        </is>
      </c>
      <c r="E1556" t="inlineStr">
        <is>
          <t>KALMAR</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30475-2019</t>
        </is>
      </c>
      <c r="B1557" s="1" t="n">
        <v>43634</v>
      </c>
      <c r="C1557" s="1" t="n">
        <v>45715</v>
      </c>
      <c r="D1557" t="inlineStr">
        <is>
          <t>KALMAR LÄN</t>
        </is>
      </c>
      <c r="E1557" t="inlineStr">
        <is>
          <t>KALMAR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30366-2019</t>
        </is>
      </c>
      <c r="B1558" s="1" t="n">
        <v>43634</v>
      </c>
      <c r="C1558" s="1" t="n">
        <v>45715</v>
      </c>
      <c r="D1558" t="inlineStr">
        <is>
          <t>KALMAR LÄN</t>
        </is>
      </c>
      <c r="E1558" t="inlineStr">
        <is>
          <t>HULTSFRED</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30466-2019</t>
        </is>
      </c>
      <c r="B1559" s="1" t="n">
        <v>43635</v>
      </c>
      <c r="C1559" s="1" t="n">
        <v>45715</v>
      </c>
      <c r="D1559" t="inlineStr">
        <is>
          <t>KALMAR LÄN</t>
        </is>
      </c>
      <c r="E1559" t="inlineStr">
        <is>
          <t>NYBRO</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30513-2019</t>
        </is>
      </c>
      <c r="B1560" s="1" t="n">
        <v>43635</v>
      </c>
      <c r="C1560" s="1" t="n">
        <v>45715</v>
      </c>
      <c r="D1560" t="inlineStr">
        <is>
          <t>KALMAR LÄN</t>
        </is>
      </c>
      <c r="E1560" t="inlineStr">
        <is>
          <t>HULTSFRED</t>
        </is>
      </c>
      <c r="G1560" t="n">
        <v>8.800000000000001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30589-2019</t>
        </is>
      </c>
      <c r="B1561" s="1" t="n">
        <v>43635</v>
      </c>
      <c r="C1561" s="1" t="n">
        <v>45715</v>
      </c>
      <c r="D1561" t="inlineStr">
        <is>
          <t>KALMAR LÄN</t>
        </is>
      </c>
      <c r="E1561" t="inlineStr">
        <is>
          <t>BORGHOLM</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30517-2019</t>
        </is>
      </c>
      <c r="B1562" s="1" t="n">
        <v>43635</v>
      </c>
      <c r="C1562" s="1" t="n">
        <v>45715</v>
      </c>
      <c r="D1562" t="inlineStr">
        <is>
          <t>KALMAR LÄN</t>
        </is>
      </c>
      <c r="E1562" t="inlineStr">
        <is>
          <t>HULTSFRED</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31027-2019</t>
        </is>
      </c>
      <c r="B1563" s="1" t="n">
        <v>43636</v>
      </c>
      <c r="C1563" s="1" t="n">
        <v>45715</v>
      </c>
      <c r="D1563" t="inlineStr">
        <is>
          <t>KALMAR LÄN</t>
        </is>
      </c>
      <c r="E1563" t="inlineStr">
        <is>
          <t>VIMMERBY</t>
        </is>
      </c>
      <c r="F1563" t="inlineStr">
        <is>
          <t>Övriga statliga verk och myndigheter</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30906-2019</t>
        </is>
      </c>
      <c r="B1564" s="1" t="n">
        <v>43636</v>
      </c>
      <c r="C1564" s="1" t="n">
        <v>45715</v>
      </c>
      <c r="D1564" t="inlineStr">
        <is>
          <t>KALMAR LÄN</t>
        </is>
      </c>
      <c r="E1564" t="inlineStr">
        <is>
          <t>EMMABODA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31021-2019</t>
        </is>
      </c>
      <c r="B1565" s="1" t="n">
        <v>43640</v>
      </c>
      <c r="C1565" s="1" t="n">
        <v>45715</v>
      </c>
      <c r="D1565" t="inlineStr">
        <is>
          <t>KALMAR LÄN</t>
        </is>
      </c>
      <c r="E1565" t="inlineStr">
        <is>
          <t>OSKARSHAMN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31072-2019</t>
        </is>
      </c>
      <c r="B1566" s="1" t="n">
        <v>43640</v>
      </c>
      <c r="C1566" s="1" t="n">
        <v>45715</v>
      </c>
      <c r="D1566" t="inlineStr">
        <is>
          <t>KALMAR LÄN</t>
        </is>
      </c>
      <c r="E1566" t="inlineStr">
        <is>
          <t>VÄSTERVIK</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30979-2019</t>
        </is>
      </c>
      <c r="B1567" s="1" t="n">
        <v>43640</v>
      </c>
      <c r="C1567" s="1" t="n">
        <v>45715</v>
      </c>
      <c r="D1567" t="inlineStr">
        <is>
          <t>KALMAR LÄN</t>
        </is>
      </c>
      <c r="E1567" t="inlineStr">
        <is>
          <t>KALMAR</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30994-2019</t>
        </is>
      </c>
      <c r="B1568" s="1" t="n">
        <v>43640</v>
      </c>
      <c r="C1568" s="1" t="n">
        <v>45715</v>
      </c>
      <c r="D1568" t="inlineStr">
        <is>
          <t>KALMAR LÄN</t>
        </is>
      </c>
      <c r="E1568" t="inlineStr">
        <is>
          <t>VIMMERBY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31020-2019</t>
        </is>
      </c>
      <c r="B1569" s="1" t="n">
        <v>43640</v>
      </c>
      <c r="C1569" s="1" t="n">
        <v>45715</v>
      </c>
      <c r="D1569" t="inlineStr">
        <is>
          <t>KALMAR LÄN</t>
        </is>
      </c>
      <c r="E1569" t="inlineStr">
        <is>
          <t>HULTSFRED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31041-2019</t>
        </is>
      </c>
      <c r="B1570" s="1" t="n">
        <v>43640</v>
      </c>
      <c r="C1570" s="1" t="n">
        <v>45715</v>
      </c>
      <c r="D1570" t="inlineStr">
        <is>
          <t>KALMAR LÄN</t>
        </is>
      </c>
      <c r="E1570" t="inlineStr">
        <is>
          <t>OSKARSHAMN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31104-2019</t>
        </is>
      </c>
      <c r="B1571" s="1" t="n">
        <v>43640</v>
      </c>
      <c r="C1571" s="1" t="n">
        <v>45715</v>
      </c>
      <c r="D1571" t="inlineStr">
        <is>
          <t>KALMAR LÄN</t>
        </is>
      </c>
      <c r="E1571" t="inlineStr">
        <is>
          <t>NYBRO</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31128-2019</t>
        </is>
      </c>
      <c r="B1572" s="1" t="n">
        <v>43640</v>
      </c>
      <c r="C1572" s="1" t="n">
        <v>45715</v>
      </c>
      <c r="D1572" t="inlineStr">
        <is>
          <t>KALMAR LÄN</t>
        </is>
      </c>
      <c r="E1572" t="inlineStr">
        <is>
          <t>OSKARSHAMN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31136-2019</t>
        </is>
      </c>
      <c r="B1573" s="1" t="n">
        <v>43640</v>
      </c>
      <c r="C1573" s="1" t="n">
        <v>45715</v>
      </c>
      <c r="D1573" t="inlineStr">
        <is>
          <t>KALMAR LÄN</t>
        </is>
      </c>
      <c r="E1573" t="inlineStr">
        <is>
          <t>HÖGSBY</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31274-2019</t>
        </is>
      </c>
      <c r="B1574" s="1" t="n">
        <v>43640</v>
      </c>
      <c r="C1574" s="1" t="n">
        <v>45715</v>
      </c>
      <c r="D1574" t="inlineStr">
        <is>
          <t>KALMAR LÄN</t>
        </is>
      </c>
      <c r="E1574" t="inlineStr">
        <is>
          <t>TORSÅS</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31602-2019</t>
        </is>
      </c>
      <c r="B1575" s="1" t="n">
        <v>43640</v>
      </c>
      <c r="C1575" s="1" t="n">
        <v>45715</v>
      </c>
      <c r="D1575" t="inlineStr">
        <is>
          <t>KALMAR LÄN</t>
        </is>
      </c>
      <c r="E1575" t="inlineStr">
        <is>
          <t>KALMAR</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31269-2019</t>
        </is>
      </c>
      <c r="B1576" s="1" t="n">
        <v>43640</v>
      </c>
      <c r="C1576" s="1" t="n">
        <v>45715</v>
      </c>
      <c r="D1576" t="inlineStr">
        <is>
          <t>KALMAR LÄN</t>
        </is>
      </c>
      <c r="E1576" t="inlineStr">
        <is>
          <t>KALMAR</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31272-2019</t>
        </is>
      </c>
      <c r="B1577" s="1" t="n">
        <v>43640</v>
      </c>
      <c r="C1577" s="1" t="n">
        <v>45715</v>
      </c>
      <c r="D1577" t="inlineStr">
        <is>
          <t>KALMAR LÄN</t>
        </is>
      </c>
      <c r="E1577" t="inlineStr">
        <is>
          <t>TORSÅS</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31604-2019</t>
        </is>
      </c>
      <c r="B1578" s="1" t="n">
        <v>43640</v>
      </c>
      <c r="C1578" s="1" t="n">
        <v>45715</v>
      </c>
      <c r="D1578" t="inlineStr">
        <is>
          <t>KALMAR LÄN</t>
        </is>
      </c>
      <c r="E1578" t="inlineStr">
        <is>
          <t>KALMAR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31141-2019</t>
        </is>
      </c>
      <c r="B1579" s="1" t="n">
        <v>43640</v>
      </c>
      <c r="C1579" s="1" t="n">
        <v>45715</v>
      </c>
      <c r="D1579" t="inlineStr">
        <is>
          <t>KALMAR LÄN</t>
        </is>
      </c>
      <c r="E1579" t="inlineStr">
        <is>
          <t>MÖNSTERÅS</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31023-2019</t>
        </is>
      </c>
      <c r="B1580" s="1" t="n">
        <v>43640</v>
      </c>
      <c r="C1580" s="1" t="n">
        <v>45715</v>
      </c>
      <c r="D1580" t="inlineStr">
        <is>
          <t>KALMAR LÄN</t>
        </is>
      </c>
      <c r="E1580" t="inlineStr">
        <is>
          <t>HULTSFRED</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31118-2019</t>
        </is>
      </c>
      <c r="B1581" s="1" t="n">
        <v>43640</v>
      </c>
      <c r="C1581" s="1" t="n">
        <v>45715</v>
      </c>
      <c r="D1581" t="inlineStr">
        <is>
          <t>KALMAR LÄN</t>
        </is>
      </c>
      <c r="E1581" t="inlineStr">
        <is>
          <t>NYBRO</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31509-2019</t>
        </is>
      </c>
      <c r="B1582" s="1" t="n">
        <v>43641</v>
      </c>
      <c r="C1582" s="1" t="n">
        <v>45715</v>
      </c>
      <c r="D1582" t="inlineStr">
        <is>
          <t>KALMAR LÄN</t>
        </is>
      </c>
      <c r="E1582" t="inlineStr">
        <is>
          <t>OSKARSHAMN</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31401-2019</t>
        </is>
      </c>
      <c r="B1583" s="1" t="n">
        <v>43641</v>
      </c>
      <c r="C1583" s="1" t="n">
        <v>45715</v>
      </c>
      <c r="D1583" t="inlineStr">
        <is>
          <t>KALMAR LÄN</t>
        </is>
      </c>
      <c r="E1583" t="inlineStr">
        <is>
          <t>NYBRO</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31820-2019</t>
        </is>
      </c>
      <c r="B1584" s="1" t="n">
        <v>43641</v>
      </c>
      <c r="C1584" s="1" t="n">
        <v>45715</v>
      </c>
      <c r="D1584" t="inlineStr">
        <is>
          <t>KALMAR LÄN</t>
        </is>
      </c>
      <c r="E1584" t="inlineStr">
        <is>
          <t>EMMABODA</t>
        </is>
      </c>
      <c r="F1584" t="inlineStr">
        <is>
          <t>Kommuner</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31541-2019</t>
        </is>
      </c>
      <c r="B1585" s="1" t="n">
        <v>43641</v>
      </c>
      <c r="C1585" s="1" t="n">
        <v>45715</v>
      </c>
      <c r="D1585" t="inlineStr">
        <is>
          <t>KALMAR LÄN</t>
        </is>
      </c>
      <c r="E1585" t="inlineStr">
        <is>
          <t>EMMABODA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31802-2019</t>
        </is>
      </c>
      <c r="B1586" s="1" t="n">
        <v>43641</v>
      </c>
      <c r="C1586" s="1" t="n">
        <v>45715</v>
      </c>
      <c r="D1586" t="inlineStr">
        <is>
          <t>KALMAR LÄN</t>
        </is>
      </c>
      <c r="E1586" t="inlineStr">
        <is>
          <t>NYBRO</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31863-2019</t>
        </is>
      </c>
      <c r="B1587" s="1" t="n">
        <v>43641</v>
      </c>
      <c r="C1587" s="1" t="n">
        <v>45715</v>
      </c>
      <c r="D1587" t="inlineStr">
        <is>
          <t>KALMAR LÄN</t>
        </is>
      </c>
      <c r="E1587" t="inlineStr">
        <is>
          <t>HULTSFRED</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31646-2019</t>
        </is>
      </c>
      <c r="B1588" s="1" t="n">
        <v>43642</v>
      </c>
      <c r="C1588" s="1" t="n">
        <v>45715</v>
      </c>
      <c r="D1588" t="inlineStr">
        <is>
          <t>KALMAR LÄN</t>
        </is>
      </c>
      <c r="E1588" t="inlineStr">
        <is>
          <t>EMMABODA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31665-2019</t>
        </is>
      </c>
      <c r="B1589" s="1" t="n">
        <v>43642</v>
      </c>
      <c r="C1589" s="1" t="n">
        <v>45715</v>
      </c>
      <c r="D1589" t="inlineStr">
        <is>
          <t>KALMAR LÄN</t>
        </is>
      </c>
      <c r="E1589" t="inlineStr">
        <is>
          <t>HULTSFRED</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31735-2019</t>
        </is>
      </c>
      <c r="B1590" s="1" t="n">
        <v>43642</v>
      </c>
      <c r="C1590" s="1" t="n">
        <v>45715</v>
      </c>
      <c r="D1590" t="inlineStr">
        <is>
          <t>KALMAR LÄN</t>
        </is>
      </c>
      <c r="E1590" t="inlineStr">
        <is>
          <t>TORSÅS</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31856-2019</t>
        </is>
      </c>
      <c r="B1591" s="1" t="n">
        <v>43642</v>
      </c>
      <c r="C1591" s="1" t="n">
        <v>45715</v>
      </c>
      <c r="D1591" t="inlineStr">
        <is>
          <t>KALMAR LÄN</t>
        </is>
      </c>
      <c r="E1591" t="inlineStr">
        <is>
          <t>EMMABODA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31859-2019</t>
        </is>
      </c>
      <c r="B1592" s="1" t="n">
        <v>43642</v>
      </c>
      <c r="C1592" s="1" t="n">
        <v>45715</v>
      </c>
      <c r="D1592" t="inlineStr">
        <is>
          <t>KALMAR LÄN</t>
        </is>
      </c>
      <c r="E1592" t="inlineStr">
        <is>
          <t>VIMMERBY</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32043-2019</t>
        </is>
      </c>
      <c r="B1593" s="1" t="n">
        <v>43643</v>
      </c>
      <c r="C1593" s="1" t="n">
        <v>45715</v>
      </c>
      <c r="D1593" t="inlineStr">
        <is>
          <t>KALMAR LÄN</t>
        </is>
      </c>
      <c r="E1593" t="inlineStr">
        <is>
          <t>KALMAR</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32010-2019</t>
        </is>
      </c>
      <c r="B1594" s="1" t="n">
        <v>43643</v>
      </c>
      <c r="C1594" s="1" t="n">
        <v>45715</v>
      </c>
      <c r="D1594" t="inlineStr">
        <is>
          <t>KALMAR LÄN</t>
        </is>
      </c>
      <c r="E1594" t="inlineStr">
        <is>
          <t>HULTSFRED</t>
        </is>
      </c>
      <c r="G1594" t="n">
        <v>7.6</v>
      </c>
      <c r="H1594" t="n">
        <v>0</v>
      </c>
      <c r="I1594" t="n">
        <v>0</v>
      </c>
      <c r="J1594" t="n">
        <v>0</v>
      </c>
      <c r="K1594" t="n">
        <v>0</v>
      </c>
      <c r="L1594" t="n">
        <v>0</v>
      </c>
      <c r="M1594" t="n">
        <v>0</v>
      </c>
      <c r="N1594" t="n">
        <v>0</v>
      </c>
      <c r="O1594" t="n">
        <v>0</v>
      </c>
      <c r="P1594" t="n">
        <v>0</v>
      </c>
      <c r="Q1594" t="n">
        <v>0</v>
      </c>
      <c r="R1594" s="2" t="inlineStr"/>
    </row>
    <row r="1595" ht="15" customHeight="1">
      <c r="A1595" t="inlineStr">
        <is>
          <t>A 32045-2019</t>
        </is>
      </c>
      <c r="B1595" s="1" t="n">
        <v>43643</v>
      </c>
      <c r="C1595" s="1" t="n">
        <v>45715</v>
      </c>
      <c r="D1595" t="inlineStr">
        <is>
          <t>KALMAR LÄN</t>
        </is>
      </c>
      <c r="E1595" t="inlineStr">
        <is>
          <t>VÄSTERVIK</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32052-2019</t>
        </is>
      </c>
      <c r="B1596" s="1" t="n">
        <v>43643</v>
      </c>
      <c r="C1596" s="1" t="n">
        <v>45715</v>
      </c>
      <c r="D1596" t="inlineStr">
        <is>
          <t>KALMAR LÄN</t>
        </is>
      </c>
      <c r="E1596" t="inlineStr">
        <is>
          <t>VÄSTERVIK</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32086-2019</t>
        </is>
      </c>
      <c r="B1597" s="1" t="n">
        <v>43643</v>
      </c>
      <c r="C1597" s="1" t="n">
        <v>45715</v>
      </c>
      <c r="D1597" t="inlineStr">
        <is>
          <t>KALMAR LÄN</t>
        </is>
      </c>
      <c r="E1597" t="inlineStr">
        <is>
          <t>TORSÅS</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32122-2019</t>
        </is>
      </c>
      <c r="B1598" s="1" t="n">
        <v>43643</v>
      </c>
      <c r="C1598" s="1" t="n">
        <v>45715</v>
      </c>
      <c r="D1598" t="inlineStr">
        <is>
          <t>KALMAR LÄN</t>
        </is>
      </c>
      <c r="E1598" t="inlineStr">
        <is>
          <t>NYBRO</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32048-2019</t>
        </is>
      </c>
      <c r="B1599" s="1" t="n">
        <v>43643</v>
      </c>
      <c r="C1599" s="1" t="n">
        <v>45715</v>
      </c>
      <c r="D1599" t="inlineStr">
        <is>
          <t>KALMAR LÄN</t>
        </is>
      </c>
      <c r="E1599" t="inlineStr">
        <is>
          <t>VÄSTERVIK</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32152-2019</t>
        </is>
      </c>
      <c r="B1600" s="1" t="n">
        <v>43643</v>
      </c>
      <c r="C1600" s="1" t="n">
        <v>45715</v>
      </c>
      <c r="D1600" t="inlineStr">
        <is>
          <t>KALMAR LÄN</t>
        </is>
      </c>
      <c r="E1600" t="inlineStr">
        <is>
          <t>NYBRO</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31935-2019</t>
        </is>
      </c>
      <c r="B1601" s="1" t="n">
        <v>43643</v>
      </c>
      <c r="C1601" s="1" t="n">
        <v>45715</v>
      </c>
      <c r="D1601" t="inlineStr">
        <is>
          <t>KALMAR LÄN</t>
        </is>
      </c>
      <c r="E1601" t="inlineStr">
        <is>
          <t>TORSÅS</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32323-2019</t>
        </is>
      </c>
      <c r="B1602" s="1" t="n">
        <v>43644</v>
      </c>
      <c r="C1602" s="1" t="n">
        <v>45715</v>
      </c>
      <c r="D1602" t="inlineStr">
        <is>
          <t>KALMAR LÄN</t>
        </is>
      </c>
      <c r="E1602" t="inlineStr">
        <is>
          <t>OSKARSHAMN</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32384-2019</t>
        </is>
      </c>
      <c r="B1603" s="1" t="n">
        <v>43644</v>
      </c>
      <c r="C1603" s="1" t="n">
        <v>45715</v>
      </c>
      <c r="D1603" t="inlineStr">
        <is>
          <t>KALMAR LÄN</t>
        </is>
      </c>
      <c r="E1603" t="inlineStr">
        <is>
          <t>HULTSFRED</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32329-2019</t>
        </is>
      </c>
      <c r="B1604" s="1" t="n">
        <v>43644</v>
      </c>
      <c r="C1604" s="1" t="n">
        <v>45715</v>
      </c>
      <c r="D1604" t="inlineStr">
        <is>
          <t>KALMAR LÄN</t>
        </is>
      </c>
      <c r="E1604" t="inlineStr">
        <is>
          <t>OSKARSHAMN</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33750-2019</t>
        </is>
      </c>
      <c r="B1605" s="1" t="n">
        <v>43644</v>
      </c>
      <c r="C1605" s="1" t="n">
        <v>45715</v>
      </c>
      <c r="D1605" t="inlineStr">
        <is>
          <t>KALMAR LÄN</t>
        </is>
      </c>
      <c r="E1605" t="inlineStr">
        <is>
          <t>MÖRBYLÅNGA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32509-2019</t>
        </is>
      </c>
      <c r="B1606" s="1" t="n">
        <v>43645</v>
      </c>
      <c r="C1606" s="1" t="n">
        <v>45715</v>
      </c>
      <c r="D1606" t="inlineStr">
        <is>
          <t>KALMAR LÄN</t>
        </is>
      </c>
      <c r="E1606" t="inlineStr">
        <is>
          <t>TORSÅS</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32522-2019</t>
        </is>
      </c>
      <c r="B1607" s="1" t="n">
        <v>43646</v>
      </c>
      <c r="C1607" s="1" t="n">
        <v>45715</v>
      </c>
      <c r="D1607" t="inlineStr">
        <is>
          <t>KALMAR LÄN</t>
        </is>
      </c>
      <c r="E1607" t="inlineStr">
        <is>
          <t>VÄSTERVIK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32521-2019</t>
        </is>
      </c>
      <c r="B1608" s="1" t="n">
        <v>43646</v>
      </c>
      <c r="C1608" s="1" t="n">
        <v>45715</v>
      </c>
      <c r="D1608" t="inlineStr">
        <is>
          <t>KALMAR LÄN</t>
        </is>
      </c>
      <c r="E1608" t="inlineStr">
        <is>
          <t>VÄSTERVIK</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32524-2019</t>
        </is>
      </c>
      <c r="B1609" s="1" t="n">
        <v>43646</v>
      </c>
      <c r="C1609" s="1" t="n">
        <v>45715</v>
      </c>
      <c r="D1609" t="inlineStr">
        <is>
          <t>KALMAR LÄN</t>
        </is>
      </c>
      <c r="E1609" t="inlineStr">
        <is>
          <t>VÄSTERVIK</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32523-2019</t>
        </is>
      </c>
      <c r="B1610" s="1" t="n">
        <v>43646</v>
      </c>
      <c r="C1610" s="1" t="n">
        <v>45715</v>
      </c>
      <c r="D1610" t="inlineStr">
        <is>
          <t>KALMAR LÄN</t>
        </is>
      </c>
      <c r="E1610" t="inlineStr">
        <is>
          <t>VÄSTERVIK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32556-2019</t>
        </is>
      </c>
      <c r="B1611" s="1" t="n">
        <v>43647</v>
      </c>
      <c r="C1611" s="1" t="n">
        <v>45715</v>
      </c>
      <c r="D1611" t="inlineStr">
        <is>
          <t>KALMAR LÄN</t>
        </is>
      </c>
      <c r="E1611" t="inlineStr">
        <is>
          <t>HÖGSBY</t>
        </is>
      </c>
      <c r="F1611" t="inlineStr">
        <is>
          <t>Sveaskog</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32595-2019</t>
        </is>
      </c>
      <c r="B1612" s="1" t="n">
        <v>43647</v>
      </c>
      <c r="C1612" s="1" t="n">
        <v>45715</v>
      </c>
      <c r="D1612" t="inlineStr">
        <is>
          <t>KALMAR LÄN</t>
        </is>
      </c>
      <c r="E1612" t="inlineStr">
        <is>
          <t>OSKARSHAMN</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32727-2019</t>
        </is>
      </c>
      <c r="B1613" s="1" t="n">
        <v>43647</v>
      </c>
      <c r="C1613" s="1" t="n">
        <v>45715</v>
      </c>
      <c r="D1613" t="inlineStr">
        <is>
          <t>KALMAR LÄN</t>
        </is>
      </c>
      <c r="E1613" t="inlineStr">
        <is>
          <t>EMMABODA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32715-2019</t>
        </is>
      </c>
      <c r="B1614" s="1" t="n">
        <v>43647</v>
      </c>
      <c r="C1614" s="1" t="n">
        <v>45715</v>
      </c>
      <c r="D1614" t="inlineStr">
        <is>
          <t>KALMAR LÄN</t>
        </is>
      </c>
      <c r="E1614" t="inlineStr">
        <is>
          <t>HULTSFRED</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32836-2019</t>
        </is>
      </c>
      <c r="B1615" s="1" t="n">
        <v>43648</v>
      </c>
      <c r="C1615" s="1" t="n">
        <v>45715</v>
      </c>
      <c r="D1615" t="inlineStr">
        <is>
          <t>KALMAR LÄN</t>
        </is>
      </c>
      <c r="E1615" t="inlineStr">
        <is>
          <t>TORSÅS</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32913-2019</t>
        </is>
      </c>
      <c r="B1616" s="1" t="n">
        <v>43648</v>
      </c>
      <c r="C1616" s="1" t="n">
        <v>45715</v>
      </c>
      <c r="D1616" t="inlineStr">
        <is>
          <t>KALMAR LÄN</t>
        </is>
      </c>
      <c r="E1616" t="inlineStr">
        <is>
          <t>OSKARSHAMN</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32837-2019</t>
        </is>
      </c>
      <c r="B1617" s="1" t="n">
        <v>43648</v>
      </c>
      <c r="C1617" s="1" t="n">
        <v>45715</v>
      </c>
      <c r="D1617" t="inlineStr">
        <is>
          <t>KALMAR LÄN</t>
        </is>
      </c>
      <c r="E1617" t="inlineStr">
        <is>
          <t>TORSÅS</t>
        </is>
      </c>
      <c r="G1617" t="n">
        <v>11.9</v>
      </c>
      <c r="H1617" t="n">
        <v>0</v>
      </c>
      <c r="I1617" t="n">
        <v>0</v>
      </c>
      <c r="J1617" t="n">
        <v>0</v>
      </c>
      <c r="K1617" t="n">
        <v>0</v>
      </c>
      <c r="L1617" t="n">
        <v>0</v>
      </c>
      <c r="M1617" t="n">
        <v>0</v>
      </c>
      <c r="N1617" t="n">
        <v>0</v>
      </c>
      <c r="O1617" t="n">
        <v>0</v>
      </c>
      <c r="P1617" t="n">
        <v>0</v>
      </c>
      <c r="Q1617" t="n">
        <v>0</v>
      </c>
      <c r="R1617" s="2" t="inlineStr"/>
    </row>
    <row r="1618" ht="15" customHeight="1">
      <c r="A1618" t="inlineStr">
        <is>
          <t>A 32911-2019</t>
        </is>
      </c>
      <c r="B1618" s="1" t="n">
        <v>43648</v>
      </c>
      <c r="C1618" s="1" t="n">
        <v>45715</v>
      </c>
      <c r="D1618" t="inlineStr">
        <is>
          <t>KALMAR LÄN</t>
        </is>
      </c>
      <c r="E1618" t="inlineStr">
        <is>
          <t>VIMMERBY</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32756-2019</t>
        </is>
      </c>
      <c r="B1619" s="1" t="n">
        <v>43648</v>
      </c>
      <c r="C1619" s="1" t="n">
        <v>45715</v>
      </c>
      <c r="D1619" t="inlineStr">
        <is>
          <t>KALMAR LÄN</t>
        </is>
      </c>
      <c r="E1619" t="inlineStr">
        <is>
          <t>KALMAR</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32771-2019</t>
        </is>
      </c>
      <c r="B1620" s="1" t="n">
        <v>43648</v>
      </c>
      <c r="C1620" s="1" t="n">
        <v>45715</v>
      </c>
      <c r="D1620" t="inlineStr">
        <is>
          <t>KALMAR LÄN</t>
        </is>
      </c>
      <c r="E1620" t="inlineStr">
        <is>
          <t>NYBRO</t>
        </is>
      </c>
      <c r="F1620" t="inlineStr">
        <is>
          <t>Sveaskog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32924-2019</t>
        </is>
      </c>
      <c r="B1621" s="1" t="n">
        <v>43648</v>
      </c>
      <c r="C1621" s="1" t="n">
        <v>45715</v>
      </c>
      <c r="D1621" t="inlineStr">
        <is>
          <t>KALMAR LÄN</t>
        </is>
      </c>
      <c r="E1621" t="inlineStr">
        <is>
          <t>VIMMERBY</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32958-2019</t>
        </is>
      </c>
      <c r="B1622" s="1" t="n">
        <v>43648</v>
      </c>
      <c r="C1622" s="1" t="n">
        <v>45715</v>
      </c>
      <c r="D1622" t="inlineStr">
        <is>
          <t>KALMAR LÄN</t>
        </is>
      </c>
      <c r="E1622" t="inlineStr">
        <is>
          <t>TORSÅS</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32918-2019</t>
        </is>
      </c>
      <c r="B1623" s="1" t="n">
        <v>43648</v>
      </c>
      <c r="C1623" s="1" t="n">
        <v>45715</v>
      </c>
      <c r="D1623" t="inlineStr">
        <is>
          <t>KALMAR LÄN</t>
        </is>
      </c>
      <c r="E1623" t="inlineStr">
        <is>
          <t>VIMMERBY</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32910-2019</t>
        </is>
      </c>
      <c r="B1624" s="1" t="n">
        <v>43648</v>
      </c>
      <c r="C1624" s="1" t="n">
        <v>45715</v>
      </c>
      <c r="D1624" t="inlineStr">
        <is>
          <t>KALMAR LÄN</t>
        </is>
      </c>
      <c r="E1624" t="inlineStr">
        <is>
          <t>VIMMERBY</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34727-2019</t>
        </is>
      </c>
      <c r="B1625" s="1" t="n">
        <v>43648</v>
      </c>
      <c r="C1625" s="1" t="n">
        <v>45715</v>
      </c>
      <c r="D1625" t="inlineStr">
        <is>
          <t>KALMAR LÄN</t>
        </is>
      </c>
      <c r="E1625" t="inlineStr">
        <is>
          <t>MÖNSTERÅS</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32906-2019</t>
        </is>
      </c>
      <c r="B1626" s="1" t="n">
        <v>43648</v>
      </c>
      <c r="C1626" s="1" t="n">
        <v>45715</v>
      </c>
      <c r="D1626" t="inlineStr">
        <is>
          <t>KALMAR LÄN</t>
        </is>
      </c>
      <c r="E1626" t="inlineStr">
        <is>
          <t>OSKARSHAMN</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32840-2019</t>
        </is>
      </c>
      <c r="B1627" s="1" t="n">
        <v>43648</v>
      </c>
      <c r="C1627" s="1" t="n">
        <v>45715</v>
      </c>
      <c r="D1627" t="inlineStr">
        <is>
          <t>KALMAR LÄN</t>
        </is>
      </c>
      <c r="E1627" t="inlineStr">
        <is>
          <t>TORSÅS</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32991-2019</t>
        </is>
      </c>
      <c r="B1628" s="1" t="n">
        <v>43649</v>
      </c>
      <c r="C1628" s="1" t="n">
        <v>45715</v>
      </c>
      <c r="D1628" t="inlineStr">
        <is>
          <t>KALMAR LÄN</t>
        </is>
      </c>
      <c r="E1628" t="inlineStr">
        <is>
          <t>HÖGSBY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33162-2019</t>
        </is>
      </c>
      <c r="B1629" s="1" t="n">
        <v>43649</v>
      </c>
      <c r="C1629" s="1" t="n">
        <v>45715</v>
      </c>
      <c r="D1629" t="inlineStr">
        <is>
          <t>KALMAR LÄN</t>
        </is>
      </c>
      <c r="E1629" t="inlineStr">
        <is>
          <t>NYBRO</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33086-2019</t>
        </is>
      </c>
      <c r="B1630" s="1" t="n">
        <v>43649</v>
      </c>
      <c r="C1630" s="1" t="n">
        <v>45715</v>
      </c>
      <c r="D1630" t="inlineStr">
        <is>
          <t>KALMAR LÄN</t>
        </is>
      </c>
      <c r="E1630" t="inlineStr">
        <is>
          <t>OSKARSHAMN</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33126-2019</t>
        </is>
      </c>
      <c r="B1631" s="1" t="n">
        <v>43649</v>
      </c>
      <c r="C1631" s="1" t="n">
        <v>45715</v>
      </c>
      <c r="D1631" t="inlineStr">
        <is>
          <t>KALMAR LÄN</t>
        </is>
      </c>
      <c r="E1631" t="inlineStr">
        <is>
          <t>NYBRO</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33076-2019</t>
        </is>
      </c>
      <c r="B1632" s="1" t="n">
        <v>43649</v>
      </c>
      <c r="C1632" s="1" t="n">
        <v>45715</v>
      </c>
      <c r="D1632" t="inlineStr">
        <is>
          <t>KALMAR LÄN</t>
        </is>
      </c>
      <c r="E1632" t="inlineStr">
        <is>
          <t>OSKARSHAMN</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34765-2019</t>
        </is>
      </c>
      <c r="B1633" s="1" t="n">
        <v>43649</v>
      </c>
      <c r="C1633" s="1" t="n">
        <v>45715</v>
      </c>
      <c r="D1633" t="inlineStr">
        <is>
          <t>KALMAR LÄN</t>
        </is>
      </c>
      <c r="E1633" t="inlineStr">
        <is>
          <t>VIMMERBY</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33145-2019</t>
        </is>
      </c>
      <c r="B1634" s="1" t="n">
        <v>43649</v>
      </c>
      <c r="C1634" s="1" t="n">
        <v>45715</v>
      </c>
      <c r="D1634" t="inlineStr">
        <is>
          <t>KALMAR LÄN</t>
        </is>
      </c>
      <c r="E1634" t="inlineStr">
        <is>
          <t>NYBRO</t>
        </is>
      </c>
      <c r="F1634" t="inlineStr">
        <is>
          <t>Kyrkan</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33035-2019</t>
        </is>
      </c>
      <c r="B1635" s="1" t="n">
        <v>43649</v>
      </c>
      <c r="C1635" s="1" t="n">
        <v>45715</v>
      </c>
      <c r="D1635" t="inlineStr">
        <is>
          <t>KALMAR LÄN</t>
        </is>
      </c>
      <c r="E1635" t="inlineStr">
        <is>
          <t>HÖGSBY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32989-2019</t>
        </is>
      </c>
      <c r="B1636" s="1" t="n">
        <v>43649</v>
      </c>
      <c r="C1636" s="1" t="n">
        <v>45715</v>
      </c>
      <c r="D1636" t="inlineStr">
        <is>
          <t>KALMAR LÄN</t>
        </is>
      </c>
      <c r="E1636" t="inlineStr">
        <is>
          <t>HÖGSBY</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33411-2019</t>
        </is>
      </c>
      <c r="B1637" s="1" t="n">
        <v>43650</v>
      </c>
      <c r="C1637" s="1" t="n">
        <v>45715</v>
      </c>
      <c r="D1637" t="inlineStr">
        <is>
          <t>KALMAR LÄN</t>
        </is>
      </c>
      <c r="E1637" t="inlineStr">
        <is>
          <t>VIMMERBY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33435-2019</t>
        </is>
      </c>
      <c r="B1638" s="1" t="n">
        <v>43650</v>
      </c>
      <c r="C1638" s="1" t="n">
        <v>45715</v>
      </c>
      <c r="D1638" t="inlineStr">
        <is>
          <t>KALMAR LÄN</t>
        </is>
      </c>
      <c r="E1638" t="inlineStr">
        <is>
          <t>NYBRO</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33457-2019</t>
        </is>
      </c>
      <c r="B1639" s="1" t="n">
        <v>43650</v>
      </c>
      <c r="C1639" s="1" t="n">
        <v>45715</v>
      </c>
      <c r="D1639" t="inlineStr">
        <is>
          <t>KALMAR LÄN</t>
        </is>
      </c>
      <c r="E1639" t="inlineStr">
        <is>
          <t>TORSÅS</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33410-2019</t>
        </is>
      </c>
      <c r="B1640" s="1" t="n">
        <v>43650</v>
      </c>
      <c r="C1640" s="1" t="n">
        <v>45715</v>
      </c>
      <c r="D1640" t="inlineStr">
        <is>
          <t>KALMAR LÄN</t>
        </is>
      </c>
      <c r="E1640" t="inlineStr">
        <is>
          <t>VIMMERBY</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35253-2019</t>
        </is>
      </c>
      <c r="B1641" s="1" t="n">
        <v>43651</v>
      </c>
      <c r="C1641" s="1" t="n">
        <v>45715</v>
      </c>
      <c r="D1641" t="inlineStr">
        <is>
          <t>KALMAR LÄN</t>
        </is>
      </c>
      <c r="E1641" t="inlineStr">
        <is>
          <t>TORSÅS</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33752-2019</t>
        </is>
      </c>
      <c r="B1642" s="1" t="n">
        <v>43651</v>
      </c>
      <c r="C1642" s="1" t="n">
        <v>45715</v>
      </c>
      <c r="D1642" t="inlineStr">
        <is>
          <t>KALMAR LÄN</t>
        </is>
      </c>
      <c r="E1642" t="inlineStr">
        <is>
          <t>VÄSTERVIK</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33738-2019</t>
        </is>
      </c>
      <c r="B1643" s="1" t="n">
        <v>43651</v>
      </c>
      <c r="C1643" s="1" t="n">
        <v>45715</v>
      </c>
      <c r="D1643" t="inlineStr">
        <is>
          <t>KALMAR LÄN</t>
        </is>
      </c>
      <c r="E1643" t="inlineStr">
        <is>
          <t>VÄSTERVIK</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35259-2019</t>
        </is>
      </c>
      <c r="B1644" s="1" t="n">
        <v>43651</v>
      </c>
      <c r="C1644" s="1" t="n">
        <v>45715</v>
      </c>
      <c r="D1644" t="inlineStr">
        <is>
          <t>KALMAR LÄN</t>
        </is>
      </c>
      <c r="E1644" t="inlineStr">
        <is>
          <t>VIMMERBY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35384-2019</t>
        </is>
      </c>
      <c r="B1645" s="1" t="n">
        <v>43651</v>
      </c>
      <c r="C1645" s="1" t="n">
        <v>45715</v>
      </c>
      <c r="D1645" t="inlineStr">
        <is>
          <t>KALMAR LÄN</t>
        </is>
      </c>
      <c r="E1645" t="inlineStr">
        <is>
          <t>HÖGSBY</t>
        </is>
      </c>
      <c r="F1645" t="inlineStr">
        <is>
          <t>Kommuner</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33741-2019</t>
        </is>
      </c>
      <c r="B1646" s="1" t="n">
        <v>43651</v>
      </c>
      <c r="C1646" s="1" t="n">
        <v>45715</v>
      </c>
      <c r="D1646" t="inlineStr">
        <is>
          <t>KALMAR LÄN</t>
        </is>
      </c>
      <c r="E1646" t="inlineStr">
        <is>
          <t>VÄSTERVIK</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33869-2019</t>
        </is>
      </c>
      <c r="B1647" s="1" t="n">
        <v>43652</v>
      </c>
      <c r="C1647" s="1" t="n">
        <v>45715</v>
      </c>
      <c r="D1647" t="inlineStr">
        <is>
          <t>KALMAR LÄN</t>
        </is>
      </c>
      <c r="E1647" t="inlineStr">
        <is>
          <t>VIMMERBY</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33927-2019</t>
        </is>
      </c>
      <c r="B1648" s="1" t="n">
        <v>43654</v>
      </c>
      <c r="C1648" s="1" t="n">
        <v>45715</v>
      </c>
      <c r="D1648" t="inlineStr">
        <is>
          <t>KALMAR LÄN</t>
        </is>
      </c>
      <c r="E1648" t="inlineStr">
        <is>
          <t>OSKARSHAMN</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33929-2019</t>
        </is>
      </c>
      <c r="B1649" s="1" t="n">
        <v>43654</v>
      </c>
      <c r="C1649" s="1" t="n">
        <v>45715</v>
      </c>
      <c r="D1649" t="inlineStr">
        <is>
          <t>KALMAR LÄN</t>
        </is>
      </c>
      <c r="E1649" t="inlineStr">
        <is>
          <t>OSKARSHAMN</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33989-2019</t>
        </is>
      </c>
      <c r="B1650" s="1" t="n">
        <v>43654</v>
      </c>
      <c r="C1650" s="1" t="n">
        <v>45715</v>
      </c>
      <c r="D1650" t="inlineStr">
        <is>
          <t>KALMAR LÄN</t>
        </is>
      </c>
      <c r="E1650" t="inlineStr">
        <is>
          <t>HULTSFRED</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35407-2019</t>
        </is>
      </c>
      <c r="B1651" s="1" t="n">
        <v>43654</v>
      </c>
      <c r="C1651" s="1" t="n">
        <v>45715</v>
      </c>
      <c r="D1651" t="inlineStr">
        <is>
          <t>KALMAR LÄN</t>
        </is>
      </c>
      <c r="E1651" t="inlineStr">
        <is>
          <t>EMMABODA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34241-2019</t>
        </is>
      </c>
      <c r="B1652" s="1" t="n">
        <v>43655</v>
      </c>
      <c r="C1652" s="1" t="n">
        <v>45715</v>
      </c>
      <c r="D1652" t="inlineStr">
        <is>
          <t>KALMAR LÄN</t>
        </is>
      </c>
      <c r="E1652" t="inlineStr">
        <is>
          <t>VIMMERBY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34245-2019</t>
        </is>
      </c>
      <c r="B1653" s="1" t="n">
        <v>43655</v>
      </c>
      <c r="C1653" s="1" t="n">
        <v>45715</v>
      </c>
      <c r="D1653" t="inlineStr">
        <is>
          <t>KALMAR LÄN</t>
        </is>
      </c>
      <c r="E1653" t="inlineStr">
        <is>
          <t>OSKARSHAMN</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34244-2019</t>
        </is>
      </c>
      <c r="B1654" s="1" t="n">
        <v>43655</v>
      </c>
      <c r="C1654" s="1" t="n">
        <v>45715</v>
      </c>
      <c r="D1654" t="inlineStr">
        <is>
          <t>KALMAR LÄN</t>
        </is>
      </c>
      <c r="E1654" t="inlineStr">
        <is>
          <t>VIMMERBY</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34273-2019</t>
        </is>
      </c>
      <c r="B1655" s="1" t="n">
        <v>43655</v>
      </c>
      <c r="C1655" s="1" t="n">
        <v>45715</v>
      </c>
      <c r="D1655" t="inlineStr">
        <is>
          <t>KALMAR LÄN</t>
        </is>
      </c>
      <c r="E1655" t="inlineStr">
        <is>
          <t>VIMMERBY</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35701-2019</t>
        </is>
      </c>
      <c r="B1656" s="1" t="n">
        <v>43655</v>
      </c>
      <c r="C1656" s="1" t="n">
        <v>45715</v>
      </c>
      <c r="D1656" t="inlineStr">
        <is>
          <t>KALMAR LÄN</t>
        </is>
      </c>
      <c r="E1656" t="inlineStr">
        <is>
          <t>VIMMERBY</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35627-2019</t>
        </is>
      </c>
      <c r="B1657" s="1" t="n">
        <v>43655</v>
      </c>
      <c r="C1657" s="1" t="n">
        <v>45715</v>
      </c>
      <c r="D1657" t="inlineStr">
        <is>
          <t>KALMAR LÄN</t>
        </is>
      </c>
      <c r="E1657" t="inlineStr">
        <is>
          <t>MÖNSTERÅS</t>
        </is>
      </c>
      <c r="F1657" t="inlineStr">
        <is>
          <t>Övriga Aktiebolag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35596-2019</t>
        </is>
      </c>
      <c r="B1658" s="1" t="n">
        <v>43655</v>
      </c>
      <c r="C1658" s="1" t="n">
        <v>45715</v>
      </c>
      <c r="D1658" t="inlineStr">
        <is>
          <t>KALMAR LÄN</t>
        </is>
      </c>
      <c r="E1658" t="inlineStr">
        <is>
          <t>MÖNSTERÅS</t>
        </is>
      </c>
      <c r="F1658" t="inlineStr">
        <is>
          <t>Övriga Aktiebolag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35602-2019</t>
        </is>
      </c>
      <c r="B1659" s="1" t="n">
        <v>43655</v>
      </c>
      <c r="C1659" s="1" t="n">
        <v>45715</v>
      </c>
      <c r="D1659" t="inlineStr">
        <is>
          <t>KALMAR LÄN</t>
        </is>
      </c>
      <c r="E1659" t="inlineStr">
        <is>
          <t>MÖNSTERÅS</t>
        </is>
      </c>
      <c r="F1659" t="inlineStr">
        <is>
          <t>Övriga Aktiebolag</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35645-2019</t>
        </is>
      </c>
      <c r="B1660" s="1" t="n">
        <v>43655</v>
      </c>
      <c r="C1660" s="1" t="n">
        <v>45715</v>
      </c>
      <c r="D1660" t="inlineStr">
        <is>
          <t>KALMAR LÄN</t>
        </is>
      </c>
      <c r="E1660" t="inlineStr">
        <is>
          <t>MÖNSTERÅS</t>
        </is>
      </c>
      <c r="F1660" t="inlineStr">
        <is>
          <t>Övriga Aktiebolag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35637-2019</t>
        </is>
      </c>
      <c r="B1661" s="1" t="n">
        <v>43655</v>
      </c>
      <c r="C1661" s="1" t="n">
        <v>45715</v>
      </c>
      <c r="D1661" t="inlineStr">
        <is>
          <t>KALMAR LÄN</t>
        </is>
      </c>
      <c r="E1661" t="inlineStr">
        <is>
          <t>MÖNSTERÅS</t>
        </is>
      </c>
      <c r="F1661" t="inlineStr">
        <is>
          <t>Övriga Aktiebolag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34350-2019</t>
        </is>
      </c>
      <c r="B1662" s="1" t="n">
        <v>43656</v>
      </c>
      <c r="C1662" s="1" t="n">
        <v>45715</v>
      </c>
      <c r="D1662" t="inlineStr">
        <is>
          <t>KALMAR LÄN</t>
        </is>
      </c>
      <c r="E1662" t="inlineStr">
        <is>
          <t>KALMAR</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35283-2019</t>
        </is>
      </c>
      <c r="B1663" s="1" t="n">
        <v>43656</v>
      </c>
      <c r="C1663" s="1" t="n">
        <v>45715</v>
      </c>
      <c r="D1663" t="inlineStr">
        <is>
          <t>KALMAR LÄN</t>
        </is>
      </c>
      <c r="E1663" t="inlineStr">
        <is>
          <t>VÄSTERVIK</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35284-2019</t>
        </is>
      </c>
      <c r="B1664" s="1" t="n">
        <v>43656</v>
      </c>
      <c r="C1664" s="1" t="n">
        <v>45715</v>
      </c>
      <c r="D1664" t="inlineStr">
        <is>
          <t>KALMAR LÄN</t>
        </is>
      </c>
      <c r="E1664" t="inlineStr">
        <is>
          <t>VÄSTERVIK</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34416-2019</t>
        </is>
      </c>
      <c r="B1665" s="1" t="n">
        <v>43656</v>
      </c>
      <c r="C1665" s="1" t="n">
        <v>45715</v>
      </c>
      <c r="D1665" t="inlineStr">
        <is>
          <t>KALMAR LÄN</t>
        </is>
      </c>
      <c r="E1665" t="inlineStr">
        <is>
          <t>HULTSFRED</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35285-2019</t>
        </is>
      </c>
      <c r="B1666" s="1" t="n">
        <v>43656</v>
      </c>
      <c r="C1666" s="1" t="n">
        <v>45715</v>
      </c>
      <c r="D1666" t="inlineStr">
        <is>
          <t>KALMAR LÄN</t>
        </is>
      </c>
      <c r="E1666" t="inlineStr">
        <is>
          <t>VÄSTERVIK</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34515-2019</t>
        </is>
      </c>
      <c r="B1667" s="1" t="n">
        <v>43657</v>
      </c>
      <c r="C1667" s="1" t="n">
        <v>45715</v>
      </c>
      <c r="D1667" t="inlineStr">
        <is>
          <t>KALMAR LÄN</t>
        </is>
      </c>
      <c r="E1667" t="inlineStr">
        <is>
          <t>OSKARSHAMN</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34595-2019</t>
        </is>
      </c>
      <c r="B1668" s="1" t="n">
        <v>43657</v>
      </c>
      <c r="C1668" s="1" t="n">
        <v>45715</v>
      </c>
      <c r="D1668" t="inlineStr">
        <is>
          <t>KALMAR LÄN</t>
        </is>
      </c>
      <c r="E1668" t="inlineStr">
        <is>
          <t>OSKARSHAMN</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34672-2019</t>
        </is>
      </c>
      <c r="B1669" s="1" t="n">
        <v>43657</v>
      </c>
      <c r="C1669" s="1" t="n">
        <v>45715</v>
      </c>
      <c r="D1669" t="inlineStr">
        <is>
          <t>KALMAR LÄN</t>
        </is>
      </c>
      <c r="E1669" t="inlineStr">
        <is>
          <t>VIMMERBY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34532-2019</t>
        </is>
      </c>
      <c r="B1670" s="1" t="n">
        <v>43657</v>
      </c>
      <c r="C1670" s="1" t="n">
        <v>45715</v>
      </c>
      <c r="D1670" t="inlineStr">
        <is>
          <t>KALMAR LÄN</t>
        </is>
      </c>
      <c r="E1670" t="inlineStr">
        <is>
          <t>OSKARSHAMN</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34587-2019</t>
        </is>
      </c>
      <c r="B1671" s="1" t="n">
        <v>43657</v>
      </c>
      <c r="C1671" s="1" t="n">
        <v>45715</v>
      </c>
      <c r="D1671" t="inlineStr">
        <is>
          <t>KALMAR LÄN</t>
        </is>
      </c>
      <c r="E1671" t="inlineStr">
        <is>
          <t>OSKARSHAMN</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34813-2019</t>
        </is>
      </c>
      <c r="B1672" s="1" t="n">
        <v>43658</v>
      </c>
      <c r="C1672" s="1" t="n">
        <v>45715</v>
      </c>
      <c r="D1672" t="inlineStr">
        <is>
          <t>KALMAR LÄN</t>
        </is>
      </c>
      <c r="E1672" t="inlineStr">
        <is>
          <t>EMMABODA</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34868-2019</t>
        </is>
      </c>
      <c r="B1673" s="1" t="n">
        <v>43658</v>
      </c>
      <c r="C1673" s="1" t="n">
        <v>45715</v>
      </c>
      <c r="D1673" t="inlineStr">
        <is>
          <t>KALMAR LÄN</t>
        </is>
      </c>
      <c r="E1673" t="inlineStr">
        <is>
          <t>HULTSFRED</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34815-2019</t>
        </is>
      </c>
      <c r="B1674" s="1" t="n">
        <v>43658</v>
      </c>
      <c r="C1674" s="1" t="n">
        <v>45715</v>
      </c>
      <c r="D1674" t="inlineStr">
        <is>
          <t>KALMAR LÄN</t>
        </is>
      </c>
      <c r="E1674" t="inlineStr">
        <is>
          <t>EMMABODA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35055-2019</t>
        </is>
      </c>
      <c r="B1675" s="1" t="n">
        <v>43658</v>
      </c>
      <c r="C1675" s="1" t="n">
        <v>45715</v>
      </c>
      <c r="D1675" t="inlineStr">
        <is>
          <t>KALMAR LÄN</t>
        </is>
      </c>
      <c r="E1675" t="inlineStr">
        <is>
          <t>HÖGSBY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35050-2019</t>
        </is>
      </c>
      <c r="B1676" s="1" t="n">
        <v>43658</v>
      </c>
      <c r="C1676" s="1" t="n">
        <v>45715</v>
      </c>
      <c r="D1676" t="inlineStr">
        <is>
          <t>KALMAR LÄN</t>
        </is>
      </c>
      <c r="E1676" t="inlineStr">
        <is>
          <t>HÖGSBY</t>
        </is>
      </c>
      <c r="G1676" t="n">
        <v>29.4</v>
      </c>
      <c r="H1676" t="n">
        <v>0</v>
      </c>
      <c r="I1676" t="n">
        <v>0</v>
      </c>
      <c r="J1676" t="n">
        <v>0</v>
      </c>
      <c r="K1676" t="n">
        <v>0</v>
      </c>
      <c r="L1676" t="n">
        <v>0</v>
      </c>
      <c r="M1676" t="n">
        <v>0</v>
      </c>
      <c r="N1676" t="n">
        <v>0</v>
      </c>
      <c r="O1676" t="n">
        <v>0</v>
      </c>
      <c r="P1676" t="n">
        <v>0</v>
      </c>
      <c r="Q1676" t="n">
        <v>0</v>
      </c>
      <c r="R1676" s="2" t="inlineStr"/>
    </row>
    <row r="1677" ht="15" customHeight="1">
      <c r="A1677" t="inlineStr">
        <is>
          <t>A 35123-2019</t>
        </is>
      </c>
      <c r="B1677" s="1" t="n">
        <v>43661</v>
      </c>
      <c r="C1677" s="1" t="n">
        <v>45715</v>
      </c>
      <c r="D1677" t="inlineStr">
        <is>
          <t>KALMAR LÄN</t>
        </is>
      </c>
      <c r="E1677" t="inlineStr">
        <is>
          <t>HULTSFRED</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36367-2019</t>
        </is>
      </c>
      <c r="B1678" s="1" t="n">
        <v>43661</v>
      </c>
      <c r="C1678" s="1" t="n">
        <v>45715</v>
      </c>
      <c r="D1678" t="inlineStr">
        <is>
          <t>KALMAR LÄN</t>
        </is>
      </c>
      <c r="E1678" t="inlineStr">
        <is>
          <t>EMMABODA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35231-2019</t>
        </is>
      </c>
      <c r="B1679" s="1" t="n">
        <v>43662</v>
      </c>
      <c r="C1679" s="1" t="n">
        <v>45715</v>
      </c>
      <c r="D1679" t="inlineStr">
        <is>
          <t>KALMAR LÄN</t>
        </is>
      </c>
      <c r="E1679" t="inlineStr">
        <is>
          <t>NYBRO</t>
        </is>
      </c>
      <c r="F1679" t="inlineStr">
        <is>
          <t>Sveaskog</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36340-2019</t>
        </is>
      </c>
      <c r="B1680" s="1" t="n">
        <v>43662</v>
      </c>
      <c r="C1680" s="1" t="n">
        <v>45715</v>
      </c>
      <c r="D1680" t="inlineStr">
        <is>
          <t>KALMAR LÄN</t>
        </is>
      </c>
      <c r="E1680" t="inlineStr">
        <is>
          <t>KALMAR</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35214-2019</t>
        </is>
      </c>
      <c r="B1681" s="1" t="n">
        <v>43662</v>
      </c>
      <c r="C1681" s="1" t="n">
        <v>45715</v>
      </c>
      <c r="D1681" t="inlineStr">
        <is>
          <t>KALMAR LÄN</t>
        </is>
      </c>
      <c r="E1681" t="inlineStr">
        <is>
          <t>NYBRO</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35333-2019</t>
        </is>
      </c>
      <c r="B1682" s="1" t="n">
        <v>43662</v>
      </c>
      <c r="C1682" s="1" t="n">
        <v>45715</v>
      </c>
      <c r="D1682" t="inlineStr">
        <is>
          <t>KALMAR LÄN</t>
        </is>
      </c>
      <c r="E1682" t="inlineStr">
        <is>
          <t>HÖGSBY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35334-2019</t>
        </is>
      </c>
      <c r="B1683" s="1" t="n">
        <v>43662</v>
      </c>
      <c r="C1683" s="1" t="n">
        <v>45715</v>
      </c>
      <c r="D1683" t="inlineStr">
        <is>
          <t>KALMAR LÄN</t>
        </is>
      </c>
      <c r="E1683" t="inlineStr">
        <is>
          <t>HÖGSBY</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35498-2019</t>
        </is>
      </c>
      <c r="B1684" s="1" t="n">
        <v>43663</v>
      </c>
      <c r="C1684" s="1" t="n">
        <v>45715</v>
      </c>
      <c r="D1684" t="inlineStr">
        <is>
          <t>KALMAR LÄN</t>
        </is>
      </c>
      <c r="E1684" t="inlineStr">
        <is>
          <t>HÖGSBY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36527-2019</t>
        </is>
      </c>
      <c r="B1685" s="1" t="n">
        <v>43663</v>
      </c>
      <c r="C1685" s="1" t="n">
        <v>45715</v>
      </c>
      <c r="D1685" t="inlineStr">
        <is>
          <t>KALMAR LÄN</t>
        </is>
      </c>
      <c r="E1685" t="inlineStr">
        <is>
          <t>HÖGSBY</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36529-2019</t>
        </is>
      </c>
      <c r="B1686" s="1" t="n">
        <v>43663</v>
      </c>
      <c r="C1686" s="1" t="n">
        <v>45715</v>
      </c>
      <c r="D1686" t="inlineStr">
        <is>
          <t>KALMAR LÄN</t>
        </is>
      </c>
      <c r="E1686" t="inlineStr">
        <is>
          <t>HÖGSBY</t>
        </is>
      </c>
      <c r="G1686" t="n">
        <v>17.5</v>
      </c>
      <c r="H1686" t="n">
        <v>0</v>
      </c>
      <c r="I1686" t="n">
        <v>0</v>
      </c>
      <c r="J1686" t="n">
        <v>0</v>
      </c>
      <c r="K1686" t="n">
        <v>0</v>
      </c>
      <c r="L1686" t="n">
        <v>0</v>
      </c>
      <c r="M1686" t="n">
        <v>0</v>
      </c>
      <c r="N1686" t="n">
        <v>0</v>
      </c>
      <c r="O1686" t="n">
        <v>0</v>
      </c>
      <c r="P1686" t="n">
        <v>0</v>
      </c>
      <c r="Q1686" t="n">
        <v>0</v>
      </c>
      <c r="R1686" s="2" t="inlineStr"/>
    </row>
    <row r="1687" ht="15" customHeight="1">
      <c r="A1687" t="inlineStr">
        <is>
          <t>A 35501-2019</t>
        </is>
      </c>
      <c r="B1687" s="1" t="n">
        <v>43663</v>
      </c>
      <c r="C1687" s="1" t="n">
        <v>45715</v>
      </c>
      <c r="D1687" t="inlineStr">
        <is>
          <t>KALMAR LÄN</t>
        </is>
      </c>
      <c r="E1687" t="inlineStr">
        <is>
          <t>HÖGSBY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35705-2019</t>
        </is>
      </c>
      <c r="B1688" s="1" t="n">
        <v>43664</v>
      </c>
      <c r="C1688" s="1" t="n">
        <v>45715</v>
      </c>
      <c r="D1688" t="inlineStr">
        <is>
          <t>KALMAR LÄN</t>
        </is>
      </c>
      <c r="E1688" t="inlineStr">
        <is>
          <t>TORSÅS</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35765-2019</t>
        </is>
      </c>
      <c r="B1689" s="1" t="n">
        <v>43665</v>
      </c>
      <c r="C1689" s="1" t="n">
        <v>45715</v>
      </c>
      <c r="D1689" t="inlineStr">
        <is>
          <t>KALMAR LÄN</t>
        </is>
      </c>
      <c r="E1689" t="inlineStr">
        <is>
          <t>OSKARSHAMN</t>
        </is>
      </c>
      <c r="F1689" t="inlineStr">
        <is>
          <t>Sveaskog</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35764-2019</t>
        </is>
      </c>
      <c r="B1690" s="1" t="n">
        <v>43665</v>
      </c>
      <c r="C1690" s="1" t="n">
        <v>45715</v>
      </c>
      <c r="D1690" t="inlineStr">
        <is>
          <t>KALMAR LÄN</t>
        </is>
      </c>
      <c r="E1690" t="inlineStr">
        <is>
          <t>OSKARSHAMN</t>
        </is>
      </c>
      <c r="F1690" t="inlineStr">
        <is>
          <t>Sveaskog</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35780-2019</t>
        </is>
      </c>
      <c r="B1691" s="1" t="n">
        <v>43665</v>
      </c>
      <c r="C1691" s="1" t="n">
        <v>45715</v>
      </c>
      <c r="D1691" t="inlineStr">
        <is>
          <t>KALMAR LÄN</t>
        </is>
      </c>
      <c r="E1691" t="inlineStr">
        <is>
          <t>VIMMERBY</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35834-2019</t>
        </is>
      </c>
      <c r="B1692" s="1" t="n">
        <v>43665</v>
      </c>
      <c r="C1692" s="1" t="n">
        <v>45715</v>
      </c>
      <c r="D1692" t="inlineStr">
        <is>
          <t>KALMAR LÄN</t>
        </is>
      </c>
      <c r="E1692" t="inlineStr">
        <is>
          <t>VIMMERBY</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35762-2019</t>
        </is>
      </c>
      <c r="B1693" s="1" t="n">
        <v>43665</v>
      </c>
      <c r="C1693" s="1" t="n">
        <v>45715</v>
      </c>
      <c r="D1693" t="inlineStr">
        <is>
          <t>KALMAR LÄN</t>
        </is>
      </c>
      <c r="E1693" t="inlineStr">
        <is>
          <t>OSKARSHAMN</t>
        </is>
      </c>
      <c r="F1693" t="inlineStr">
        <is>
          <t>Sveaskog</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35890-2019</t>
        </is>
      </c>
      <c r="B1694" s="1" t="n">
        <v>43665</v>
      </c>
      <c r="C1694" s="1" t="n">
        <v>45715</v>
      </c>
      <c r="D1694" t="inlineStr">
        <is>
          <t>KALMAR LÄN</t>
        </is>
      </c>
      <c r="E1694" t="inlineStr">
        <is>
          <t>HULTSFRED</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35829-2019</t>
        </is>
      </c>
      <c r="B1695" s="1" t="n">
        <v>43665</v>
      </c>
      <c r="C1695" s="1" t="n">
        <v>45715</v>
      </c>
      <c r="D1695" t="inlineStr">
        <is>
          <t>KALMAR LÄN</t>
        </is>
      </c>
      <c r="E1695" t="inlineStr">
        <is>
          <t>VIMMERBY</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35884-2019</t>
        </is>
      </c>
      <c r="B1696" s="1" t="n">
        <v>43665</v>
      </c>
      <c r="C1696" s="1" t="n">
        <v>45715</v>
      </c>
      <c r="D1696" t="inlineStr">
        <is>
          <t>KALMAR LÄN</t>
        </is>
      </c>
      <c r="E1696" t="inlineStr">
        <is>
          <t>HULTSFRED</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35919-2019</t>
        </is>
      </c>
      <c r="B1697" s="1" t="n">
        <v>43665</v>
      </c>
      <c r="C1697" s="1" t="n">
        <v>45715</v>
      </c>
      <c r="D1697" t="inlineStr">
        <is>
          <t>KALMAR LÄN</t>
        </is>
      </c>
      <c r="E1697" t="inlineStr">
        <is>
          <t>VIMMERBY</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35977-2019</t>
        </is>
      </c>
      <c r="B1698" s="1" t="n">
        <v>43667</v>
      </c>
      <c r="C1698" s="1" t="n">
        <v>45715</v>
      </c>
      <c r="D1698" t="inlineStr">
        <is>
          <t>KALMAR LÄN</t>
        </is>
      </c>
      <c r="E1698" t="inlineStr">
        <is>
          <t>HULTSFRED</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36027-2019</t>
        </is>
      </c>
      <c r="B1699" s="1" t="n">
        <v>43668</v>
      </c>
      <c r="C1699" s="1" t="n">
        <v>45715</v>
      </c>
      <c r="D1699" t="inlineStr">
        <is>
          <t>KALMAR LÄN</t>
        </is>
      </c>
      <c r="E1699" t="inlineStr">
        <is>
          <t>VIMMERBY</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36047-2019</t>
        </is>
      </c>
      <c r="B1700" s="1" t="n">
        <v>43668</v>
      </c>
      <c r="C1700" s="1" t="n">
        <v>45715</v>
      </c>
      <c r="D1700" t="inlineStr">
        <is>
          <t>KALMAR LÄN</t>
        </is>
      </c>
      <c r="E1700" t="inlineStr">
        <is>
          <t>KALMAR</t>
        </is>
      </c>
      <c r="G1700" t="n">
        <v>6.3</v>
      </c>
      <c r="H1700" t="n">
        <v>0</v>
      </c>
      <c r="I1700" t="n">
        <v>0</v>
      </c>
      <c r="J1700" t="n">
        <v>0</v>
      </c>
      <c r="K1700" t="n">
        <v>0</v>
      </c>
      <c r="L1700" t="n">
        <v>0</v>
      </c>
      <c r="M1700" t="n">
        <v>0</v>
      </c>
      <c r="N1700" t="n">
        <v>0</v>
      </c>
      <c r="O1700" t="n">
        <v>0</v>
      </c>
      <c r="P1700" t="n">
        <v>0</v>
      </c>
      <c r="Q1700" t="n">
        <v>0</v>
      </c>
      <c r="R1700" s="2" t="inlineStr"/>
    </row>
    <row r="1701" ht="15" customHeight="1">
      <c r="A1701" t="inlineStr">
        <is>
          <t>A 36060-2019</t>
        </is>
      </c>
      <c r="B1701" s="1" t="n">
        <v>43668</v>
      </c>
      <c r="C1701" s="1" t="n">
        <v>45715</v>
      </c>
      <c r="D1701" t="inlineStr">
        <is>
          <t>KALMAR LÄN</t>
        </is>
      </c>
      <c r="E1701" t="inlineStr">
        <is>
          <t>KALMAR</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36066-2019</t>
        </is>
      </c>
      <c r="B1702" s="1" t="n">
        <v>43668</v>
      </c>
      <c r="C1702" s="1" t="n">
        <v>45715</v>
      </c>
      <c r="D1702" t="inlineStr">
        <is>
          <t>KALMAR LÄN</t>
        </is>
      </c>
      <c r="E1702" t="inlineStr">
        <is>
          <t>KALMAR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36048-2019</t>
        </is>
      </c>
      <c r="B1703" s="1" t="n">
        <v>43668</v>
      </c>
      <c r="C1703" s="1" t="n">
        <v>45715</v>
      </c>
      <c r="D1703" t="inlineStr">
        <is>
          <t>KALMAR LÄN</t>
        </is>
      </c>
      <c r="E1703" t="inlineStr">
        <is>
          <t>KALMAR</t>
        </is>
      </c>
      <c r="G1703" t="n">
        <v>14.3</v>
      </c>
      <c r="H1703" t="n">
        <v>0</v>
      </c>
      <c r="I1703" t="n">
        <v>0</v>
      </c>
      <c r="J1703" t="n">
        <v>0</v>
      </c>
      <c r="K1703" t="n">
        <v>0</v>
      </c>
      <c r="L1703" t="n">
        <v>0</v>
      </c>
      <c r="M1703" t="n">
        <v>0</v>
      </c>
      <c r="N1703" t="n">
        <v>0</v>
      </c>
      <c r="O1703" t="n">
        <v>0</v>
      </c>
      <c r="P1703" t="n">
        <v>0</v>
      </c>
      <c r="Q1703" t="n">
        <v>0</v>
      </c>
      <c r="R1703" s="2" t="inlineStr"/>
    </row>
    <row r="1704" ht="15" customHeight="1">
      <c r="A1704" t="inlineStr">
        <is>
          <t>A 36029-2019</t>
        </is>
      </c>
      <c r="B1704" s="1" t="n">
        <v>43668</v>
      </c>
      <c r="C1704" s="1" t="n">
        <v>45715</v>
      </c>
      <c r="D1704" t="inlineStr">
        <is>
          <t>KALMAR LÄN</t>
        </is>
      </c>
      <c r="E1704" t="inlineStr">
        <is>
          <t>HULTSFRED</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36024-2019</t>
        </is>
      </c>
      <c r="B1705" s="1" t="n">
        <v>43668</v>
      </c>
      <c r="C1705" s="1" t="n">
        <v>45715</v>
      </c>
      <c r="D1705" t="inlineStr">
        <is>
          <t>KALMAR LÄN</t>
        </is>
      </c>
      <c r="E1705" t="inlineStr">
        <is>
          <t>VIMMERBY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36053-2019</t>
        </is>
      </c>
      <c r="B1706" s="1" t="n">
        <v>43668</v>
      </c>
      <c r="C1706" s="1" t="n">
        <v>45715</v>
      </c>
      <c r="D1706" t="inlineStr">
        <is>
          <t>KALMAR LÄN</t>
        </is>
      </c>
      <c r="E1706" t="inlineStr">
        <is>
          <t>NYBRO</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36144-2019</t>
        </is>
      </c>
      <c r="B1707" s="1" t="n">
        <v>43668</v>
      </c>
      <c r="C1707" s="1" t="n">
        <v>45715</v>
      </c>
      <c r="D1707" t="inlineStr">
        <is>
          <t>KALMAR LÄN</t>
        </is>
      </c>
      <c r="E1707" t="inlineStr">
        <is>
          <t>HÖGSBY</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36716-2019</t>
        </is>
      </c>
      <c r="B1708" s="1" t="n">
        <v>43669</v>
      </c>
      <c r="C1708" s="1" t="n">
        <v>45715</v>
      </c>
      <c r="D1708" t="inlineStr">
        <is>
          <t>KALMAR LÄN</t>
        </is>
      </c>
      <c r="E1708" t="inlineStr">
        <is>
          <t>VIMMERBY</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36593-2019</t>
        </is>
      </c>
      <c r="B1709" s="1" t="n">
        <v>43669</v>
      </c>
      <c r="C1709" s="1" t="n">
        <v>45715</v>
      </c>
      <c r="D1709" t="inlineStr">
        <is>
          <t>KALMAR LÄN</t>
        </is>
      </c>
      <c r="E1709" t="inlineStr">
        <is>
          <t>NYBRO</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36212-2019</t>
        </is>
      </c>
      <c r="B1710" s="1" t="n">
        <v>43669</v>
      </c>
      <c r="C1710" s="1" t="n">
        <v>45715</v>
      </c>
      <c r="D1710" t="inlineStr">
        <is>
          <t>KALMAR LÄN</t>
        </is>
      </c>
      <c r="E1710" t="inlineStr">
        <is>
          <t>HÖGSBY</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36254-2019</t>
        </is>
      </c>
      <c r="B1711" s="1" t="n">
        <v>43669</v>
      </c>
      <c r="C1711" s="1" t="n">
        <v>45715</v>
      </c>
      <c r="D1711" t="inlineStr">
        <is>
          <t>KALMAR LÄN</t>
        </is>
      </c>
      <c r="E1711" t="inlineStr">
        <is>
          <t>OSKARSHAMN</t>
        </is>
      </c>
      <c r="G1711" t="n">
        <v>7</v>
      </c>
      <c r="H1711" t="n">
        <v>0</v>
      </c>
      <c r="I1711" t="n">
        <v>0</v>
      </c>
      <c r="J1711" t="n">
        <v>0</v>
      </c>
      <c r="K1711" t="n">
        <v>0</v>
      </c>
      <c r="L1711" t="n">
        <v>0</v>
      </c>
      <c r="M1711" t="n">
        <v>0</v>
      </c>
      <c r="N1711" t="n">
        <v>0</v>
      </c>
      <c r="O1711" t="n">
        <v>0</v>
      </c>
      <c r="P1711" t="n">
        <v>0</v>
      </c>
      <c r="Q1711" t="n">
        <v>0</v>
      </c>
      <c r="R1711" s="2" t="inlineStr"/>
    </row>
    <row r="1712" ht="15" customHeight="1">
      <c r="A1712" t="inlineStr">
        <is>
          <t>A 36221-2019</t>
        </is>
      </c>
      <c r="B1712" s="1" t="n">
        <v>43669</v>
      </c>
      <c r="C1712" s="1" t="n">
        <v>45715</v>
      </c>
      <c r="D1712" t="inlineStr">
        <is>
          <t>KALMAR LÄN</t>
        </is>
      </c>
      <c r="E1712" t="inlineStr">
        <is>
          <t>HÖGSBY</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36281-2019</t>
        </is>
      </c>
      <c r="B1713" s="1" t="n">
        <v>43669</v>
      </c>
      <c r="C1713" s="1" t="n">
        <v>45715</v>
      </c>
      <c r="D1713" t="inlineStr">
        <is>
          <t>KALMAR LÄN</t>
        </is>
      </c>
      <c r="E1713" t="inlineStr">
        <is>
          <t>HULTSFRED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36249-2019</t>
        </is>
      </c>
      <c r="B1714" s="1" t="n">
        <v>43669</v>
      </c>
      <c r="C1714" s="1" t="n">
        <v>45715</v>
      </c>
      <c r="D1714" t="inlineStr">
        <is>
          <t>KALMAR LÄN</t>
        </is>
      </c>
      <c r="E1714" t="inlineStr">
        <is>
          <t>EMMABODA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36260-2019</t>
        </is>
      </c>
      <c r="B1715" s="1" t="n">
        <v>43669</v>
      </c>
      <c r="C1715" s="1" t="n">
        <v>45715</v>
      </c>
      <c r="D1715" t="inlineStr">
        <is>
          <t>KALMAR LÄN</t>
        </is>
      </c>
      <c r="E1715" t="inlineStr">
        <is>
          <t>NYBRO</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36688-2019</t>
        </is>
      </c>
      <c r="B1716" s="1" t="n">
        <v>43670</v>
      </c>
      <c r="C1716" s="1" t="n">
        <v>45715</v>
      </c>
      <c r="D1716" t="inlineStr">
        <is>
          <t>KALMAR LÄN</t>
        </is>
      </c>
      <c r="E1716" t="inlineStr">
        <is>
          <t>HULTSFRED</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36326-2019</t>
        </is>
      </c>
      <c r="B1717" s="1" t="n">
        <v>43670</v>
      </c>
      <c r="C1717" s="1" t="n">
        <v>45715</v>
      </c>
      <c r="D1717" t="inlineStr">
        <is>
          <t>KALMAR LÄN</t>
        </is>
      </c>
      <c r="E1717" t="inlineStr">
        <is>
          <t>TORSÅS</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36329-2019</t>
        </is>
      </c>
      <c r="B1718" s="1" t="n">
        <v>43670</v>
      </c>
      <c r="C1718" s="1" t="n">
        <v>45715</v>
      </c>
      <c r="D1718" t="inlineStr">
        <is>
          <t>KALMAR LÄN</t>
        </is>
      </c>
      <c r="E1718" t="inlineStr">
        <is>
          <t>TORSÅS</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36327-2019</t>
        </is>
      </c>
      <c r="B1719" s="1" t="n">
        <v>43670</v>
      </c>
      <c r="C1719" s="1" t="n">
        <v>45715</v>
      </c>
      <c r="D1719" t="inlineStr">
        <is>
          <t>KALMAR LÄN</t>
        </is>
      </c>
      <c r="E1719" t="inlineStr">
        <is>
          <t>TORSÅS</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36454-2019</t>
        </is>
      </c>
      <c r="B1720" s="1" t="n">
        <v>43670</v>
      </c>
      <c r="C1720" s="1" t="n">
        <v>45715</v>
      </c>
      <c r="D1720" t="inlineStr">
        <is>
          <t>KALMAR LÄN</t>
        </is>
      </c>
      <c r="E1720" t="inlineStr">
        <is>
          <t>VIMMERBY</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36581-2019</t>
        </is>
      </c>
      <c r="B1721" s="1" t="n">
        <v>43671</v>
      </c>
      <c r="C1721" s="1" t="n">
        <v>45715</v>
      </c>
      <c r="D1721" t="inlineStr">
        <is>
          <t>KALMAR LÄN</t>
        </is>
      </c>
      <c r="E1721" t="inlineStr">
        <is>
          <t>HÖGSBY</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36791-2019</t>
        </is>
      </c>
      <c r="B1722" s="1" t="n">
        <v>43672</v>
      </c>
      <c r="C1722" s="1" t="n">
        <v>45715</v>
      </c>
      <c r="D1722" t="inlineStr">
        <is>
          <t>KALMAR LÄN</t>
        </is>
      </c>
      <c r="E1722" t="inlineStr">
        <is>
          <t>NYBRO</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36751-2019</t>
        </is>
      </c>
      <c r="B1723" s="1" t="n">
        <v>43672</v>
      </c>
      <c r="C1723" s="1" t="n">
        <v>45715</v>
      </c>
      <c r="D1723" t="inlineStr">
        <is>
          <t>KALMAR LÄN</t>
        </is>
      </c>
      <c r="E1723" t="inlineStr">
        <is>
          <t>TORSÅS</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36756-2019</t>
        </is>
      </c>
      <c r="B1724" s="1" t="n">
        <v>43672</v>
      </c>
      <c r="C1724" s="1" t="n">
        <v>45715</v>
      </c>
      <c r="D1724" t="inlineStr">
        <is>
          <t>KALMAR LÄN</t>
        </is>
      </c>
      <c r="E1724" t="inlineStr">
        <is>
          <t>EMMABODA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36777-2019</t>
        </is>
      </c>
      <c r="B1725" s="1" t="n">
        <v>43672</v>
      </c>
      <c r="C1725" s="1" t="n">
        <v>45715</v>
      </c>
      <c r="D1725" t="inlineStr">
        <is>
          <t>KALMAR LÄN</t>
        </is>
      </c>
      <c r="E1725" t="inlineStr">
        <is>
          <t>EMMABODA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37031-2019</t>
        </is>
      </c>
      <c r="B1726" s="1" t="n">
        <v>43672</v>
      </c>
      <c r="C1726" s="1" t="n">
        <v>45715</v>
      </c>
      <c r="D1726" t="inlineStr">
        <is>
          <t>KALMAR LÄN</t>
        </is>
      </c>
      <c r="E1726" t="inlineStr">
        <is>
          <t>VIMMERBY</t>
        </is>
      </c>
      <c r="G1726" t="n">
        <v>16.8</v>
      </c>
      <c r="H1726" t="n">
        <v>0</v>
      </c>
      <c r="I1726" t="n">
        <v>0</v>
      </c>
      <c r="J1726" t="n">
        <v>0</v>
      </c>
      <c r="K1726" t="n">
        <v>0</v>
      </c>
      <c r="L1726" t="n">
        <v>0</v>
      </c>
      <c r="M1726" t="n">
        <v>0</v>
      </c>
      <c r="N1726" t="n">
        <v>0</v>
      </c>
      <c r="O1726" t="n">
        <v>0</v>
      </c>
      <c r="P1726" t="n">
        <v>0</v>
      </c>
      <c r="Q1726" t="n">
        <v>0</v>
      </c>
      <c r="R1726" s="2" t="inlineStr"/>
    </row>
    <row r="1727" ht="15" customHeight="1">
      <c r="A1727" t="inlineStr">
        <is>
          <t>A 36759-2019</t>
        </is>
      </c>
      <c r="B1727" s="1" t="n">
        <v>43672</v>
      </c>
      <c r="C1727" s="1" t="n">
        <v>45715</v>
      </c>
      <c r="D1727" t="inlineStr">
        <is>
          <t>KALMAR LÄN</t>
        </is>
      </c>
      <c r="E1727" t="inlineStr">
        <is>
          <t>EMMABODA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36828-2019</t>
        </is>
      </c>
      <c r="B1728" s="1" t="n">
        <v>43674</v>
      </c>
      <c r="C1728" s="1" t="n">
        <v>45715</v>
      </c>
      <c r="D1728" t="inlineStr">
        <is>
          <t>KALMAR LÄN</t>
        </is>
      </c>
      <c r="E1728" t="inlineStr">
        <is>
          <t>TORSÅS</t>
        </is>
      </c>
      <c r="G1728" t="n">
        <v>23.3</v>
      </c>
      <c r="H1728" t="n">
        <v>0</v>
      </c>
      <c r="I1728" t="n">
        <v>0</v>
      </c>
      <c r="J1728" t="n">
        <v>0</v>
      </c>
      <c r="K1728" t="n">
        <v>0</v>
      </c>
      <c r="L1728" t="n">
        <v>0</v>
      </c>
      <c r="M1728" t="n">
        <v>0</v>
      </c>
      <c r="N1728" t="n">
        <v>0</v>
      </c>
      <c r="O1728" t="n">
        <v>0</v>
      </c>
      <c r="P1728" t="n">
        <v>0</v>
      </c>
      <c r="Q1728" t="n">
        <v>0</v>
      </c>
      <c r="R1728" s="2" t="inlineStr"/>
    </row>
    <row r="1729" ht="15" customHeight="1">
      <c r="A1729" t="inlineStr">
        <is>
          <t>A 36830-2019</t>
        </is>
      </c>
      <c r="B1729" s="1" t="n">
        <v>43674</v>
      </c>
      <c r="C1729" s="1" t="n">
        <v>45715</v>
      </c>
      <c r="D1729" t="inlineStr">
        <is>
          <t>KALMAR LÄN</t>
        </is>
      </c>
      <c r="E1729" t="inlineStr">
        <is>
          <t>VIMMERBY</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36898-2019</t>
        </is>
      </c>
      <c r="B1730" s="1" t="n">
        <v>43675</v>
      </c>
      <c r="C1730" s="1" t="n">
        <v>45715</v>
      </c>
      <c r="D1730" t="inlineStr">
        <is>
          <t>KALMAR LÄN</t>
        </is>
      </c>
      <c r="E1730" t="inlineStr">
        <is>
          <t>EMMABODA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36942-2019</t>
        </is>
      </c>
      <c r="B1731" s="1" t="n">
        <v>43675</v>
      </c>
      <c r="C1731" s="1" t="n">
        <v>45715</v>
      </c>
      <c r="D1731" t="inlineStr">
        <is>
          <t>KALMAR LÄN</t>
        </is>
      </c>
      <c r="E1731" t="inlineStr">
        <is>
          <t>TORSÅS</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36845-2019</t>
        </is>
      </c>
      <c r="B1732" s="1" t="n">
        <v>43675</v>
      </c>
      <c r="C1732" s="1" t="n">
        <v>45715</v>
      </c>
      <c r="D1732" t="inlineStr">
        <is>
          <t>KALMAR LÄN</t>
        </is>
      </c>
      <c r="E1732" t="inlineStr">
        <is>
          <t>OSKARSHAMN</t>
        </is>
      </c>
      <c r="F1732" t="inlineStr">
        <is>
          <t>Sveaskog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36941-2019</t>
        </is>
      </c>
      <c r="B1733" s="1" t="n">
        <v>43675</v>
      </c>
      <c r="C1733" s="1" t="n">
        <v>45715</v>
      </c>
      <c r="D1733" t="inlineStr">
        <is>
          <t>KALMAR LÄN</t>
        </is>
      </c>
      <c r="E1733" t="inlineStr">
        <is>
          <t>TORSÅS</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36945-2019</t>
        </is>
      </c>
      <c r="B1734" s="1" t="n">
        <v>43675</v>
      </c>
      <c r="C1734" s="1" t="n">
        <v>45715</v>
      </c>
      <c r="D1734" t="inlineStr">
        <is>
          <t>KALMAR LÄN</t>
        </is>
      </c>
      <c r="E1734" t="inlineStr">
        <is>
          <t>TORSÅS</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36839-2019</t>
        </is>
      </c>
      <c r="B1735" s="1" t="n">
        <v>43675</v>
      </c>
      <c r="C1735" s="1" t="n">
        <v>45715</v>
      </c>
      <c r="D1735" t="inlineStr">
        <is>
          <t>KALMAR LÄN</t>
        </is>
      </c>
      <c r="E1735" t="inlineStr">
        <is>
          <t>EMMABODA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36865-2019</t>
        </is>
      </c>
      <c r="B1736" s="1" t="n">
        <v>43675</v>
      </c>
      <c r="C1736" s="1" t="n">
        <v>45715</v>
      </c>
      <c r="D1736" t="inlineStr">
        <is>
          <t>KALMAR LÄN</t>
        </is>
      </c>
      <c r="E1736" t="inlineStr">
        <is>
          <t>OSKARSHAMN</t>
        </is>
      </c>
      <c r="F1736" t="inlineStr">
        <is>
          <t>Sveaskog</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36896-2019</t>
        </is>
      </c>
      <c r="B1737" s="1" t="n">
        <v>43675</v>
      </c>
      <c r="C1737" s="1" t="n">
        <v>45715</v>
      </c>
      <c r="D1737" t="inlineStr">
        <is>
          <t>KALMAR LÄN</t>
        </is>
      </c>
      <c r="E1737" t="inlineStr">
        <is>
          <t>OSKARSHAMN</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36944-2019</t>
        </is>
      </c>
      <c r="B1738" s="1" t="n">
        <v>43675</v>
      </c>
      <c r="C1738" s="1" t="n">
        <v>45715</v>
      </c>
      <c r="D1738" t="inlineStr">
        <is>
          <t>KALMAR LÄN</t>
        </is>
      </c>
      <c r="E1738" t="inlineStr">
        <is>
          <t>KALMAR</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36860-2019</t>
        </is>
      </c>
      <c r="B1739" s="1" t="n">
        <v>43675</v>
      </c>
      <c r="C1739" s="1" t="n">
        <v>45715</v>
      </c>
      <c r="D1739" t="inlineStr">
        <is>
          <t>KALMAR LÄN</t>
        </is>
      </c>
      <c r="E1739" t="inlineStr">
        <is>
          <t>OSKARSHAMN</t>
        </is>
      </c>
      <c r="F1739" t="inlineStr">
        <is>
          <t>Sveaskog</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36883-2019</t>
        </is>
      </c>
      <c r="B1740" s="1" t="n">
        <v>43675</v>
      </c>
      <c r="C1740" s="1" t="n">
        <v>45715</v>
      </c>
      <c r="D1740" t="inlineStr">
        <is>
          <t>KALMAR LÄN</t>
        </is>
      </c>
      <c r="E1740" t="inlineStr">
        <is>
          <t>HULTSFRED</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36861-2019</t>
        </is>
      </c>
      <c r="B1741" s="1" t="n">
        <v>43675</v>
      </c>
      <c r="C1741" s="1" t="n">
        <v>45715</v>
      </c>
      <c r="D1741" t="inlineStr">
        <is>
          <t>KALMAR LÄN</t>
        </is>
      </c>
      <c r="E1741" t="inlineStr">
        <is>
          <t>OSKARSHAMN</t>
        </is>
      </c>
      <c r="F1741" t="inlineStr">
        <is>
          <t>Sveaskog</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36946-2019</t>
        </is>
      </c>
      <c r="B1742" s="1" t="n">
        <v>43675</v>
      </c>
      <c r="C1742" s="1" t="n">
        <v>45715</v>
      </c>
      <c r="D1742" t="inlineStr">
        <is>
          <t>KALMAR LÄN</t>
        </is>
      </c>
      <c r="E1742" t="inlineStr">
        <is>
          <t>TORSÅS</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36936-2019</t>
        </is>
      </c>
      <c r="B1743" s="1" t="n">
        <v>43675</v>
      </c>
      <c r="C1743" s="1" t="n">
        <v>45715</v>
      </c>
      <c r="D1743" t="inlineStr">
        <is>
          <t>KALMAR LÄN</t>
        </is>
      </c>
      <c r="E1743" t="inlineStr">
        <is>
          <t>VIMMERBY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36943-2019</t>
        </is>
      </c>
      <c r="B1744" s="1" t="n">
        <v>43675</v>
      </c>
      <c r="C1744" s="1" t="n">
        <v>45715</v>
      </c>
      <c r="D1744" t="inlineStr">
        <is>
          <t>KALMAR LÄN</t>
        </is>
      </c>
      <c r="E1744" t="inlineStr">
        <is>
          <t>TORSÅS</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36948-2019</t>
        </is>
      </c>
      <c r="B1745" s="1" t="n">
        <v>43675</v>
      </c>
      <c r="C1745" s="1" t="n">
        <v>45715</v>
      </c>
      <c r="D1745" t="inlineStr">
        <is>
          <t>KALMAR LÄN</t>
        </is>
      </c>
      <c r="E1745" t="inlineStr">
        <is>
          <t>TORSÅS</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37063-2019</t>
        </is>
      </c>
      <c r="B1746" s="1" t="n">
        <v>43676</v>
      </c>
      <c r="C1746" s="1" t="n">
        <v>45715</v>
      </c>
      <c r="D1746" t="inlineStr">
        <is>
          <t>KALMAR LÄN</t>
        </is>
      </c>
      <c r="E1746" t="inlineStr">
        <is>
          <t>VIMMERBY</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37096-2019</t>
        </is>
      </c>
      <c r="B1747" s="1" t="n">
        <v>43676</v>
      </c>
      <c r="C1747" s="1" t="n">
        <v>45715</v>
      </c>
      <c r="D1747" t="inlineStr">
        <is>
          <t>KALMAR LÄN</t>
        </is>
      </c>
      <c r="E1747" t="inlineStr">
        <is>
          <t>TORSÅS</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37108-2019</t>
        </is>
      </c>
      <c r="B1748" s="1" t="n">
        <v>43676</v>
      </c>
      <c r="C1748" s="1" t="n">
        <v>45715</v>
      </c>
      <c r="D1748" t="inlineStr">
        <is>
          <t>KALMAR LÄN</t>
        </is>
      </c>
      <c r="E1748" t="inlineStr">
        <is>
          <t>EMMABODA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37175-2019</t>
        </is>
      </c>
      <c r="B1749" s="1" t="n">
        <v>43676</v>
      </c>
      <c r="C1749" s="1" t="n">
        <v>45715</v>
      </c>
      <c r="D1749" t="inlineStr">
        <is>
          <t>KALMAR LÄN</t>
        </is>
      </c>
      <c r="E1749" t="inlineStr">
        <is>
          <t>HÖGSBY</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37052-2019</t>
        </is>
      </c>
      <c r="B1750" s="1" t="n">
        <v>43676</v>
      </c>
      <c r="C1750" s="1" t="n">
        <v>45715</v>
      </c>
      <c r="D1750" t="inlineStr">
        <is>
          <t>KALMAR LÄN</t>
        </is>
      </c>
      <c r="E1750" t="inlineStr">
        <is>
          <t>TORSÅS</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37097-2019</t>
        </is>
      </c>
      <c r="B1751" s="1" t="n">
        <v>43676</v>
      </c>
      <c r="C1751" s="1" t="n">
        <v>45715</v>
      </c>
      <c r="D1751" t="inlineStr">
        <is>
          <t>KALMAR LÄN</t>
        </is>
      </c>
      <c r="E1751" t="inlineStr">
        <is>
          <t>TORSÅS</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37173-2019</t>
        </is>
      </c>
      <c r="B1752" s="1" t="n">
        <v>43676</v>
      </c>
      <c r="C1752" s="1" t="n">
        <v>45715</v>
      </c>
      <c r="D1752" t="inlineStr">
        <is>
          <t>KALMAR LÄN</t>
        </is>
      </c>
      <c r="E1752" t="inlineStr">
        <is>
          <t>HÖGSBY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37025-2019</t>
        </is>
      </c>
      <c r="B1753" s="1" t="n">
        <v>43676</v>
      </c>
      <c r="C1753" s="1" t="n">
        <v>45715</v>
      </c>
      <c r="D1753" t="inlineStr">
        <is>
          <t>KALMAR LÄN</t>
        </is>
      </c>
      <c r="E1753" t="inlineStr">
        <is>
          <t>OSKARSHAMN</t>
        </is>
      </c>
      <c r="G1753" t="n">
        <v>12.4</v>
      </c>
      <c r="H1753" t="n">
        <v>0</v>
      </c>
      <c r="I1753" t="n">
        <v>0</v>
      </c>
      <c r="J1753" t="n">
        <v>0</v>
      </c>
      <c r="K1753" t="n">
        <v>0</v>
      </c>
      <c r="L1753" t="n">
        <v>0</v>
      </c>
      <c r="M1753" t="n">
        <v>0</v>
      </c>
      <c r="N1753" t="n">
        <v>0</v>
      </c>
      <c r="O1753" t="n">
        <v>0</v>
      </c>
      <c r="P1753" t="n">
        <v>0</v>
      </c>
      <c r="Q1753" t="n">
        <v>0</v>
      </c>
      <c r="R1753" s="2" t="inlineStr"/>
    </row>
    <row r="1754" ht="15" customHeight="1">
      <c r="A1754" t="inlineStr">
        <is>
          <t>A 37205-2019</t>
        </is>
      </c>
      <c r="B1754" s="1" t="n">
        <v>43676</v>
      </c>
      <c r="C1754" s="1" t="n">
        <v>45715</v>
      </c>
      <c r="D1754" t="inlineStr">
        <is>
          <t>KALMAR LÄN</t>
        </is>
      </c>
      <c r="E1754" t="inlineStr">
        <is>
          <t>HÖGSBY</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36967-2019</t>
        </is>
      </c>
      <c r="B1755" s="1" t="n">
        <v>43676</v>
      </c>
      <c r="C1755" s="1" t="n">
        <v>45715</v>
      </c>
      <c r="D1755" t="inlineStr">
        <is>
          <t>KALMAR LÄN</t>
        </is>
      </c>
      <c r="E1755" t="inlineStr">
        <is>
          <t>NYBRO</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37177-2019</t>
        </is>
      </c>
      <c r="B1756" s="1" t="n">
        <v>43677</v>
      </c>
      <c r="C1756" s="1" t="n">
        <v>45715</v>
      </c>
      <c r="D1756" t="inlineStr">
        <is>
          <t>KALMAR LÄN</t>
        </is>
      </c>
      <c r="E1756" t="inlineStr">
        <is>
          <t>HULTSFRED</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37209-2019</t>
        </is>
      </c>
      <c r="B1757" s="1" t="n">
        <v>43677</v>
      </c>
      <c r="C1757" s="1" t="n">
        <v>45715</v>
      </c>
      <c r="D1757" t="inlineStr">
        <is>
          <t>KALMAR LÄN</t>
        </is>
      </c>
      <c r="E1757" t="inlineStr">
        <is>
          <t>VIMMERBY</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37283-2019</t>
        </is>
      </c>
      <c r="B1758" s="1" t="n">
        <v>43677</v>
      </c>
      <c r="C1758" s="1" t="n">
        <v>45715</v>
      </c>
      <c r="D1758" t="inlineStr">
        <is>
          <t>KALMAR LÄN</t>
        </is>
      </c>
      <c r="E1758" t="inlineStr">
        <is>
          <t>TORSÅS</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37281-2019</t>
        </is>
      </c>
      <c r="B1759" s="1" t="n">
        <v>43677</v>
      </c>
      <c r="C1759" s="1" t="n">
        <v>45715</v>
      </c>
      <c r="D1759" t="inlineStr">
        <is>
          <t>KALMAR LÄN</t>
        </is>
      </c>
      <c r="E1759" t="inlineStr">
        <is>
          <t>TORSÅS</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37386-2019</t>
        </is>
      </c>
      <c r="B1760" s="1" t="n">
        <v>43678</v>
      </c>
      <c r="C1760" s="1" t="n">
        <v>45715</v>
      </c>
      <c r="D1760" t="inlineStr">
        <is>
          <t>KALMAR LÄN</t>
        </is>
      </c>
      <c r="E1760" t="inlineStr">
        <is>
          <t>EMMABODA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37412-2019</t>
        </is>
      </c>
      <c r="B1761" s="1" t="n">
        <v>43678</v>
      </c>
      <c r="C1761" s="1" t="n">
        <v>45715</v>
      </c>
      <c r="D1761" t="inlineStr">
        <is>
          <t>KALMAR LÄN</t>
        </is>
      </c>
      <c r="E1761" t="inlineStr">
        <is>
          <t>VIMMERBY</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37303-2019</t>
        </is>
      </c>
      <c r="B1762" s="1" t="n">
        <v>43678</v>
      </c>
      <c r="C1762" s="1" t="n">
        <v>45715</v>
      </c>
      <c r="D1762" t="inlineStr">
        <is>
          <t>KALMAR LÄN</t>
        </is>
      </c>
      <c r="E1762" t="inlineStr">
        <is>
          <t>NYBRO</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37387-2019</t>
        </is>
      </c>
      <c r="B1763" s="1" t="n">
        <v>43678</v>
      </c>
      <c r="C1763" s="1" t="n">
        <v>45715</v>
      </c>
      <c r="D1763" t="inlineStr">
        <is>
          <t>KALMAR LÄN</t>
        </is>
      </c>
      <c r="E1763" t="inlineStr">
        <is>
          <t>EMMABODA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37384-2019</t>
        </is>
      </c>
      <c r="B1764" s="1" t="n">
        <v>43678</v>
      </c>
      <c r="C1764" s="1" t="n">
        <v>45715</v>
      </c>
      <c r="D1764" t="inlineStr">
        <is>
          <t>KALMAR LÄN</t>
        </is>
      </c>
      <c r="E1764" t="inlineStr">
        <is>
          <t>EMMABODA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37411-2019</t>
        </is>
      </c>
      <c r="B1765" s="1" t="n">
        <v>43678</v>
      </c>
      <c r="C1765" s="1" t="n">
        <v>45715</v>
      </c>
      <c r="D1765" t="inlineStr">
        <is>
          <t>KALMAR LÄN</t>
        </is>
      </c>
      <c r="E1765" t="inlineStr">
        <is>
          <t>NYBRO</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37381-2019</t>
        </is>
      </c>
      <c r="B1766" s="1" t="n">
        <v>43678</v>
      </c>
      <c r="C1766" s="1" t="n">
        <v>45715</v>
      </c>
      <c r="D1766" t="inlineStr">
        <is>
          <t>KALMAR LÄN</t>
        </is>
      </c>
      <c r="E1766" t="inlineStr">
        <is>
          <t>KALMAR</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37418-2019</t>
        </is>
      </c>
      <c r="B1767" s="1" t="n">
        <v>43678</v>
      </c>
      <c r="C1767" s="1" t="n">
        <v>45715</v>
      </c>
      <c r="D1767" t="inlineStr">
        <is>
          <t>KALMAR LÄN</t>
        </is>
      </c>
      <c r="E1767" t="inlineStr">
        <is>
          <t>NYBRO</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37485-2019</t>
        </is>
      </c>
      <c r="B1768" s="1" t="n">
        <v>43678</v>
      </c>
      <c r="C1768" s="1" t="n">
        <v>45715</v>
      </c>
      <c r="D1768" t="inlineStr">
        <is>
          <t>KALMAR LÄN</t>
        </is>
      </c>
      <c r="E1768" t="inlineStr">
        <is>
          <t>NYBRO</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37484-2019</t>
        </is>
      </c>
      <c r="B1769" s="1" t="n">
        <v>43679</v>
      </c>
      <c r="C1769" s="1" t="n">
        <v>45715</v>
      </c>
      <c r="D1769" t="inlineStr">
        <is>
          <t>KALMAR LÄN</t>
        </is>
      </c>
      <c r="E1769" t="inlineStr">
        <is>
          <t>KALMAR</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37455-2019</t>
        </is>
      </c>
      <c r="B1770" s="1" t="n">
        <v>43679</v>
      </c>
      <c r="C1770" s="1" t="n">
        <v>45715</v>
      </c>
      <c r="D1770" t="inlineStr">
        <is>
          <t>KALMAR LÄN</t>
        </is>
      </c>
      <c r="E1770" t="inlineStr">
        <is>
          <t>TORSÅS</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37604-2019</t>
        </is>
      </c>
      <c r="B1771" s="1" t="n">
        <v>43680</v>
      </c>
      <c r="C1771" s="1" t="n">
        <v>45715</v>
      </c>
      <c r="D1771" t="inlineStr">
        <is>
          <t>KALMAR LÄN</t>
        </is>
      </c>
      <c r="E1771" t="inlineStr">
        <is>
          <t>KALMAR</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37608-2019</t>
        </is>
      </c>
      <c r="B1772" s="1" t="n">
        <v>43680</v>
      </c>
      <c r="C1772" s="1" t="n">
        <v>45715</v>
      </c>
      <c r="D1772" t="inlineStr">
        <is>
          <t>KALMAR LÄN</t>
        </is>
      </c>
      <c r="E1772" t="inlineStr">
        <is>
          <t>TORSÅS</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37601-2019</t>
        </is>
      </c>
      <c r="B1773" s="1" t="n">
        <v>43680</v>
      </c>
      <c r="C1773" s="1" t="n">
        <v>45715</v>
      </c>
      <c r="D1773" t="inlineStr">
        <is>
          <t>KALMAR LÄN</t>
        </is>
      </c>
      <c r="E1773" t="inlineStr">
        <is>
          <t>EMMABODA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37606-2019</t>
        </is>
      </c>
      <c r="B1774" s="1" t="n">
        <v>43680</v>
      </c>
      <c r="C1774" s="1" t="n">
        <v>45715</v>
      </c>
      <c r="D1774" t="inlineStr">
        <is>
          <t>KALMAR LÄN</t>
        </is>
      </c>
      <c r="E1774" t="inlineStr">
        <is>
          <t>KALMAR</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37607-2019</t>
        </is>
      </c>
      <c r="B1775" s="1" t="n">
        <v>43680</v>
      </c>
      <c r="C1775" s="1" t="n">
        <v>45715</v>
      </c>
      <c r="D1775" t="inlineStr">
        <is>
          <t>KALMAR LÄN</t>
        </is>
      </c>
      <c r="E1775" t="inlineStr">
        <is>
          <t>KALMAR</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37603-2019</t>
        </is>
      </c>
      <c r="B1776" s="1" t="n">
        <v>43680</v>
      </c>
      <c r="C1776" s="1" t="n">
        <v>45715</v>
      </c>
      <c r="D1776" t="inlineStr">
        <is>
          <t>KALMAR LÄN</t>
        </is>
      </c>
      <c r="E1776" t="inlineStr">
        <is>
          <t>KALMAR</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37615-2019</t>
        </is>
      </c>
      <c r="B1777" s="1" t="n">
        <v>43681</v>
      </c>
      <c r="C1777" s="1" t="n">
        <v>45715</v>
      </c>
      <c r="D1777" t="inlineStr">
        <is>
          <t>KALMAR LÄN</t>
        </is>
      </c>
      <c r="E1777" t="inlineStr">
        <is>
          <t>VÄSTERVIK</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37617-2019</t>
        </is>
      </c>
      <c r="B1778" s="1" t="n">
        <v>43681</v>
      </c>
      <c r="C1778" s="1" t="n">
        <v>45715</v>
      </c>
      <c r="D1778" t="inlineStr">
        <is>
          <t>KALMAR LÄN</t>
        </is>
      </c>
      <c r="E1778" t="inlineStr">
        <is>
          <t>KALMAR</t>
        </is>
      </c>
      <c r="G1778" t="n">
        <v>13.3</v>
      </c>
      <c r="H1778" t="n">
        <v>0</v>
      </c>
      <c r="I1778" t="n">
        <v>0</v>
      </c>
      <c r="J1778" t="n">
        <v>0</v>
      </c>
      <c r="K1778" t="n">
        <v>0</v>
      </c>
      <c r="L1778" t="n">
        <v>0</v>
      </c>
      <c r="M1778" t="n">
        <v>0</v>
      </c>
      <c r="N1778" t="n">
        <v>0</v>
      </c>
      <c r="O1778" t="n">
        <v>0</v>
      </c>
      <c r="P1778" t="n">
        <v>0</v>
      </c>
      <c r="Q1778" t="n">
        <v>0</v>
      </c>
      <c r="R1778" s="2" t="inlineStr"/>
    </row>
    <row r="1779" ht="15" customHeight="1">
      <c r="A1779" t="inlineStr">
        <is>
          <t>A 37644-2019</t>
        </is>
      </c>
      <c r="B1779" s="1" t="n">
        <v>43682</v>
      </c>
      <c r="C1779" s="1" t="n">
        <v>45715</v>
      </c>
      <c r="D1779" t="inlineStr">
        <is>
          <t>KALMAR LÄN</t>
        </is>
      </c>
      <c r="E1779" t="inlineStr">
        <is>
          <t>HULTSFRED</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37724-2019</t>
        </is>
      </c>
      <c r="B1780" s="1" t="n">
        <v>43682</v>
      </c>
      <c r="C1780" s="1" t="n">
        <v>45715</v>
      </c>
      <c r="D1780" t="inlineStr">
        <is>
          <t>KALMAR LÄN</t>
        </is>
      </c>
      <c r="E1780" t="inlineStr">
        <is>
          <t>EMMABODA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37749-2019</t>
        </is>
      </c>
      <c r="B1781" s="1" t="n">
        <v>43682</v>
      </c>
      <c r="C1781" s="1" t="n">
        <v>45715</v>
      </c>
      <c r="D1781" t="inlineStr">
        <is>
          <t>KALMAR LÄN</t>
        </is>
      </c>
      <c r="E1781" t="inlineStr">
        <is>
          <t>HULTSFRED</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37768-2019</t>
        </is>
      </c>
      <c r="B1782" s="1" t="n">
        <v>43682</v>
      </c>
      <c r="C1782" s="1" t="n">
        <v>45715</v>
      </c>
      <c r="D1782" t="inlineStr">
        <is>
          <t>KALMAR LÄN</t>
        </is>
      </c>
      <c r="E1782" t="inlineStr">
        <is>
          <t>TORSÅS</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37799-2019</t>
        </is>
      </c>
      <c r="B1783" s="1" t="n">
        <v>43682</v>
      </c>
      <c r="C1783" s="1" t="n">
        <v>45715</v>
      </c>
      <c r="D1783" t="inlineStr">
        <is>
          <t>KALMAR LÄN</t>
        </is>
      </c>
      <c r="E1783" t="inlineStr">
        <is>
          <t>KALMAR</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37641-2019</t>
        </is>
      </c>
      <c r="B1784" s="1" t="n">
        <v>43682</v>
      </c>
      <c r="C1784" s="1" t="n">
        <v>45715</v>
      </c>
      <c r="D1784" t="inlineStr">
        <is>
          <t>KALMAR LÄN</t>
        </is>
      </c>
      <c r="E1784" t="inlineStr">
        <is>
          <t>KALMAR</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37683-2019</t>
        </is>
      </c>
      <c r="B1785" s="1" t="n">
        <v>43682</v>
      </c>
      <c r="C1785" s="1" t="n">
        <v>45715</v>
      </c>
      <c r="D1785" t="inlineStr">
        <is>
          <t>KALMAR LÄN</t>
        </is>
      </c>
      <c r="E1785" t="inlineStr">
        <is>
          <t>TORSÅS</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37810-2019</t>
        </is>
      </c>
      <c r="B1786" s="1" t="n">
        <v>43682</v>
      </c>
      <c r="C1786" s="1" t="n">
        <v>45715</v>
      </c>
      <c r="D1786" t="inlineStr">
        <is>
          <t>KALMAR LÄN</t>
        </is>
      </c>
      <c r="E1786" t="inlineStr">
        <is>
          <t>NYBRO</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37771-2019</t>
        </is>
      </c>
      <c r="B1787" s="1" t="n">
        <v>43682</v>
      </c>
      <c r="C1787" s="1" t="n">
        <v>45715</v>
      </c>
      <c r="D1787" t="inlineStr">
        <is>
          <t>KALMAR LÄN</t>
        </is>
      </c>
      <c r="E1787" t="inlineStr">
        <is>
          <t>NYBRO</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37798-2019</t>
        </is>
      </c>
      <c r="B1788" s="1" t="n">
        <v>43682</v>
      </c>
      <c r="C1788" s="1" t="n">
        <v>45715</v>
      </c>
      <c r="D1788" t="inlineStr">
        <is>
          <t>KALMAR LÄN</t>
        </is>
      </c>
      <c r="E1788" t="inlineStr">
        <is>
          <t>EMMABODA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37817-2019</t>
        </is>
      </c>
      <c r="B1789" s="1" t="n">
        <v>43682</v>
      </c>
      <c r="C1789" s="1" t="n">
        <v>45715</v>
      </c>
      <c r="D1789" t="inlineStr">
        <is>
          <t>KALMAR LÄN</t>
        </is>
      </c>
      <c r="E1789" t="inlineStr">
        <is>
          <t>TORSÅS</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37862-2019</t>
        </is>
      </c>
      <c r="B1790" s="1" t="n">
        <v>43682</v>
      </c>
      <c r="C1790" s="1" t="n">
        <v>45715</v>
      </c>
      <c r="D1790" t="inlineStr">
        <is>
          <t>KALMAR LÄN</t>
        </is>
      </c>
      <c r="E1790" t="inlineStr">
        <is>
          <t>EMMABODA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37846-2019</t>
        </is>
      </c>
      <c r="B1791" s="1" t="n">
        <v>43682</v>
      </c>
      <c r="C1791" s="1" t="n">
        <v>45715</v>
      </c>
      <c r="D1791" t="inlineStr">
        <is>
          <t>KALMAR LÄN</t>
        </is>
      </c>
      <c r="E1791" t="inlineStr">
        <is>
          <t>HÖGSBY</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37849-2019</t>
        </is>
      </c>
      <c r="B1792" s="1" t="n">
        <v>43682</v>
      </c>
      <c r="C1792" s="1" t="n">
        <v>45715</v>
      </c>
      <c r="D1792" t="inlineStr">
        <is>
          <t>KALMAR LÄN</t>
        </is>
      </c>
      <c r="E1792" t="inlineStr">
        <is>
          <t>HULTSFRED</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37968-2019</t>
        </is>
      </c>
      <c r="B1793" s="1" t="n">
        <v>43683</v>
      </c>
      <c r="C1793" s="1" t="n">
        <v>45715</v>
      </c>
      <c r="D1793" t="inlineStr">
        <is>
          <t>KALMAR LÄN</t>
        </is>
      </c>
      <c r="E1793" t="inlineStr">
        <is>
          <t>NYBRO</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37898-2019</t>
        </is>
      </c>
      <c r="B1794" s="1" t="n">
        <v>43683</v>
      </c>
      <c r="C1794" s="1" t="n">
        <v>45715</v>
      </c>
      <c r="D1794" t="inlineStr">
        <is>
          <t>KALMAR LÄN</t>
        </is>
      </c>
      <c r="E1794" t="inlineStr">
        <is>
          <t>NYBRO</t>
        </is>
      </c>
      <c r="G1794" t="n">
        <v>8.5</v>
      </c>
      <c r="H1794" t="n">
        <v>0</v>
      </c>
      <c r="I1794" t="n">
        <v>0</v>
      </c>
      <c r="J1794" t="n">
        <v>0</v>
      </c>
      <c r="K1794" t="n">
        <v>0</v>
      </c>
      <c r="L1794" t="n">
        <v>0</v>
      </c>
      <c r="M1794" t="n">
        <v>0</v>
      </c>
      <c r="N1794" t="n">
        <v>0</v>
      </c>
      <c r="O1794" t="n">
        <v>0</v>
      </c>
      <c r="P1794" t="n">
        <v>0</v>
      </c>
      <c r="Q1794" t="n">
        <v>0</v>
      </c>
      <c r="R1794" s="2" t="inlineStr"/>
    </row>
    <row r="1795" ht="15" customHeight="1">
      <c r="A1795" t="inlineStr">
        <is>
          <t>A 37915-2019</t>
        </is>
      </c>
      <c r="B1795" s="1" t="n">
        <v>43683</v>
      </c>
      <c r="C1795" s="1" t="n">
        <v>45715</v>
      </c>
      <c r="D1795" t="inlineStr">
        <is>
          <t>KALMAR LÄN</t>
        </is>
      </c>
      <c r="E1795" t="inlineStr">
        <is>
          <t>KALMAR</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37955-2019</t>
        </is>
      </c>
      <c r="B1796" s="1" t="n">
        <v>43683</v>
      </c>
      <c r="C1796" s="1" t="n">
        <v>45715</v>
      </c>
      <c r="D1796" t="inlineStr">
        <is>
          <t>KALMAR LÄN</t>
        </is>
      </c>
      <c r="E1796" t="inlineStr">
        <is>
          <t>HÖGSBY</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38000-2019</t>
        </is>
      </c>
      <c r="B1797" s="1" t="n">
        <v>43683</v>
      </c>
      <c r="C1797" s="1" t="n">
        <v>45715</v>
      </c>
      <c r="D1797" t="inlineStr">
        <is>
          <t>KALMAR LÄN</t>
        </is>
      </c>
      <c r="E1797" t="inlineStr">
        <is>
          <t>HULTSFRED</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37900-2019</t>
        </is>
      </c>
      <c r="B1798" s="1" t="n">
        <v>43683</v>
      </c>
      <c r="C1798" s="1" t="n">
        <v>45715</v>
      </c>
      <c r="D1798" t="inlineStr">
        <is>
          <t>KALMAR LÄN</t>
        </is>
      </c>
      <c r="E1798" t="inlineStr">
        <is>
          <t>NYBRO</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37913-2019</t>
        </is>
      </c>
      <c r="B1799" s="1" t="n">
        <v>43683</v>
      </c>
      <c r="C1799" s="1" t="n">
        <v>45715</v>
      </c>
      <c r="D1799" t="inlineStr">
        <is>
          <t>KALMAR LÄN</t>
        </is>
      </c>
      <c r="E1799" t="inlineStr">
        <is>
          <t>EMMABODA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37958-2019</t>
        </is>
      </c>
      <c r="B1800" s="1" t="n">
        <v>43683</v>
      </c>
      <c r="C1800" s="1" t="n">
        <v>45715</v>
      </c>
      <c r="D1800" t="inlineStr">
        <is>
          <t>KALMAR LÄN</t>
        </is>
      </c>
      <c r="E1800" t="inlineStr">
        <is>
          <t>HÖGSBY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37973-2019</t>
        </is>
      </c>
      <c r="B1801" s="1" t="n">
        <v>43683</v>
      </c>
      <c r="C1801" s="1" t="n">
        <v>45715</v>
      </c>
      <c r="D1801" t="inlineStr">
        <is>
          <t>KALMAR LÄN</t>
        </is>
      </c>
      <c r="E1801" t="inlineStr">
        <is>
          <t>KALMAR</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37983-2019</t>
        </is>
      </c>
      <c r="B1802" s="1" t="n">
        <v>43683</v>
      </c>
      <c r="C1802" s="1" t="n">
        <v>45715</v>
      </c>
      <c r="D1802" t="inlineStr">
        <is>
          <t>KALMAR LÄN</t>
        </is>
      </c>
      <c r="E1802" t="inlineStr">
        <is>
          <t>VÄSTERVIK</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38082-2019</t>
        </is>
      </c>
      <c r="B1803" s="1" t="n">
        <v>43683</v>
      </c>
      <c r="C1803" s="1" t="n">
        <v>45715</v>
      </c>
      <c r="D1803" t="inlineStr">
        <is>
          <t>KALMAR LÄN</t>
        </is>
      </c>
      <c r="E1803" t="inlineStr">
        <is>
          <t>HÖGSBY</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38111-2019</t>
        </is>
      </c>
      <c r="B1804" s="1" t="n">
        <v>43683</v>
      </c>
      <c r="C1804" s="1" t="n">
        <v>45715</v>
      </c>
      <c r="D1804" t="inlineStr">
        <is>
          <t>KALMAR LÄN</t>
        </is>
      </c>
      <c r="E1804" t="inlineStr">
        <is>
          <t>TORSÅS</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38055-2019</t>
        </is>
      </c>
      <c r="B1805" s="1" t="n">
        <v>43683</v>
      </c>
      <c r="C1805" s="1" t="n">
        <v>45715</v>
      </c>
      <c r="D1805" t="inlineStr">
        <is>
          <t>KALMAR LÄN</t>
        </is>
      </c>
      <c r="E1805" t="inlineStr">
        <is>
          <t>MÖNSTERÅS</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38062-2019</t>
        </is>
      </c>
      <c r="B1806" s="1" t="n">
        <v>43683</v>
      </c>
      <c r="C1806" s="1" t="n">
        <v>45715</v>
      </c>
      <c r="D1806" t="inlineStr">
        <is>
          <t>KALMAR LÄN</t>
        </is>
      </c>
      <c r="E1806" t="inlineStr">
        <is>
          <t>MÖNSTERÅS</t>
        </is>
      </c>
      <c r="G1806" t="n">
        <v>11.2</v>
      </c>
      <c r="H1806" t="n">
        <v>0</v>
      </c>
      <c r="I1806" t="n">
        <v>0</v>
      </c>
      <c r="J1806" t="n">
        <v>0</v>
      </c>
      <c r="K1806" t="n">
        <v>0</v>
      </c>
      <c r="L1806" t="n">
        <v>0</v>
      </c>
      <c r="M1806" t="n">
        <v>0</v>
      </c>
      <c r="N1806" t="n">
        <v>0</v>
      </c>
      <c r="O1806" t="n">
        <v>0</v>
      </c>
      <c r="P1806" t="n">
        <v>0</v>
      </c>
      <c r="Q1806" t="n">
        <v>0</v>
      </c>
      <c r="R1806" s="2" t="inlineStr"/>
    </row>
    <row r="1807" ht="15" customHeight="1">
      <c r="A1807" t="inlineStr">
        <is>
          <t>A 38106-2019</t>
        </is>
      </c>
      <c r="B1807" s="1" t="n">
        <v>43683</v>
      </c>
      <c r="C1807" s="1" t="n">
        <v>45715</v>
      </c>
      <c r="D1807" t="inlineStr">
        <is>
          <t>KALMAR LÄN</t>
        </is>
      </c>
      <c r="E1807" t="inlineStr">
        <is>
          <t>TORSÅS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38377-2019</t>
        </is>
      </c>
      <c r="B1808" s="1" t="n">
        <v>43683</v>
      </c>
      <c r="C1808" s="1" t="n">
        <v>45715</v>
      </c>
      <c r="D1808" t="inlineStr">
        <is>
          <t>KALMAR LÄN</t>
        </is>
      </c>
      <c r="E1808" t="inlineStr">
        <is>
          <t>MÖNSTERÅS</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38057-2019</t>
        </is>
      </c>
      <c r="B1809" s="1" t="n">
        <v>43683</v>
      </c>
      <c r="C1809" s="1" t="n">
        <v>45715</v>
      </c>
      <c r="D1809" t="inlineStr">
        <is>
          <t>KALMAR LÄN</t>
        </is>
      </c>
      <c r="E1809" t="inlineStr">
        <is>
          <t>MÖNSTERÅS</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38075-2019</t>
        </is>
      </c>
      <c r="B1810" s="1" t="n">
        <v>43683</v>
      </c>
      <c r="C1810" s="1" t="n">
        <v>45715</v>
      </c>
      <c r="D1810" t="inlineStr">
        <is>
          <t>KALMAR LÄN</t>
        </is>
      </c>
      <c r="E1810" t="inlineStr">
        <is>
          <t>HULTSFRED</t>
        </is>
      </c>
      <c r="G1810" t="n">
        <v>13.6</v>
      </c>
      <c r="H1810" t="n">
        <v>0</v>
      </c>
      <c r="I1810" t="n">
        <v>0</v>
      </c>
      <c r="J1810" t="n">
        <v>0</v>
      </c>
      <c r="K1810" t="n">
        <v>0</v>
      </c>
      <c r="L1810" t="n">
        <v>0</v>
      </c>
      <c r="M1810" t="n">
        <v>0</v>
      </c>
      <c r="N1810" t="n">
        <v>0</v>
      </c>
      <c r="O1810" t="n">
        <v>0</v>
      </c>
      <c r="P1810" t="n">
        <v>0</v>
      </c>
      <c r="Q1810" t="n">
        <v>0</v>
      </c>
      <c r="R1810" s="2" t="inlineStr"/>
    </row>
    <row r="1811" ht="15" customHeight="1">
      <c r="A1811" t="inlineStr">
        <is>
          <t>A 38099-2019</t>
        </is>
      </c>
      <c r="B1811" s="1" t="n">
        <v>43683</v>
      </c>
      <c r="C1811" s="1" t="n">
        <v>45715</v>
      </c>
      <c r="D1811" t="inlineStr">
        <is>
          <t>KALMAR LÄN</t>
        </is>
      </c>
      <c r="E1811" t="inlineStr">
        <is>
          <t>TORSÅS</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37931-2019</t>
        </is>
      </c>
      <c r="B1812" s="1" t="n">
        <v>43683</v>
      </c>
      <c r="C1812" s="1" t="n">
        <v>45715</v>
      </c>
      <c r="D1812" t="inlineStr">
        <is>
          <t>KALMAR LÄN</t>
        </is>
      </c>
      <c r="E1812" t="inlineStr">
        <is>
          <t>KALMAR</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38098-2019</t>
        </is>
      </c>
      <c r="B1813" s="1" t="n">
        <v>43683</v>
      </c>
      <c r="C1813" s="1" t="n">
        <v>45715</v>
      </c>
      <c r="D1813" t="inlineStr">
        <is>
          <t>KALMAR LÄN</t>
        </is>
      </c>
      <c r="E1813" t="inlineStr">
        <is>
          <t>TORSÅS</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37920-2019</t>
        </is>
      </c>
      <c r="B1814" s="1" t="n">
        <v>43683</v>
      </c>
      <c r="C1814" s="1" t="n">
        <v>45715</v>
      </c>
      <c r="D1814" t="inlineStr">
        <is>
          <t>KALMAR LÄN</t>
        </is>
      </c>
      <c r="E1814" t="inlineStr">
        <is>
          <t>VÄSTERVIK</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37977-2019</t>
        </is>
      </c>
      <c r="B1815" s="1" t="n">
        <v>43683</v>
      </c>
      <c r="C1815" s="1" t="n">
        <v>45715</v>
      </c>
      <c r="D1815" t="inlineStr">
        <is>
          <t>KALMAR LÄN</t>
        </is>
      </c>
      <c r="E1815" t="inlineStr">
        <is>
          <t>HULTSFRED</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37944-2019</t>
        </is>
      </c>
      <c r="B1816" s="1" t="n">
        <v>43683</v>
      </c>
      <c r="C1816" s="1" t="n">
        <v>45715</v>
      </c>
      <c r="D1816" t="inlineStr">
        <is>
          <t>KALMAR LÄN</t>
        </is>
      </c>
      <c r="E1816" t="inlineStr">
        <is>
          <t>EMMABODA</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38367-2019</t>
        </is>
      </c>
      <c r="B1817" s="1" t="n">
        <v>43683</v>
      </c>
      <c r="C1817" s="1" t="n">
        <v>45715</v>
      </c>
      <c r="D1817" t="inlineStr">
        <is>
          <t>KALMAR LÄN</t>
        </is>
      </c>
      <c r="E1817" t="inlineStr">
        <is>
          <t>NYBRO</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38059-2019</t>
        </is>
      </c>
      <c r="B1818" s="1" t="n">
        <v>43683</v>
      </c>
      <c r="C1818" s="1" t="n">
        <v>45715</v>
      </c>
      <c r="D1818" t="inlineStr">
        <is>
          <t>KALMAR LÄN</t>
        </is>
      </c>
      <c r="E1818" t="inlineStr">
        <is>
          <t>MÖNSTERÅS</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37899-2019</t>
        </is>
      </c>
      <c r="B1819" s="1" t="n">
        <v>43683</v>
      </c>
      <c r="C1819" s="1" t="n">
        <v>45715</v>
      </c>
      <c r="D1819" t="inlineStr">
        <is>
          <t>KALMAR LÄN</t>
        </is>
      </c>
      <c r="E1819" t="inlineStr">
        <is>
          <t>NYBRO</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38233-2019</t>
        </is>
      </c>
      <c r="B1820" s="1" t="n">
        <v>43684</v>
      </c>
      <c r="C1820" s="1" t="n">
        <v>45715</v>
      </c>
      <c r="D1820" t="inlineStr">
        <is>
          <t>KALMAR LÄN</t>
        </is>
      </c>
      <c r="E1820" t="inlineStr">
        <is>
          <t>KALMAR</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38306-2019</t>
        </is>
      </c>
      <c r="B1821" s="1" t="n">
        <v>43684</v>
      </c>
      <c r="C1821" s="1" t="n">
        <v>45715</v>
      </c>
      <c r="D1821" t="inlineStr">
        <is>
          <t>KALMAR LÄN</t>
        </is>
      </c>
      <c r="E1821" t="inlineStr">
        <is>
          <t>TORSÅS</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38229-2019</t>
        </is>
      </c>
      <c r="B1822" s="1" t="n">
        <v>43684</v>
      </c>
      <c r="C1822" s="1" t="n">
        <v>45715</v>
      </c>
      <c r="D1822" t="inlineStr">
        <is>
          <t>KALMAR LÄN</t>
        </is>
      </c>
      <c r="E1822" t="inlineStr">
        <is>
          <t>VÄSTERVIK</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38239-2019</t>
        </is>
      </c>
      <c r="B1823" s="1" t="n">
        <v>43684</v>
      </c>
      <c r="C1823" s="1" t="n">
        <v>45715</v>
      </c>
      <c r="D1823" t="inlineStr">
        <is>
          <t>KALMAR LÄN</t>
        </is>
      </c>
      <c r="E1823" t="inlineStr">
        <is>
          <t>VÄSTERVIK</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38602-2019</t>
        </is>
      </c>
      <c r="B1824" s="1" t="n">
        <v>43684</v>
      </c>
      <c r="C1824" s="1" t="n">
        <v>45715</v>
      </c>
      <c r="D1824" t="inlineStr">
        <is>
          <t>KALMAR LÄN</t>
        </is>
      </c>
      <c r="E1824" t="inlineStr">
        <is>
          <t>VIMMERBY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38307-2019</t>
        </is>
      </c>
      <c r="B1825" s="1" t="n">
        <v>43684</v>
      </c>
      <c r="C1825" s="1" t="n">
        <v>45715</v>
      </c>
      <c r="D1825" t="inlineStr">
        <is>
          <t>KALMAR LÄN</t>
        </is>
      </c>
      <c r="E1825" t="inlineStr">
        <is>
          <t>NYBRO</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38463-2019</t>
        </is>
      </c>
      <c r="B1826" s="1" t="n">
        <v>43685</v>
      </c>
      <c r="C1826" s="1" t="n">
        <v>45715</v>
      </c>
      <c r="D1826" t="inlineStr">
        <is>
          <t>KALMAR LÄN</t>
        </is>
      </c>
      <c r="E1826" t="inlineStr">
        <is>
          <t>EMMABODA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38459-2019</t>
        </is>
      </c>
      <c r="B1827" s="1" t="n">
        <v>43685</v>
      </c>
      <c r="C1827" s="1" t="n">
        <v>45715</v>
      </c>
      <c r="D1827" t="inlineStr">
        <is>
          <t>KALMAR LÄN</t>
        </is>
      </c>
      <c r="E1827" t="inlineStr">
        <is>
          <t>EMMABODA</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38469-2019</t>
        </is>
      </c>
      <c r="B1828" s="1" t="n">
        <v>43685</v>
      </c>
      <c r="C1828" s="1" t="n">
        <v>45715</v>
      </c>
      <c r="D1828" t="inlineStr">
        <is>
          <t>KALMAR LÄN</t>
        </is>
      </c>
      <c r="E1828" t="inlineStr">
        <is>
          <t>EMMABODA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38464-2019</t>
        </is>
      </c>
      <c r="B1829" s="1" t="n">
        <v>43685</v>
      </c>
      <c r="C1829" s="1" t="n">
        <v>45715</v>
      </c>
      <c r="D1829" t="inlineStr">
        <is>
          <t>KALMAR LÄN</t>
        </is>
      </c>
      <c r="E1829" t="inlineStr">
        <is>
          <t>EMMABODA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38520-2019</t>
        </is>
      </c>
      <c r="B1830" s="1" t="n">
        <v>43685</v>
      </c>
      <c r="C1830" s="1" t="n">
        <v>45715</v>
      </c>
      <c r="D1830" t="inlineStr">
        <is>
          <t>KALMAR LÄN</t>
        </is>
      </c>
      <c r="E1830" t="inlineStr">
        <is>
          <t>EMMABODA</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38339-2019</t>
        </is>
      </c>
      <c r="B1831" s="1" t="n">
        <v>43685</v>
      </c>
      <c r="C1831" s="1" t="n">
        <v>45715</v>
      </c>
      <c r="D1831" t="inlineStr">
        <is>
          <t>KALMAR LÄN</t>
        </is>
      </c>
      <c r="E1831" t="inlineStr">
        <is>
          <t>MÖNSTERÅS</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38557-2019</t>
        </is>
      </c>
      <c r="B1832" s="1" t="n">
        <v>43685</v>
      </c>
      <c r="C1832" s="1" t="n">
        <v>45715</v>
      </c>
      <c r="D1832" t="inlineStr">
        <is>
          <t>KALMAR LÄN</t>
        </is>
      </c>
      <c r="E1832" t="inlineStr">
        <is>
          <t>EMMABODA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38866-2019</t>
        </is>
      </c>
      <c r="B1833" s="1" t="n">
        <v>43685</v>
      </c>
      <c r="C1833" s="1" t="n">
        <v>45715</v>
      </c>
      <c r="D1833" t="inlineStr">
        <is>
          <t>KALMAR LÄN</t>
        </is>
      </c>
      <c r="E1833" t="inlineStr">
        <is>
          <t>VIMMERBY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38588-2019</t>
        </is>
      </c>
      <c r="B1834" s="1" t="n">
        <v>43686</v>
      </c>
      <c r="C1834" s="1" t="n">
        <v>45715</v>
      </c>
      <c r="D1834" t="inlineStr">
        <is>
          <t>KALMAR LÄN</t>
        </is>
      </c>
      <c r="E1834" t="inlineStr">
        <is>
          <t>NYBRO</t>
        </is>
      </c>
      <c r="G1834" t="n">
        <v>17.1</v>
      </c>
      <c r="H1834" t="n">
        <v>0</v>
      </c>
      <c r="I1834" t="n">
        <v>0</v>
      </c>
      <c r="J1834" t="n">
        <v>0</v>
      </c>
      <c r="K1834" t="n">
        <v>0</v>
      </c>
      <c r="L1834" t="n">
        <v>0</v>
      </c>
      <c r="M1834" t="n">
        <v>0</v>
      </c>
      <c r="N1834" t="n">
        <v>0</v>
      </c>
      <c r="O1834" t="n">
        <v>0</v>
      </c>
      <c r="P1834" t="n">
        <v>0</v>
      </c>
      <c r="Q1834" t="n">
        <v>0</v>
      </c>
      <c r="R1834" s="2" t="inlineStr"/>
    </row>
    <row r="1835" ht="15" customHeight="1">
      <c r="A1835" t="inlineStr">
        <is>
          <t>A 38681-2019</t>
        </is>
      </c>
      <c r="B1835" s="1" t="n">
        <v>43686</v>
      </c>
      <c r="C1835" s="1" t="n">
        <v>45715</v>
      </c>
      <c r="D1835" t="inlineStr">
        <is>
          <t>KALMAR LÄN</t>
        </is>
      </c>
      <c r="E1835" t="inlineStr">
        <is>
          <t>EMMABODA</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38682-2019</t>
        </is>
      </c>
      <c r="B1836" s="1" t="n">
        <v>43686</v>
      </c>
      <c r="C1836" s="1" t="n">
        <v>45715</v>
      </c>
      <c r="D1836" t="inlineStr">
        <is>
          <t>KALMAR LÄN</t>
        </is>
      </c>
      <c r="E1836" t="inlineStr">
        <is>
          <t>EMMABODA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38590-2019</t>
        </is>
      </c>
      <c r="B1837" s="1" t="n">
        <v>43686</v>
      </c>
      <c r="C1837" s="1" t="n">
        <v>45715</v>
      </c>
      <c r="D1837" t="inlineStr">
        <is>
          <t>KALMAR LÄN</t>
        </is>
      </c>
      <c r="E1837" t="inlineStr">
        <is>
          <t>NYBRO</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38650-2019</t>
        </is>
      </c>
      <c r="B1838" s="1" t="n">
        <v>43686</v>
      </c>
      <c r="C1838" s="1" t="n">
        <v>45715</v>
      </c>
      <c r="D1838" t="inlineStr">
        <is>
          <t>KALMAR LÄN</t>
        </is>
      </c>
      <c r="E1838" t="inlineStr">
        <is>
          <t>TORSÅS</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38789-2019</t>
        </is>
      </c>
      <c r="B1839" s="1" t="n">
        <v>43687</v>
      </c>
      <c r="C1839" s="1" t="n">
        <v>45715</v>
      </c>
      <c r="D1839" t="inlineStr">
        <is>
          <t>KALMAR LÄN</t>
        </is>
      </c>
      <c r="E1839" t="inlineStr">
        <is>
          <t>VIMMERBY</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38804-2019</t>
        </is>
      </c>
      <c r="B1840" s="1" t="n">
        <v>43688</v>
      </c>
      <c r="C1840" s="1" t="n">
        <v>45715</v>
      </c>
      <c r="D1840" t="inlineStr">
        <is>
          <t>KALMAR LÄN</t>
        </is>
      </c>
      <c r="E1840" t="inlineStr">
        <is>
          <t>NYBRO</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38835-2019</t>
        </is>
      </c>
      <c r="B1841" s="1" t="n">
        <v>43689</v>
      </c>
      <c r="C1841" s="1" t="n">
        <v>45715</v>
      </c>
      <c r="D1841" t="inlineStr">
        <is>
          <t>KALMAR LÄN</t>
        </is>
      </c>
      <c r="E1841" t="inlineStr">
        <is>
          <t>VIMMERBY</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38880-2019</t>
        </is>
      </c>
      <c r="B1842" s="1" t="n">
        <v>43689</v>
      </c>
      <c r="C1842" s="1" t="n">
        <v>45715</v>
      </c>
      <c r="D1842" t="inlineStr">
        <is>
          <t>KALMAR LÄN</t>
        </is>
      </c>
      <c r="E1842" t="inlineStr">
        <is>
          <t>HULTSFRED</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38935-2019</t>
        </is>
      </c>
      <c r="B1843" s="1" t="n">
        <v>43689</v>
      </c>
      <c r="C1843" s="1" t="n">
        <v>45715</v>
      </c>
      <c r="D1843" t="inlineStr">
        <is>
          <t>KALMAR LÄN</t>
        </is>
      </c>
      <c r="E1843" t="inlineStr">
        <is>
          <t>MÖNSTERÅS</t>
        </is>
      </c>
      <c r="G1843" t="n">
        <v>11.3</v>
      </c>
      <c r="H1843" t="n">
        <v>0</v>
      </c>
      <c r="I1843" t="n">
        <v>0</v>
      </c>
      <c r="J1843" t="n">
        <v>0</v>
      </c>
      <c r="K1843" t="n">
        <v>0</v>
      </c>
      <c r="L1843" t="n">
        <v>0</v>
      </c>
      <c r="M1843" t="n">
        <v>0</v>
      </c>
      <c r="N1843" t="n">
        <v>0</v>
      </c>
      <c r="O1843" t="n">
        <v>0</v>
      </c>
      <c r="P1843" t="n">
        <v>0</v>
      </c>
      <c r="Q1843" t="n">
        <v>0</v>
      </c>
      <c r="R1843" s="2" t="inlineStr"/>
    </row>
    <row r="1844" ht="15" customHeight="1">
      <c r="A1844" t="inlineStr">
        <is>
          <t>A 38823-2019</t>
        </is>
      </c>
      <c r="B1844" s="1" t="n">
        <v>43689</v>
      </c>
      <c r="C1844" s="1" t="n">
        <v>45715</v>
      </c>
      <c r="D1844" t="inlineStr">
        <is>
          <t>KALMAR LÄN</t>
        </is>
      </c>
      <c r="E1844" t="inlineStr">
        <is>
          <t>VIMMERBY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38837-2019</t>
        </is>
      </c>
      <c r="B1845" s="1" t="n">
        <v>43689</v>
      </c>
      <c r="C1845" s="1" t="n">
        <v>45715</v>
      </c>
      <c r="D1845" t="inlineStr">
        <is>
          <t>KALMAR LÄN</t>
        </is>
      </c>
      <c r="E1845" t="inlineStr">
        <is>
          <t>VIMMERBY</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38964-2019</t>
        </is>
      </c>
      <c r="B1846" s="1" t="n">
        <v>43689</v>
      </c>
      <c r="C1846" s="1" t="n">
        <v>45715</v>
      </c>
      <c r="D1846" t="inlineStr">
        <is>
          <t>KALMAR LÄN</t>
        </is>
      </c>
      <c r="E1846" t="inlineStr">
        <is>
          <t>EMMABODA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39846-2019</t>
        </is>
      </c>
      <c r="B1847" s="1" t="n">
        <v>43689</v>
      </c>
      <c r="C1847" s="1" t="n">
        <v>45715</v>
      </c>
      <c r="D1847" t="inlineStr">
        <is>
          <t>KALMAR LÄN</t>
        </is>
      </c>
      <c r="E1847" t="inlineStr">
        <is>
          <t>HÖGSBY</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39102-2019</t>
        </is>
      </c>
      <c r="B1848" s="1" t="n">
        <v>43689</v>
      </c>
      <c r="C1848" s="1" t="n">
        <v>45715</v>
      </c>
      <c r="D1848" t="inlineStr">
        <is>
          <t>KALMAR LÄN</t>
        </is>
      </c>
      <c r="E1848" t="inlineStr">
        <is>
          <t>TORSÅS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39851-2019</t>
        </is>
      </c>
      <c r="B1849" s="1" t="n">
        <v>43689</v>
      </c>
      <c r="C1849" s="1" t="n">
        <v>45715</v>
      </c>
      <c r="D1849" t="inlineStr">
        <is>
          <t>KALMAR LÄN</t>
        </is>
      </c>
      <c r="E1849" t="inlineStr">
        <is>
          <t>HÖGSBY</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38941-2019</t>
        </is>
      </c>
      <c r="B1850" s="1" t="n">
        <v>43689</v>
      </c>
      <c r="C1850" s="1" t="n">
        <v>45715</v>
      </c>
      <c r="D1850" t="inlineStr">
        <is>
          <t>KALMAR LÄN</t>
        </is>
      </c>
      <c r="E1850" t="inlineStr">
        <is>
          <t>TORSÅS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38939-2019</t>
        </is>
      </c>
      <c r="B1851" s="1" t="n">
        <v>43689</v>
      </c>
      <c r="C1851" s="1" t="n">
        <v>45715</v>
      </c>
      <c r="D1851" t="inlineStr">
        <is>
          <t>KALMAR LÄN</t>
        </is>
      </c>
      <c r="E1851" t="inlineStr">
        <is>
          <t>TORSÅS</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38904-2019</t>
        </is>
      </c>
      <c r="B1852" s="1" t="n">
        <v>43689</v>
      </c>
      <c r="C1852" s="1" t="n">
        <v>45715</v>
      </c>
      <c r="D1852" t="inlineStr">
        <is>
          <t>KALMAR LÄN</t>
        </is>
      </c>
      <c r="E1852" t="inlineStr">
        <is>
          <t>VÄSTERVIK</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38862-2019</t>
        </is>
      </c>
      <c r="B1853" s="1" t="n">
        <v>43689</v>
      </c>
      <c r="C1853" s="1" t="n">
        <v>45715</v>
      </c>
      <c r="D1853" t="inlineStr">
        <is>
          <t>KALMAR LÄN</t>
        </is>
      </c>
      <c r="E1853" t="inlineStr">
        <is>
          <t>EMMABODA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38831-2019</t>
        </is>
      </c>
      <c r="B1854" s="1" t="n">
        <v>43689</v>
      </c>
      <c r="C1854" s="1" t="n">
        <v>45715</v>
      </c>
      <c r="D1854" t="inlineStr">
        <is>
          <t>KALMAR LÄN</t>
        </is>
      </c>
      <c r="E1854" t="inlineStr">
        <is>
          <t>VIMMERBY</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39104-2019</t>
        </is>
      </c>
      <c r="B1855" s="1" t="n">
        <v>43689</v>
      </c>
      <c r="C1855" s="1" t="n">
        <v>45715</v>
      </c>
      <c r="D1855" t="inlineStr">
        <is>
          <t>KALMAR LÄN</t>
        </is>
      </c>
      <c r="E1855" t="inlineStr">
        <is>
          <t>TORSÅS</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39096-2019</t>
        </is>
      </c>
      <c r="B1856" s="1" t="n">
        <v>43689</v>
      </c>
      <c r="C1856" s="1" t="n">
        <v>45715</v>
      </c>
      <c r="D1856" t="inlineStr">
        <is>
          <t>KALMAR LÄN</t>
        </is>
      </c>
      <c r="E1856" t="inlineStr">
        <is>
          <t>TORSÅS</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38870-2019</t>
        </is>
      </c>
      <c r="B1857" s="1" t="n">
        <v>43689</v>
      </c>
      <c r="C1857" s="1" t="n">
        <v>45715</v>
      </c>
      <c r="D1857" t="inlineStr">
        <is>
          <t>KALMAR LÄN</t>
        </is>
      </c>
      <c r="E1857" t="inlineStr">
        <is>
          <t>KALMAR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38861-2019</t>
        </is>
      </c>
      <c r="B1858" s="1" t="n">
        <v>43689</v>
      </c>
      <c r="C1858" s="1" t="n">
        <v>45715</v>
      </c>
      <c r="D1858" t="inlineStr">
        <is>
          <t>KALMAR LÄN</t>
        </is>
      </c>
      <c r="E1858" t="inlineStr">
        <is>
          <t>KALMAR</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39149-2019</t>
        </is>
      </c>
      <c r="B1859" s="1" t="n">
        <v>43690</v>
      </c>
      <c r="C1859" s="1" t="n">
        <v>45715</v>
      </c>
      <c r="D1859" t="inlineStr">
        <is>
          <t>KALMAR LÄN</t>
        </is>
      </c>
      <c r="E1859" t="inlineStr">
        <is>
          <t>NYBRO</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39327-2019</t>
        </is>
      </c>
      <c r="B1860" s="1" t="n">
        <v>43690</v>
      </c>
      <c r="C1860" s="1" t="n">
        <v>45715</v>
      </c>
      <c r="D1860" t="inlineStr">
        <is>
          <t>KALMAR LÄN</t>
        </is>
      </c>
      <c r="E1860" t="inlineStr">
        <is>
          <t>HÖGSBY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39364-2019</t>
        </is>
      </c>
      <c r="B1861" s="1" t="n">
        <v>43690</v>
      </c>
      <c r="C1861" s="1" t="n">
        <v>45715</v>
      </c>
      <c r="D1861" t="inlineStr">
        <is>
          <t>KALMAR LÄN</t>
        </is>
      </c>
      <c r="E1861" t="inlineStr">
        <is>
          <t>NYBRO</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39153-2019</t>
        </is>
      </c>
      <c r="B1862" s="1" t="n">
        <v>43690</v>
      </c>
      <c r="C1862" s="1" t="n">
        <v>45715</v>
      </c>
      <c r="D1862" t="inlineStr">
        <is>
          <t>KALMAR LÄN</t>
        </is>
      </c>
      <c r="E1862" t="inlineStr">
        <is>
          <t>MÖNSTERÅS</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39260-2019</t>
        </is>
      </c>
      <c r="B1863" s="1" t="n">
        <v>43690</v>
      </c>
      <c r="C1863" s="1" t="n">
        <v>45715</v>
      </c>
      <c r="D1863" t="inlineStr">
        <is>
          <t>KALMAR LÄN</t>
        </is>
      </c>
      <c r="E1863" t="inlineStr">
        <is>
          <t>TORSÅS</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39357-2019</t>
        </is>
      </c>
      <c r="B1864" s="1" t="n">
        <v>43690</v>
      </c>
      <c r="C1864" s="1" t="n">
        <v>45715</v>
      </c>
      <c r="D1864" t="inlineStr">
        <is>
          <t>KALMAR LÄN</t>
        </is>
      </c>
      <c r="E1864" t="inlineStr">
        <is>
          <t>NYBRO</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40448-2019</t>
        </is>
      </c>
      <c r="B1865" s="1" t="n">
        <v>43690</v>
      </c>
      <c r="C1865" s="1" t="n">
        <v>45715</v>
      </c>
      <c r="D1865" t="inlineStr">
        <is>
          <t>KALMAR LÄN</t>
        </is>
      </c>
      <c r="E1865" t="inlineStr">
        <is>
          <t>EMMABODA</t>
        </is>
      </c>
      <c r="F1865" t="inlineStr">
        <is>
          <t>Kyrkan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39971-2019</t>
        </is>
      </c>
      <c r="B1866" s="1" t="n">
        <v>43690</v>
      </c>
      <c r="C1866" s="1" t="n">
        <v>45715</v>
      </c>
      <c r="D1866" t="inlineStr">
        <is>
          <t>KALMAR LÄN</t>
        </is>
      </c>
      <c r="E1866" t="inlineStr">
        <is>
          <t>HÖGSBY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39416-2019</t>
        </is>
      </c>
      <c r="B1867" s="1" t="n">
        <v>43690</v>
      </c>
      <c r="C1867" s="1" t="n">
        <v>45715</v>
      </c>
      <c r="D1867" t="inlineStr">
        <is>
          <t>KALMAR LÄN</t>
        </is>
      </c>
      <c r="E1867" t="inlineStr">
        <is>
          <t>EMMABODA</t>
        </is>
      </c>
      <c r="F1867" t="inlineStr">
        <is>
          <t>Kyrkan</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40281-2019</t>
        </is>
      </c>
      <c r="B1868" s="1" t="n">
        <v>43690</v>
      </c>
      <c r="C1868" s="1" t="n">
        <v>45715</v>
      </c>
      <c r="D1868" t="inlineStr">
        <is>
          <t>KALMAR LÄN</t>
        </is>
      </c>
      <c r="E1868" t="inlineStr">
        <is>
          <t>HULTSFRED</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39423-2019</t>
        </is>
      </c>
      <c r="B1869" s="1" t="n">
        <v>43691</v>
      </c>
      <c r="C1869" s="1" t="n">
        <v>45715</v>
      </c>
      <c r="D1869" t="inlineStr">
        <is>
          <t>KALMAR LÄN</t>
        </is>
      </c>
      <c r="E1869" t="inlineStr">
        <is>
          <t>NYBRO</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39442-2019</t>
        </is>
      </c>
      <c r="B1870" s="1" t="n">
        <v>43691</v>
      </c>
      <c r="C1870" s="1" t="n">
        <v>45715</v>
      </c>
      <c r="D1870" t="inlineStr">
        <is>
          <t>KALMAR LÄN</t>
        </is>
      </c>
      <c r="E1870" t="inlineStr">
        <is>
          <t>VIMMERBY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39545-2019</t>
        </is>
      </c>
      <c r="B1871" s="1" t="n">
        <v>43691</v>
      </c>
      <c r="C1871" s="1" t="n">
        <v>45715</v>
      </c>
      <c r="D1871" t="inlineStr">
        <is>
          <t>KALMAR LÄN</t>
        </is>
      </c>
      <c r="E1871" t="inlineStr">
        <is>
          <t>KALMAR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39575-2019</t>
        </is>
      </c>
      <c r="B1872" s="1" t="n">
        <v>43691</v>
      </c>
      <c r="C1872" s="1" t="n">
        <v>45715</v>
      </c>
      <c r="D1872" t="inlineStr">
        <is>
          <t>KALMAR LÄN</t>
        </is>
      </c>
      <c r="E1872" t="inlineStr">
        <is>
          <t>VIMMERBY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39415-2019</t>
        </is>
      </c>
      <c r="B1873" s="1" t="n">
        <v>43691</v>
      </c>
      <c r="C1873" s="1" t="n">
        <v>45715</v>
      </c>
      <c r="D1873" t="inlineStr">
        <is>
          <t>KALMAR LÄN</t>
        </is>
      </c>
      <c r="E1873" t="inlineStr">
        <is>
          <t>TORSÅS</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39426-2019</t>
        </is>
      </c>
      <c r="B1874" s="1" t="n">
        <v>43691</v>
      </c>
      <c r="C1874" s="1" t="n">
        <v>45715</v>
      </c>
      <c r="D1874" t="inlineStr">
        <is>
          <t>KALMAR LÄN</t>
        </is>
      </c>
      <c r="E1874" t="inlineStr">
        <is>
          <t>NYBRO</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39543-2019</t>
        </is>
      </c>
      <c r="B1875" s="1" t="n">
        <v>43691</v>
      </c>
      <c r="C1875" s="1" t="n">
        <v>45715</v>
      </c>
      <c r="D1875" t="inlineStr">
        <is>
          <t>KALMAR LÄN</t>
        </is>
      </c>
      <c r="E1875" t="inlineStr">
        <is>
          <t>KALMAR</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39632-2019</t>
        </is>
      </c>
      <c r="B1876" s="1" t="n">
        <v>43691</v>
      </c>
      <c r="C1876" s="1" t="n">
        <v>45715</v>
      </c>
      <c r="D1876" t="inlineStr">
        <is>
          <t>KALMAR LÄN</t>
        </is>
      </c>
      <c r="E1876" t="inlineStr">
        <is>
          <t>EMMABODA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39568-2019</t>
        </is>
      </c>
      <c r="B1877" s="1" t="n">
        <v>43691</v>
      </c>
      <c r="C1877" s="1" t="n">
        <v>45715</v>
      </c>
      <c r="D1877" t="inlineStr">
        <is>
          <t>KALMAR LÄN</t>
        </is>
      </c>
      <c r="E1877" t="inlineStr">
        <is>
          <t>VIMMERBY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39614-2019</t>
        </is>
      </c>
      <c r="B1878" s="1" t="n">
        <v>43691</v>
      </c>
      <c r="C1878" s="1" t="n">
        <v>45715</v>
      </c>
      <c r="D1878" t="inlineStr">
        <is>
          <t>KALMAR LÄN</t>
        </is>
      </c>
      <c r="E1878" t="inlineStr">
        <is>
          <t>MÖNSTERÅS</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39621-2019</t>
        </is>
      </c>
      <c r="B1879" s="1" t="n">
        <v>43691</v>
      </c>
      <c r="C1879" s="1" t="n">
        <v>45715</v>
      </c>
      <c r="D1879" t="inlineStr">
        <is>
          <t>KALMAR LÄN</t>
        </is>
      </c>
      <c r="E1879" t="inlineStr">
        <is>
          <t>EMMABODA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39629-2019</t>
        </is>
      </c>
      <c r="B1880" s="1" t="n">
        <v>43691</v>
      </c>
      <c r="C1880" s="1" t="n">
        <v>45715</v>
      </c>
      <c r="D1880" t="inlineStr">
        <is>
          <t>KALMAR LÄN</t>
        </is>
      </c>
      <c r="E1880" t="inlineStr">
        <is>
          <t>EMMABODA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39635-2019</t>
        </is>
      </c>
      <c r="B1881" s="1" t="n">
        <v>43691</v>
      </c>
      <c r="C1881" s="1" t="n">
        <v>45715</v>
      </c>
      <c r="D1881" t="inlineStr">
        <is>
          <t>KALMAR LÄN</t>
        </is>
      </c>
      <c r="E1881" t="inlineStr">
        <is>
          <t>EMMABODA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39696-2019</t>
        </is>
      </c>
      <c r="B1882" s="1" t="n">
        <v>43691</v>
      </c>
      <c r="C1882" s="1" t="n">
        <v>45715</v>
      </c>
      <c r="D1882" t="inlineStr">
        <is>
          <t>KALMAR LÄN</t>
        </is>
      </c>
      <c r="E1882" t="inlineStr">
        <is>
          <t>VÄSTERVIK</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39618-2019</t>
        </is>
      </c>
      <c r="B1883" s="1" t="n">
        <v>43691</v>
      </c>
      <c r="C1883" s="1" t="n">
        <v>45715</v>
      </c>
      <c r="D1883" t="inlineStr">
        <is>
          <t>KALMAR LÄN</t>
        </is>
      </c>
      <c r="E1883" t="inlineStr">
        <is>
          <t>EMMABODA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39638-2019</t>
        </is>
      </c>
      <c r="B1884" s="1" t="n">
        <v>43691</v>
      </c>
      <c r="C1884" s="1" t="n">
        <v>45715</v>
      </c>
      <c r="D1884" t="inlineStr">
        <is>
          <t>KALMAR LÄN</t>
        </is>
      </c>
      <c r="E1884" t="inlineStr">
        <is>
          <t>EMMABODA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39735-2019</t>
        </is>
      </c>
      <c r="B1885" s="1" t="n">
        <v>43691</v>
      </c>
      <c r="C1885" s="1" t="n">
        <v>45715</v>
      </c>
      <c r="D1885" t="inlineStr">
        <is>
          <t>KALMAR LÄN</t>
        </is>
      </c>
      <c r="E1885" t="inlineStr">
        <is>
          <t>KALMAR</t>
        </is>
      </c>
      <c r="G1885" t="n">
        <v>9.6</v>
      </c>
      <c r="H1885" t="n">
        <v>0</v>
      </c>
      <c r="I1885" t="n">
        <v>0</v>
      </c>
      <c r="J1885" t="n">
        <v>0</v>
      </c>
      <c r="K1885" t="n">
        <v>0</v>
      </c>
      <c r="L1885" t="n">
        <v>0</v>
      </c>
      <c r="M1885" t="n">
        <v>0</v>
      </c>
      <c r="N1885" t="n">
        <v>0</v>
      </c>
      <c r="O1885" t="n">
        <v>0</v>
      </c>
      <c r="P1885" t="n">
        <v>0</v>
      </c>
      <c r="Q1885" t="n">
        <v>0</v>
      </c>
      <c r="R1885" s="2" t="inlineStr"/>
    </row>
    <row r="1886" ht="15" customHeight="1">
      <c r="A1886" t="inlineStr">
        <is>
          <t>A 39741-2019</t>
        </is>
      </c>
      <c r="B1886" s="1" t="n">
        <v>43691</v>
      </c>
      <c r="C1886" s="1" t="n">
        <v>45715</v>
      </c>
      <c r="D1886" t="inlineStr">
        <is>
          <t>KALMAR LÄN</t>
        </is>
      </c>
      <c r="E1886" t="inlineStr">
        <is>
          <t>KALMAR</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40218-2019</t>
        </is>
      </c>
      <c r="B1887" s="1" t="n">
        <v>43691</v>
      </c>
      <c r="C1887" s="1" t="n">
        <v>45715</v>
      </c>
      <c r="D1887" t="inlineStr">
        <is>
          <t>KALMAR LÄN</t>
        </is>
      </c>
      <c r="E1887" t="inlineStr">
        <is>
          <t>KALMAR</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39665-2019</t>
        </is>
      </c>
      <c r="B1888" s="1" t="n">
        <v>43691</v>
      </c>
      <c r="C1888" s="1" t="n">
        <v>45715</v>
      </c>
      <c r="D1888" t="inlineStr">
        <is>
          <t>KALMAR LÄN</t>
        </is>
      </c>
      <c r="E1888" t="inlineStr">
        <is>
          <t>HULTSFRED</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39739-2019</t>
        </is>
      </c>
      <c r="B1889" s="1" t="n">
        <v>43691</v>
      </c>
      <c r="C1889" s="1" t="n">
        <v>45715</v>
      </c>
      <c r="D1889" t="inlineStr">
        <is>
          <t>KALMAR LÄN</t>
        </is>
      </c>
      <c r="E1889" t="inlineStr">
        <is>
          <t>KALMAR</t>
        </is>
      </c>
      <c r="G1889" t="n">
        <v>6.9</v>
      </c>
      <c r="H1889" t="n">
        <v>0</v>
      </c>
      <c r="I1889" t="n">
        <v>0</v>
      </c>
      <c r="J1889" t="n">
        <v>0</v>
      </c>
      <c r="K1889" t="n">
        <v>0</v>
      </c>
      <c r="L1889" t="n">
        <v>0</v>
      </c>
      <c r="M1889" t="n">
        <v>0</v>
      </c>
      <c r="N1889" t="n">
        <v>0</v>
      </c>
      <c r="O1889" t="n">
        <v>0</v>
      </c>
      <c r="P1889" t="n">
        <v>0</v>
      </c>
      <c r="Q1889" t="n">
        <v>0</v>
      </c>
      <c r="R1889" s="2" t="inlineStr"/>
    </row>
    <row r="1890" ht="15" customHeight="1">
      <c r="A1890" t="inlineStr">
        <is>
          <t>A 39617-2019</t>
        </is>
      </c>
      <c r="B1890" s="1" t="n">
        <v>43691</v>
      </c>
      <c r="C1890" s="1" t="n">
        <v>45715</v>
      </c>
      <c r="D1890" t="inlineStr">
        <is>
          <t>KALMAR LÄN</t>
        </is>
      </c>
      <c r="E1890" t="inlineStr">
        <is>
          <t>MÖNSTERÅS</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39622-2019</t>
        </is>
      </c>
      <c r="B1891" s="1" t="n">
        <v>43691</v>
      </c>
      <c r="C1891" s="1" t="n">
        <v>45715</v>
      </c>
      <c r="D1891" t="inlineStr">
        <is>
          <t>KALMAR LÄN</t>
        </is>
      </c>
      <c r="E1891" t="inlineStr">
        <is>
          <t>MÖNSTERÅS</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39641-2019</t>
        </is>
      </c>
      <c r="B1892" s="1" t="n">
        <v>43691</v>
      </c>
      <c r="C1892" s="1" t="n">
        <v>45715</v>
      </c>
      <c r="D1892" t="inlineStr">
        <is>
          <t>KALMAR LÄN</t>
        </is>
      </c>
      <c r="E1892" t="inlineStr">
        <is>
          <t>EMMABODA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39649-2019</t>
        </is>
      </c>
      <c r="B1893" s="1" t="n">
        <v>43691</v>
      </c>
      <c r="C1893" s="1" t="n">
        <v>45715</v>
      </c>
      <c r="D1893" t="inlineStr">
        <is>
          <t>KALMAR LÄN</t>
        </is>
      </c>
      <c r="E1893" t="inlineStr">
        <is>
          <t>EMMABODA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39742-2019</t>
        </is>
      </c>
      <c r="B1894" s="1" t="n">
        <v>43691</v>
      </c>
      <c r="C1894" s="1" t="n">
        <v>45715</v>
      </c>
      <c r="D1894" t="inlineStr">
        <is>
          <t>KALMAR LÄN</t>
        </is>
      </c>
      <c r="E1894" t="inlineStr">
        <is>
          <t>KALMAR</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39680-2019</t>
        </is>
      </c>
      <c r="B1895" s="1" t="n">
        <v>43691</v>
      </c>
      <c r="C1895" s="1" t="n">
        <v>45715</v>
      </c>
      <c r="D1895" t="inlineStr">
        <is>
          <t>KALMAR LÄN</t>
        </is>
      </c>
      <c r="E1895" t="inlineStr">
        <is>
          <t>EMMABODA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39693-2019</t>
        </is>
      </c>
      <c r="B1896" s="1" t="n">
        <v>43691</v>
      </c>
      <c r="C1896" s="1" t="n">
        <v>45715</v>
      </c>
      <c r="D1896" t="inlineStr">
        <is>
          <t>KALMAR LÄN</t>
        </is>
      </c>
      <c r="E1896" t="inlineStr">
        <is>
          <t>NYBRO</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40216-2019</t>
        </is>
      </c>
      <c r="B1897" s="1" t="n">
        <v>43691</v>
      </c>
      <c r="C1897" s="1" t="n">
        <v>45715</v>
      </c>
      <c r="D1897" t="inlineStr">
        <is>
          <t>KALMAR LÄN</t>
        </is>
      </c>
      <c r="E1897" t="inlineStr">
        <is>
          <t>HÖGSBY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39564-2019</t>
        </is>
      </c>
      <c r="B1898" s="1" t="n">
        <v>43691</v>
      </c>
      <c r="C1898" s="1" t="n">
        <v>45715</v>
      </c>
      <c r="D1898" t="inlineStr">
        <is>
          <t>KALMAR LÄN</t>
        </is>
      </c>
      <c r="E1898" t="inlineStr">
        <is>
          <t>VIMMERBY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39745-2019</t>
        </is>
      </c>
      <c r="B1899" s="1" t="n">
        <v>43691</v>
      </c>
      <c r="C1899" s="1" t="n">
        <v>45715</v>
      </c>
      <c r="D1899" t="inlineStr">
        <is>
          <t>KALMAR LÄN</t>
        </is>
      </c>
      <c r="E1899" t="inlineStr">
        <is>
          <t>VÄSTERVIK</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39627-2019</t>
        </is>
      </c>
      <c r="B1900" s="1" t="n">
        <v>43691</v>
      </c>
      <c r="C1900" s="1" t="n">
        <v>45715</v>
      </c>
      <c r="D1900" t="inlineStr">
        <is>
          <t>KALMAR LÄN</t>
        </is>
      </c>
      <c r="E1900" t="inlineStr">
        <is>
          <t>EMMABODA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39577-2019</t>
        </is>
      </c>
      <c r="B1901" s="1" t="n">
        <v>43691</v>
      </c>
      <c r="C1901" s="1" t="n">
        <v>45715</v>
      </c>
      <c r="D1901" t="inlineStr">
        <is>
          <t>KALMAR LÄN</t>
        </is>
      </c>
      <c r="E1901" t="inlineStr">
        <is>
          <t>VIMMERBY</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39699-2019</t>
        </is>
      </c>
      <c r="B1902" s="1" t="n">
        <v>43691</v>
      </c>
      <c r="C1902" s="1" t="n">
        <v>45715</v>
      </c>
      <c r="D1902" t="inlineStr">
        <is>
          <t>KALMAR LÄN</t>
        </is>
      </c>
      <c r="E1902" t="inlineStr">
        <is>
          <t>NYBRO</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39856-2019</t>
        </is>
      </c>
      <c r="B1903" s="1" t="n">
        <v>43692</v>
      </c>
      <c r="C1903" s="1" t="n">
        <v>45715</v>
      </c>
      <c r="D1903" t="inlineStr">
        <is>
          <t>KALMAR LÄN</t>
        </is>
      </c>
      <c r="E1903" t="inlineStr">
        <is>
          <t>VIMMERBY</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39864-2019</t>
        </is>
      </c>
      <c r="B1904" s="1" t="n">
        <v>43692</v>
      </c>
      <c r="C1904" s="1" t="n">
        <v>45715</v>
      </c>
      <c r="D1904" t="inlineStr">
        <is>
          <t>KALMAR LÄN</t>
        </is>
      </c>
      <c r="E1904" t="inlineStr">
        <is>
          <t>TORSÅS</t>
        </is>
      </c>
      <c r="F1904" t="inlineStr">
        <is>
          <t>Övriga Aktiebolag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39865-2019</t>
        </is>
      </c>
      <c r="B1905" s="1" t="n">
        <v>43692</v>
      </c>
      <c r="C1905" s="1" t="n">
        <v>45715</v>
      </c>
      <c r="D1905" t="inlineStr">
        <is>
          <t>KALMAR LÄN</t>
        </is>
      </c>
      <c r="E1905" t="inlineStr">
        <is>
          <t>TORSÅS</t>
        </is>
      </c>
      <c r="F1905" t="inlineStr">
        <is>
          <t>Övriga Aktiebolag</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39887-2019</t>
        </is>
      </c>
      <c r="B1906" s="1" t="n">
        <v>43692</v>
      </c>
      <c r="C1906" s="1" t="n">
        <v>45715</v>
      </c>
      <c r="D1906" t="inlineStr">
        <is>
          <t>KALMAR LÄN</t>
        </is>
      </c>
      <c r="E1906" t="inlineStr">
        <is>
          <t>MÖNSTERÅS</t>
        </is>
      </c>
      <c r="G1906" t="n">
        <v>8.9</v>
      </c>
      <c r="H1906" t="n">
        <v>0</v>
      </c>
      <c r="I1906" t="n">
        <v>0</v>
      </c>
      <c r="J1906" t="n">
        <v>0</v>
      </c>
      <c r="K1906" t="n">
        <v>0</v>
      </c>
      <c r="L1906" t="n">
        <v>0</v>
      </c>
      <c r="M1906" t="n">
        <v>0</v>
      </c>
      <c r="N1906" t="n">
        <v>0</v>
      </c>
      <c r="O1906" t="n">
        <v>0</v>
      </c>
      <c r="P1906" t="n">
        <v>0</v>
      </c>
      <c r="Q1906" t="n">
        <v>0</v>
      </c>
      <c r="R1906" s="2" t="inlineStr"/>
    </row>
    <row r="1907" ht="15" customHeight="1">
      <c r="A1907" t="inlineStr">
        <is>
          <t>A 39928-2019</t>
        </is>
      </c>
      <c r="B1907" s="1" t="n">
        <v>43692</v>
      </c>
      <c r="C1907" s="1" t="n">
        <v>45715</v>
      </c>
      <c r="D1907" t="inlineStr">
        <is>
          <t>KALMAR LÄN</t>
        </is>
      </c>
      <c r="E1907" t="inlineStr">
        <is>
          <t>MÖNSTERÅS</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39994-2019</t>
        </is>
      </c>
      <c r="B1908" s="1" t="n">
        <v>43692</v>
      </c>
      <c r="C1908" s="1" t="n">
        <v>45715</v>
      </c>
      <c r="D1908" t="inlineStr">
        <is>
          <t>KALMAR LÄN</t>
        </is>
      </c>
      <c r="E1908" t="inlineStr">
        <is>
          <t>TORSÅS</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39901-2019</t>
        </is>
      </c>
      <c r="B1909" s="1" t="n">
        <v>43692</v>
      </c>
      <c r="C1909" s="1" t="n">
        <v>45715</v>
      </c>
      <c r="D1909" t="inlineStr">
        <is>
          <t>KALMAR LÄN</t>
        </is>
      </c>
      <c r="E1909" t="inlineStr">
        <is>
          <t>VIMMERBY</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39962-2019</t>
        </is>
      </c>
      <c r="B1910" s="1" t="n">
        <v>43692</v>
      </c>
      <c r="C1910" s="1" t="n">
        <v>45715</v>
      </c>
      <c r="D1910" t="inlineStr">
        <is>
          <t>KALMAR LÄN</t>
        </is>
      </c>
      <c r="E1910" t="inlineStr">
        <is>
          <t>VIMMERBY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39870-2019</t>
        </is>
      </c>
      <c r="B1911" s="1" t="n">
        <v>43692</v>
      </c>
      <c r="C1911" s="1" t="n">
        <v>45715</v>
      </c>
      <c r="D1911" t="inlineStr">
        <is>
          <t>KALMAR LÄN</t>
        </is>
      </c>
      <c r="E1911" t="inlineStr">
        <is>
          <t>TORSÅS</t>
        </is>
      </c>
      <c r="F1911" t="inlineStr">
        <is>
          <t>Övriga Aktiebolag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39890-2019</t>
        </is>
      </c>
      <c r="B1912" s="1" t="n">
        <v>43692</v>
      </c>
      <c r="C1912" s="1" t="n">
        <v>45715</v>
      </c>
      <c r="D1912" t="inlineStr">
        <is>
          <t>KALMAR LÄN</t>
        </is>
      </c>
      <c r="E1912" t="inlineStr">
        <is>
          <t>MÖNSTERÅS</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39899-2019</t>
        </is>
      </c>
      <c r="B1913" s="1" t="n">
        <v>43692</v>
      </c>
      <c r="C1913" s="1" t="n">
        <v>45715</v>
      </c>
      <c r="D1913" t="inlineStr">
        <is>
          <t>KALMAR LÄN</t>
        </is>
      </c>
      <c r="E1913" t="inlineStr">
        <is>
          <t>VIMMERBY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39919-2019</t>
        </is>
      </c>
      <c r="B1914" s="1" t="n">
        <v>43692</v>
      </c>
      <c r="C1914" s="1" t="n">
        <v>45715</v>
      </c>
      <c r="D1914" t="inlineStr">
        <is>
          <t>KALMAR LÄN</t>
        </is>
      </c>
      <c r="E1914" t="inlineStr">
        <is>
          <t>HULTSFRED</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39992-2019</t>
        </is>
      </c>
      <c r="B1915" s="1" t="n">
        <v>43692</v>
      </c>
      <c r="C1915" s="1" t="n">
        <v>45715</v>
      </c>
      <c r="D1915" t="inlineStr">
        <is>
          <t>KALMAR LÄN</t>
        </is>
      </c>
      <c r="E1915" t="inlineStr">
        <is>
          <t>TORSÅS</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39894-2019</t>
        </is>
      </c>
      <c r="B1916" s="1" t="n">
        <v>43692</v>
      </c>
      <c r="C1916" s="1" t="n">
        <v>45715</v>
      </c>
      <c r="D1916" t="inlineStr">
        <is>
          <t>KALMAR LÄN</t>
        </is>
      </c>
      <c r="E1916" t="inlineStr">
        <is>
          <t>VIMMERBY</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39986-2019</t>
        </is>
      </c>
      <c r="B1917" s="1" t="n">
        <v>43692</v>
      </c>
      <c r="C1917" s="1" t="n">
        <v>45715</v>
      </c>
      <c r="D1917" t="inlineStr">
        <is>
          <t>KALMAR LÄN</t>
        </is>
      </c>
      <c r="E1917" t="inlineStr">
        <is>
          <t>KALMAR</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39920-2019</t>
        </is>
      </c>
      <c r="B1918" s="1" t="n">
        <v>43692</v>
      </c>
      <c r="C1918" s="1" t="n">
        <v>45715</v>
      </c>
      <c r="D1918" t="inlineStr">
        <is>
          <t>KALMAR LÄN</t>
        </is>
      </c>
      <c r="E1918" t="inlineStr">
        <is>
          <t>VIMMERBY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39897-2019</t>
        </is>
      </c>
      <c r="B1919" s="1" t="n">
        <v>43692</v>
      </c>
      <c r="C1919" s="1" t="n">
        <v>45715</v>
      </c>
      <c r="D1919" t="inlineStr">
        <is>
          <t>KALMAR LÄN</t>
        </is>
      </c>
      <c r="E1919" t="inlineStr">
        <is>
          <t>VIMMERBY</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40025-2019</t>
        </is>
      </c>
      <c r="B1920" s="1" t="n">
        <v>43693</v>
      </c>
      <c r="C1920" s="1" t="n">
        <v>45715</v>
      </c>
      <c r="D1920" t="inlineStr">
        <is>
          <t>KALMAR LÄN</t>
        </is>
      </c>
      <c r="E1920" t="inlineStr">
        <is>
          <t>TORSÅS</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40140-2019</t>
        </is>
      </c>
      <c r="B1921" s="1" t="n">
        <v>43693</v>
      </c>
      <c r="C1921" s="1" t="n">
        <v>45715</v>
      </c>
      <c r="D1921" t="inlineStr">
        <is>
          <t>KALMAR LÄN</t>
        </is>
      </c>
      <c r="E1921" t="inlineStr">
        <is>
          <t>VIMMERBY</t>
        </is>
      </c>
      <c r="F1921" t="inlineStr">
        <is>
          <t>Kommuner</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40212-2019</t>
        </is>
      </c>
      <c r="B1922" s="1" t="n">
        <v>43693</v>
      </c>
      <c r="C1922" s="1" t="n">
        <v>45715</v>
      </c>
      <c r="D1922" t="inlineStr">
        <is>
          <t>KALMAR LÄN</t>
        </is>
      </c>
      <c r="E1922" t="inlineStr">
        <is>
          <t>TORSÅS</t>
        </is>
      </c>
      <c r="G1922" t="n">
        <v>8.300000000000001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40207-2019</t>
        </is>
      </c>
      <c r="B1923" s="1" t="n">
        <v>43693</v>
      </c>
      <c r="C1923" s="1" t="n">
        <v>45715</v>
      </c>
      <c r="D1923" t="inlineStr">
        <is>
          <t>KALMAR LÄN</t>
        </is>
      </c>
      <c r="E1923" t="inlineStr">
        <is>
          <t>TORSÅS</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40214-2019</t>
        </is>
      </c>
      <c r="B1924" s="1" t="n">
        <v>43693</v>
      </c>
      <c r="C1924" s="1" t="n">
        <v>45715</v>
      </c>
      <c r="D1924" t="inlineStr">
        <is>
          <t>KALMAR LÄN</t>
        </is>
      </c>
      <c r="E1924" t="inlineStr">
        <is>
          <t>TORSÅS</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40230-2019</t>
        </is>
      </c>
      <c r="B1925" s="1" t="n">
        <v>43693</v>
      </c>
      <c r="C1925" s="1" t="n">
        <v>45715</v>
      </c>
      <c r="D1925" t="inlineStr">
        <is>
          <t>KALMAR LÄN</t>
        </is>
      </c>
      <c r="E1925" t="inlineStr">
        <is>
          <t>KALMAR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40888-2019</t>
        </is>
      </c>
      <c r="B1926" s="1" t="n">
        <v>43693</v>
      </c>
      <c r="C1926" s="1" t="n">
        <v>45715</v>
      </c>
      <c r="D1926" t="inlineStr">
        <is>
          <t>KALMAR LÄN</t>
        </is>
      </c>
      <c r="E1926" t="inlineStr">
        <is>
          <t>EMMABODA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40189-2019</t>
        </is>
      </c>
      <c r="B1927" s="1" t="n">
        <v>43693</v>
      </c>
      <c r="C1927" s="1" t="n">
        <v>45715</v>
      </c>
      <c r="D1927" t="inlineStr">
        <is>
          <t>KALMAR LÄN</t>
        </is>
      </c>
      <c r="E1927" t="inlineStr">
        <is>
          <t>MÖNSTERÅS</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40872-2019</t>
        </is>
      </c>
      <c r="B1928" s="1" t="n">
        <v>43693</v>
      </c>
      <c r="C1928" s="1" t="n">
        <v>45715</v>
      </c>
      <c r="D1928" t="inlineStr">
        <is>
          <t>KALMAR LÄN</t>
        </is>
      </c>
      <c r="E1928" t="inlineStr">
        <is>
          <t>NYBRO</t>
        </is>
      </c>
      <c r="G1928" t="n">
        <v>19.5</v>
      </c>
      <c r="H1928" t="n">
        <v>0</v>
      </c>
      <c r="I1928" t="n">
        <v>0</v>
      </c>
      <c r="J1928" t="n">
        <v>0</v>
      </c>
      <c r="K1928" t="n">
        <v>0</v>
      </c>
      <c r="L1928" t="n">
        <v>0</v>
      </c>
      <c r="M1928" t="n">
        <v>0</v>
      </c>
      <c r="N1928" t="n">
        <v>0</v>
      </c>
      <c r="O1928" t="n">
        <v>0</v>
      </c>
      <c r="P1928" t="n">
        <v>0</v>
      </c>
      <c r="Q1928" t="n">
        <v>0</v>
      </c>
      <c r="R1928" s="2" t="inlineStr"/>
    </row>
    <row r="1929" ht="15" customHeight="1">
      <c r="A1929" t="inlineStr">
        <is>
          <t>A 40893-2019</t>
        </is>
      </c>
      <c r="B1929" s="1" t="n">
        <v>43693</v>
      </c>
      <c r="C1929" s="1" t="n">
        <v>45715</v>
      </c>
      <c r="D1929" t="inlineStr">
        <is>
          <t>KALMAR LÄN</t>
        </is>
      </c>
      <c r="E1929" t="inlineStr">
        <is>
          <t>EMMABODA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40866-2019</t>
        </is>
      </c>
      <c r="B1930" s="1" t="n">
        <v>43693</v>
      </c>
      <c r="C1930" s="1" t="n">
        <v>45715</v>
      </c>
      <c r="D1930" t="inlineStr">
        <is>
          <t>KALMAR LÄN</t>
        </is>
      </c>
      <c r="E1930" t="inlineStr">
        <is>
          <t>MÖNSTERÅS</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40200-2019</t>
        </is>
      </c>
      <c r="B1931" s="1" t="n">
        <v>43693</v>
      </c>
      <c r="C1931" s="1" t="n">
        <v>45715</v>
      </c>
      <c r="D1931" t="inlineStr">
        <is>
          <t>KALMAR LÄN</t>
        </is>
      </c>
      <c r="E1931" t="inlineStr">
        <is>
          <t>TORSÅS</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40132-2019</t>
        </is>
      </c>
      <c r="B1932" s="1" t="n">
        <v>43693</v>
      </c>
      <c r="C1932" s="1" t="n">
        <v>45715</v>
      </c>
      <c r="D1932" t="inlineStr">
        <is>
          <t>KALMAR LÄN</t>
        </is>
      </c>
      <c r="E1932" t="inlineStr">
        <is>
          <t>NYBRO</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42500-2019</t>
        </is>
      </c>
      <c r="B1933" s="1" t="n">
        <v>43693</v>
      </c>
      <c r="C1933" s="1" t="n">
        <v>45715</v>
      </c>
      <c r="D1933" t="inlineStr">
        <is>
          <t>KALMAR LÄN</t>
        </is>
      </c>
      <c r="E1933" t="inlineStr">
        <is>
          <t>EMMABODA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40865-2019</t>
        </is>
      </c>
      <c r="B1934" s="1" t="n">
        <v>43693</v>
      </c>
      <c r="C1934" s="1" t="n">
        <v>45715</v>
      </c>
      <c r="D1934" t="inlineStr">
        <is>
          <t>KALMAR LÄN</t>
        </is>
      </c>
      <c r="E1934" t="inlineStr">
        <is>
          <t>OSKARSHAMN</t>
        </is>
      </c>
      <c r="F1934" t="inlineStr">
        <is>
          <t>Övriga Aktiebolag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40246-2019</t>
        </is>
      </c>
      <c r="B1935" s="1" t="n">
        <v>43695</v>
      </c>
      <c r="C1935" s="1" t="n">
        <v>45715</v>
      </c>
      <c r="D1935" t="inlineStr">
        <is>
          <t>KALMAR LÄN</t>
        </is>
      </c>
      <c r="E1935" t="inlineStr">
        <is>
          <t>EMMABODA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40441-2019</t>
        </is>
      </c>
      <c r="B1936" s="1" t="n">
        <v>43696</v>
      </c>
      <c r="C1936" s="1" t="n">
        <v>45715</v>
      </c>
      <c r="D1936" t="inlineStr">
        <is>
          <t>KALMAR LÄN</t>
        </is>
      </c>
      <c r="E1936" t="inlineStr">
        <is>
          <t>TORSÅS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40414-2019</t>
        </is>
      </c>
      <c r="B1937" s="1" t="n">
        <v>43696</v>
      </c>
      <c r="C1937" s="1" t="n">
        <v>45715</v>
      </c>
      <c r="D1937" t="inlineStr">
        <is>
          <t>KALMAR LÄN</t>
        </is>
      </c>
      <c r="E1937" t="inlineStr">
        <is>
          <t>MÖNSTERÅS</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40303-2019</t>
        </is>
      </c>
      <c r="B1938" s="1" t="n">
        <v>43696</v>
      </c>
      <c r="C1938" s="1" t="n">
        <v>45715</v>
      </c>
      <c r="D1938" t="inlineStr">
        <is>
          <t>KALMAR LÄN</t>
        </is>
      </c>
      <c r="E1938" t="inlineStr">
        <is>
          <t>HULTSFRED</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40411-2019</t>
        </is>
      </c>
      <c r="B1939" s="1" t="n">
        <v>43696</v>
      </c>
      <c r="C1939" s="1" t="n">
        <v>45715</v>
      </c>
      <c r="D1939" t="inlineStr">
        <is>
          <t>KALMAR LÄN</t>
        </is>
      </c>
      <c r="E1939" t="inlineStr">
        <is>
          <t>EMMABODA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40691-2019</t>
        </is>
      </c>
      <c r="B1940" s="1" t="n">
        <v>43696</v>
      </c>
      <c r="C1940" s="1" t="n">
        <v>45715</v>
      </c>
      <c r="D1940" t="inlineStr">
        <is>
          <t>KALMAR LÄN</t>
        </is>
      </c>
      <c r="E1940" t="inlineStr">
        <is>
          <t>VIMMERBY</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41291-2019</t>
        </is>
      </c>
      <c r="B1941" s="1" t="n">
        <v>43696</v>
      </c>
      <c r="C1941" s="1" t="n">
        <v>45715</v>
      </c>
      <c r="D1941" t="inlineStr">
        <is>
          <t>KALMAR LÄN</t>
        </is>
      </c>
      <c r="E1941" t="inlineStr">
        <is>
          <t>HÖGSBY</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40420-2019</t>
        </is>
      </c>
      <c r="B1942" s="1" t="n">
        <v>43696</v>
      </c>
      <c r="C1942" s="1" t="n">
        <v>45715</v>
      </c>
      <c r="D1942" t="inlineStr">
        <is>
          <t>KALMAR LÄN</t>
        </is>
      </c>
      <c r="E1942" t="inlineStr">
        <is>
          <t>HULTSFRED</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41276-2019</t>
        </is>
      </c>
      <c r="B1943" s="1" t="n">
        <v>43696</v>
      </c>
      <c r="C1943" s="1" t="n">
        <v>45715</v>
      </c>
      <c r="D1943" t="inlineStr">
        <is>
          <t>KALMAR LÄN</t>
        </is>
      </c>
      <c r="E1943" t="inlineStr">
        <is>
          <t>HÖGSBY</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41285-2019</t>
        </is>
      </c>
      <c r="B1944" s="1" t="n">
        <v>43696</v>
      </c>
      <c r="C1944" s="1" t="n">
        <v>45715</v>
      </c>
      <c r="D1944" t="inlineStr">
        <is>
          <t>KALMAR LÄN</t>
        </is>
      </c>
      <c r="E1944" t="inlineStr">
        <is>
          <t>HÖGSBY</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41310-2019</t>
        </is>
      </c>
      <c r="B1945" s="1" t="n">
        <v>43696</v>
      </c>
      <c r="C1945" s="1" t="n">
        <v>45715</v>
      </c>
      <c r="D1945" t="inlineStr">
        <is>
          <t>KALMAR LÄN</t>
        </is>
      </c>
      <c r="E1945" t="inlineStr">
        <is>
          <t>HÖGSBY</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40390-2019</t>
        </is>
      </c>
      <c r="B1946" s="1" t="n">
        <v>43696</v>
      </c>
      <c r="C1946" s="1" t="n">
        <v>45715</v>
      </c>
      <c r="D1946" t="inlineStr">
        <is>
          <t>KALMAR LÄN</t>
        </is>
      </c>
      <c r="E1946" t="inlineStr">
        <is>
          <t>OSKARSHAMN</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41307-2019</t>
        </is>
      </c>
      <c r="B1947" s="1" t="n">
        <v>43696</v>
      </c>
      <c r="C1947" s="1" t="n">
        <v>45715</v>
      </c>
      <c r="D1947" t="inlineStr">
        <is>
          <t>KALMAR LÄN</t>
        </is>
      </c>
      <c r="E1947" t="inlineStr">
        <is>
          <t>HÖGSBY</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40645-2019</t>
        </is>
      </c>
      <c r="B1948" s="1" t="n">
        <v>43696</v>
      </c>
      <c r="C1948" s="1" t="n">
        <v>45715</v>
      </c>
      <c r="D1948" t="inlineStr">
        <is>
          <t>KALMAR LÄN</t>
        </is>
      </c>
      <c r="E1948" t="inlineStr">
        <is>
          <t>KALMAR</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40692-2019</t>
        </is>
      </c>
      <c r="B1949" s="1" t="n">
        <v>43696</v>
      </c>
      <c r="C1949" s="1" t="n">
        <v>45715</v>
      </c>
      <c r="D1949" t="inlineStr">
        <is>
          <t>KALMAR LÄN</t>
        </is>
      </c>
      <c r="E1949" t="inlineStr">
        <is>
          <t>VIMMERBY</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41271-2019</t>
        </is>
      </c>
      <c r="B1950" s="1" t="n">
        <v>43696</v>
      </c>
      <c r="C1950" s="1" t="n">
        <v>45715</v>
      </c>
      <c r="D1950" t="inlineStr">
        <is>
          <t>KALMAR LÄN</t>
        </is>
      </c>
      <c r="E1950" t="inlineStr">
        <is>
          <t>HÖGSBY</t>
        </is>
      </c>
      <c r="G1950" t="n">
        <v>9.199999999999999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40709-2019</t>
        </is>
      </c>
      <c r="B1951" s="1" t="n">
        <v>43697</v>
      </c>
      <c r="C1951" s="1" t="n">
        <v>45715</v>
      </c>
      <c r="D1951" t="inlineStr">
        <is>
          <t>KALMAR LÄN</t>
        </is>
      </c>
      <c r="E1951" t="inlineStr">
        <is>
          <t>EMMABODA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40931-2019</t>
        </is>
      </c>
      <c r="B1952" s="1" t="n">
        <v>43697</v>
      </c>
      <c r="C1952" s="1" t="n">
        <v>45715</v>
      </c>
      <c r="D1952" t="inlineStr">
        <is>
          <t>KALMAR LÄN</t>
        </is>
      </c>
      <c r="E1952" t="inlineStr">
        <is>
          <t>EMMABODA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40933-2019</t>
        </is>
      </c>
      <c r="B1953" s="1" t="n">
        <v>43697</v>
      </c>
      <c r="C1953" s="1" t="n">
        <v>45715</v>
      </c>
      <c r="D1953" t="inlineStr">
        <is>
          <t>KALMAR LÄN</t>
        </is>
      </c>
      <c r="E1953" t="inlineStr">
        <is>
          <t>EMMABODA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41819-2019</t>
        </is>
      </c>
      <c r="B1954" s="1" t="n">
        <v>43697</v>
      </c>
      <c r="C1954" s="1" t="n">
        <v>45715</v>
      </c>
      <c r="D1954" t="inlineStr">
        <is>
          <t>KALMAR LÄN</t>
        </is>
      </c>
      <c r="E1954" t="inlineStr">
        <is>
          <t>HULTSFRED</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40708-2019</t>
        </is>
      </c>
      <c r="B1955" s="1" t="n">
        <v>43697</v>
      </c>
      <c r="C1955" s="1" t="n">
        <v>45715</v>
      </c>
      <c r="D1955" t="inlineStr">
        <is>
          <t>KALMAR LÄN</t>
        </is>
      </c>
      <c r="E1955" t="inlineStr">
        <is>
          <t>EMMABODA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41057-2019</t>
        </is>
      </c>
      <c r="B1956" s="1" t="n">
        <v>43697</v>
      </c>
      <c r="C1956" s="1" t="n">
        <v>45715</v>
      </c>
      <c r="D1956" t="inlineStr">
        <is>
          <t>KALMAR LÄN</t>
        </is>
      </c>
      <c r="E1956" t="inlineStr">
        <is>
          <t>HULTSFRED</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41044-2019</t>
        </is>
      </c>
      <c r="B1957" s="1" t="n">
        <v>43698</v>
      </c>
      <c r="C1957" s="1" t="n">
        <v>45715</v>
      </c>
      <c r="D1957" t="inlineStr">
        <is>
          <t>KALMAR LÄN</t>
        </is>
      </c>
      <c r="E1957" t="inlineStr">
        <is>
          <t>TORSÅS</t>
        </is>
      </c>
      <c r="G1957" t="n">
        <v>9.300000000000001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41046-2019</t>
        </is>
      </c>
      <c r="B1958" s="1" t="n">
        <v>43698</v>
      </c>
      <c r="C1958" s="1" t="n">
        <v>45715</v>
      </c>
      <c r="D1958" t="inlineStr">
        <is>
          <t>KALMAR LÄN</t>
        </is>
      </c>
      <c r="E1958" t="inlineStr">
        <is>
          <t>TORSÅS</t>
        </is>
      </c>
      <c r="G1958" t="n">
        <v>9.300000000000001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41076-2019</t>
        </is>
      </c>
      <c r="B1959" s="1" t="n">
        <v>43698</v>
      </c>
      <c r="C1959" s="1" t="n">
        <v>45715</v>
      </c>
      <c r="D1959" t="inlineStr">
        <is>
          <t>KALMAR LÄN</t>
        </is>
      </c>
      <c r="E1959" t="inlineStr">
        <is>
          <t>NYBRO</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41147-2019</t>
        </is>
      </c>
      <c r="B1960" s="1" t="n">
        <v>43698</v>
      </c>
      <c r="C1960" s="1" t="n">
        <v>45715</v>
      </c>
      <c r="D1960" t="inlineStr">
        <is>
          <t>KALMAR LÄN</t>
        </is>
      </c>
      <c r="E1960" t="inlineStr">
        <is>
          <t>KALMAR</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41282-2019</t>
        </is>
      </c>
      <c r="B1961" s="1" t="n">
        <v>43698</v>
      </c>
      <c r="C1961" s="1" t="n">
        <v>45715</v>
      </c>
      <c r="D1961" t="inlineStr">
        <is>
          <t>KALMAR LÄN</t>
        </is>
      </c>
      <c r="E1961" t="inlineStr">
        <is>
          <t>OSKARSHAMN</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41347-2019</t>
        </is>
      </c>
      <c r="B1962" s="1" t="n">
        <v>43698</v>
      </c>
      <c r="C1962" s="1" t="n">
        <v>45715</v>
      </c>
      <c r="D1962" t="inlineStr">
        <is>
          <t>KALMAR LÄN</t>
        </is>
      </c>
      <c r="E1962" t="inlineStr">
        <is>
          <t>VIMMERBY</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41961-2019</t>
        </is>
      </c>
      <c r="B1963" s="1" t="n">
        <v>43698</v>
      </c>
      <c r="C1963" s="1" t="n">
        <v>45715</v>
      </c>
      <c r="D1963" t="inlineStr">
        <is>
          <t>KALMAR LÄN</t>
        </is>
      </c>
      <c r="E1963" t="inlineStr">
        <is>
          <t>VÄSTERVIK</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41175-2019</t>
        </is>
      </c>
      <c r="B1964" s="1" t="n">
        <v>43698</v>
      </c>
      <c r="C1964" s="1" t="n">
        <v>45715</v>
      </c>
      <c r="D1964" t="inlineStr">
        <is>
          <t>KALMAR LÄN</t>
        </is>
      </c>
      <c r="E1964" t="inlineStr">
        <is>
          <t>NYBRO</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41190-2019</t>
        </is>
      </c>
      <c r="B1965" s="1" t="n">
        <v>43698</v>
      </c>
      <c r="C1965" s="1" t="n">
        <v>45715</v>
      </c>
      <c r="D1965" t="inlineStr">
        <is>
          <t>KALMAR LÄN</t>
        </is>
      </c>
      <c r="E1965" t="inlineStr">
        <is>
          <t>KALMAR</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41313-2019</t>
        </is>
      </c>
      <c r="B1966" s="1" t="n">
        <v>43698</v>
      </c>
      <c r="C1966" s="1" t="n">
        <v>45715</v>
      </c>
      <c r="D1966" t="inlineStr">
        <is>
          <t>KALMAR LÄN</t>
        </is>
      </c>
      <c r="E1966" t="inlineStr">
        <is>
          <t>OSKARSHAMN</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41397-2019</t>
        </is>
      </c>
      <c r="B1967" s="1" t="n">
        <v>43698</v>
      </c>
      <c r="C1967" s="1" t="n">
        <v>45715</v>
      </c>
      <c r="D1967" t="inlineStr">
        <is>
          <t>KALMAR LÄN</t>
        </is>
      </c>
      <c r="E1967" t="inlineStr">
        <is>
          <t>OSKARSHAMN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41402-2019</t>
        </is>
      </c>
      <c r="B1968" s="1" t="n">
        <v>43698</v>
      </c>
      <c r="C1968" s="1" t="n">
        <v>45715</v>
      </c>
      <c r="D1968" t="inlineStr">
        <is>
          <t>KALMAR LÄN</t>
        </is>
      </c>
      <c r="E1968" t="inlineStr">
        <is>
          <t>OSKARSHAMN</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41407-2019</t>
        </is>
      </c>
      <c r="B1969" s="1" t="n">
        <v>43698</v>
      </c>
      <c r="C1969" s="1" t="n">
        <v>45715</v>
      </c>
      <c r="D1969" t="inlineStr">
        <is>
          <t>KALMAR LÄN</t>
        </is>
      </c>
      <c r="E1969" t="inlineStr">
        <is>
          <t>HULTSFRED</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41187-2019</t>
        </is>
      </c>
      <c r="B1970" s="1" t="n">
        <v>43698</v>
      </c>
      <c r="C1970" s="1" t="n">
        <v>45715</v>
      </c>
      <c r="D1970" t="inlineStr">
        <is>
          <t>KALMAR LÄN</t>
        </is>
      </c>
      <c r="E1970" t="inlineStr">
        <is>
          <t>KALMAR</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41151-2019</t>
        </is>
      </c>
      <c r="B1971" s="1" t="n">
        <v>43698</v>
      </c>
      <c r="C1971" s="1" t="n">
        <v>45715</v>
      </c>
      <c r="D1971" t="inlineStr">
        <is>
          <t>KALMAR LÄN</t>
        </is>
      </c>
      <c r="E1971" t="inlineStr">
        <is>
          <t>KALMAR</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41053-2019</t>
        </is>
      </c>
      <c r="B1972" s="1" t="n">
        <v>43698</v>
      </c>
      <c r="C1972" s="1" t="n">
        <v>45715</v>
      </c>
      <c r="D1972" t="inlineStr">
        <is>
          <t>KALMAR LÄN</t>
        </is>
      </c>
      <c r="E1972" t="inlineStr">
        <is>
          <t>NYBRO</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41604-2019</t>
        </is>
      </c>
      <c r="B1973" s="1" t="n">
        <v>43699</v>
      </c>
      <c r="C1973" s="1" t="n">
        <v>45715</v>
      </c>
      <c r="D1973" t="inlineStr">
        <is>
          <t>KALMAR LÄN</t>
        </is>
      </c>
      <c r="E1973" t="inlineStr">
        <is>
          <t>MÖNSTERÅS</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41643-2019</t>
        </is>
      </c>
      <c r="B1974" s="1" t="n">
        <v>43699</v>
      </c>
      <c r="C1974" s="1" t="n">
        <v>45715</v>
      </c>
      <c r="D1974" t="inlineStr">
        <is>
          <t>KALMAR LÄN</t>
        </is>
      </c>
      <c r="E1974" t="inlineStr">
        <is>
          <t>HULTSFRED</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41625-2019</t>
        </is>
      </c>
      <c r="B1975" s="1" t="n">
        <v>43699</v>
      </c>
      <c r="C1975" s="1" t="n">
        <v>45715</v>
      </c>
      <c r="D1975" t="inlineStr">
        <is>
          <t>KALMAR LÄN</t>
        </is>
      </c>
      <c r="E1975" t="inlineStr">
        <is>
          <t>MÖNSTERÅS</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41682-2019</t>
        </is>
      </c>
      <c r="B1976" s="1" t="n">
        <v>43699</v>
      </c>
      <c r="C1976" s="1" t="n">
        <v>45715</v>
      </c>
      <c r="D1976" t="inlineStr">
        <is>
          <t>KALMAR LÄN</t>
        </is>
      </c>
      <c r="E1976" t="inlineStr">
        <is>
          <t>KALMAR</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41739-2019</t>
        </is>
      </c>
      <c r="B1977" s="1" t="n">
        <v>43699</v>
      </c>
      <c r="C1977" s="1" t="n">
        <v>45715</v>
      </c>
      <c r="D1977" t="inlineStr">
        <is>
          <t>KALMAR LÄN</t>
        </is>
      </c>
      <c r="E1977" t="inlineStr">
        <is>
          <t>HÖGSBY</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41573-2019</t>
        </is>
      </c>
      <c r="B1978" s="1" t="n">
        <v>43699</v>
      </c>
      <c r="C1978" s="1" t="n">
        <v>45715</v>
      </c>
      <c r="D1978" t="inlineStr">
        <is>
          <t>KALMAR LÄN</t>
        </is>
      </c>
      <c r="E1978" t="inlineStr">
        <is>
          <t>OSKARSHAMN</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41728-2019</t>
        </is>
      </c>
      <c r="B1979" s="1" t="n">
        <v>43699</v>
      </c>
      <c r="C1979" s="1" t="n">
        <v>45715</v>
      </c>
      <c r="D1979" t="inlineStr">
        <is>
          <t>KALMAR LÄN</t>
        </is>
      </c>
      <c r="E1979" t="inlineStr">
        <is>
          <t>VÄSTERVIK</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42262-2019</t>
        </is>
      </c>
      <c r="B1980" s="1" t="n">
        <v>43699</v>
      </c>
      <c r="C1980" s="1" t="n">
        <v>45715</v>
      </c>
      <c r="D1980" t="inlineStr">
        <is>
          <t>KALMAR LÄN</t>
        </is>
      </c>
      <c r="E1980" t="inlineStr">
        <is>
          <t>NYBRO</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41520-2019</t>
        </is>
      </c>
      <c r="B1981" s="1" t="n">
        <v>43699</v>
      </c>
      <c r="C1981" s="1" t="n">
        <v>45715</v>
      </c>
      <c r="D1981" t="inlineStr">
        <is>
          <t>KALMAR LÄN</t>
        </is>
      </c>
      <c r="E1981" t="inlineStr">
        <is>
          <t>KALMAR</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41971-2019</t>
        </is>
      </c>
      <c r="B1982" s="1" t="n">
        <v>43700</v>
      </c>
      <c r="C1982" s="1" t="n">
        <v>45715</v>
      </c>
      <c r="D1982" t="inlineStr">
        <is>
          <t>KALMAR LÄN</t>
        </is>
      </c>
      <c r="E1982" t="inlineStr">
        <is>
          <t>MÖNSTERÅS</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41933-2019</t>
        </is>
      </c>
      <c r="B1983" s="1" t="n">
        <v>43700</v>
      </c>
      <c r="C1983" s="1" t="n">
        <v>45715</v>
      </c>
      <c r="D1983" t="inlineStr">
        <is>
          <t>KALMAR LÄN</t>
        </is>
      </c>
      <c r="E1983" t="inlineStr">
        <is>
          <t>EMMABODA</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42008-2019</t>
        </is>
      </c>
      <c r="B1984" s="1" t="n">
        <v>43700</v>
      </c>
      <c r="C1984" s="1" t="n">
        <v>45715</v>
      </c>
      <c r="D1984" t="inlineStr">
        <is>
          <t>KALMAR LÄN</t>
        </is>
      </c>
      <c r="E1984" t="inlineStr">
        <is>
          <t>MÖNSTERÅS</t>
        </is>
      </c>
      <c r="G1984" t="n">
        <v>19.3</v>
      </c>
      <c r="H1984" t="n">
        <v>0</v>
      </c>
      <c r="I1984" t="n">
        <v>0</v>
      </c>
      <c r="J1984" t="n">
        <v>0</v>
      </c>
      <c r="K1984" t="n">
        <v>0</v>
      </c>
      <c r="L1984" t="n">
        <v>0</v>
      </c>
      <c r="M1984" t="n">
        <v>0</v>
      </c>
      <c r="N1984" t="n">
        <v>0</v>
      </c>
      <c r="O1984" t="n">
        <v>0</v>
      </c>
      <c r="P1984" t="n">
        <v>0</v>
      </c>
      <c r="Q1984" t="n">
        <v>0</v>
      </c>
      <c r="R1984" s="2" t="inlineStr"/>
    </row>
    <row r="1985" ht="15" customHeight="1">
      <c r="A1985" t="inlineStr">
        <is>
          <t>A 41842-2019</t>
        </is>
      </c>
      <c r="B1985" s="1" t="n">
        <v>43700</v>
      </c>
      <c r="C1985" s="1" t="n">
        <v>45715</v>
      </c>
      <c r="D1985" t="inlineStr">
        <is>
          <t>KALMAR LÄN</t>
        </is>
      </c>
      <c r="E1985" t="inlineStr">
        <is>
          <t>HULTSFRED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41990-2019</t>
        </is>
      </c>
      <c r="B1986" s="1" t="n">
        <v>43700</v>
      </c>
      <c r="C1986" s="1" t="n">
        <v>45715</v>
      </c>
      <c r="D1986" t="inlineStr">
        <is>
          <t>KALMAR LÄN</t>
        </is>
      </c>
      <c r="E1986" t="inlineStr">
        <is>
          <t>MÖNSTERÅS</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42106-2019</t>
        </is>
      </c>
      <c r="B1987" s="1" t="n">
        <v>43702</v>
      </c>
      <c r="C1987" s="1" t="n">
        <v>45715</v>
      </c>
      <c r="D1987" t="inlineStr">
        <is>
          <t>KALMAR LÄN</t>
        </is>
      </c>
      <c r="E1987" t="inlineStr">
        <is>
          <t>HULTSFRED</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42187-2019</t>
        </is>
      </c>
      <c r="B1988" s="1" t="n">
        <v>43702</v>
      </c>
      <c r="C1988" s="1" t="n">
        <v>45715</v>
      </c>
      <c r="D1988" t="inlineStr">
        <is>
          <t>KALMAR LÄN</t>
        </is>
      </c>
      <c r="E1988" t="inlineStr">
        <is>
          <t>KALMAR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42184-2019</t>
        </is>
      </c>
      <c r="B1989" s="1" t="n">
        <v>43703</v>
      </c>
      <c r="C1989" s="1" t="n">
        <v>45715</v>
      </c>
      <c r="D1989" t="inlineStr">
        <is>
          <t>KALMAR LÄN</t>
        </is>
      </c>
      <c r="E1989" t="inlineStr">
        <is>
          <t>MÖNSTERÅS</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42200-2019</t>
        </is>
      </c>
      <c r="B1990" s="1" t="n">
        <v>43703</v>
      </c>
      <c r="C1990" s="1" t="n">
        <v>45715</v>
      </c>
      <c r="D1990" t="inlineStr">
        <is>
          <t>KALMAR LÄN</t>
        </is>
      </c>
      <c r="E1990" t="inlineStr">
        <is>
          <t>HULTSFRED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42219-2019</t>
        </is>
      </c>
      <c r="B1991" s="1" t="n">
        <v>43703</v>
      </c>
      <c r="C1991" s="1" t="n">
        <v>45715</v>
      </c>
      <c r="D1991" t="inlineStr">
        <is>
          <t>KALMAR LÄN</t>
        </is>
      </c>
      <c r="E1991" t="inlineStr">
        <is>
          <t>EMMABODA</t>
        </is>
      </c>
      <c r="G1991" t="n">
        <v>14.9</v>
      </c>
      <c r="H1991" t="n">
        <v>0</v>
      </c>
      <c r="I1991" t="n">
        <v>0</v>
      </c>
      <c r="J1991" t="n">
        <v>0</v>
      </c>
      <c r="K1991" t="n">
        <v>0</v>
      </c>
      <c r="L1991" t="n">
        <v>0</v>
      </c>
      <c r="M1991" t="n">
        <v>0</v>
      </c>
      <c r="N1991" t="n">
        <v>0</v>
      </c>
      <c r="O1991" t="n">
        <v>0</v>
      </c>
      <c r="P1991" t="n">
        <v>0</v>
      </c>
      <c r="Q1991" t="n">
        <v>0</v>
      </c>
      <c r="R1991" s="2" t="inlineStr"/>
    </row>
    <row r="1992" ht="15" customHeight="1">
      <c r="A1992" t="inlineStr">
        <is>
          <t>A 42193-2019</t>
        </is>
      </c>
      <c r="B1992" s="1" t="n">
        <v>43703</v>
      </c>
      <c r="C1992" s="1" t="n">
        <v>45715</v>
      </c>
      <c r="D1992" t="inlineStr">
        <is>
          <t>KALMAR LÄN</t>
        </is>
      </c>
      <c r="E1992" t="inlineStr">
        <is>
          <t>HULTSFRED</t>
        </is>
      </c>
      <c r="G1992" t="n">
        <v>10.9</v>
      </c>
      <c r="H1992" t="n">
        <v>0</v>
      </c>
      <c r="I1992" t="n">
        <v>0</v>
      </c>
      <c r="J1992" t="n">
        <v>0</v>
      </c>
      <c r="K1992" t="n">
        <v>0</v>
      </c>
      <c r="L1992" t="n">
        <v>0</v>
      </c>
      <c r="M1992" t="n">
        <v>0</v>
      </c>
      <c r="N1992" t="n">
        <v>0</v>
      </c>
      <c r="O1992" t="n">
        <v>0</v>
      </c>
      <c r="P1992" t="n">
        <v>0</v>
      </c>
      <c r="Q1992" t="n">
        <v>0</v>
      </c>
      <c r="R1992" s="2" t="inlineStr"/>
    </row>
    <row r="1993" ht="15" customHeight="1">
      <c r="A1993" t="inlineStr">
        <is>
          <t>A 42294-2019</t>
        </is>
      </c>
      <c r="B1993" s="1" t="n">
        <v>43703</v>
      </c>
      <c r="C1993" s="1" t="n">
        <v>45715</v>
      </c>
      <c r="D1993" t="inlineStr">
        <is>
          <t>KALMAR LÄN</t>
        </is>
      </c>
      <c r="E1993" t="inlineStr">
        <is>
          <t>HULTSFRED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42127-2019</t>
        </is>
      </c>
      <c r="B1994" s="1" t="n">
        <v>43703</v>
      </c>
      <c r="C1994" s="1" t="n">
        <v>45715</v>
      </c>
      <c r="D1994" t="inlineStr">
        <is>
          <t>KALMAR LÄN</t>
        </is>
      </c>
      <c r="E1994" t="inlineStr">
        <is>
          <t>NYBRO</t>
        </is>
      </c>
      <c r="G1994" t="n">
        <v>5.9</v>
      </c>
      <c r="H1994" t="n">
        <v>0</v>
      </c>
      <c r="I1994" t="n">
        <v>0</v>
      </c>
      <c r="J1994" t="n">
        <v>0</v>
      </c>
      <c r="K1994" t="n">
        <v>0</v>
      </c>
      <c r="L1994" t="n">
        <v>0</v>
      </c>
      <c r="M1994" t="n">
        <v>0</v>
      </c>
      <c r="N1994" t="n">
        <v>0</v>
      </c>
      <c r="O1994" t="n">
        <v>0</v>
      </c>
      <c r="P1994" t="n">
        <v>0</v>
      </c>
      <c r="Q1994" t="n">
        <v>0</v>
      </c>
      <c r="R1994" s="2" t="inlineStr"/>
    </row>
    <row r="1995" ht="15" customHeight="1">
      <c r="A1995" t="inlineStr">
        <is>
          <t>A 42180-2019</t>
        </is>
      </c>
      <c r="B1995" s="1" t="n">
        <v>43703</v>
      </c>
      <c r="C1995" s="1" t="n">
        <v>45715</v>
      </c>
      <c r="D1995" t="inlineStr">
        <is>
          <t>KALMAR LÄN</t>
        </is>
      </c>
      <c r="E1995" t="inlineStr">
        <is>
          <t>MÖNSTERÅS</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42221-2019</t>
        </is>
      </c>
      <c r="B1996" s="1" t="n">
        <v>43703</v>
      </c>
      <c r="C1996" s="1" t="n">
        <v>45715</v>
      </c>
      <c r="D1996" t="inlineStr">
        <is>
          <t>KALMAR LÄN</t>
        </is>
      </c>
      <c r="E1996" t="inlineStr">
        <is>
          <t>EMMABODA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42264-2019</t>
        </is>
      </c>
      <c r="B1997" s="1" t="n">
        <v>43703</v>
      </c>
      <c r="C1997" s="1" t="n">
        <v>45715</v>
      </c>
      <c r="D1997" t="inlineStr">
        <is>
          <t>KALMAR LÄN</t>
        </is>
      </c>
      <c r="E1997" t="inlineStr">
        <is>
          <t>HÖGSBY</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42344-2019</t>
        </is>
      </c>
      <c r="B1998" s="1" t="n">
        <v>43703</v>
      </c>
      <c r="C1998" s="1" t="n">
        <v>45715</v>
      </c>
      <c r="D1998" t="inlineStr">
        <is>
          <t>KALMAR LÄN</t>
        </is>
      </c>
      <c r="E1998" t="inlineStr">
        <is>
          <t>OSKARSHAMN</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42355-2019</t>
        </is>
      </c>
      <c r="B1999" s="1" t="n">
        <v>43703</v>
      </c>
      <c r="C1999" s="1" t="n">
        <v>45715</v>
      </c>
      <c r="D1999" t="inlineStr">
        <is>
          <t>KALMAR LÄN</t>
        </is>
      </c>
      <c r="E1999" t="inlineStr">
        <is>
          <t>KALMAR</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42142-2019</t>
        </is>
      </c>
      <c r="B2000" s="1" t="n">
        <v>43703</v>
      </c>
      <c r="C2000" s="1" t="n">
        <v>45715</v>
      </c>
      <c r="D2000" t="inlineStr">
        <is>
          <t>KALMAR LÄN</t>
        </is>
      </c>
      <c r="E2000" t="inlineStr">
        <is>
          <t>VIMMERBY</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42583-2019</t>
        </is>
      </c>
      <c r="B2001" s="1" t="n">
        <v>43704</v>
      </c>
      <c r="C2001" s="1" t="n">
        <v>45715</v>
      </c>
      <c r="D2001" t="inlineStr">
        <is>
          <t>KALMAR LÄN</t>
        </is>
      </c>
      <c r="E2001" t="inlineStr">
        <is>
          <t>KALMAR</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42545-2019</t>
        </is>
      </c>
      <c r="B2002" s="1" t="n">
        <v>43704</v>
      </c>
      <c r="C2002" s="1" t="n">
        <v>45715</v>
      </c>
      <c r="D2002" t="inlineStr">
        <is>
          <t>KALMAR LÄN</t>
        </is>
      </c>
      <c r="E2002" t="inlineStr">
        <is>
          <t>NYBRO</t>
        </is>
      </c>
      <c r="G2002" t="n">
        <v>6.9</v>
      </c>
      <c r="H2002" t="n">
        <v>0</v>
      </c>
      <c r="I2002" t="n">
        <v>0</v>
      </c>
      <c r="J2002" t="n">
        <v>0</v>
      </c>
      <c r="K2002" t="n">
        <v>0</v>
      </c>
      <c r="L2002" t="n">
        <v>0</v>
      </c>
      <c r="M2002" t="n">
        <v>0</v>
      </c>
      <c r="N2002" t="n">
        <v>0</v>
      </c>
      <c r="O2002" t="n">
        <v>0</v>
      </c>
      <c r="P2002" t="n">
        <v>0</v>
      </c>
      <c r="Q2002" t="n">
        <v>0</v>
      </c>
      <c r="R2002" s="2" t="inlineStr"/>
    </row>
    <row r="2003" ht="15" customHeight="1">
      <c r="A2003" t="inlineStr">
        <is>
          <t>A 42434-2019</t>
        </is>
      </c>
      <c r="B2003" s="1" t="n">
        <v>43704</v>
      </c>
      <c r="C2003" s="1" t="n">
        <v>45715</v>
      </c>
      <c r="D2003" t="inlineStr">
        <is>
          <t>KALMAR LÄN</t>
        </is>
      </c>
      <c r="E2003" t="inlineStr">
        <is>
          <t>KALMAR</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42568-2019</t>
        </is>
      </c>
      <c r="B2004" s="1" t="n">
        <v>43704</v>
      </c>
      <c r="C2004" s="1" t="n">
        <v>45715</v>
      </c>
      <c r="D2004" t="inlineStr">
        <is>
          <t>KALMAR LÄN</t>
        </is>
      </c>
      <c r="E2004" t="inlineStr">
        <is>
          <t>EMMABODA</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42613-2019</t>
        </is>
      </c>
      <c r="B2005" s="1" t="n">
        <v>43704</v>
      </c>
      <c r="C2005" s="1" t="n">
        <v>45715</v>
      </c>
      <c r="D2005" t="inlineStr">
        <is>
          <t>KALMAR LÄN</t>
        </is>
      </c>
      <c r="E2005" t="inlineStr">
        <is>
          <t>NYBRO</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42679-2019</t>
        </is>
      </c>
      <c r="B2006" s="1" t="n">
        <v>43704</v>
      </c>
      <c r="C2006" s="1" t="n">
        <v>45715</v>
      </c>
      <c r="D2006" t="inlineStr">
        <is>
          <t>KALMAR LÄN</t>
        </is>
      </c>
      <c r="E2006" t="inlineStr">
        <is>
          <t>MÖNSTERÅS</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42737-2019</t>
        </is>
      </c>
      <c r="B2007" s="1" t="n">
        <v>43704</v>
      </c>
      <c r="C2007" s="1" t="n">
        <v>45715</v>
      </c>
      <c r="D2007" t="inlineStr">
        <is>
          <t>KALMAR LÄN</t>
        </is>
      </c>
      <c r="E2007" t="inlineStr">
        <is>
          <t>HÖGSBY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42759-2019</t>
        </is>
      </c>
      <c r="B2008" s="1" t="n">
        <v>43704</v>
      </c>
      <c r="C2008" s="1" t="n">
        <v>45715</v>
      </c>
      <c r="D2008" t="inlineStr">
        <is>
          <t>KALMAR LÄN</t>
        </is>
      </c>
      <c r="E2008" t="inlineStr">
        <is>
          <t>VIMMERBY</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42732-2019</t>
        </is>
      </c>
      <c r="B2009" s="1" t="n">
        <v>43704</v>
      </c>
      <c r="C2009" s="1" t="n">
        <v>45715</v>
      </c>
      <c r="D2009" t="inlineStr">
        <is>
          <t>KALMAR LÄN</t>
        </is>
      </c>
      <c r="E2009" t="inlineStr">
        <is>
          <t>HÖGSBY</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42587-2019</t>
        </is>
      </c>
      <c r="B2010" s="1" t="n">
        <v>43704</v>
      </c>
      <c r="C2010" s="1" t="n">
        <v>45715</v>
      </c>
      <c r="D2010" t="inlineStr">
        <is>
          <t>KALMAR LÄN</t>
        </is>
      </c>
      <c r="E2010" t="inlineStr">
        <is>
          <t>MÖNSTERÅS</t>
        </is>
      </c>
      <c r="G2010" t="n">
        <v>6.4</v>
      </c>
      <c r="H2010" t="n">
        <v>0</v>
      </c>
      <c r="I2010" t="n">
        <v>0</v>
      </c>
      <c r="J2010" t="n">
        <v>0</v>
      </c>
      <c r="K2010" t="n">
        <v>0</v>
      </c>
      <c r="L2010" t="n">
        <v>0</v>
      </c>
      <c r="M2010" t="n">
        <v>0</v>
      </c>
      <c r="N2010" t="n">
        <v>0</v>
      </c>
      <c r="O2010" t="n">
        <v>0</v>
      </c>
      <c r="P2010" t="n">
        <v>0</v>
      </c>
      <c r="Q2010" t="n">
        <v>0</v>
      </c>
      <c r="R2010" s="2" t="inlineStr"/>
    </row>
    <row r="2011" ht="15" customHeight="1">
      <c r="A2011" t="inlineStr">
        <is>
          <t>A 42758-2019</t>
        </is>
      </c>
      <c r="B2011" s="1" t="n">
        <v>43704</v>
      </c>
      <c r="C2011" s="1" t="n">
        <v>45715</v>
      </c>
      <c r="D2011" t="inlineStr">
        <is>
          <t>KALMAR LÄN</t>
        </is>
      </c>
      <c r="E2011" t="inlineStr">
        <is>
          <t>VIMMERBY</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43035-2019</t>
        </is>
      </c>
      <c r="B2012" s="1" t="n">
        <v>43705</v>
      </c>
      <c r="C2012" s="1" t="n">
        <v>45715</v>
      </c>
      <c r="D2012" t="inlineStr">
        <is>
          <t>KALMAR LÄN</t>
        </is>
      </c>
      <c r="E2012" t="inlineStr">
        <is>
          <t>HULTSFRED</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42800-2019</t>
        </is>
      </c>
      <c r="B2013" s="1" t="n">
        <v>43705</v>
      </c>
      <c r="C2013" s="1" t="n">
        <v>45715</v>
      </c>
      <c r="D2013" t="inlineStr">
        <is>
          <t>KALMAR LÄN</t>
        </is>
      </c>
      <c r="E2013" t="inlineStr">
        <is>
          <t>NYBRO</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42975-2019</t>
        </is>
      </c>
      <c r="B2014" s="1" t="n">
        <v>43705</v>
      </c>
      <c r="C2014" s="1" t="n">
        <v>45715</v>
      </c>
      <c r="D2014" t="inlineStr">
        <is>
          <t>KALMAR LÄN</t>
        </is>
      </c>
      <c r="E2014" t="inlineStr">
        <is>
          <t>KALMAR</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42976-2019</t>
        </is>
      </c>
      <c r="B2015" s="1" t="n">
        <v>43705</v>
      </c>
      <c r="C2015" s="1" t="n">
        <v>45715</v>
      </c>
      <c r="D2015" t="inlineStr">
        <is>
          <t>KALMAR LÄN</t>
        </is>
      </c>
      <c r="E2015" t="inlineStr">
        <is>
          <t>KALMAR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43009-2019</t>
        </is>
      </c>
      <c r="B2016" s="1" t="n">
        <v>43705</v>
      </c>
      <c r="C2016" s="1" t="n">
        <v>45715</v>
      </c>
      <c r="D2016" t="inlineStr">
        <is>
          <t>KALMAR LÄN</t>
        </is>
      </c>
      <c r="E2016" t="inlineStr">
        <is>
          <t>MÖNSTERÅS</t>
        </is>
      </c>
      <c r="G2016" t="n">
        <v>7.7</v>
      </c>
      <c r="H2016" t="n">
        <v>0</v>
      </c>
      <c r="I2016" t="n">
        <v>0</v>
      </c>
      <c r="J2016" t="n">
        <v>0</v>
      </c>
      <c r="K2016" t="n">
        <v>0</v>
      </c>
      <c r="L2016" t="n">
        <v>0</v>
      </c>
      <c r="M2016" t="n">
        <v>0</v>
      </c>
      <c r="N2016" t="n">
        <v>0</v>
      </c>
      <c r="O2016" t="n">
        <v>0</v>
      </c>
      <c r="P2016" t="n">
        <v>0</v>
      </c>
      <c r="Q2016" t="n">
        <v>0</v>
      </c>
      <c r="R2016" s="2" t="inlineStr"/>
    </row>
    <row r="2017" ht="15" customHeight="1">
      <c r="A2017" t="inlineStr">
        <is>
          <t>A 43084-2019</t>
        </is>
      </c>
      <c r="B2017" s="1" t="n">
        <v>43705</v>
      </c>
      <c r="C2017" s="1" t="n">
        <v>45715</v>
      </c>
      <c r="D2017" t="inlineStr">
        <is>
          <t>KALMAR LÄN</t>
        </is>
      </c>
      <c r="E2017" t="inlineStr">
        <is>
          <t>KALMAR</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43136-2019</t>
        </is>
      </c>
      <c r="B2018" s="1" t="n">
        <v>43705</v>
      </c>
      <c r="C2018" s="1" t="n">
        <v>45715</v>
      </c>
      <c r="D2018" t="inlineStr">
        <is>
          <t>KALMAR LÄN</t>
        </is>
      </c>
      <c r="E2018" t="inlineStr">
        <is>
          <t>TORSÅS</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43165-2019</t>
        </is>
      </c>
      <c r="B2019" s="1" t="n">
        <v>43705</v>
      </c>
      <c r="C2019" s="1" t="n">
        <v>45715</v>
      </c>
      <c r="D2019" t="inlineStr">
        <is>
          <t>KALMAR LÄN</t>
        </is>
      </c>
      <c r="E2019" t="inlineStr">
        <is>
          <t>NYBRO</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43092-2019</t>
        </is>
      </c>
      <c r="B2020" s="1" t="n">
        <v>43705</v>
      </c>
      <c r="C2020" s="1" t="n">
        <v>45715</v>
      </c>
      <c r="D2020" t="inlineStr">
        <is>
          <t>KALMAR LÄN</t>
        </is>
      </c>
      <c r="E2020" t="inlineStr">
        <is>
          <t>EMMABODA</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43151-2019</t>
        </is>
      </c>
      <c r="B2021" s="1" t="n">
        <v>43705</v>
      </c>
      <c r="C2021" s="1" t="n">
        <v>45715</v>
      </c>
      <c r="D2021" t="inlineStr">
        <is>
          <t>KALMAR LÄN</t>
        </is>
      </c>
      <c r="E2021" t="inlineStr">
        <is>
          <t>TORSÅS</t>
        </is>
      </c>
      <c r="F2021" t="inlineStr">
        <is>
          <t>Övriga Aktiebolag</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44057-2019</t>
        </is>
      </c>
      <c r="B2022" s="1" t="n">
        <v>43705</v>
      </c>
      <c r="C2022" s="1" t="n">
        <v>45715</v>
      </c>
      <c r="D2022" t="inlineStr">
        <is>
          <t>KALMAR LÄN</t>
        </is>
      </c>
      <c r="E2022" t="inlineStr">
        <is>
          <t>NYBRO</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42996-2019</t>
        </is>
      </c>
      <c r="B2023" s="1" t="n">
        <v>43705</v>
      </c>
      <c r="C2023" s="1" t="n">
        <v>45715</v>
      </c>
      <c r="D2023" t="inlineStr">
        <is>
          <t>KALMAR LÄN</t>
        </is>
      </c>
      <c r="E2023" t="inlineStr">
        <is>
          <t>MÖNSTERÅS</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42947-2019</t>
        </is>
      </c>
      <c r="B2024" s="1" t="n">
        <v>43705</v>
      </c>
      <c r="C2024" s="1" t="n">
        <v>45715</v>
      </c>
      <c r="D2024" t="inlineStr">
        <is>
          <t>KALMAR LÄN</t>
        </is>
      </c>
      <c r="E2024" t="inlineStr">
        <is>
          <t>VIMMERBY</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43156-2019</t>
        </is>
      </c>
      <c r="B2025" s="1" t="n">
        <v>43705</v>
      </c>
      <c r="C2025" s="1" t="n">
        <v>45715</v>
      </c>
      <c r="D2025" t="inlineStr">
        <is>
          <t>KALMAR LÄN</t>
        </is>
      </c>
      <c r="E2025" t="inlineStr">
        <is>
          <t>TORSÅS</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43159-2019</t>
        </is>
      </c>
      <c r="B2026" s="1" t="n">
        <v>43705</v>
      </c>
      <c r="C2026" s="1" t="n">
        <v>45715</v>
      </c>
      <c r="D2026" t="inlineStr">
        <is>
          <t>KALMAR LÄN</t>
        </is>
      </c>
      <c r="E2026" t="inlineStr">
        <is>
          <t>KALMAR</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42972-2019</t>
        </is>
      </c>
      <c r="B2027" s="1" t="n">
        <v>43705</v>
      </c>
      <c r="C2027" s="1" t="n">
        <v>45715</v>
      </c>
      <c r="D2027" t="inlineStr">
        <is>
          <t>KALMAR LÄN</t>
        </is>
      </c>
      <c r="E2027" t="inlineStr">
        <is>
          <t>VIMMERBY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42915-2019</t>
        </is>
      </c>
      <c r="B2028" s="1" t="n">
        <v>43705</v>
      </c>
      <c r="C2028" s="1" t="n">
        <v>45715</v>
      </c>
      <c r="D2028" t="inlineStr">
        <is>
          <t>KALMAR LÄN</t>
        </is>
      </c>
      <c r="E2028" t="inlineStr">
        <is>
          <t>HÖGSBY</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43323-2019</t>
        </is>
      </c>
      <c r="B2029" s="1" t="n">
        <v>43706</v>
      </c>
      <c r="C2029" s="1" t="n">
        <v>45715</v>
      </c>
      <c r="D2029" t="inlineStr">
        <is>
          <t>KALMAR LÄN</t>
        </is>
      </c>
      <c r="E2029" t="inlineStr">
        <is>
          <t>MÖNSTERÅS</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43374-2019</t>
        </is>
      </c>
      <c r="B2030" s="1" t="n">
        <v>43706</v>
      </c>
      <c r="C2030" s="1" t="n">
        <v>45715</v>
      </c>
      <c r="D2030" t="inlineStr">
        <is>
          <t>KALMAR LÄN</t>
        </is>
      </c>
      <c r="E2030" t="inlineStr">
        <is>
          <t>EMMABODA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43364-2019</t>
        </is>
      </c>
      <c r="B2031" s="1" t="n">
        <v>43706</v>
      </c>
      <c r="C2031" s="1" t="n">
        <v>45715</v>
      </c>
      <c r="D2031" t="inlineStr">
        <is>
          <t>KALMAR LÄN</t>
        </is>
      </c>
      <c r="E2031" t="inlineStr">
        <is>
          <t>EMMABODA</t>
        </is>
      </c>
      <c r="G2031" t="n">
        <v>8.699999999999999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43452-2019</t>
        </is>
      </c>
      <c r="B2032" s="1" t="n">
        <v>43706</v>
      </c>
      <c r="C2032" s="1" t="n">
        <v>45715</v>
      </c>
      <c r="D2032" t="inlineStr">
        <is>
          <t>KALMAR LÄN</t>
        </is>
      </c>
      <c r="E2032" t="inlineStr">
        <is>
          <t>MÖNSTERÅS</t>
        </is>
      </c>
      <c r="G2032" t="n">
        <v>10.3</v>
      </c>
      <c r="H2032" t="n">
        <v>0</v>
      </c>
      <c r="I2032" t="n">
        <v>0</v>
      </c>
      <c r="J2032" t="n">
        <v>0</v>
      </c>
      <c r="K2032" t="n">
        <v>0</v>
      </c>
      <c r="L2032" t="n">
        <v>0</v>
      </c>
      <c r="M2032" t="n">
        <v>0</v>
      </c>
      <c r="N2032" t="n">
        <v>0</v>
      </c>
      <c r="O2032" t="n">
        <v>0</v>
      </c>
      <c r="P2032" t="n">
        <v>0</v>
      </c>
      <c r="Q2032" t="n">
        <v>0</v>
      </c>
      <c r="R2032" s="2" t="inlineStr"/>
    </row>
    <row r="2033" ht="15" customHeight="1">
      <c r="A2033" t="inlineStr">
        <is>
          <t>A 43585-2019</t>
        </is>
      </c>
      <c r="B2033" s="1" t="n">
        <v>43706</v>
      </c>
      <c r="C2033" s="1" t="n">
        <v>45715</v>
      </c>
      <c r="D2033" t="inlineStr">
        <is>
          <t>KALMAR LÄN</t>
        </is>
      </c>
      <c r="E2033" t="inlineStr">
        <is>
          <t>KALMAR</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44465-2019</t>
        </is>
      </c>
      <c r="B2034" s="1" t="n">
        <v>43706</v>
      </c>
      <c r="C2034" s="1" t="n">
        <v>45715</v>
      </c>
      <c r="D2034" t="inlineStr">
        <is>
          <t>KALMAR LÄN</t>
        </is>
      </c>
      <c r="E2034" t="inlineStr">
        <is>
          <t>NYBRO</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43218-2019</t>
        </is>
      </c>
      <c r="B2035" s="1" t="n">
        <v>43706</v>
      </c>
      <c r="C2035" s="1" t="n">
        <v>45715</v>
      </c>
      <c r="D2035" t="inlineStr">
        <is>
          <t>KALMAR LÄN</t>
        </is>
      </c>
      <c r="E2035" t="inlineStr">
        <is>
          <t>OSKARSHAMN</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43464-2019</t>
        </is>
      </c>
      <c r="B2036" s="1" t="n">
        <v>43706</v>
      </c>
      <c r="C2036" s="1" t="n">
        <v>45715</v>
      </c>
      <c r="D2036" t="inlineStr">
        <is>
          <t>KALMAR LÄN</t>
        </is>
      </c>
      <c r="E2036" t="inlineStr">
        <is>
          <t>MÖNSTERÅS</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43702-2019</t>
        </is>
      </c>
      <c r="B2037" s="1" t="n">
        <v>43707</v>
      </c>
      <c r="C2037" s="1" t="n">
        <v>45715</v>
      </c>
      <c r="D2037" t="inlineStr">
        <is>
          <t>KALMAR LÄN</t>
        </is>
      </c>
      <c r="E2037" t="inlineStr">
        <is>
          <t>HÖGSBY</t>
        </is>
      </c>
      <c r="F2037" t="inlineStr">
        <is>
          <t>Sveaskog</t>
        </is>
      </c>
      <c r="G2037" t="n">
        <v>9.9</v>
      </c>
      <c r="H2037" t="n">
        <v>0</v>
      </c>
      <c r="I2037" t="n">
        <v>0</v>
      </c>
      <c r="J2037" t="n">
        <v>0</v>
      </c>
      <c r="K2037" t="n">
        <v>0</v>
      </c>
      <c r="L2037" t="n">
        <v>0</v>
      </c>
      <c r="M2037" t="n">
        <v>0</v>
      </c>
      <c r="N2037" t="n">
        <v>0</v>
      </c>
      <c r="O2037" t="n">
        <v>0</v>
      </c>
      <c r="P2037" t="n">
        <v>0</v>
      </c>
      <c r="Q2037" t="n">
        <v>0</v>
      </c>
      <c r="R2037" s="2" t="inlineStr"/>
    </row>
    <row r="2038" ht="15" customHeight="1">
      <c r="A2038" t="inlineStr">
        <is>
          <t>A 43754-2019</t>
        </is>
      </c>
      <c r="B2038" s="1" t="n">
        <v>43707</v>
      </c>
      <c r="C2038" s="1" t="n">
        <v>45715</v>
      </c>
      <c r="D2038" t="inlineStr">
        <is>
          <t>KALMAR LÄN</t>
        </is>
      </c>
      <c r="E2038" t="inlineStr">
        <is>
          <t>HULTSFRED</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43839-2019</t>
        </is>
      </c>
      <c r="B2039" s="1" t="n">
        <v>43707</v>
      </c>
      <c r="C2039" s="1" t="n">
        <v>45715</v>
      </c>
      <c r="D2039" t="inlineStr">
        <is>
          <t>KALMAR LÄN</t>
        </is>
      </c>
      <c r="E2039" t="inlineStr">
        <is>
          <t>OSKARSHAMN</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43817-2019</t>
        </is>
      </c>
      <c r="B2040" s="1" t="n">
        <v>43707</v>
      </c>
      <c r="C2040" s="1" t="n">
        <v>45715</v>
      </c>
      <c r="D2040" t="inlineStr">
        <is>
          <t>KALMAR LÄN</t>
        </is>
      </c>
      <c r="E2040" t="inlineStr">
        <is>
          <t>KALMAR</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43875-2019</t>
        </is>
      </c>
      <c r="B2041" s="1" t="n">
        <v>43707</v>
      </c>
      <c r="C2041" s="1" t="n">
        <v>45715</v>
      </c>
      <c r="D2041" t="inlineStr">
        <is>
          <t>KALMAR LÄN</t>
        </is>
      </c>
      <c r="E2041" t="inlineStr">
        <is>
          <t>HULTSFRED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43980-2019</t>
        </is>
      </c>
      <c r="B2042" s="1" t="n">
        <v>43709</v>
      </c>
      <c r="C2042" s="1" t="n">
        <v>45715</v>
      </c>
      <c r="D2042" t="inlineStr">
        <is>
          <t>KALMAR LÄN</t>
        </is>
      </c>
      <c r="E2042" t="inlineStr">
        <is>
          <t>OSKARSHAMN</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43983-2019</t>
        </is>
      </c>
      <c r="B2043" s="1" t="n">
        <v>43709</v>
      </c>
      <c r="C2043" s="1" t="n">
        <v>45715</v>
      </c>
      <c r="D2043" t="inlineStr">
        <is>
          <t>KALMAR LÄN</t>
        </is>
      </c>
      <c r="E2043" t="inlineStr">
        <is>
          <t>NYBRO</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44154-2019</t>
        </is>
      </c>
      <c r="B2044" s="1" t="n">
        <v>43710</v>
      </c>
      <c r="C2044" s="1" t="n">
        <v>45715</v>
      </c>
      <c r="D2044" t="inlineStr">
        <is>
          <t>KALMAR LÄN</t>
        </is>
      </c>
      <c r="E2044" t="inlineStr">
        <is>
          <t>KALMAR</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44202-2019</t>
        </is>
      </c>
      <c r="B2045" s="1" t="n">
        <v>43710</v>
      </c>
      <c r="C2045" s="1" t="n">
        <v>45715</v>
      </c>
      <c r="D2045" t="inlineStr">
        <is>
          <t>KALMAR LÄN</t>
        </is>
      </c>
      <c r="E2045" t="inlineStr">
        <is>
          <t>VIMMERBY</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44183-2019</t>
        </is>
      </c>
      <c r="B2046" s="1" t="n">
        <v>43710</v>
      </c>
      <c r="C2046" s="1" t="n">
        <v>45715</v>
      </c>
      <c r="D2046" t="inlineStr">
        <is>
          <t>KALMAR LÄN</t>
        </is>
      </c>
      <c r="E2046" t="inlineStr">
        <is>
          <t>TORSÅS</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44238-2019</t>
        </is>
      </c>
      <c r="B2047" s="1" t="n">
        <v>43710</v>
      </c>
      <c r="C2047" s="1" t="n">
        <v>45715</v>
      </c>
      <c r="D2047" t="inlineStr">
        <is>
          <t>KALMAR LÄN</t>
        </is>
      </c>
      <c r="E2047" t="inlineStr">
        <is>
          <t>HULTSFRED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45312-2019</t>
        </is>
      </c>
      <c r="B2048" s="1" t="n">
        <v>43710</v>
      </c>
      <c r="C2048" s="1" t="n">
        <v>45715</v>
      </c>
      <c r="D2048" t="inlineStr">
        <is>
          <t>KALMAR LÄN</t>
        </is>
      </c>
      <c r="E2048" t="inlineStr">
        <is>
          <t>NYBRO</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45381-2019</t>
        </is>
      </c>
      <c r="B2049" s="1" t="n">
        <v>43710</v>
      </c>
      <c r="C2049" s="1" t="n">
        <v>45715</v>
      </c>
      <c r="D2049" t="inlineStr">
        <is>
          <t>KALMAR LÄN</t>
        </is>
      </c>
      <c r="E2049" t="inlineStr">
        <is>
          <t>NYBRO</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44193-2019</t>
        </is>
      </c>
      <c r="B2050" s="1" t="n">
        <v>43710</v>
      </c>
      <c r="C2050" s="1" t="n">
        <v>45715</v>
      </c>
      <c r="D2050" t="inlineStr">
        <is>
          <t>KALMAR LÄN</t>
        </is>
      </c>
      <c r="E2050" t="inlineStr">
        <is>
          <t>TORSÅS</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44179-2019</t>
        </is>
      </c>
      <c r="B2051" s="1" t="n">
        <v>43710</v>
      </c>
      <c r="C2051" s="1" t="n">
        <v>45715</v>
      </c>
      <c r="D2051" t="inlineStr">
        <is>
          <t>KALMAR LÄN</t>
        </is>
      </c>
      <c r="E2051" t="inlineStr">
        <is>
          <t>TORSÅS</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44192-2019</t>
        </is>
      </c>
      <c r="B2052" s="1" t="n">
        <v>43710</v>
      </c>
      <c r="C2052" s="1" t="n">
        <v>45715</v>
      </c>
      <c r="D2052" t="inlineStr">
        <is>
          <t>KALMAR LÄN</t>
        </is>
      </c>
      <c r="E2052" t="inlineStr">
        <is>
          <t>TORSÅS</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44432-2019</t>
        </is>
      </c>
      <c r="B2053" s="1" t="n">
        <v>43711</v>
      </c>
      <c r="C2053" s="1" t="n">
        <v>45715</v>
      </c>
      <c r="D2053" t="inlineStr">
        <is>
          <t>KALMAR LÄN</t>
        </is>
      </c>
      <c r="E2053" t="inlineStr">
        <is>
          <t>EMMABODA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44352-2019</t>
        </is>
      </c>
      <c r="B2054" s="1" t="n">
        <v>43711</v>
      </c>
      <c r="C2054" s="1" t="n">
        <v>45715</v>
      </c>
      <c r="D2054" t="inlineStr">
        <is>
          <t>KALMAR LÄN</t>
        </is>
      </c>
      <c r="E2054" t="inlineStr">
        <is>
          <t>HÖGSBY</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44476-2019</t>
        </is>
      </c>
      <c r="B2055" s="1" t="n">
        <v>43711</v>
      </c>
      <c r="C2055" s="1" t="n">
        <v>45715</v>
      </c>
      <c r="D2055" t="inlineStr">
        <is>
          <t>KALMAR LÄN</t>
        </is>
      </c>
      <c r="E2055" t="inlineStr">
        <is>
          <t>KALMAR</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44467-2019</t>
        </is>
      </c>
      <c r="B2056" s="1" t="n">
        <v>43711</v>
      </c>
      <c r="C2056" s="1" t="n">
        <v>45715</v>
      </c>
      <c r="D2056" t="inlineStr">
        <is>
          <t>KALMAR LÄN</t>
        </is>
      </c>
      <c r="E2056" t="inlineStr">
        <is>
          <t>VÄSTERVIK</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45624-2019</t>
        </is>
      </c>
      <c r="B2057" s="1" t="n">
        <v>43711</v>
      </c>
      <c r="C2057" s="1" t="n">
        <v>45715</v>
      </c>
      <c r="D2057" t="inlineStr">
        <is>
          <t>KALMAR LÄN</t>
        </is>
      </c>
      <c r="E2057" t="inlineStr">
        <is>
          <t>MÖNSTERÅS</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44600-2019</t>
        </is>
      </c>
      <c r="B2058" s="1" t="n">
        <v>43711</v>
      </c>
      <c r="C2058" s="1" t="n">
        <v>45715</v>
      </c>
      <c r="D2058" t="inlineStr">
        <is>
          <t>KALMAR LÄN</t>
        </is>
      </c>
      <c r="E2058" t="inlineStr">
        <is>
          <t>TORSÅS</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44602-2019</t>
        </is>
      </c>
      <c r="B2059" s="1" t="n">
        <v>43711</v>
      </c>
      <c r="C2059" s="1" t="n">
        <v>45715</v>
      </c>
      <c r="D2059" t="inlineStr">
        <is>
          <t>KALMAR LÄN</t>
        </is>
      </c>
      <c r="E2059" t="inlineStr">
        <is>
          <t>EMMABODA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44579-2019</t>
        </is>
      </c>
      <c r="B2060" s="1" t="n">
        <v>43711</v>
      </c>
      <c r="C2060" s="1" t="n">
        <v>45715</v>
      </c>
      <c r="D2060" t="inlineStr">
        <is>
          <t>KALMAR LÄN</t>
        </is>
      </c>
      <c r="E2060" t="inlineStr">
        <is>
          <t>TORSÅS</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44639-2019</t>
        </is>
      </c>
      <c r="B2061" s="1" t="n">
        <v>43712</v>
      </c>
      <c r="C2061" s="1" t="n">
        <v>45715</v>
      </c>
      <c r="D2061" t="inlineStr">
        <is>
          <t>KALMAR LÄN</t>
        </is>
      </c>
      <c r="E2061" t="inlineStr">
        <is>
          <t>VÄSTERVIK</t>
        </is>
      </c>
      <c r="F2061" t="inlineStr">
        <is>
          <t>Övriga Aktiebolag</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44682-2019</t>
        </is>
      </c>
      <c r="B2062" s="1" t="n">
        <v>43712</v>
      </c>
      <c r="C2062" s="1" t="n">
        <v>45715</v>
      </c>
      <c r="D2062" t="inlineStr">
        <is>
          <t>KALMAR LÄN</t>
        </is>
      </c>
      <c r="E2062" t="inlineStr">
        <is>
          <t>KALMAR</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44654-2019</t>
        </is>
      </c>
      <c r="B2063" s="1" t="n">
        <v>43712</v>
      </c>
      <c r="C2063" s="1" t="n">
        <v>45715</v>
      </c>
      <c r="D2063" t="inlineStr">
        <is>
          <t>KALMAR LÄN</t>
        </is>
      </c>
      <c r="E2063" t="inlineStr">
        <is>
          <t>TORSÅS</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44650-2019</t>
        </is>
      </c>
      <c r="B2064" s="1" t="n">
        <v>43712</v>
      </c>
      <c r="C2064" s="1" t="n">
        <v>45715</v>
      </c>
      <c r="D2064" t="inlineStr">
        <is>
          <t>KALMAR LÄN</t>
        </is>
      </c>
      <c r="E2064" t="inlineStr">
        <is>
          <t>TORSÅS</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44713-2019</t>
        </is>
      </c>
      <c r="B2065" s="1" t="n">
        <v>43712</v>
      </c>
      <c r="C2065" s="1" t="n">
        <v>45715</v>
      </c>
      <c r="D2065" t="inlineStr">
        <is>
          <t>KALMAR LÄN</t>
        </is>
      </c>
      <c r="E2065" t="inlineStr">
        <is>
          <t>TORSÅS</t>
        </is>
      </c>
      <c r="G2065" t="n">
        <v>22.6</v>
      </c>
      <c r="H2065" t="n">
        <v>0</v>
      </c>
      <c r="I2065" t="n">
        <v>0</v>
      </c>
      <c r="J2065" t="n">
        <v>0</v>
      </c>
      <c r="K2065" t="n">
        <v>0</v>
      </c>
      <c r="L2065" t="n">
        <v>0</v>
      </c>
      <c r="M2065" t="n">
        <v>0</v>
      </c>
      <c r="N2065" t="n">
        <v>0</v>
      </c>
      <c r="O2065" t="n">
        <v>0</v>
      </c>
      <c r="P2065" t="n">
        <v>0</v>
      </c>
      <c r="Q2065" t="n">
        <v>0</v>
      </c>
      <c r="R2065" s="2" t="inlineStr"/>
    </row>
    <row r="2066" ht="15" customHeight="1">
      <c r="A2066" t="inlineStr">
        <is>
          <t>A 44755-2019</t>
        </is>
      </c>
      <c r="B2066" s="1" t="n">
        <v>43712</v>
      </c>
      <c r="C2066" s="1" t="n">
        <v>45715</v>
      </c>
      <c r="D2066" t="inlineStr">
        <is>
          <t>KALMAR LÄN</t>
        </is>
      </c>
      <c r="E2066" t="inlineStr">
        <is>
          <t>KALMAR</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44761-2019</t>
        </is>
      </c>
      <c r="B2067" s="1" t="n">
        <v>43712</v>
      </c>
      <c r="C2067" s="1" t="n">
        <v>45715</v>
      </c>
      <c r="D2067" t="inlineStr">
        <is>
          <t>KALMAR LÄN</t>
        </is>
      </c>
      <c r="E2067" t="inlineStr">
        <is>
          <t>KALMAR</t>
        </is>
      </c>
      <c r="G2067" t="n">
        <v>0.8</v>
      </c>
      <c r="H2067" t="n">
        <v>0</v>
      </c>
      <c r="I2067" t="n">
        <v>0</v>
      </c>
      <c r="J2067" t="n">
        <v>0</v>
      </c>
      <c r="K2067" t="n">
        <v>0</v>
      </c>
      <c r="L2067" t="n">
        <v>0</v>
      </c>
      <c r="M2067" t="n">
        <v>0</v>
      </c>
      <c r="N2067" t="n">
        <v>0</v>
      </c>
      <c r="O2067" t="n">
        <v>0</v>
      </c>
      <c r="P2067" t="n">
        <v>0</v>
      </c>
      <c r="Q2067" t="n">
        <v>0</v>
      </c>
      <c r="R2067" s="2" t="inlineStr"/>
      <c r="U2067">
        <f>HYPERLINK("https://klasma.github.io/Logging_0880/knärot/A 44761-2019 karta knärot.png", "A 44761-2019")</f>
        <v/>
      </c>
      <c r="V2067">
        <f>HYPERLINK("https://klasma.github.io/Logging_0880/klagomål/A 44761-2019 FSC-klagomål.docx", "A 44761-2019")</f>
        <v/>
      </c>
      <c r="W2067">
        <f>HYPERLINK("https://klasma.github.io/Logging_0880/klagomålsmail/A 44761-2019 FSC-klagomål mail.docx", "A 44761-2019")</f>
        <v/>
      </c>
      <c r="X2067">
        <f>HYPERLINK("https://klasma.github.io/Logging_0880/tillsyn/A 44761-2019 tillsynsbegäran.docx", "A 44761-2019")</f>
        <v/>
      </c>
      <c r="Y2067">
        <f>HYPERLINK("https://klasma.github.io/Logging_0880/tillsynsmail/A 44761-2019 tillsynsbegäran mail.docx", "A 44761-2019")</f>
        <v/>
      </c>
    </row>
    <row r="2068" ht="15" customHeight="1">
      <c r="A2068" t="inlineStr">
        <is>
          <t>A 44661-2019</t>
        </is>
      </c>
      <c r="B2068" s="1" t="n">
        <v>43712</v>
      </c>
      <c r="C2068" s="1" t="n">
        <v>45715</v>
      </c>
      <c r="D2068" t="inlineStr">
        <is>
          <t>KALMAR LÄN</t>
        </is>
      </c>
      <c r="E2068" t="inlineStr">
        <is>
          <t>TORSÅS</t>
        </is>
      </c>
      <c r="F2068" t="inlineStr">
        <is>
          <t>Övriga Aktiebolag</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44775-2019</t>
        </is>
      </c>
      <c r="B2069" s="1" t="n">
        <v>43712</v>
      </c>
      <c r="C2069" s="1" t="n">
        <v>45715</v>
      </c>
      <c r="D2069" t="inlineStr">
        <is>
          <t>KALMAR LÄN</t>
        </is>
      </c>
      <c r="E2069" t="inlineStr">
        <is>
          <t>HULTSFRED</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44760-2019</t>
        </is>
      </c>
      <c r="B2070" s="1" t="n">
        <v>43712</v>
      </c>
      <c r="C2070" s="1" t="n">
        <v>45715</v>
      </c>
      <c r="D2070" t="inlineStr">
        <is>
          <t>KALMAR LÄN</t>
        </is>
      </c>
      <c r="E2070" t="inlineStr">
        <is>
          <t>HÖGSBY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44685-2019</t>
        </is>
      </c>
      <c r="B2071" s="1" t="n">
        <v>43712</v>
      </c>
      <c r="C2071" s="1" t="n">
        <v>45715</v>
      </c>
      <c r="D2071" t="inlineStr">
        <is>
          <t>KALMAR LÄN</t>
        </is>
      </c>
      <c r="E2071" t="inlineStr">
        <is>
          <t>KALMAR</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46173-2019</t>
        </is>
      </c>
      <c r="B2072" s="1" t="n">
        <v>43712</v>
      </c>
      <c r="C2072" s="1" t="n">
        <v>45715</v>
      </c>
      <c r="D2072" t="inlineStr">
        <is>
          <t>KALMAR LÄN</t>
        </is>
      </c>
      <c r="E2072" t="inlineStr">
        <is>
          <t>VÄSTERVIK</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44630-2019</t>
        </is>
      </c>
      <c r="B2073" s="1" t="n">
        <v>43712</v>
      </c>
      <c r="C2073" s="1" t="n">
        <v>45715</v>
      </c>
      <c r="D2073" t="inlineStr">
        <is>
          <t>KALMAR LÄN</t>
        </is>
      </c>
      <c r="E2073" t="inlineStr">
        <is>
          <t>VIMMERBY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44616-2019</t>
        </is>
      </c>
      <c r="B2074" s="1" t="n">
        <v>43712</v>
      </c>
      <c r="C2074" s="1" t="n">
        <v>45715</v>
      </c>
      <c r="D2074" t="inlineStr">
        <is>
          <t>KALMAR LÄN</t>
        </is>
      </c>
      <c r="E2074" t="inlineStr">
        <is>
          <t>HULTSFRED</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45011-2019</t>
        </is>
      </c>
      <c r="B2075" s="1" t="n">
        <v>43713</v>
      </c>
      <c r="C2075" s="1" t="n">
        <v>45715</v>
      </c>
      <c r="D2075" t="inlineStr">
        <is>
          <t>KALMAR LÄN</t>
        </is>
      </c>
      <c r="E2075" t="inlineStr">
        <is>
          <t>NYBRO</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44924-2019</t>
        </is>
      </c>
      <c r="B2076" s="1" t="n">
        <v>43713</v>
      </c>
      <c r="C2076" s="1" t="n">
        <v>45715</v>
      </c>
      <c r="D2076" t="inlineStr">
        <is>
          <t>KALMAR LÄN</t>
        </is>
      </c>
      <c r="E2076" t="inlineStr">
        <is>
          <t>OSKARSHAMN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45101-2019</t>
        </is>
      </c>
      <c r="B2077" s="1" t="n">
        <v>43713</v>
      </c>
      <c r="C2077" s="1" t="n">
        <v>45715</v>
      </c>
      <c r="D2077" t="inlineStr">
        <is>
          <t>KALMAR LÄN</t>
        </is>
      </c>
      <c r="E2077" t="inlineStr">
        <is>
          <t>HULTSFRED</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45103-2019</t>
        </is>
      </c>
      <c r="B2078" s="1" t="n">
        <v>43713</v>
      </c>
      <c r="C2078" s="1" t="n">
        <v>45715</v>
      </c>
      <c r="D2078" t="inlineStr">
        <is>
          <t>KALMAR LÄN</t>
        </is>
      </c>
      <c r="E2078" t="inlineStr">
        <is>
          <t>HULTSFRED</t>
        </is>
      </c>
      <c r="F2078" t="inlineStr">
        <is>
          <t>Sveaskog</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45220-2019</t>
        </is>
      </c>
      <c r="B2079" s="1" t="n">
        <v>43713</v>
      </c>
      <c r="C2079" s="1" t="n">
        <v>45715</v>
      </c>
      <c r="D2079" t="inlineStr">
        <is>
          <t>KALMAR LÄN</t>
        </is>
      </c>
      <c r="E2079" t="inlineStr">
        <is>
          <t>KALMAR</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45230-2019</t>
        </is>
      </c>
      <c r="B2080" s="1" t="n">
        <v>43713</v>
      </c>
      <c r="C2080" s="1" t="n">
        <v>45715</v>
      </c>
      <c r="D2080" t="inlineStr">
        <is>
          <t>KALMAR LÄN</t>
        </is>
      </c>
      <c r="E2080" t="inlineStr">
        <is>
          <t>NYBRO</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45162-2019</t>
        </is>
      </c>
      <c r="B2081" s="1" t="n">
        <v>43713</v>
      </c>
      <c r="C2081" s="1" t="n">
        <v>45715</v>
      </c>
      <c r="D2081" t="inlineStr">
        <is>
          <t>KALMAR LÄN</t>
        </is>
      </c>
      <c r="E2081" t="inlineStr">
        <is>
          <t>VÄSTERVIK</t>
        </is>
      </c>
      <c r="F2081" t="inlineStr">
        <is>
          <t>Holmen skog AB</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45223-2019</t>
        </is>
      </c>
      <c r="B2082" s="1" t="n">
        <v>43713</v>
      </c>
      <c r="C2082" s="1" t="n">
        <v>45715</v>
      </c>
      <c r="D2082" t="inlineStr">
        <is>
          <t>KALMAR LÄN</t>
        </is>
      </c>
      <c r="E2082" t="inlineStr">
        <is>
          <t>KALMAR</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45232-2019</t>
        </is>
      </c>
      <c r="B2083" s="1" t="n">
        <v>43713</v>
      </c>
      <c r="C2083" s="1" t="n">
        <v>45715</v>
      </c>
      <c r="D2083" t="inlineStr">
        <is>
          <t>KALMAR LÄN</t>
        </is>
      </c>
      <c r="E2083" t="inlineStr">
        <is>
          <t>NYBRO</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45379-2019</t>
        </is>
      </c>
      <c r="B2084" s="1" t="n">
        <v>43713</v>
      </c>
      <c r="C2084" s="1" t="n">
        <v>45715</v>
      </c>
      <c r="D2084" t="inlineStr">
        <is>
          <t>KALMAR LÄN</t>
        </is>
      </c>
      <c r="E2084" t="inlineStr">
        <is>
          <t>VÄSTERVIK</t>
        </is>
      </c>
      <c r="G2084" t="n">
        <v>6.3</v>
      </c>
      <c r="H2084" t="n">
        <v>0</v>
      </c>
      <c r="I2084" t="n">
        <v>0</v>
      </c>
      <c r="J2084" t="n">
        <v>0</v>
      </c>
      <c r="K2084" t="n">
        <v>0</v>
      </c>
      <c r="L2084" t="n">
        <v>0</v>
      </c>
      <c r="M2084" t="n">
        <v>0</v>
      </c>
      <c r="N2084" t="n">
        <v>0</v>
      </c>
      <c r="O2084" t="n">
        <v>0</v>
      </c>
      <c r="P2084" t="n">
        <v>0</v>
      </c>
      <c r="Q2084" t="n">
        <v>0</v>
      </c>
      <c r="R2084" s="2" t="inlineStr"/>
    </row>
    <row r="2085" ht="15" customHeight="1">
      <c r="A2085" t="inlineStr">
        <is>
          <t>A 45210-2019</t>
        </is>
      </c>
      <c r="B2085" s="1" t="n">
        <v>43713</v>
      </c>
      <c r="C2085" s="1" t="n">
        <v>45715</v>
      </c>
      <c r="D2085" t="inlineStr">
        <is>
          <t>KALMAR LÄN</t>
        </is>
      </c>
      <c r="E2085" t="inlineStr">
        <is>
          <t>MÖNSTERÅS</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45108-2019</t>
        </is>
      </c>
      <c r="B2086" s="1" t="n">
        <v>43713</v>
      </c>
      <c r="C2086" s="1" t="n">
        <v>45715</v>
      </c>
      <c r="D2086" t="inlineStr">
        <is>
          <t>KALMAR LÄN</t>
        </is>
      </c>
      <c r="E2086" t="inlineStr">
        <is>
          <t>HULTSFRED</t>
        </is>
      </c>
      <c r="F2086" t="inlineStr">
        <is>
          <t>Sveaskog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45386-2019</t>
        </is>
      </c>
      <c r="B2087" s="1" t="n">
        <v>43713</v>
      </c>
      <c r="C2087" s="1" t="n">
        <v>45715</v>
      </c>
      <c r="D2087" t="inlineStr">
        <is>
          <t>KALMAR LÄN</t>
        </is>
      </c>
      <c r="E2087" t="inlineStr">
        <is>
          <t>VÄSTERVIK</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45256-2019</t>
        </is>
      </c>
      <c r="B2088" s="1" t="n">
        <v>43713</v>
      </c>
      <c r="C2088" s="1" t="n">
        <v>45715</v>
      </c>
      <c r="D2088" t="inlineStr">
        <is>
          <t>KALMAR LÄN</t>
        </is>
      </c>
      <c r="E2088" t="inlineStr">
        <is>
          <t>TORSÅS</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45446-2019</t>
        </is>
      </c>
      <c r="B2089" s="1" t="n">
        <v>43714</v>
      </c>
      <c r="C2089" s="1" t="n">
        <v>45715</v>
      </c>
      <c r="D2089" t="inlineStr">
        <is>
          <t>KALMAR LÄN</t>
        </is>
      </c>
      <c r="E2089" t="inlineStr">
        <is>
          <t>VIMMERBY</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46190-2019</t>
        </is>
      </c>
      <c r="B2090" s="1" t="n">
        <v>43714</v>
      </c>
      <c r="C2090" s="1" t="n">
        <v>45715</v>
      </c>
      <c r="D2090" t="inlineStr">
        <is>
          <t>KALMAR LÄN</t>
        </is>
      </c>
      <c r="E2090" t="inlineStr">
        <is>
          <t>NYBRO</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45354-2019</t>
        </is>
      </c>
      <c r="B2091" s="1" t="n">
        <v>43714</v>
      </c>
      <c r="C2091" s="1" t="n">
        <v>45715</v>
      </c>
      <c r="D2091" t="inlineStr">
        <is>
          <t>KALMAR LÄN</t>
        </is>
      </c>
      <c r="E2091" t="inlineStr">
        <is>
          <t>TORSÅS</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45461-2019</t>
        </is>
      </c>
      <c r="B2092" s="1" t="n">
        <v>43714</v>
      </c>
      <c r="C2092" s="1" t="n">
        <v>45715</v>
      </c>
      <c r="D2092" t="inlineStr">
        <is>
          <t>KALMAR LÄN</t>
        </is>
      </c>
      <c r="E2092" t="inlineStr">
        <is>
          <t>MÖNSTERÅS</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45521-2019</t>
        </is>
      </c>
      <c r="B2093" s="1" t="n">
        <v>43714</v>
      </c>
      <c r="C2093" s="1" t="n">
        <v>45715</v>
      </c>
      <c r="D2093" t="inlineStr">
        <is>
          <t>KALMAR LÄN</t>
        </is>
      </c>
      <c r="E2093" t="inlineStr">
        <is>
          <t>KALMAR</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45535-2019</t>
        </is>
      </c>
      <c r="B2094" s="1" t="n">
        <v>43714</v>
      </c>
      <c r="C2094" s="1" t="n">
        <v>45715</v>
      </c>
      <c r="D2094" t="inlineStr">
        <is>
          <t>KALMAR LÄN</t>
        </is>
      </c>
      <c r="E2094" t="inlineStr">
        <is>
          <t>HULTSFRED</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45282-2019</t>
        </is>
      </c>
      <c r="B2095" s="1" t="n">
        <v>43714</v>
      </c>
      <c r="C2095" s="1" t="n">
        <v>45715</v>
      </c>
      <c r="D2095" t="inlineStr">
        <is>
          <t>KALMAR LÄN</t>
        </is>
      </c>
      <c r="E2095" t="inlineStr">
        <is>
          <t>MÖNSTERÅS</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45313-2019</t>
        </is>
      </c>
      <c r="B2096" s="1" t="n">
        <v>43714</v>
      </c>
      <c r="C2096" s="1" t="n">
        <v>45715</v>
      </c>
      <c r="D2096" t="inlineStr">
        <is>
          <t>KALMAR LÄN</t>
        </is>
      </c>
      <c r="E2096" t="inlineStr">
        <is>
          <t>EMMABODA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45413-2019</t>
        </is>
      </c>
      <c r="B2097" s="1" t="n">
        <v>43714</v>
      </c>
      <c r="C2097" s="1" t="n">
        <v>45715</v>
      </c>
      <c r="D2097" t="inlineStr">
        <is>
          <t>KALMAR LÄN</t>
        </is>
      </c>
      <c r="E2097" t="inlineStr">
        <is>
          <t>VIMMERBY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45515-2019</t>
        </is>
      </c>
      <c r="B2098" s="1" t="n">
        <v>43714</v>
      </c>
      <c r="C2098" s="1" t="n">
        <v>45715</v>
      </c>
      <c r="D2098" t="inlineStr">
        <is>
          <t>KALMAR LÄN</t>
        </is>
      </c>
      <c r="E2098" t="inlineStr">
        <is>
          <t>VIMMERBY</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45579-2019</t>
        </is>
      </c>
      <c r="B2099" s="1" t="n">
        <v>43717</v>
      </c>
      <c r="C2099" s="1" t="n">
        <v>45715</v>
      </c>
      <c r="D2099" t="inlineStr">
        <is>
          <t>KALMAR LÄN</t>
        </is>
      </c>
      <c r="E2099" t="inlineStr">
        <is>
          <t>KALMAR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45596-2019</t>
        </is>
      </c>
      <c r="B2100" s="1" t="n">
        <v>43717</v>
      </c>
      <c r="C2100" s="1" t="n">
        <v>45715</v>
      </c>
      <c r="D2100" t="inlineStr">
        <is>
          <t>KALMAR LÄN</t>
        </is>
      </c>
      <c r="E2100" t="inlineStr">
        <is>
          <t>EMMABODA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45593-2019</t>
        </is>
      </c>
      <c r="B2101" s="1" t="n">
        <v>43717</v>
      </c>
      <c r="C2101" s="1" t="n">
        <v>45715</v>
      </c>
      <c r="D2101" t="inlineStr">
        <is>
          <t>KALMAR LÄN</t>
        </is>
      </c>
      <c r="E2101" t="inlineStr">
        <is>
          <t>TORSÅS</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45591-2019</t>
        </is>
      </c>
      <c r="B2102" s="1" t="n">
        <v>43717</v>
      </c>
      <c r="C2102" s="1" t="n">
        <v>45715</v>
      </c>
      <c r="D2102" t="inlineStr">
        <is>
          <t>KALMAR LÄN</t>
        </is>
      </c>
      <c r="E2102" t="inlineStr">
        <is>
          <t>TORSÅS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45709-2019</t>
        </is>
      </c>
      <c r="B2103" s="1" t="n">
        <v>43717</v>
      </c>
      <c r="C2103" s="1" t="n">
        <v>45715</v>
      </c>
      <c r="D2103" t="inlineStr">
        <is>
          <t>KALMAR LÄN</t>
        </is>
      </c>
      <c r="E2103" t="inlineStr">
        <is>
          <t>KALMAR</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45715-2019</t>
        </is>
      </c>
      <c r="B2104" s="1" t="n">
        <v>43717</v>
      </c>
      <c r="C2104" s="1" t="n">
        <v>45715</v>
      </c>
      <c r="D2104" t="inlineStr">
        <is>
          <t>KALMAR LÄN</t>
        </is>
      </c>
      <c r="E2104" t="inlineStr">
        <is>
          <t>KALMAR</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45727-2019</t>
        </is>
      </c>
      <c r="B2105" s="1" t="n">
        <v>43717</v>
      </c>
      <c r="C2105" s="1" t="n">
        <v>45715</v>
      </c>
      <c r="D2105" t="inlineStr">
        <is>
          <t>KALMAR LÄN</t>
        </is>
      </c>
      <c r="E2105" t="inlineStr">
        <is>
          <t>NYBRO</t>
        </is>
      </c>
      <c r="G2105" t="n">
        <v>9.800000000000001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45757-2019</t>
        </is>
      </c>
      <c r="B2106" s="1" t="n">
        <v>43717</v>
      </c>
      <c r="C2106" s="1" t="n">
        <v>45715</v>
      </c>
      <c r="D2106" t="inlineStr">
        <is>
          <t>KALMAR LÄN</t>
        </is>
      </c>
      <c r="E2106" t="inlineStr">
        <is>
          <t>VÄSTERVIK</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45772-2019</t>
        </is>
      </c>
      <c r="B2107" s="1" t="n">
        <v>43717</v>
      </c>
      <c r="C2107" s="1" t="n">
        <v>45715</v>
      </c>
      <c r="D2107" t="inlineStr">
        <is>
          <t>KALMAR LÄN</t>
        </is>
      </c>
      <c r="E2107" t="inlineStr">
        <is>
          <t>VÄSTERVIK</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46557-2019</t>
        </is>
      </c>
      <c r="B2108" s="1" t="n">
        <v>43717</v>
      </c>
      <c r="C2108" s="1" t="n">
        <v>45715</v>
      </c>
      <c r="D2108" t="inlineStr">
        <is>
          <t>KALMAR LÄN</t>
        </is>
      </c>
      <c r="E2108" t="inlineStr">
        <is>
          <t>NYBRO</t>
        </is>
      </c>
      <c r="G2108" t="n">
        <v>11.1</v>
      </c>
      <c r="H2108" t="n">
        <v>0</v>
      </c>
      <c r="I2108" t="n">
        <v>0</v>
      </c>
      <c r="J2108" t="n">
        <v>0</v>
      </c>
      <c r="K2108" t="n">
        <v>0</v>
      </c>
      <c r="L2108" t="n">
        <v>0</v>
      </c>
      <c r="M2108" t="n">
        <v>0</v>
      </c>
      <c r="N2108" t="n">
        <v>0</v>
      </c>
      <c r="O2108" t="n">
        <v>0</v>
      </c>
      <c r="P2108" t="n">
        <v>0</v>
      </c>
      <c r="Q2108" t="n">
        <v>0</v>
      </c>
      <c r="R2108" s="2" t="inlineStr"/>
    </row>
    <row r="2109" ht="15" customHeight="1">
      <c r="A2109" t="inlineStr">
        <is>
          <t>A 45897-2019</t>
        </is>
      </c>
      <c r="B2109" s="1" t="n">
        <v>43717</v>
      </c>
      <c r="C2109" s="1" t="n">
        <v>45715</v>
      </c>
      <c r="D2109" t="inlineStr">
        <is>
          <t>KALMAR LÄN</t>
        </is>
      </c>
      <c r="E2109" t="inlineStr">
        <is>
          <t>VÄSTERVIK</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46993-2019</t>
        </is>
      </c>
      <c r="B2110" s="1" t="n">
        <v>43717</v>
      </c>
      <c r="C2110" s="1" t="n">
        <v>45715</v>
      </c>
      <c r="D2110" t="inlineStr">
        <is>
          <t>KALMAR LÄN</t>
        </is>
      </c>
      <c r="E2110" t="inlineStr">
        <is>
          <t>NYBRO</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45607-2019</t>
        </is>
      </c>
      <c r="B2111" s="1" t="n">
        <v>43717</v>
      </c>
      <c r="C2111" s="1" t="n">
        <v>45715</v>
      </c>
      <c r="D2111" t="inlineStr">
        <is>
          <t>KALMAR LÄN</t>
        </is>
      </c>
      <c r="E2111" t="inlineStr">
        <is>
          <t>KALMAR</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46242-2019</t>
        </is>
      </c>
      <c r="B2112" s="1" t="n">
        <v>43718</v>
      </c>
      <c r="C2112" s="1" t="n">
        <v>45715</v>
      </c>
      <c r="D2112" t="inlineStr">
        <is>
          <t>KALMAR LÄN</t>
        </is>
      </c>
      <c r="E2112" t="inlineStr">
        <is>
          <t>VIMMERBY</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46263-2019</t>
        </is>
      </c>
      <c r="B2113" s="1" t="n">
        <v>43718</v>
      </c>
      <c r="C2113" s="1" t="n">
        <v>45715</v>
      </c>
      <c r="D2113" t="inlineStr">
        <is>
          <t>KALMAR LÄN</t>
        </is>
      </c>
      <c r="E2113" t="inlineStr">
        <is>
          <t>HULTSFRED</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45968-2019</t>
        </is>
      </c>
      <c r="B2114" s="1" t="n">
        <v>43718</v>
      </c>
      <c r="C2114" s="1" t="n">
        <v>45715</v>
      </c>
      <c r="D2114" t="inlineStr">
        <is>
          <t>KALMAR LÄN</t>
        </is>
      </c>
      <c r="E2114" t="inlineStr">
        <is>
          <t>HÖGSBY</t>
        </is>
      </c>
      <c r="F2114" t="inlineStr">
        <is>
          <t>Sveaskog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46050-2019</t>
        </is>
      </c>
      <c r="B2115" s="1" t="n">
        <v>43718</v>
      </c>
      <c r="C2115" s="1" t="n">
        <v>45715</v>
      </c>
      <c r="D2115" t="inlineStr">
        <is>
          <t>KALMAR LÄN</t>
        </is>
      </c>
      <c r="E2115" t="inlineStr">
        <is>
          <t>KALMAR</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46092-2019</t>
        </is>
      </c>
      <c r="B2116" s="1" t="n">
        <v>43718</v>
      </c>
      <c r="C2116" s="1" t="n">
        <v>45715</v>
      </c>
      <c r="D2116" t="inlineStr">
        <is>
          <t>KALMAR LÄN</t>
        </is>
      </c>
      <c r="E2116" t="inlineStr">
        <is>
          <t>EMMABODA</t>
        </is>
      </c>
      <c r="G2116" t="n">
        <v>9.699999999999999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46333-2019</t>
        </is>
      </c>
      <c r="B2117" s="1" t="n">
        <v>43718</v>
      </c>
      <c r="C2117" s="1" t="n">
        <v>45715</v>
      </c>
      <c r="D2117" t="inlineStr">
        <is>
          <t>KALMAR LÄN</t>
        </is>
      </c>
      <c r="E2117" t="inlineStr">
        <is>
          <t>VÄSTERVIK</t>
        </is>
      </c>
      <c r="F2117" t="inlineStr">
        <is>
          <t>Sveaskog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46845-2019</t>
        </is>
      </c>
      <c r="B2118" s="1" t="n">
        <v>43718</v>
      </c>
      <c r="C2118" s="1" t="n">
        <v>45715</v>
      </c>
      <c r="D2118" t="inlineStr">
        <is>
          <t>KALMAR LÄN</t>
        </is>
      </c>
      <c r="E2118" t="inlineStr">
        <is>
          <t>VIMMERBY</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46040-2019</t>
        </is>
      </c>
      <c r="B2119" s="1" t="n">
        <v>43718</v>
      </c>
      <c r="C2119" s="1" t="n">
        <v>45715</v>
      </c>
      <c r="D2119" t="inlineStr">
        <is>
          <t>KALMAR LÄN</t>
        </is>
      </c>
      <c r="E2119" t="inlineStr">
        <is>
          <t>NYBRO</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46046-2019</t>
        </is>
      </c>
      <c r="B2120" s="1" t="n">
        <v>43718</v>
      </c>
      <c r="C2120" s="1" t="n">
        <v>45715</v>
      </c>
      <c r="D2120" t="inlineStr">
        <is>
          <t>KALMAR LÄN</t>
        </is>
      </c>
      <c r="E2120" t="inlineStr">
        <is>
          <t>TORSÅS</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46132-2019</t>
        </is>
      </c>
      <c r="B2121" s="1" t="n">
        <v>43718</v>
      </c>
      <c r="C2121" s="1" t="n">
        <v>45715</v>
      </c>
      <c r="D2121" t="inlineStr">
        <is>
          <t>KALMAR LÄN</t>
        </is>
      </c>
      <c r="E2121" t="inlineStr">
        <is>
          <t>TORSÅS</t>
        </is>
      </c>
      <c r="G2121" t="n">
        <v>9.800000000000001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46103-2019</t>
        </is>
      </c>
      <c r="B2122" s="1" t="n">
        <v>43718</v>
      </c>
      <c r="C2122" s="1" t="n">
        <v>45715</v>
      </c>
      <c r="D2122" t="inlineStr">
        <is>
          <t>KALMAR LÄN</t>
        </is>
      </c>
      <c r="E2122" t="inlineStr">
        <is>
          <t>TORSÅS</t>
        </is>
      </c>
      <c r="G2122" t="n">
        <v>8.4</v>
      </c>
      <c r="H2122" t="n">
        <v>0</v>
      </c>
      <c r="I2122" t="n">
        <v>0</v>
      </c>
      <c r="J2122" t="n">
        <v>0</v>
      </c>
      <c r="K2122" t="n">
        <v>0</v>
      </c>
      <c r="L2122" t="n">
        <v>0</v>
      </c>
      <c r="M2122" t="n">
        <v>0</v>
      </c>
      <c r="N2122" t="n">
        <v>0</v>
      </c>
      <c r="O2122" t="n">
        <v>0</v>
      </c>
      <c r="P2122" t="n">
        <v>0</v>
      </c>
      <c r="Q2122" t="n">
        <v>0</v>
      </c>
      <c r="R2122" s="2" t="inlineStr"/>
    </row>
    <row r="2123" ht="15" customHeight="1">
      <c r="A2123" t="inlineStr">
        <is>
          <t>A 46175-2019</t>
        </is>
      </c>
      <c r="B2123" s="1" t="n">
        <v>43718</v>
      </c>
      <c r="C2123" s="1" t="n">
        <v>45715</v>
      </c>
      <c r="D2123" t="inlineStr">
        <is>
          <t>KALMAR LÄN</t>
        </is>
      </c>
      <c r="E2123" t="inlineStr">
        <is>
          <t>OSKARSHAMN</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46291-2019</t>
        </is>
      </c>
      <c r="B2124" s="1" t="n">
        <v>43718</v>
      </c>
      <c r="C2124" s="1" t="n">
        <v>45715</v>
      </c>
      <c r="D2124" t="inlineStr">
        <is>
          <t>KALMAR LÄN</t>
        </is>
      </c>
      <c r="E2124" t="inlineStr">
        <is>
          <t>VIMMERBY</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45962-2019</t>
        </is>
      </c>
      <c r="B2125" s="1" t="n">
        <v>43718</v>
      </c>
      <c r="C2125" s="1" t="n">
        <v>45715</v>
      </c>
      <c r="D2125" t="inlineStr">
        <is>
          <t>KALMAR LÄN</t>
        </is>
      </c>
      <c r="E2125" t="inlineStr">
        <is>
          <t>KALMAR</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46061-2019</t>
        </is>
      </c>
      <c r="B2126" s="1" t="n">
        <v>43718</v>
      </c>
      <c r="C2126" s="1" t="n">
        <v>45715</v>
      </c>
      <c r="D2126" t="inlineStr">
        <is>
          <t>KALMAR LÄN</t>
        </is>
      </c>
      <c r="E2126" t="inlineStr">
        <is>
          <t>NYBRO</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46058-2019</t>
        </is>
      </c>
      <c r="B2127" s="1" t="n">
        <v>43718</v>
      </c>
      <c r="C2127" s="1" t="n">
        <v>45715</v>
      </c>
      <c r="D2127" t="inlineStr">
        <is>
          <t>KALMAR LÄN</t>
        </is>
      </c>
      <c r="E2127" t="inlineStr">
        <is>
          <t>NYBRO</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46045-2019</t>
        </is>
      </c>
      <c r="B2128" s="1" t="n">
        <v>43718</v>
      </c>
      <c r="C2128" s="1" t="n">
        <v>45715</v>
      </c>
      <c r="D2128" t="inlineStr">
        <is>
          <t>KALMAR LÄN</t>
        </is>
      </c>
      <c r="E2128" t="inlineStr">
        <is>
          <t>KALMAR</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46087-2019</t>
        </is>
      </c>
      <c r="B2129" s="1" t="n">
        <v>43718</v>
      </c>
      <c r="C2129" s="1" t="n">
        <v>45715</v>
      </c>
      <c r="D2129" t="inlineStr">
        <is>
          <t>KALMAR LÄN</t>
        </is>
      </c>
      <c r="E2129" t="inlineStr">
        <is>
          <t>EMMABODA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46056-2019</t>
        </is>
      </c>
      <c r="B2130" s="1" t="n">
        <v>43718</v>
      </c>
      <c r="C2130" s="1" t="n">
        <v>45715</v>
      </c>
      <c r="D2130" t="inlineStr">
        <is>
          <t>KALMAR LÄN</t>
        </is>
      </c>
      <c r="E2130" t="inlineStr">
        <is>
          <t>KALMAR</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46510-2019</t>
        </is>
      </c>
      <c r="B2131" s="1" t="n">
        <v>43719</v>
      </c>
      <c r="C2131" s="1" t="n">
        <v>45715</v>
      </c>
      <c r="D2131" t="inlineStr">
        <is>
          <t>KALMAR LÄN</t>
        </is>
      </c>
      <c r="E2131" t="inlineStr">
        <is>
          <t>KALMAR</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46505-2019</t>
        </is>
      </c>
      <c r="B2132" s="1" t="n">
        <v>43719</v>
      </c>
      <c r="C2132" s="1" t="n">
        <v>45715</v>
      </c>
      <c r="D2132" t="inlineStr">
        <is>
          <t>KALMAR LÄN</t>
        </is>
      </c>
      <c r="E2132" t="inlineStr">
        <is>
          <t>HULTSFRED</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46614-2019</t>
        </is>
      </c>
      <c r="B2133" s="1" t="n">
        <v>43719</v>
      </c>
      <c r="C2133" s="1" t="n">
        <v>45715</v>
      </c>
      <c r="D2133" t="inlineStr">
        <is>
          <t>KALMAR LÄN</t>
        </is>
      </c>
      <c r="E2133" t="inlineStr">
        <is>
          <t>OSKARSHAMN</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46503-2019</t>
        </is>
      </c>
      <c r="B2134" s="1" t="n">
        <v>43719</v>
      </c>
      <c r="C2134" s="1" t="n">
        <v>45715</v>
      </c>
      <c r="D2134" t="inlineStr">
        <is>
          <t>KALMAR LÄN</t>
        </is>
      </c>
      <c r="E2134" t="inlineStr">
        <is>
          <t>KALMAR</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46440-2019</t>
        </is>
      </c>
      <c r="B2135" s="1" t="n">
        <v>43719</v>
      </c>
      <c r="C2135" s="1" t="n">
        <v>45715</v>
      </c>
      <c r="D2135" t="inlineStr">
        <is>
          <t>KALMAR LÄN</t>
        </is>
      </c>
      <c r="E2135" t="inlineStr">
        <is>
          <t>HULTSFRED</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46529-2019</t>
        </is>
      </c>
      <c r="B2136" s="1" t="n">
        <v>43719</v>
      </c>
      <c r="C2136" s="1" t="n">
        <v>45715</v>
      </c>
      <c r="D2136" t="inlineStr">
        <is>
          <t>KALMAR LÄN</t>
        </is>
      </c>
      <c r="E2136" t="inlineStr">
        <is>
          <t>TORSÅS</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46942-2019</t>
        </is>
      </c>
      <c r="B2137" s="1" t="n">
        <v>43719</v>
      </c>
      <c r="C2137" s="1" t="n">
        <v>45715</v>
      </c>
      <c r="D2137" t="inlineStr">
        <is>
          <t>KALMAR LÄN</t>
        </is>
      </c>
      <c r="E2137" t="inlineStr">
        <is>
          <t>VÄSTERVIK</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46729-2019</t>
        </is>
      </c>
      <c r="B2138" s="1" t="n">
        <v>43719</v>
      </c>
      <c r="C2138" s="1" t="n">
        <v>45715</v>
      </c>
      <c r="D2138" t="inlineStr">
        <is>
          <t>KALMAR LÄN</t>
        </is>
      </c>
      <c r="E2138" t="inlineStr">
        <is>
          <t>HÖGSBY</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46815-2019</t>
        </is>
      </c>
      <c r="B2139" s="1" t="n">
        <v>43719</v>
      </c>
      <c r="C2139" s="1" t="n">
        <v>45715</v>
      </c>
      <c r="D2139" t="inlineStr">
        <is>
          <t>KALMAR LÄN</t>
        </is>
      </c>
      <c r="E2139" t="inlineStr">
        <is>
          <t>NYBRO</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46742-2019</t>
        </is>
      </c>
      <c r="B2140" s="1" t="n">
        <v>43719</v>
      </c>
      <c r="C2140" s="1" t="n">
        <v>45715</v>
      </c>
      <c r="D2140" t="inlineStr">
        <is>
          <t>KALMAR LÄN</t>
        </is>
      </c>
      <c r="E2140" t="inlineStr">
        <is>
          <t>EMMABODA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47187-2019</t>
        </is>
      </c>
      <c r="B2141" s="1" t="n">
        <v>43719</v>
      </c>
      <c r="C2141" s="1" t="n">
        <v>45715</v>
      </c>
      <c r="D2141" t="inlineStr">
        <is>
          <t>KALMAR LÄN</t>
        </is>
      </c>
      <c r="E2141" t="inlineStr">
        <is>
          <t>VIMMERBY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46985-2019</t>
        </is>
      </c>
      <c r="B2142" s="1" t="n">
        <v>43719</v>
      </c>
      <c r="C2142" s="1" t="n">
        <v>45715</v>
      </c>
      <c r="D2142" t="inlineStr">
        <is>
          <t>KALMAR LÄN</t>
        </is>
      </c>
      <c r="E2142" t="inlineStr">
        <is>
          <t>HÖGSBY</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46619-2019</t>
        </is>
      </c>
      <c r="B2143" s="1" t="n">
        <v>43719</v>
      </c>
      <c r="C2143" s="1" t="n">
        <v>45715</v>
      </c>
      <c r="D2143" t="inlineStr">
        <is>
          <t>KALMAR LÄN</t>
        </is>
      </c>
      <c r="E2143" t="inlineStr">
        <is>
          <t>VIMMERBY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46840-2019</t>
        </is>
      </c>
      <c r="B2144" s="1" t="n">
        <v>43720</v>
      </c>
      <c r="C2144" s="1" t="n">
        <v>45715</v>
      </c>
      <c r="D2144" t="inlineStr">
        <is>
          <t>KALMAR LÄN</t>
        </is>
      </c>
      <c r="E2144" t="inlineStr">
        <is>
          <t>KALMAR</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46847-2019</t>
        </is>
      </c>
      <c r="B2145" s="1" t="n">
        <v>43720</v>
      </c>
      <c r="C2145" s="1" t="n">
        <v>45715</v>
      </c>
      <c r="D2145" t="inlineStr">
        <is>
          <t>KALMAR LÄN</t>
        </is>
      </c>
      <c r="E2145" t="inlineStr">
        <is>
          <t>MÖNSTERÅS</t>
        </is>
      </c>
      <c r="G2145" t="n">
        <v>7.2</v>
      </c>
      <c r="H2145" t="n">
        <v>0</v>
      </c>
      <c r="I2145" t="n">
        <v>0</v>
      </c>
      <c r="J2145" t="n">
        <v>0</v>
      </c>
      <c r="K2145" t="n">
        <v>0</v>
      </c>
      <c r="L2145" t="n">
        <v>0</v>
      </c>
      <c r="M2145" t="n">
        <v>0</v>
      </c>
      <c r="N2145" t="n">
        <v>0</v>
      </c>
      <c r="O2145" t="n">
        <v>0</v>
      </c>
      <c r="P2145" t="n">
        <v>0</v>
      </c>
      <c r="Q2145" t="n">
        <v>0</v>
      </c>
      <c r="R2145" s="2" t="inlineStr"/>
    </row>
    <row r="2146" ht="15" customHeight="1">
      <c r="A2146" t="inlineStr">
        <is>
          <t>A 46988-2019</t>
        </is>
      </c>
      <c r="B2146" s="1" t="n">
        <v>43720</v>
      </c>
      <c r="C2146" s="1" t="n">
        <v>45715</v>
      </c>
      <c r="D2146" t="inlineStr">
        <is>
          <t>KALMAR LÄN</t>
        </is>
      </c>
      <c r="E2146" t="inlineStr">
        <is>
          <t>VIMMERBY</t>
        </is>
      </c>
      <c r="F2146" t="inlineStr">
        <is>
          <t>Kommuner</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47029-2019</t>
        </is>
      </c>
      <c r="B2147" s="1" t="n">
        <v>43720</v>
      </c>
      <c r="C2147" s="1" t="n">
        <v>45715</v>
      </c>
      <c r="D2147" t="inlineStr">
        <is>
          <t>KALMAR LÄN</t>
        </is>
      </c>
      <c r="E2147" t="inlineStr">
        <is>
          <t>HÖGSBY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47013-2019</t>
        </is>
      </c>
      <c r="B2148" s="1" t="n">
        <v>43720</v>
      </c>
      <c r="C2148" s="1" t="n">
        <v>45715</v>
      </c>
      <c r="D2148" t="inlineStr">
        <is>
          <t>KALMAR LÄN</t>
        </is>
      </c>
      <c r="E2148" t="inlineStr">
        <is>
          <t>EMMABODA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47021-2019</t>
        </is>
      </c>
      <c r="B2149" s="1" t="n">
        <v>43720</v>
      </c>
      <c r="C2149" s="1" t="n">
        <v>45715</v>
      </c>
      <c r="D2149" t="inlineStr">
        <is>
          <t>KALMAR LÄN</t>
        </is>
      </c>
      <c r="E2149" t="inlineStr">
        <is>
          <t>EMMABODA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47129-2019</t>
        </is>
      </c>
      <c r="B2150" s="1" t="n">
        <v>43721</v>
      </c>
      <c r="C2150" s="1" t="n">
        <v>45715</v>
      </c>
      <c r="D2150" t="inlineStr">
        <is>
          <t>KALMAR LÄN</t>
        </is>
      </c>
      <c r="E2150" t="inlineStr">
        <is>
          <t>EMMABODA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47237-2019</t>
        </is>
      </c>
      <c r="B2151" s="1" t="n">
        <v>43721</v>
      </c>
      <c r="C2151" s="1" t="n">
        <v>45715</v>
      </c>
      <c r="D2151" t="inlineStr">
        <is>
          <t>KALMAR LÄN</t>
        </is>
      </c>
      <c r="E2151" t="inlineStr">
        <is>
          <t>KALMAR</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47246-2019</t>
        </is>
      </c>
      <c r="B2152" s="1" t="n">
        <v>43721</v>
      </c>
      <c r="C2152" s="1" t="n">
        <v>45715</v>
      </c>
      <c r="D2152" t="inlineStr">
        <is>
          <t>KALMAR LÄN</t>
        </is>
      </c>
      <c r="E2152" t="inlineStr">
        <is>
          <t>NYBRO</t>
        </is>
      </c>
      <c r="G2152" t="n">
        <v>9.800000000000001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47243-2019</t>
        </is>
      </c>
      <c r="B2153" s="1" t="n">
        <v>43721</v>
      </c>
      <c r="C2153" s="1" t="n">
        <v>45715</v>
      </c>
      <c r="D2153" t="inlineStr">
        <is>
          <t>KALMAR LÄN</t>
        </is>
      </c>
      <c r="E2153" t="inlineStr">
        <is>
          <t>NYBRO</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47131-2019</t>
        </is>
      </c>
      <c r="B2154" s="1" t="n">
        <v>43721</v>
      </c>
      <c r="C2154" s="1" t="n">
        <v>45715</v>
      </c>
      <c r="D2154" t="inlineStr">
        <is>
          <t>KALMAR LÄN</t>
        </is>
      </c>
      <c r="E2154" t="inlineStr">
        <is>
          <t>EMMABODA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47261-2019</t>
        </is>
      </c>
      <c r="B2155" s="1" t="n">
        <v>43721</v>
      </c>
      <c r="C2155" s="1" t="n">
        <v>45715</v>
      </c>
      <c r="D2155" t="inlineStr">
        <is>
          <t>KALMAR LÄN</t>
        </is>
      </c>
      <c r="E2155" t="inlineStr">
        <is>
          <t>HÖGSBY</t>
        </is>
      </c>
      <c r="G2155" t="n">
        <v>11.7</v>
      </c>
      <c r="H2155" t="n">
        <v>0</v>
      </c>
      <c r="I2155" t="n">
        <v>0</v>
      </c>
      <c r="J2155" t="n">
        <v>0</v>
      </c>
      <c r="K2155" t="n">
        <v>0</v>
      </c>
      <c r="L2155" t="n">
        <v>0</v>
      </c>
      <c r="M2155" t="n">
        <v>0</v>
      </c>
      <c r="N2155" t="n">
        <v>0</v>
      </c>
      <c r="O2155" t="n">
        <v>0</v>
      </c>
      <c r="P2155" t="n">
        <v>0</v>
      </c>
      <c r="Q2155" t="n">
        <v>0</v>
      </c>
      <c r="R2155" s="2" t="inlineStr"/>
    </row>
    <row r="2156" ht="15" customHeight="1">
      <c r="A2156" t="inlineStr">
        <is>
          <t>A 47240-2019</t>
        </is>
      </c>
      <c r="B2156" s="1" t="n">
        <v>43721</v>
      </c>
      <c r="C2156" s="1" t="n">
        <v>45715</v>
      </c>
      <c r="D2156" t="inlineStr">
        <is>
          <t>KALMAR LÄN</t>
        </is>
      </c>
      <c r="E2156" t="inlineStr">
        <is>
          <t>KALMAR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47353-2019</t>
        </is>
      </c>
      <c r="B2157" s="1" t="n">
        <v>43721</v>
      </c>
      <c r="C2157" s="1" t="n">
        <v>45715</v>
      </c>
      <c r="D2157" t="inlineStr">
        <is>
          <t>KALMAR LÄN</t>
        </is>
      </c>
      <c r="E2157" t="inlineStr">
        <is>
          <t>OSKARSHAMN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47401-2019</t>
        </is>
      </c>
      <c r="B2158" s="1" t="n">
        <v>43722</v>
      </c>
      <c r="C2158" s="1" t="n">
        <v>45715</v>
      </c>
      <c r="D2158" t="inlineStr">
        <is>
          <t>KALMAR LÄN</t>
        </is>
      </c>
      <c r="E2158" t="inlineStr">
        <is>
          <t>HULTSFRED</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47434-2019</t>
        </is>
      </c>
      <c r="B2159" s="1" t="n">
        <v>43723</v>
      </c>
      <c r="C2159" s="1" t="n">
        <v>45715</v>
      </c>
      <c r="D2159" t="inlineStr">
        <is>
          <t>KALMAR LÄN</t>
        </is>
      </c>
      <c r="E2159" t="inlineStr">
        <is>
          <t>VÄSTERVIK</t>
        </is>
      </c>
      <c r="F2159" t="inlineStr">
        <is>
          <t>Sveaskog</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47435-2019</t>
        </is>
      </c>
      <c r="B2160" s="1" t="n">
        <v>43723</v>
      </c>
      <c r="C2160" s="1" t="n">
        <v>45715</v>
      </c>
      <c r="D2160" t="inlineStr">
        <is>
          <t>KALMAR LÄN</t>
        </is>
      </c>
      <c r="E2160" t="inlineStr">
        <is>
          <t>VÄSTERVIK</t>
        </is>
      </c>
      <c r="F2160" t="inlineStr">
        <is>
          <t>Sveaskog</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47438-2019</t>
        </is>
      </c>
      <c r="B2161" s="1" t="n">
        <v>43723</v>
      </c>
      <c r="C2161" s="1" t="n">
        <v>45715</v>
      </c>
      <c r="D2161" t="inlineStr">
        <is>
          <t>KALMAR LÄN</t>
        </is>
      </c>
      <c r="E2161" t="inlineStr">
        <is>
          <t>VÄSTERVIK</t>
        </is>
      </c>
      <c r="F2161" t="inlineStr">
        <is>
          <t>Sveaskog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47499-2019</t>
        </is>
      </c>
      <c r="B2162" s="1" t="n">
        <v>43724</v>
      </c>
      <c r="C2162" s="1" t="n">
        <v>45715</v>
      </c>
      <c r="D2162" t="inlineStr">
        <is>
          <t>KALMAR LÄN</t>
        </is>
      </c>
      <c r="E2162" t="inlineStr">
        <is>
          <t>HÖGSBY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47560-2019</t>
        </is>
      </c>
      <c r="B2163" s="1" t="n">
        <v>43724</v>
      </c>
      <c r="C2163" s="1" t="n">
        <v>45715</v>
      </c>
      <c r="D2163" t="inlineStr">
        <is>
          <t>KALMAR LÄN</t>
        </is>
      </c>
      <c r="E2163" t="inlineStr">
        <is>
          <t>EMMABODA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47626-2019</t>
        </is>
      </c>
      <c r="B2164" s="1" t="n">
        <v>43724</v>
      </c>
      <c r="C2164" s="1" t="n">
        <v>45715</v>
      </c>
      <c r="D2164" t="inlineStr">
        <is>
          <t>KALMAR LÄN</t>
        </is>
      </c>
      <c r="E2164" t="inlineStr">
        <is>
          <t>HULTSFRED</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47508-2019</t>
        </is>
      </c>
      <c r="B2165" s="1" t="n">
        <v>43724</v>
      </c>
      <c r="C2165" s="1" t="n">
        <v>45715</v>
      </c>
      <c r="D2165" t="inlineStr">
        <is>
          <t>KALMAR LÄN</t>
        </is>
      </c>
      <c r="E2165" t="inlineStr">
        <is>
          <t>HÖGSBY</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47603-2019</t>
        </is>
      </c>
      <c r="B2166" s="1" t="n">
        <v>43724</v>
      </c>
      <c r="C2166" s="1" t="n">
        <v>45715</v>
      </c>
      <c r="D2166" t="inlineStr">
        <is>
          <t>KALMAR LÄN</t>
        </is>
      </c>
      <c r="E2166" t="inlineStr">
        <is>
          <t>HULTSFRED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47717-2019</t>
        </is>
      </c>
      <c r="B2167" s="1" t="n">
        <v>43724</v>
      </c>
      <c r="C2167" s="1" t="n">
        <v>45715</v>
      </c>
      <c r="D2167" t="inlineStr">
        <is>
          <t>KALMAR LÄN</t>
        </is>
      </c>
      <c r="E2167" t="inlineStr">
        <is>
          <t>KALMAR</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47610-2019</t>
        </is>
      </c>
      <c r="B2168" s="1" t="n">
        <v>43724</v>
      </c>
      <c r="C2168" s="1" t="n">
        <v>45715</v>
      </c>
      <c r="D2168" t="inlineStr">
        <is>
          <t>KALMAR LÄN</t>
        </is>
      </c>
      <c r="E2168" t="inlineStr">
        <is>
          <t>EMMABODA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47659-2019</t>
        </is>
      </c>
      <c r="B2169" s="1" t="n">
        <v>43724</v>
      </c>
      <c r="C2169" s="1" t="n">
        <v>45715</v>
      </c>
      <c r="D2169" t="inlineStr">
        <is>
          <t>KALMAR LÄN</t>
        </is>
      </c>
      <c r="E2169" t="inlineStr">
        <is>
          <t>MÖNSTERÅS</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47592-2019</t>
        </is>
      </c>
      <c r="B2170" s="1" t="n">
        <v>43724</v>
      </c>
      <c r="C2170" s="1" t="n">
        <v>45715</v>
      </c>
      <c r="D2170" t="inlineStr">
        <is>
          <t>KALMAR LÄN</t>
        </is>
      </c>
      <c r="E2170" t="inlineStr">
        <is>
          <t>HULTSFRED</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47897-2019</t>
        </is>
      </c>
      <c r="B2171" s="1" t="n">
        <v>43725</v>
      </c>
      <c r="C2171" s="1" t="n">
        <v>45715</v>
      </c>
      <c r="D2171" t="inlineStr">
        <is>
          <t>KALMAR LÄN</t>
        </is>
      </c>
      <c r="E2171" t="inlineStr">
        <is>
          <t>MÖRBYLÅNGA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47956-2019</t>
        </is>
      </c>
      <c r="B2172" s="1" t="n">
        <v>43725</v>
      </c>
      <c r="C2172" s="1" t="n">
        <v>45715</v>
      </c>
      <c r="D2172" t="inlineStr">
        <is>
          <t>KALMAR LÄN</t>
        </is>
      </c>
      <c r="E2172" t="inlineStr">
        <is>
          <t>VÄSTERVIK</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47870-2019</t>
        </is>
      </c>
      <c r="B2173" s="1" t="n">
        <v>43725</v>
      </c>
      <c r="C2173" s="1" t="n">
        <v>45715</v>
      </c>
      <c r="D2173" t="inlineStr">
        <is>
          <t>KALMAR LÄN</t>
        </is>
      </c>
      <c r="E2173" t="inlineStr">
        <is>
          <t>MÖRBYLÅNGA</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47954-2019</t>
        </is>
      </c>
      <c r="B2174" s="1" t="n">
        <v>43725</v>
      </c>
      <c r="C2174" s="1" t="n">
        <v>45715</v>
      </c>
      <c r="D2174" t="inlineStr">
        <is>
          <t>KALMAR LÄN</t>
        </is>
      </c>
      <c r="E2174" t="inlineStr">
        <is>
          <t>VÄSTERVIK</t>
        </is>
      </c>
      <c r="G2174" t="n">
        <v>6.8</v>
      </c>
      <c r="H2174" t="n">
        <v>0</v>
      </c>
      <c r="I2174" t="n">
        <v>0</v>
      </c>
      <c r="J2174" t="n">
        <v>0</v>
      </c>
      <c r="K2174" t="n">
        <v>0</v>
      </c>
      <c r="L2174" t="n">
        <v>0</v>
      </c>
      <c r="M2174" t="n">
        <v>0</v>
      </c>
      <c r="N2174" t="n">
        <v>0</v>
      </c>
      <c r="O2174" t="n">
        <v>0</v>
      </c>
      <c r="P2174" t="n">
        <v>0</v>
      </c>
      <c r="Q2174" t="n">
        <v>0</v>
      </c>
      <c r="R2174" s="2" t="inlineStr"/>
    </row>
    <row r="2175" ht="15" customHeight="1">
      <c r="A2175" t="inlineStr">
        <is>
          <t>A 48068-2019</t>
        </is>
      </c>
      <c r="B2175" s="1" t="n">
        <v>43725</v>
      </c>
      <c r="C2175" s="1" t="n">
        <v>45715</v>
      </c>
      <c r="D2175" t="inlineStr">
        <is>
          <t>KALMAR LÄN</t>
        </is>
      </c>
      <c r="E2175" t="inlineStr">
        <is>
          <t>NYBRO</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48102-2019</t>
        </is>
      </c>
      <c r="B2176" s="1" t="n">
        <v>43725</v>
      </c>
      <c r="C2176" s="1" t="n">
        <v>45715</v>
      </c>
      <c r="D2176" t="inlineStr">
        <is>
          <t>KALMAR LÄN</t>
        </is>
      </c>
      <c r="E2176" t="inlineStr">
        <is>
          <t>HÖGSBY</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48029-2019</t>
        </is>
      </c>
      <c r="B2177" s="1" t="n">
        <v>43725</v>
      </c>
      <c r="C2177" s="1" t="n">
        <v>45715</v>
      </c>
      <c r="D2177" t="inlineStr">
        <is>
          <t>KALMAR LÄN</t>
        </is>
      </c>
      <c r="E2177" t="inlineStr">
        <is>
          <t>VIMMERBY</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48101-2019</t>
        </is>
      </c>
      <c r="B2178" s="1" t="n">
        <v>43725</v>
      </c>
      <c r="C2178" s="1" t="n">
        <v>45715</v>
      </c>
      <c r="D2178" t="inlineStr">
        <is>
          <t>KALMAR LÄN</t>
        </is>
      </c>
      <c r="E2178" t="inlineStr">
        <is>
          <t>HÖGSBY</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48051-2019</t>
        </is>
      </c>
      <c r="B2179" s="1" t="n">
        <v>43725</v>
      </c>
      <c r="C2179" s="1" t="n">
        <v>45715</v>
      </c>
      <c r="D2179" t="inlineStr">
        <is>
          <t>KALMAR LÄN</t>
        </is>
      </c>
      <c r="E2179" t="inlineStr">
        <is>
          <t>VIMMERBY</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48172-2019</t>
        </is>
      </c>
      <c r="B2180" s="1" t="n">
        <v>43726</v>
      </c>
      <c r="C2180" s="1" t="n">
        <v>45715</v>
      </c>
      <c r="D2180" t="inlineStr">
        <is>
          <t>KALMAR LÄN</t>
        </is>
      </c>
      <c r="E2180" t="inlineStr">
        <is>
          <t>HÖGSBY</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48357-2019</t>
        </is>
      </c>
      <c r="B2181" s="1" t="n">
        <v>43726</v>
      </c>
      <c r="C2181" s="1" t="n">
        <v>45715</v>
      </c>
      <c r="D2181" t="inlineStr">
        <is>
          <t>KALMAR LÄN</t>
        </is>
      </c>
      <c r="E2181" t="inlineStr">
        <is>
          <t>VÄSTERVIK</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48367-2019</t>
        </is>
      </c>
      <c r="B2182" s="1" t="n">
        <v>43726</v>
      </c>
      <c r="C2182" s="1" t="n">
        <v>45715</v>
      </c>
      <c r="D2182" t="inlineStr">
        <is>
          <t>KALMAR LÄN</t>
        </is>
      </c>
      <c r="E2182" t="inlineStr">
        <is>
          <t>OSKARSHAMN</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48256-2019</t>
        </is>
      </c>
      <c r="B2183" s="1" t="n">
        <v>43726</v>
      </c>
      <c r="C2183" s="1" t="n">
        <v>45715</v>
      </c>
      <c r="D2183" t="inlineStr">
        <is>
          <t>KALMAR LÄN</t>
        </is>
      </c>
      <c r="E2183" t="inlineStr">
        <is>
          <t>KALMAR</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48164-2019</t>
        </is>
      </c>
      <c r="B2184" s="1" t="n">
        <v>43726</v>
      </c>
      <c r="C2184" s="1" t="n">
        <v>45715</v>
      </c>
      <c r="D2184" t="inlineStr">
        <is>
          <t>KALMAR LÄN</t>
        </is>
      </c>
      <c r="E2184" t="inlineStr">
        <is>
          <t>VIMMERBY</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48353-2019</t>
        </is>
      </c>
      <c r="B2185" s="1" t="n">
        <v>43726</v>
      </c>
      <c r="C2185" s="1" t="n">
        <v>45715</v>
      </c>
      <c r="D2185" t="inlineStr">
        <is>
          <t>KALMAR LÄN</t>
        </is>
      </c>
      <c r="E2185" t="inlineStr">
        <is>
          <t>HULTSFRED</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48381-2019</t>
        </is>
      </c>
      <c r="B2186" s="1" t="n">
        <v>43726</v>
      </c>
      <c r="C2186" s="1" t="n">
        <v>45715</v>
      </c>
      <c r="D2186" t="inlineStr">
        <is>
          <t>KALMAR LÄN</t>
        </is>
      </c>
      <c r="E2186" t="inlineStr">
        <is>
          <t>VIMMERBY</t>
        </is>
      </c>
      <c r="F2186" t="inlineStr">
        <is>
          <t>Sveaskog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48290-2019</t>
        </is>
      </c>
      <c r="B2187" s="1" t="n">
        <v>43726</v>
      </c>
      <c r="C2187" s="1" t="n">
        <v>45715</v>
      </c>
      <c r="D2187" t="inlineStr">
        <is>
          <t>KALMAR LÄN</t>
        </is>
      </c>
      <c r="E2187" t="inlineStr">
        <is>
          <t>TORSÅS</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48163-2019</t>
        </is>
      </c>
      <c r="B2188" s="1" t="n">
        <v>43726</v>
      </c>
      <c r="C2188" s="1" t="n">
        <v>45715</v>
      </c>
      <c r="D2188" t="inlineStr">
        <is>
          <t>KALMAR LÄN</t>
        </is>
      </c>
      <c r="E2188" t="inlineStr">
        <is>
          <t>OSKARSHAMN</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48333-2019</t>
        </is>
      </c>
      <c r="B2189" s="1" t="n">
        <v>43726</v>
      </c>
      <c r="C2189" s="1" t="n">
        <v>45715</v>
      </c>
      <c r="D2189" t="inlineStr">
        <is>
          <t>KALMAR LÄN</t>
        </is>
      </c>
      <c r="E2189" t="inlineStr">
        <is>
          <t>HULTSFRED</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48380-2019</t>
        </is>
      </c>
      <c r="B2190" s="1" t="n">
        <v>43726</v>
      </c>
      <c r="C2190" s="1" t="n">
        <v>45715</v>
      </c>
      <c r="D2190" t="inlineStr">
        <is>
          <t>KALMAR LÄN</t>
        </is>
      </c>
      <c r="E2190" t="inlineStr">
        <is>
          <t>VIMMERBY</t>
        </is>
      </c>
      <c r="F2190" t="inlineStr">
        <is>
          <t>Sveaskog</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48600-2019</t>
        </is>
      </c>
      <c r="B2191" s="1" t="n">
        <v>43727</v>
      </c>
      <c r="C2191" s="1" t="n">
        <v>45715</v>
      </c>
      <c r="D2191" t="inlineStr">
        <is>
          <t>KALMAR LÄN</t>
        </is>
      </c>
      <c r="E2191" t="inlineStr">
        <is>
          <t>HÖGSBY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48634-2019</t>
        </is>
      </c>
      <c r="B2192" s="1" t="n">
        <v>43727</v>
      </c>
      <c r="C2192" s="1" t="n">
        <v>45715</v>
      </c>
      <c r="D2192" t="inlineStr">
        <is>
          <t>KALMAR LÄN</t>
        </is>
      </c>
      <c r="E2192" t="inlineStr">
        <is>
          <t>KALMAR</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48750-2019</t>
        </is>
      </c>
      <c r="B2193" s="1" t="n">
        <v>43727</v>
      </c>
      <c r="C2193" s="1" t="n">
        <v>45715</v>
      </c>
      <c r="D2193" t="inlineStr">
        <is>
          <t>KALMAR LÄN</t>
        </is>
      </c>
      <c r="E2193" t="inlineStr">
        <is>
          <t>NYBRO</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48818-2019</t>
        </is>
      </c>
      <c r="B2194" s="1" t="n">
        <v>43727</v>
      </c>
      <c r="C2194" s="1" t="n">
        <v>45715</v>
      </c>
      <c r="D2194" t="inlineStr">
        <is>
          <t>KALMAR LÄN</t>
        </is>
      </c>
      <c r="E2194" t="inlineStr">
        <is>
          <t>KALMAR</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48754-2019</t>
        </is>
      </c>
      <c r="B2195" s="1" t="n">
        <v>43727</v>
      </c>
      <c r="C2195" s="1" t="n">
        <v>45715</v>
      </c>
      <c r="D2195" t="inlineStr">
        <is>
          <t>KALMAR LÄN</t>
        </is>
      </c>
      <c r="E2195" t="inlineStr">
        <is>
          <t>KALMAR</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48644-2019</t>
        </is>
      </c>
      <c r="B2196" s="1" t="n">
        <v>43728</v>
      </c>
      <c r="C2196" s="1" t="n">
        <v>45715</v>
      </c>
      <c r="D2196" t="inlineStr">
        <is>
          <t>KALMAR LÄN</t>
        </is>
      </c>
      <c r="E2196" t="inlineStr">
        <is>
          <t>HULTSFRED</t>
        </is>
      </c>
      <c r="F2196" t="inlineStr">
        <is>
          <t>Sveaskog</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48648-2019</t>
        </is>
      </c>
      <c r="B2197" s="1" t="n">
        <v>43728</v>
      </c>
      <c r="C2197" s="1" t="n">
        <v>45715</v>
      </c>
      <c r="D2197" t="inlineStr">
        <is>
          <t>KALMAR LÄN</t>
        </is>
      </c>
      <c r="E2197" t="inlineStr">
        <is>
          <t>TORSÅS</t>
        </is>
      </c>
      <c r="G2197" t="n">
        <v>12.2</v>
      </c>
      <c r="H2197" t="n">
        <v>0</v>
      </c>
      <c r="I2197" t="n">
        <v>0</v>
      </c>
      <c r="J2197" t="n">
        <v>0</v>
      </c>
      <c r="K2197" t="n">
        <v>0</v>
      </c>
      <c r="L2197" t="n">
        <v>0</v>
      </c>
      <c r="M2197" t="n">
        <v>0</v>
      </c>
      <c r="N2197" t="n">
        <v>0</v>
      </c>
      <c r="O2197" t="n">
        <v>0</v>
      </c>
      <c r="P2197" t="n">
        <v>0</v>
      </c>
      <c r="Q2197" t="n">
        <v>0</v>
      </c>
      <c r="R2197" s="2" t="inlineStr"/>
    </row>
    <row r="2198" ht="15" customHeight="1">
      <c r="A2198" t="inlineStr">
        <is>
          <t>A 48646-2019</t>
        </is>
      </c>
      <c r="B2198" s="1" t="n">
        <v>43728</v>
      </c>
      <c r="C2198" s="1" t="n">
        <v>45715</v>
      </c>
      <c r="D2198" t="inlineStr">
        <is>
          <t>KALMAR LÄN</t>
        </is>
      </c>
      <c r="E2198" t="inlineStr">
        <is>
          <t>KALMAR</t>
        </is>
      </c>
      <c r="G2198" t="n">
        <v>11.5</v>
      </c>
      <c r="H2198" t="n">
        <v>0</v>
      </c>
      <c r="I2198" t="n">
        <v>0</v>
      </c>
      <c r="J2198" t="n">
        <v>0</v>
      </c>
      <c r="K2198" t="n">
        <v>0</v>
      </c>
      <c r="L2198" t="n">
        <v>0</v>
      </c>
      <c r="M2198" t="n">
        <v>0</v>
      </c>
      <c r="N2198" t="n">
        <v>0</v>
      </c>
      <c r="O2198" t="n">
        <v>0</v>
      </c>
      <c r="P2198" t="n">
        <v>0</v>
      </c>
      <c r="Q2198" t="n">
        <v>0</v>
      </c>
      <c r="R2198" s="2" t="inlineStr"/>
    </row>
    <row r="2199" ht="15" customHeight="1">
      <c r="A2199" t="inlineStr">
        <is>
          <t>A 48645-2019</t>
        </is>
      </c>
      <c r="B2199" s="1" t="n">
        <v>43728</v>
      </c>
      <c r="C2199" s="1" t="n">
        <v>45715</v>
      </c>
      <c r="D2199" t="inlineStr">
        <is>
          <t>KALMAR LÄN</t>
        </is>
      </c>
      <c r="E2199" t="inlineStr">
        <is>
          <t>KALMAR</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48834-2019</t>
        </is>
      </c>
      <c r="B2200" s="1" t="n">
        <v>43728</v>
      </c>
      <c r="C2200" s="1" t="n">
        <v>45715</v>
      </c>
      <c r="D2200" t="inlineStr">
        <is>
          <t>KALMAR LÄN</t>
        </is>
      </c>
      <c r="E2200" t="inlineStr">
        <is>
          <t>VIMMERBY</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48921-2019</t>
        </is>
      </c>
      <c r="B2201" s="1" t="n">
        <v>43728</v>
      </c>
      <c r="C2201" s="1" t="n">
        <v>45715</v>
      </c>
      <c r="D2201" t="inlineStr">
        <is>
          <t>KALMAR LÄN</t>
        </is>
      </c>
      <c r="E2201" t="inlineStr">
        <is>
          <t>VIMMERBY</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48982-2019</t>
        </is>
      </c>
      <c r="B2202" s="1" t="n">
        <v>43729</v>
      </c>
      <c r="C2202" s="1" t="n">
        <v>45715</v>
      </c>
      <c r="D2202" t="inlineStr">
        <is>
          <t>KALMAR LÄN</t>
        </is>
      </c>
      <c r="E2202" t="inlineStr">
        <is>
          <t>VÄSTERVIK</t>
        </is>
      </c>
      <c r="F2202" t="inlineStr">
        <is>
          <t>Sveaskog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48981-2019</t>
        </is>
      </c>
      <c r="B2203" s="1" t="n">
        <v>43729</v>
      </c>
      <c r="C2203" s="1" t="n">
        <v>45715</v>
      </c>
      <c r="D2203" t="inlineStr">
        <is>
          <t>KALMAR LÄN</t>
        </is>
      </c>
      <c r="E2203" t="inlineStr">
        <is>
          <t>VÄSTERVIK</t>
        </is>
      </c>
      <c r="F2203" t="inlineStr">
        <is>
          <t>Sveaskog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48983-2019</t>
        </is>
      </c>
      <c r="B2204" s="1" t="n">
        <v>43729</v>
      </c>
      <c r="C2204" s="1" t="n">
        <v>45715</v>
      </c>
      <c r="D2204" t="inlineStr">
        <is>
          <t>KALMAR LÄN</t>
        </is>
      </c>
      <c r="E2204" t="inlineStr">
        <is>
          <t>VÄSTERVIK</t>
        </is>
      </c>
      <c r="F2204" t="inlineStr">
        <is>
          <t>Sveaskog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49326-2019</t>
        </is>
      </c>
      <c r="B2205" s="1" t="n">
        <v>43730</v>
      </c>
      <c r="C2205" s="1" t="n">
        <v>45715</v>
      </c>
      <c r="D2205" t="inlineStr">
        <is>
          <t>KALMAR LÄN</t>
        </is>
      </c>
      <c r="E2205" t="inlineStr">
        <is>
          <t>HÖGSBY</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49317-2019</t>
        </is>
      </c>
      <c r="B2206" s="1" t="n">
        <v>43730</v>
      </c>
      <c r="C2206" s="1" t="n">
        <v>45715</v>
      </c>
      <c r="D2206" t="inlineStr">
        <is>
          <t>KALMAR LÄN</t>
        </is>
      </c>
      <c r="E2206" t="inlineStr">
        <is>
          <t>HÖGSBY</t>
        </is>
      </c>
      <c r="G2206" t="n">
        <v>12.5</v>
      </c>
      <c r="H2206" t="n">
        <v>0</v>
      </c>
      <c r="I2206" t="n">
        <v>0</v>
      </c>
      <c r="J2206" t="n">
        <v>0</v>
      </c>
      <c r="K2206" t="n">
        <v>0</v>
      </c>
      <c r="L2206" t="n">
        <v>0</v>
      </c>
      <c r="M2206" t="n">
        <v>0</v>
      </c>
      <c r="N2206" t="n">
        <v>0</v>
      </c>
      <c r="O2206" t="n">
        <v>0</v>
      </c>
      <c r="P2206" t="n">
        <v>0</v>
      </c>
      <c r="Q2206" t="n">
        <v>0</v>
      </c>
      <c r="R2206" s="2" t="inlineStr"/>
    </row>
    <row r="2207" ht="15" customHeight="1">
      <c r="A2207" t="inlineStr">
        <is>
          <t>A 49212-2019</t>
        </is>
      </c>
      <c r="B2207" s="1" t="n">
        <v>43731</v>
      </c>
      <c r="C2207" s="1" t="n">
        <v>45715</v>
      </c>
      <c r="D2207" t="inlineStr">
        <is>
          <t>KALMAR LÄN</t>
        </is>
      </c>
      <c r="E2207" t="inlineStr">
        <is>
          <t>VIMMERBY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49124-2019</t>
        </is>
      </c>
      <c r="B2208" s="1" t="n">
        <v>43731</v>
      </c>
      <c r="C2208" s="1" t="n">
        <v>45715</v>
      </c>
      <c r="D2208" t="inlineStr">
        <is>
          <t>KALMAR LÄN</t>
        </is>
      </c>
      <c r="E2208" t="inlineStr">
        <is>
          <t>MÖNSTERÅS</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49208-2019</t>
        </is>
      </c>
      <c r="B2209" s="1" t="n">
        <v>43731</v>
      </c>
      <c r="C2209" s="1" t="n">
        <v>45715</v>
      </c>
      <c r="D2209" t="inlineStr">
        <is>
          <t>KALMAR LÄN</t>
        </is>
      </c>
      <c r="E2209" t="inlineStr">
        <is>
          <t>VIMMERBY</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49206-2019</t>
        </is>
      </c>
      <c r="B2210" s="1" t="n">
        <v>43731</v>
      </c>
      <c r="C2210" s="1" t="n">
        <v>45715</v>
      </c>
      <c r="D2210" t="inlineStr">
        <is>
          <t>KALMAR LÄN</t>
        </is>
      </c>
      <c r="E2210" t="inlineStr">
        <is>
          <t>VIMMERBY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49325-2019</t>
        </is>
      </c>
      <c r="B2211" s="1" t="n">
        <v>43731</v>
      </c>
      <c r="C2211" s="1" t="n">
        <v>45715</v>
      </c>
      <c r="D2211" t="inlineStr">
        <is>
          <t>KALMAR LÄN</t>
        </is>
      </c>
      <c r="E2211" t="inlineStr">
        <is>
          <t>HÖGSBY</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49389-2019</t>
        </is>
      </c>
      <c r="B2212" s="1" t="n">
        <v>43732</v>
      </c>
      <c r="C2212" s="1" t="n">
        <v>45715</v>
      </c>
      <c r="D2212" t="inlineStr">
        <is>
          <t>KALMAR LÄN</t>
        </is>
      </c>
      <c r="E2212" t="inlineStr">
        <is>
          <t>NYBRO</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49428-2019</t>
        </is>
      </c>
      <c r="B2213" s="1" t="n">
        <v>43732</v>
      </c>
      <c r="C2213" s="1" t="n">
        <v>45715</v>
      </c>
      <c r="D2213" t="inlineStr">
        <is>
          <t>KALMAR LÄN</t>
        </is>
      </c>
      <c r="E2213" t="inlineStr">
        <is>
          <t>HULTSFRED</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49664-2019</t>
        </is>
      </c>
      <c r="B2214" s="1" t="n">
        <v>43732</v>
      </c>
      <c r="C2214" s="1" t="n">
        <v>45715</v>
      </c>
      <c r="D2214" t="inlineStr">
        <is>
          <t>KALMAR LÄN</t>
        </is>
      </c>
      <c r="E2214" t="inlineStr">
        <is>
          <t>TORSÅS</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51133-2019</t>
        </is>
      </c>
      <c r="B2215" s="1" t="n">
        <v>43732</v>
      </c>
      <c r="C2215" s="1" t="n">
        <v>45715</v>
      </c>
      <c r="D2215" t="inlineStr">
        <is>
          <t>KALMAR LÄN</t>
        </is>
      </c>
      <c r="E2215" t="inlineStr">
        <is>
          <t>KALMAR</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49669-2019</t>
        </is>
      </c>
      <c r="B2216" s="1" t="n">
        <v>43732</v>
      </c>
      <c r="C2216" s="1" t="n">
        <v>45715</v>
      </c>
      <c r="D2216" t="inlineStr">
        <is>
          <t>KALMAR LÄN</t>
        </is>
      </c>
      <c r="E2216" t="inlineStr">
        <is>
          <t>TORSÅS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49663-2019</t>
        </is>
      </c>
      <c r="B2217" s="1" t="n">
        <v>43732</v>
      </c>
      <c r="C2217" s="1" t="n">
        <v>45715</v>
      </c>
      <c r="D2217" t="inlineStr">
        <is>
          <t>KALMAR LÄN</t>
        </is>
      </c>
      <c r="E2217" t="inlineStr">
        <is>
          <t>TORSÅS</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51085-2019</t>
        </is>
      </c>
      <c r="B2218" s="1" t="n">
        <v>43732</v>
      </c>
      <c r="C2218" s="1" t="n">
        <v>45715</v>
      </c>
      <c r="D2218" t="inlineStr">
        <is>
          <t>KALMAR LÄN</t>
        </is>
      </c>
      <c r="E2218" t="inlineStr">
        <is>
          <t>EMMABODA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49575-2019</t>
        </is>
      </c>
      <c r="B2219" s="1" t="n">
        <v>43732</v>
      </c>
      <c r="C2219" s="1" t="n">
        <v>45715</v>
      </c>
      <c r="D2219" t="inlineStr">
        <is>
          <t>KALMAR LÄN</t>
        </is>
      </c>
      <c r="E2219" t="inlineStr">
        <is>
          <t>NYBRO</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51096-2019</t>
        </is>
      </c>
      <c r="B2220" s="1" t="n">
        <v>43732</v>
      </c>
      <c r="C2220" s="1" t="n">
        <v>45715</v>
      </c>
      <c r="D2220" t="inlineStr">
        <is>
          <t>KALMAR LÄN</t>
        </is>
      </c>
      <c r="E2220" t="inlineStr">
        <is>
          <t>OSKARSHAMN</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49666-2019</t>
        </is>
      </c>
      <c r="B2221" s="1" t="n">
        <v>43732</v>
      </c>
      <c r="C2221" s="1" t="n">
        <v>45715</v>
      </c>
      <c r="D2221" t="inlineStr">
        <is>
          <t>KALMAR LÄN</t>
        </is>
      </c>
      <c r="E2221" t="inlineStr">
        <is>
          <t>TORSÅS</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49741-2019</t>
        </is>
      </c>
      <c r="B2222" s="1" t="n">
        <v>43733</v>
      </c>
      <c r="C2222" s="1" t="n">
        <v>45715</v>
      </c>
      <c r="D2222" t="inlineStr">
        <is>
          <t>KALMAR LÄN</t>
        </is>
      </c>
      <c r="E2222" t="inlineStr">
        <is>
          <t>VIMMERBY</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49760-2019</t>
        </is>
      </c>
      <c r="B2223" s="1" t="n">
        <v>43733</v>
      </c>
      <c r="C2223" s="1" t="n">
        <v>45715</v>
      </c>
      <c r="D2223" t="inlineStr">
        <is>
          <t>KALMAR LÄN</t>
        </is>
      </c>
      <c r="E2223" t="inlineStr">
        <is>
          <t>VIMMERBY</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49810-2019</t>
        </is>
      </c>
      <c r="B2224" s="1" t="n">
        <v>43733</v>
      </c>
      <c r="C2224" s="1" t="n">
        <v>45715</v>
      </c>
      <c r="D2224" t="inlineStr">
        <is>
          <t>KALMAR LÄN</t>
        </is>
      </c>
      <c r="E2224" t="inlineStr">
        <is>
          <t>TORSÅS</t>
        </is>
      </c>
      <c r="G2224" t="n">
        <v>23.7</v>
      </c>
      <c r="H2224" t="n">
        <v>0</v>
      </c>
      <c r="I2224" t="n">
        <v>0</v>
      </c>
      <c r="J2224" t="n">
        <v>0</v>
      </c>
      <c r="K2224" t="n">
        <v>0</v>
      </c>
      <c r="L2224" t="n">
        <v>0</v>
      </c>
      <c r="M2224" t="n">
        <v>0</v>
      </c>
      <c r="N2224" t="n">
        <v>0</v>
      </c>
      <c r="O2224" t="n">
        <v>0</v>
      </c>
      <c r="P2224" t="n">
        <v>0</v>
      </c>
      <c r="Q2224" t="n">
        <v>0</v>
      </c>
      <c r="R2224" s="2" t="inlineStr"/>
    </row>
    <row r="2225" ht="15" customHeight="1">
      <c r="A2225" t="inlineStr">
        <is>
          <t>A 49747-2019</t>
        </is>
      </c>
      <c r="B2225" s="1" t="n">
        <v>43733</v>
      </c>
      <c r="C2225" s="1" t="n">
        <v>45715</v>
      </c>
      <c r="D2225" t="inlineStr">
        <is>
          <t>KALMAR LÄN</t>
        </is>
      </c>
      <c r="E2225" t="inlineStr">
        <is>
          <t>VIMMERBY</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49855-2019</t>
        </is>
      </c>
      <c r="B2226" s="1" t="n">
        <v>43733</v>
      </c>
      <c r="C2226" s="1" t="n">
        <v>45715</v>
      </c>
      <c r="D2226" t="inlineStr">
        <is>
          <t>KALMAR LÄN</t>
        </is>
      </c>
      <c r="E2226" t="inlineStr">
        <is>
          <t>VIMMERBY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49883-2019</t>
        </is>
      </c>
      <c r="B2227" s="1" t="n">
        <v>43733</v>
      </c>
      <c r="C2227" s="1" t="n">
        <v>45715</v>
      </c>
      <c r="D2227" t="inlineStr">
        <is>
          <t>KALMAR LÄN</t>
        </is>
      </c>
      <c r="E2227" t="inlineStr">
        <is>
          <t>NYBRO</t>
        </is>
      </c>
      <c r="G2227" t="n">
        <v>24.8</v>
      </c>
      <c r="H2227" t="n">
        <v>0</v>
      </c>
      <c r="I2227" t="n">
        <v>0</v>
      </c>
      <c r="J2227" t="n">
        <v>0</v>
      </c>
      <c r="K2227" t="n">
        <v>0</v>
      </c>
      <c r="L2227" t="n">
        <v>0</v>
      </c>
      <c r="M2227" t="n">
        <v>0</v>
      </c>
      <c r="N2227" t="n">
        <v>0</v>
      </c>
      <c r="O2227" t="n">
        <v>0</v>
      </c>
      <c r="P2227" t="n">
        <v>0</v>
      </c>
      <c r="Q2227" t="n">
        <v>0</v>
      </c>
      <c r="R2227" s="2" t="inlineStr"/>
    </row>
    <row r="2228" ht="15" customHeight="1">
      <c r="A2228" t="inlineStr">
        <is>
          <t>A 49894-2019</t>
        </is>
      </c>
      <c r="B2228" s="1" t="n">
        <v>43733</v>
      </c>
      <c r="C2228" s="1" t="n">
        <v>45715</v>
      </c>
      <c r="D2228" t="inlineStr">
        <is>
          <t>KALMAR LÄN</t>
        </is>
      </c>
      <c r="E2228" t="inlineStr">
        <is>
          <t>HULTSFRED</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49871-2019</t>
        </is>
      </c>
      <c r="B2229" s="1" t="n">
        <v>43733</v>
      </c>
      <c r="C2229" s="1" t="n">
        <v>45715</v>
      </c>
      <c r="D2229" t="inlineStr">
        <is>
          <t>KALMAR LÄN</t>
        </is>
      </c>
      <c r="E2229" t="inlineStr">
        <is>
          <t>VIMMERBY</t>
        </is>
      </c>
      <c r="F2229" t="inlineStr">
        <is>
          <t>Sveaskog</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49880-2019</t>
        </is>
      </c>
      <c r="B2230" s="1" t="n">
        <v>43733</v>
      </c>
      <c r="C2230" s="1" t="n">
        <v>45715</v>
      </c>
      <c r="D2230" t="inlineStr">
        <is>
          <t>KALMAR LÄN</t>
        </is>
      </c>
      <c r="E2230" t="inlineStr">
        <is>
          <t>VIMMERBY</t>
        </is>
      </c>
      <c r="F2230" t="inlineStr">
        <is>
          <t>Sveaskog</t>
        </is>
      </c>
      <c r="G2230" t="n">
        <v>8.199999999999999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51500-2019</t>
        </is>
      </c>
      <c r="B2231" s="1" t="n">
        <v>43733</v>
      </c>
      <c r="C2231" s="1" t="n">
        <v>45715</v>
      </c>
      <c r="D2231" t="inlineStr">
        <is>
          <t>KALMAR LÄN</t>
        </is>
      </c>
      <c r="E2231" t="inlineStr">
        <is>
          <t>NYBRO</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51486-2019</t>
        </is>
      </c>
      <c r="B2232" s="1" t="n">
        <v>43733</v>
      </c>
      <c r="C2232" s="1" t="n">
        <v>45715</v>
      </c>
      <c r="D2232" t="inlineStr">
        <is>
          <t>KALMAR LÄN</t>
        </is>
      </c>
      <c r="E2232" t="inlineStr">
        <is>
          <t>KALMAR</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50051-2019</t>
        </is>
      </c>
      <c r="B2233" s="1" t="n">
        <v>43733</v>
      </c>
      <c r="C2233" s="1" t="n">
        <v>45715</v>
      </c>
      <c r="D2233" t="inlineStr">
        <is>
          <t>KALMAR LÄN</t>
        </is>
      </c>
      <c r="E2233" t="inlineStr">
        <is>
          <t>MÖNSTERÅS</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49885-2019</t>
        </is>
      </c>
      <c r="B2234" s="1" t="n">
        <v>43733</v>
      </c>
      <c r="C2234" s="1" t="n">
        <v>45715</v>
      </c>
      <c r="D2234" t="inlineStr">
        <is>
          <t>KALMAR LÄN</t>
        </is>
      </c>
      <c r="E2234" t="inlineStr">
        <is>
          <t>VIMMERBY</t>
        </is>
      </c>
      <c r="F2234" t="inlineStr">
        <is>
          <t>Sveaskog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51498-2019</t>
        </is>
      </c>
      <c r="B2235" s="1" t="n">
        <v>43733</v>
      </c>
      <c r="C2235" s="1" t="n">
        <v>45715</v>
      </c>
      <c r="D2235" t="inlineStr">
        <is>
          <t>KALMAR LÄN</t>
        </is>
      </c>
      <c r="E2235" t="inlineStr">
        <is>
          <t>EMMABODA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49901-2019</t>
        </is>
      </c>
      <c r="B2236" s="1" t="n">
        <v>43733</v>
      </c>
      <c r="C2236" s="1" t="n">
        <v>45715</v>
      </c>
      <c r="D2236" t="inlineStr">
        <is>
          <t>KALMAR LÄN</t>
        </is>
      </c>
      <c r="E2236" t="inlineStr">
        <is>
          <t>VIMMERBY</t>
        </is>
      </c>
      <c r="F2236" t="inlineStr">
        <is>
          <t>Sveaskog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49891-2019</t>
        </is>
      </c>
      <c r="B2237" s="1" t="n">
        <v>43733</v>
      </c>
      <c r="C2237" s="1" t="n">
        <v>45715</v>
      </c>
      <c r="D2237" t="inlineStr">
        <is>
          <t>KALMAR LÄN</t>
        </is>
      </c>
      <c r="E2237" t="inlineStr">
        <is>
          <t>VIMMERBY</t>
        </is>
      </c>
      <c r="F2237" t="inlineStr">
        <is>
          <t>Sveaskog</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49746-2019</t>
        </is>
      </c>
      <c r="B2238" s="1" t="n">
        <v>43733</v>
      </c>
      <c r="C2238" s="1" t="n">
        <v>45715</v>
      </c>
      <c r="D2238" t="inlineStr">
        <is>
          <t>KALMAR LÄN</t>
        </is>
      </c>
      <c r="E2238" t="inlineStr">
        <is>
          <t>NYBRO</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49904-2019</t>
        </is>
      </c>
      <c r="B2239" s="1" t="n">
        <v>43733</v>
      </c>
      <c r="C2239" s="1" t="n">
        <v>45715</v>
      </c>
      <c r="D2239" t="inlineStr">
        <is>
          <t>KALMAR LÄN</t>
        </is>
      </c>
      <c r="E2239" t="inlineStr">
        <is>
          <t>NYBRO</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49695-2019</t>
        </is>
      </c>
      <c r="B2240" s="1" t="n">
        <v>43733</v>
      </c>
      <c r="C2240" s="1" t="n">
        <v>45715</v>
      </c>
      <c r="D2240" t="inlineStr">
        <is>
          <t>KALMAR LÄN</t>
        </is>
      </c>
      <c r="E2240" t="inlineStr">
        <is>
          <t>VIMMERBY</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50086-2019</t>
        </is>
      </c>
      <c r="B2241" s="1" t="n">
        <v>43734</v>
      </c>
      <c r="C2241" s="1" t="n">
        <v>45715</v>
      </c>
      <c r="D2241" t="inlineStr">
        <is>
          <t>KALMAR LÄN</t>
        </is>
      </c>
      <c r="E2241" t="inlineStr">
        <is>
          <t>EMMABODA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50214-2019</t>
        </is>
      </c>
      <c r="B2242" s="1" t="n">
        <v>43734</v>
      </c>
      <c r="C2242" s="1" t="n">
        <v>45715</v>
      </c>
      <c r="D2242" t="inlineStr">
        <is>
          <t>KALMAR LÄN</t>
        </is>
      </c>
      <c r="E2242" t="inlineStr">
        <is>
          <t>VIMMERBY</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50159-2019</t>
        </is>
      </c>
      <c r="B2243" s="1" t="n">
        <v>43734</v>
      </c>
      <c r="C2243" s="1" t="n">
        <v>45715</v>
      </c>
      <c r="D2243" t="inlineStr">
        <is>
          <t>KALMAR LÄN</t>
        </is>
      </c>
      <c r="E2243" t="inlineStr">
        <is>
          <t>NYBRO</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50167-2019</t>
        </is>
      </c>
      <c r="B2244" s="1" t="n">
        <v>43734</v>
      </c>
      <c r="C2244" s="1" t="n">
        <v>45715</v>
      </c>
      <c r="D2244" t="inlineStr">
        <is>
          <t>KALMAR LÄN</t>
        </is>
      </c>
      <c r="E2244" t="inlineStr">
        <is>
          <t>OSKARSHAMN</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50262-2019</t>
        </is>
      </c>
      <c r="B2245" s="1" t="n">
        <v>43734</v>
      </c>
      <c r="C2245" s="1" t="n">
        <v>45715</v>
      </c>
      <c r="D2245" t="inlineStr">
        <is>
          <t>KALMAR LÄN</t>
        </is>
      </c>
      <c r="E2245" t="inlineStr">
        <is>
          <t>TORSÅS</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51986-2019</t>
        </is>
      </c>
      <c r="B2246" s="1" t="n">
        <v>43734</v>
      </c>
      <c r="C2246" s="1" t="n">
        <v>45715</v>
      </c>
      <c r="D2246" t="inlineStr">
        <is>
          <t>KALMAR LÄN</t>
        </is>
      </c>
      <c r="E2246" t="inlineStr">
        <is>
          <t>HULTSFRED</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50113-2019</t>
        </is>
      </c>
      <c r="B2247" s="1" t="n">
        <v>43734</v>
      </c>
      <c r="C2247" s="1" t="n">
        <v>45715</v>
      </c>
      <c r="D2247" t="inlineStr">
        <is>
          <t>KALMAR LÄN</t>
        </is>
      </c>
      <c r="E2247" t="inlineStr">
        <is>
          <t>NYBRO</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50336-2019</t>
        </is>
      </c>
      <c r="B2248" s="1" t="n">
        <v>43735</v>
      </c>
      <c r="C2248" s="1" t="n">
        <v>45715</v>
      </c>
      <c r="D2248" t="inlineStr">
        <is>
          <t>KALMAR LÄN</t>
        </is>
      </c>
      <c r="E2248" t="inlineStr">
        <is>
          <t>MÖNSTERÅS</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50394-2019</t>
        </is>
      </c>
      <c r="B2249" s="1" t="n">
        <v>43735</v>
      </c>
      <c r="C2249" s="1" t="n">
        <v>45715</v>
      </c>
      <c r="D2249" t="inlineStr">
        <is>
          <t>KALMAR LÄN</t>
        </is>
      </c>
      <c r="E2249" t="inlineStr">
        <is>
          <t>EMMABODA</t>
        </is>
      </c>
      <c r="F2249" t="inlineStr">
        <is>
          <t>Kommuner</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50317-2019</t>
        </is>
      </c>
      <c r="B2250" s="1" t="n">
        <v>43735</v>
      </c>
      <c r="C2250" s="1" t="n">
        <v>45715</v>
      </c>
      <c r="D2250" t="inlineStr">
        <is>
          <t>KALMAR LÄN</t>
        </is>
      </c>
      <c r="E2250" t="inlineStr">
        <is>
          <t>VIMMERBY</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50445-2019</t>
        </is>
      </c>
      <c r="B2251" s="1" t="n">
        <v>43735</v>
      </c>
      <c r="C2251" s="1" t="n">
        <v>45715</v>
      </c>
      <c r="D2251" t="inlineStr">
        <is>
          <t>KALMAR LÄN</t>
        </is>
      </c>
      <c r="E2251" t="inlineStr">
        <is>
          <t>HÖGSBY</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50461-2019</t>
        </is>
      </c>
      <c r="B2252" s="1" t="n">
        <v>43735</v>
      </c>
      <c r="C2252" s="1" t="n">
        <v>45715</v>
      </c>
      <c r="D2252" t="inlineStr">
        <is>
          <t>KALMAR LÄN</t>
        </is>
      </c>
      <c r="E2252" t="inlineStr">
        <is>
          <t>VÄSTERVIK</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50794-2019</t>
        </is>
      </c>
      <c r="B2253" s="1" t="n">
        <v>43735</v>
      </c>
      <c r="C2253" s="1" t="n">
        <v>45715</v>
      </c>
      <c r="D2253" t="inlineStr">
        <is>
          <t>KALMAR LÄN</t>
        </is>
      </c>
      <c r="E2253" t="inlineStr">
        <is>
          <t>HÖGSBY</t>
        </is>
      </c>
      <c r="G2253" t="n">
        <v>6.5</v>
      </c>
      <c r="H2253" t="n">
        <v>0</v>
      </c>
      <c r="I2253" t="n">
        <v>0</v>
      </c>
      <c r="J2253" t="n">
        <v>0</v>
      </c>
      <c r="K2253" t="n">
        <v>0</v>
      </c>
      <c r="L2253" t="n">
        <v>0</v>
      </c>
      <c r="M2253" t="n">
        <v>0</v>
      </c>
      <c r="N2253" t="n">
        <v>0</v>
      </c>
      <c r="O2253" t="n">
        <v>0</v>
      </c>
      <c r="P2253" t="n">
        <v>0</v>
      </c>
      <c r="Q2253" t="n">
        <v>0</v>
      </c>
      <c r="R2253" s="2" t="inlineStr"/>
    </row>
    <row r="2254" ht="15" customHeight="1">
      <c r="A2254" t="inlineStr">
        <is>
          <t>A 52154-2019</t>
        </is>
      </c>
      <c r="B2254" s="1" t="n">
        <v>43735</v>
      </c>
      <c r="C2254" s="1" t="n">
        <v>45715</v>
      </c>
      <c r="D2254" t="inlineStr">
        <is>
          <t>KALMAR LÄN</t>
        </is>
      </c>
      <c r="E2254" t="inlineStr">
        <is>
          <t>NYBRO</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50627-2019</t>
        </is>
      </c>
      <c r="B2255" s="1" t="n">
        <v>43736</v>
      </c>
      <c r="C2255" s="1" t="n">
        <v>45715</v>
      </c>
      <c r="D2255" t="inlineStr">
        <is>
          <t>KALMAR LÄN</t>
        </is>
      </c>
      <c r="E2255" t="inlineStr">
        <is>
          <t>VÄSTERVIK</t>
        </is>
      </c>
      <c r="F2255" t="inlineStr">
        <is>
          <t>Sveaskog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50626-2019</t>
        </is>
      </c>
      <c r="B2256" s="1" t="n">
        <v>43736</v>
      </c>
      <c r="C2256" s="1" t="n">
        <v>45715</v>
      </c>
      <c r="D2256" t="inlineStr">
        <is>
          <t>KALMAR LÄN</t>
        </is>
      </c>
      <c r="E2256" t="inlineStr">
        <is>
          <t>VÄSTERVIK</t>
        </is>
      </c>
      <c r="F2256" t="inlineStr">
        <is>
          <t>Sveaskog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50629-2019</t>
        </is>
      </c>
      <c r="B2257" s="1" t="n">
        <v>43737</v>
      </c>
      <c r="C2257" s="1" t="n">
        <v>45715</v>
      </c>
      <c r="D2257" t="inlineStr">
        <is>
          <t>KALMAR LÄN</t>
        </is>
      </c>
      <c r="E2257" t="inlineStr">
        <is>
          <t>OSKARSHAMN</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50764-2019</t>
        </is>
      </c>
      <c r="B2258" s="1" t="n">
        <v>43738</v>
      </c>
      <c r="C2258" s="1" t="n">
        <v>45715</v>
      </c>
      <c r="D2258" t="inlineStr">
        <is>
          <t>KALMAR LÄN</t>
        </is>
      </c>
      <c r="E2258" t="inlineStr">
        <is>
          <t>HÖGSBY</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50774-2019</t>
        </is>
      </c>
      <c r="B2259" s="1" t="n">
        <v>43738</v>
      </c>
      <c r="C2259" s="1" t="n">
        <v>45715</v>
      </c>
      <c r="D2259" t="inlineStr">
        <is>
          <t>KALMAR LÄN</t>
        </is>
      </c>
      <c r="E2259" t="inlineStr">
        <is>
          <t>HÖGSBY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50940-2019</t>
        </is>
      </c>
      <c r="B2260" s="1" t="n">
        <v>43738</v>
      </c>
      <c r="C2260" s="1" t="n">
        <v>45715</v>
      </c>
      <c r="D2260" t="inlineStr">
        <is>
          <t>KALMAR LÄN</t>
        </is>
      </c>
      <c r="E2260" t="inlineStr">
        <is>
          <t>EMMABODA</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50961-2019</t>
        </is>
      </c>
      <c r="B2261" s="1" t="n">
        <v>43738</v>
      </c>
      <c r="C2261" s="1" t="n">
        <v>45715</v>
      </c>
      <c r="D2261" t="inlineStr">
        <is>
          <t>KALMAR LÄN</t>
        </is>
      </c>
      <c r="E2261" t="inlineStr">
        <is>
          <t>TORSÅS</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50956-2019</t>
        </is>
      </c>
      <c r="B2262" s="1" t="n">
        <v>43738</v>
      </c>
      <c r="C2262" s="1" t="n">
        <v>45715</v>
      </c>
      <c r="D2262" t="inlineStr">
        <is>
          <t>KALMAR LÄN</t>
        </is>
      </c>
      <c r="E2262" t="inlineStr">
        <is>
          <t>HULTSFRED</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50761-2019</t>
        </is>
      </c>
      <c r="B2263" s="1" t="n">
        <v>43738</v>
      </c>
      <c r="C2263" s="1" t="n">
        <v>45715</v>
      </c>
      <c r="D2263" t="inlineStr">
        <is>
          <t>KALMAR LÄN</t>
        </is>
      </c>
      <c r="E2263" t="inlineStr">
        <is>
          <t>VIMMERBY</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50955-2019</t>
        </is>
      </c>
      <c r="B2264" s="1" t="n">
        <v>43738</v>
      </c>
      <c r="C2264" s="1" t="n">
        <v>45715</v>
      </c>
      <c r="D2264" t="inlineStr">
        <is>
          <t>KALMAR LÄN</t>
        </is>
      </c>
      <c r="E2264" t="inlineStr">
        <is>
          <t>HULTSFRED</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51314-2019</t>
        </is>
      </c>
      <c r="B2265" s="1" t="n">
        <v>43739</v>
      </c>
      <c r="C2265" s="1" t="n">
        <v>45715</v>
      </c>
      <c r="D2265" t="inlineStr">
        <is>
          <t>KALMAR LÄN</t>
        </is>
      </c>
      <c r="E2265" t="inlineStr">
        <is>
          <t>NYBRO</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51273-2019</t>
        </is>
      </c>
      <c r="B2266" s="1" t="n">
        <v>43739</v>
      </c>
      <c r="C2266" s="1" t="n">
        <v>45715</v>
      </c>
      <c r="D2266" t="inlineStr">
        <is>
          <t>KALMAR LÄN</t>
        </is>
      </c>
      <c r="E2266" t="inlineStr">
        <is>
          <t>VIMMERBY</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51277-2019</t>
        </is>
      </c>
      <c r="B2267" s="1" t="n">
        <v>43739</v>
      </c>
      <c r="C2267" s="1" t="n">
        <v>45715</v>
      </c>
      <c r="D2267" t="inlineStr">
        <is>
          <t>KALMAR LÄN</t>
        </is>
      </c>
      <c r="E2267" t="inlineStr">
        <is>
          <t>VIMMERBY</t>
        </is>
      </c>
      <c r="F2267" t="inlineStr">
        <is>
          <t>Sveaskog</t>
        </is>
      </c>
      <c r="G2267" t="n">
        <v>7.9</v>
      </c>
      <c r="H2267" t="n">
        <v>0</v>
      </c>
      <c r="I2267" t="n">
        <v>0</v>
      </c>
      <c r="J2267" t="n">
        <v>0</v>
      </c>
      <c r="K2267" t="n">
        <v>0</v>
      </c>
      <c r="L2267" t="n">
        <v>0</v>
      </c>
      <c r="M2267" t="n">
        <v>0</v>
      </c>
      <c r="N2267" t="n">
        <v>0</v>
      </c>
      <c r="O2267" t="n">
        <v>0</v>
      </c>
      <c r="P2267" t="n">
        <v>0</v>
      </c>
      <c r="Q2267" t="n">
        <v>0</v>
      </c>
      <c r="R2267" s="2" t="inlineStr"/>
    </row>
    <row r="2268" ht="15" customHeight="1">
      <c r="A2268" t="inlineStr">
        <is>
          <t>A 51362-2019</t>
        </is>
      </c>
      <c r="B2268" s="1" t="n">
        <v>43740</v>
      </c>
      <c r="C2268" s="1" t="n">
        <v>45715</v>
      </c>
      <c r="D2268" t="inlineStr">
        <is>
          <t>KALMAR LÄN</t>
        </is>
      </c>
      <c r="E2268" t="inlineStr">
        <is>
          <t>VIMMERBY</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51429-2019</t>
        </is>
      </c>
      <c r="B2269" s="1" t="n">
        <v>43740</v>
      </c>
      <c r="C2269" s="1" t="n">
        <v>45715</v>
      </c>
      <c r="D2269" t="inlineStr">
        <is>
          <t>KALMAR LÄN</t>
        </is>
      </c>
      <c r="E2269" t="inlineStr">
        <is>
          <t>HULTSFRED</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51408-2019</t>
        </is>
      </c>
      <c r="B2270" s="1" t="n">
        <v>43740</v>
      </c>
      <c r="C2270" s="1" t="n">
        <v>45715</v>
      </c>
      <c r="D2270" t="inlineStr">
        <is>
          <t>KALMAR LÄN</t>
        </is>
      </c>
      <c r="E2270" t="inlineStr">
        <is>
          <t>VÄSTERVIK</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51552-2019</t>
        </is>
      </c>
      <c r="B2271" s="1" t="n">
        <v>43740</v>
      </c>
      <c r="C2271" s="1" t="n">
        <v>45715</v>
      </c>
      <c r="D2271" t="inlineStr">
        <is>
          <t>KALMAR LÄN</t>
        </is>
      </c>
      <c r="E2271" t="inlineStr">
        <is>
          <t>VIMMERBY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51616-2019</t>
        </is>
      </c>
      <c r="B2272" s="1" t="n">
        <v>43740</v>
      </c>
      <c r="C2272" s="1" t="n">
        <v>45715</v>
      </c>
      <c r="D2272" t="inlineStr">
        <is>
          <t>KALMAR LÄN</t>
        </is>
      </c>
      <c r="E2272" t="inlineStr">
        <is>
          <t>TORSÅS</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51493-2019</t>
        </is>
      </c>
      <c r="B2273" s="1" t="n">
        <v>43740</v>
      </c>
      <c r="C2273" s="1" t="n">
        <v>45715</v>
      </c>
      <c r="D2273" t="inlineStr">
        <is>
          <t>KALMAR LÄN</t>
        </is>
      </c>
      <c r="E2273" t="inlineStr">
        <is>
          <t>TORSÅS</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51650-2019</t>
        </is>
      </c>
      <c r="B2274" s="1" t="n">
        <v>43740</v>
      </c>
      <c r="C2274" s="1" t="n">
        <v>45715</v>
      </c>
      <c r="D2274" t="inlineStr">
        <is>
          <t>KALMAR LÄN</t>
        </is>
      </c>
      <c r="E2274" t="inlineStr">
        <is>
          <t>HULTSFRED</t>
        </is>
      </c>
      <c r="G2274" t="n">
        <v>8.6</v>
      </c>
      <c r="H2274" t="n">
        <v>0</v>
      </c>
      <c r="I2274" t="n">
        <v>0</v>
      </c>
      <c r="J2274" t="n">
        <v>0</v>
      </c>
      <c r="K2274" t="n">
        <v>0</v>
      </c>
      <c r="L2274" t="n">
        <v>0</v>
      </c>
      <c r="M2274" t="n">
        <v>0</v>
      </c>
      <c r="N2274" t="n">
        <v>0</v>
      </c>
      <c r="O2274" t="n">
        <v>0</v>
      </c>
      <c r="P2274" t="n">
        <v>0</v>
      </c>
      <c r="Q2274" t="n">
        <v>0</v>
      </c>
      <c r="R2274" s="2" t="inlineStr"/>
    </row>
    <row r="2275" ht="15" customHeight="1">
      <c r="A2275" t="inlineStr">
        <is>
          <t>A 51731-2019</t>
        </is>
      </c>
      <c r="B2275" s="1" t="n">
        <v>43740</v>
      </c>
      <c r="C2275" s="1" t="n">
        <v>45715</v>
      </c>
      <c r="D2275" t="inlineStr">
        <is>
          <t>KALMAR LÄN</t>
        </is>
      </c>
      <c r="E2275" t="inlineStr">
        <is>
          <t>NYBRO</t>
        </is>
      </c>
      <c r="F2275" t="inlineStr">
        <is>
          <t>Kyrkan</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51631-2019</t>
        </is>
      </c>
      <c r="B2276" s="1" t="n">
        <v>43740</v>
      </c>
      <c r="C2276" s="1" t="n">
        <v>45715</v>
      </c>
      <c r="D2276" t="inlineStr">
        <is>
          <t>KALMAR LÄN</t>
        </is>
      </c>
      <c r="E2276" t="inlineStr">
        <is>
          <t>HULTSFRED</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51414-2019</t>
        </is>
      </c>
      <c r="B2277" s="1" t="n">
        <v>43740</v>
      </c>
      <c r="C2277" s="1" t="n">
        <v>45715</v>
      </c>
      <c r="D2277" t="inlineStr">
        <is>
          <t>KALMAR LÄN</t>
        </is>
      </c>
      <c r="E2277" t="inlineStr">
        <is>
          <t>HULTSFRED</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51428-2019</t>
        </is>
      </c>
      <c r="B2278" s="1" t="n">
        <v>43740</v>
      </c>
      <c r="C2278" s="1" t="n">
        <v>45715</v>
      </c>
      <c r="D2278" t="inlineStr">
        <is>
          <t>KALMAR LÄN</t>
        </is>
      </c>
      <c r="E2278" t="inlineStr">
        <is>
          <t>HULTSFRED</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51719-2019</t>
        </is>
      </c>
      <c r="B2279" s="1" t="n">
        <v>43741</v>
      </c>
      <c r="C2279" s="1" t="n">
        <v>45715</v>
      </c>
      <c r="D2279" t="inlineStr">
        <is>
          <t>KALMAR LÄN</t>
        </is>
      </c>
      <c r="E2279" t="inlineStr">
        <is>
          <t>VIMMERBY</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51893-2019</t>
        </is>
      </c>
      <c r="B2280" s="1" t="n">
        <v>43741</v>
      </c>
      <c r="C2280" s="1" t="n">
        <v>45715</v>
      </c>
      <c r="D2280" t="inlineStr">
        <is>
          <t>KALMAR LÄN</t>
        </is>
      </c>
      <c r="E2280" t="inlineStr">
        <is>
          <t>HÖGSBY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51937-2019</t>
        </is>
      </c>
      <c r="B2281" s="1" t="n">
        <v>43741</v>
      </c>
      <c r="C2281" s="1" t="n">
        <v>45715</v>
      </c>
      <c r="D2281" t="inlineStr">
        <is>
          <t>KALMAR LÄN</t>
        </is>
      </c>
      <c r="E2281" t="inlineStr">
        <is>
          <t>NYBRO</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51891-2019</t>
        </is>
      </c>
      <c r="B2282" s="1" t="n">
        <v>43741</v>
      </c>
      <c r="C2282" s="1" t="n">
        <v>45715</v>
      </c>
      <c r="D2282" t="inlineStr">
        <is>
          <t>KALMAR LÄN</t>
        </is>
      </c>
      <c r="E2282" t="inlineStr">
        <is>
          <t>HÖGSBY</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51999-2019</t>
        </is>
      </c>
      <c r="B2283" s="1" t="n">
        <v>43742</v>
      </c>
      <c r="C2283" s="1" t="n">
        <v>45715</v>
      </c>
      <c r="D2283" t="inlineStr">
        <is>
          <t>KALMAR LÄN</t>
        </is>
      </c>
      <c r="E2283" t="inlineStr">
        <is>
          <t>HULTSFRED</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52052-2019</t>
        </is>
      </c>
      <c r="B2284" s="1" t="n">
        <v>43742</v>
      </c>
      <c r="C2284" s="1" t="n">
        <v>45715</v>
      </c>
      <c r="D2284" t="inlineStr">
        <is>
          <t>KALMAR LÄN</t>
        </is>
      </c>
      <c r="E2284" t="inlineStr">
        <is>
          <t>OSKARSHAMN</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52072-2019</t>
        </is>
      </c>
      <c r="B2285" s="1" t="n">
        <v>43742</v>
      </c>
      <c r="C2285" s="1" t="n">
        <v>45715</v>
      </c>
      <c r="D2285" t="inlineStr">
        <is>
          <t>KALMAR LÄN</t>
        </is>
      </c>
      <c r="E2285" t="inlineStr">
        <is>
          <t>NYBRO</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51998-2019</t>
        </is>
      </c>
      <c r="B2286" s="1" t="n">
        <v>43742</v>
      </c>
      <c r="C2286" s="1" t="n">
        <v>45715</v>
      </c>
      <c r="D2286" t="inlineStr">
        <is>
          <t>KALMAR LÄN</t>
        </is>
      </c>
      <c r="E2286" t="inlineStr">
        <is>
          <t>HULTSFRED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52109-2019</t>
        </is>
      </c>
      <c r="B2287" s="1" t="n">
        <v>43742</v>
      </c>
      <c r="C2287" s="1" t="n">
        <v>45715</v>
      </c>
      <c r="D2287" t="inlineStr">
        <is>
          <t>KALMAR LÄN</t>
        </is>
      </c>
      <c r="E2287" t="inlineStr">
        <is>
          <t>HULTSFRED</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52113-2019</t>
        </is>
      </c>
      <c r="B2288" s="1" t="n">
        <v>43742</v>
      </c>
      <c r="C2288" s="1" t="n">
        <v>45715</v>
      </c>
      <c r="D2288" t="inlineStr">
        <is>
          <t>KALMAR LÄN</t>
        </is>
      </c>
      <c r="E2288" t="inlineStr">
        <is>
          <t>HULTSFRED</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52119-2019</t>
        </is>
      </c>
      <c r="B2289" s="1" t="n">
        <v>43742</v>
      </c>
      <c r="C2289" s="1" t="n">
        <v>45715</v>
      </c>
      <c r="D2289" t="inlineStr">
        <is>
          <t>KALMAR LÄN</t>
        </is>
      </c>
      <c r="E2289" t="inlineStr">
        <is>
          <t>HULTSFRED</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52142-2019</t>
        </is>
      </c>
      <c r="B2290" s="1" t="n">
        <v>43742</v>
      </c>
      <c r="C2290" s="1" t="n">
        <v>45715</v>
      </c>
      <c r="D2290" t="inlineStr">
        <is>
          <t>KALMAR LÄN</t>
        </is>
      </c>
      <c r="E2290" t="inlineStr">
        <is>
          <t>HULTSFRED</t>
        </is>
      </c>
      <c r="G2290" t="n">
        <v>9.199999999999999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52312-2019</t>
        </is>
      </c>
      <c r="B2291" s="1" t="n">
        <v>43742</v>
      </c>
      <c r="C2291" s="1" t="n">
        <v>45715</v>
      </c>
      <c r="D2291" t="inlineStr">
        <is>
          <t>KALMAR LÄN</t>
        </is>
      </c>
      <c r="E2291" t="inlineStr">
        <is>
          <t>NYBRO</t>
        </is>
      </c>
      <c r="F2291" t="inlineStr">
        <is>
          <t>Kyrkan</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52173-2019</t>
        </is>
      </c>
      <c r="B2292" s="1" t="n">
        <v>43742</v>
      </c>
      <c r="C2292" s="1" t="n">
        <v>45715</v>
      </c>
      <c r="D2292" t="inlineStr">
        <is>
          <t>KALMAR LÄN</t>
        </is>
      </c>
      <c r="E2292" t="inlineStr">
        <is>
          <t>VIMMERBY</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52318-2019</t>
        </is>
      </c>
      <c r="B2293" s="1" t="n">
        <v>43742</v>
      </c>
      <c r="C2293" s="1" t="n">
        <v>45715</v>
      </c>
      <c r="D2293" t="inlineStr">
        <is>
          <t>KALMAR LÄN</t>
        </is>
      </c>
      <c r="E2293" t="inlineStr">
        <is>
          <t>NYBRO</t>
        </is>
      </c>
      <c r="F2293" t="inlineStr">
        <is>
          <t>Kyrkan</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52292-2019</t>
        </is>
      </c>
      <c r="B2294" s="1" t="n">
        <v>43744</v>
      </c>
      <c r="C2294" s="1" t="n">
        <v>45715</v>
      </c>
      <c r="D2294" t="inlineStr">
        <is>
          <t>KALMAR LÄN</t>
        </is>
      </c>
      <c r="E2294" t="inlineStr">
        <is>
          <t>VÄSTERVIK</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52418-2019</t>
        </is>
      </c>
      <c r="B2295" s="1" t="n">
        <v>43745</v>
      </c>
      <c r="C2295" s="1" t="n">
        <v>45715</v>
      </c>
      <c r="D2295" t="inlineStr">
        <is>
          <t>KALMAR LÄN</t>
        </is>
      </c>
      <c r="E2295" t="inlineStr">
        <is>
          <t>HÖGSBY</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52376-2019</t>
        </is>
      </c>
      <c r="B2296" s="1" t="n">
        <v>43745</v>
      </c>
      <c r="C2296" s="1" t="n">
        <v>45715</v>
      </c>
      <c r="D2296" t="inlineStr">
        <is>
          <t>KALMAR LÄN</t>
        </is>
      </c>
      <c r="E2296" t="inlineStr">
        <is>
          <t>HULTSFRED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52527-2019</t>
        </is>
      </c>
      <c r="B2297" s="1" t="n">
        <v>43745</v>
      </c>
      <c r="C2297" s="1" t="n">
        <v>45715</v>
      </c>
      <c r="D2297" t="inlineStr">
        <is>
          <t>KALMAR LÄN</t>
        </is>
      </c>
      <c r="E2297" t="inlineStr">
        <is>
          <t>VÄSTERVIK</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52356-2019</t>
        </is>
      </c>
      <c r="B2298" s="1" t="n">
        <v>43745</v>
      </c>
      <c r="C2298" s="1" t="n">
        <v>45715</v>
      </c>
      <c r="D2298" t="inlineStr">
        <is>
          <t>KALMAR LÄN</t>
        </is>
      </c>
      <c r="E2298" t="inlineStr">
        <is>
          <t>VIMMERBY</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52553-2019</t>
        </is>
      </c>
      <c r="B2299" s="1" t="n">
        <v>43745</v>
      </c>
      <c r="C2299" s="1" t="n">
        <v>45715</v>
      </c>
      <c r="D2299" t="inlineStr">
        <is>
          <t>KALMAR LÄN</t>
        </is>
      </c>
      <c r="E2299" t="inlineStr">
        <is>
          <t>MÖNSTERÅS</t>
        </is>
      </c>
      <c r="F2299" t="inlineStr">
        <is>
          <t>Kommuner</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54099-2019</t>
        </is>
      </c>
      <c r="B2300" s="1" t="n">
        <v>43745</v>
      </c>
      <c r="C2300" s="1" t="n">
        <v>45715</v>
      </c>
      <c r="D2300" t="inlineStr">
        <is>
          <t>KALMAR LÄN</t>
        </is>
      </c>
      <c r="E2300" t="inlineStr">
        <is>
          <t>OSKARSHAMN</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52554-2019</t>
        </is>
      </c>
      <c r="B2301" s="1" t="n">
        <v>43745</v>
      </c>
      <c r="C2301" s="1" t="n">
        <v>45715</v>
      </c>
      <c r="D2301" t="inlineStr">
        <is>
          <t>KALMAR LÄN</t>
        </is>
      </c>
      <c r="E2301" t="inlineStr">
        <is>
          <t>MÖNSTERÅS</t>
        </is>
      </c>
      <c r="F2301" t="inlineStr">
        <is>
          <t>Kommuner</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52633-2019</t>
        </is>
      </c>
      <c r="B2302" s="1" t="n">
        <v>43745</v>
      </c>
      <c r="C2302" s="1" t="n">
        <v>45715</v>
      </c>
      <c r="D2302" t="inlineStr">
        <is>
          <t>KALMAR LÄN</t>
        </is>
      </c>
      <c r="E2302" t="inlineStr">
        <is>
          <t>HÖGSBY</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52800-2019</t>
        </is>
      </c>
      <c r="B2303" s="1" t="n">
        <v>43746</v>
      </c>
      <c r="C2303" s="1" t="n">
        <v>45715</v>
      </c>
      <c r="D2303" t="inlineStr">
        <is>
          <t>KALMAR LÄN</t>
        </is>
      </c>
      <c r="E2303" t="inlineStr">
        <is>
          <t>HULTSFRED</t>
        </is>
      </c>
      <c r="G2303" t="n">
        <v>13.8</v>
      </c>
      <c r="H2303" t="n">
        <v>0</v>
      </c>
      <c r="I2303" t="n">
        <v>0</v>
      </c>
      <c r="J2303" t="n">
        <v>0</v>
      </c>
      <c r="K2303" t="n">
        <v>0</v>
      </c>
      <c r="L2303" t="n">
        <v>0</v>
      </c>
      <c r="M2303" t="n">
        <v>0</v>
      </c>
      <c r="N2303" t="n">
        <v>0</v>
      </c>
      <c r="O2303" t="n">
        <v>0</v>
      </c>
      <c r="P2303" t="n">
        <v>0</v>
      </c>
      <c r="Q2303" t="n">
        <v>0</v>
      </c>
      <c r="R2303" s="2" t="inlineStr"/>
    </row>
    <row r="2304" ht="15" customHeight="1">
      <c r="A2304" t="inlineStr">
        <is>
          <t>A 52883-2019</t>
        </is>
      </c>
      <c r="B2304" s="1" t="n">
        <v>43746</v>
      </c>
      <c r="C2304" s="1" t="n">
        <v>45715</v>
      </c>
      <c r="D2304" t="inlineStr">
        <is>
          <t>KALMAR LÄN</t>
        </is>
      </c>
      <c r="E2304" t="inlineStr">
        <is>
          <t>NYBRO</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52608-2019</t>
        </is>
      </c>
      <c r="B2305" s="1" t="n">
        <v>43746</v>
      </c>
      <c r="C2305" s="1" t="n">
        <v>45715</v>
      </c>
      <c r="D2305" t="inlineStr">
        <is>
          <t>KALMAR LÄN</t>
        </is>
      </c>
      <c r="E2305" t="inlineStr">
        <is>
          <t>HULTSFRED</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52909-2019</t>
        </is>
      </c>
      <c r="B2306" s="1" t="n">
        <v>43746</v>
      </c>
      <c r="C2306" s="1" t="n">
        <v>45715</v>
      </c>
      <c r="D2306" t="inlineStr">
        <is>
          <t>KALMAR LÄN</t>
        </is>
      </c>
      <c r="E2306" t="inlineStr">
        <is>
          <t>VIMMERBY</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54288-2019</t>
        </is>
      </c>
      <c r="B2307" s="1" t="n">
        <v>43746</v>
      </c>
      <c r="C2307" s="1" t="n">
        <v>45715</v>
      </c>
      <c r="D2307" t="inlineStr">
        <is>
          <t>KALMAR LÄN</t>
        </is>
      </c>
      <c r="E2307" t="inlineStr">
        <is>
          <t>KALMAR</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52908-2019</t>
        </is>
      </c>
      <c r="B2308" s="1" t="n">
        <v>43746</v>
      </c>
      <c r="C2308" s="1" t="n">
        <v>45715</v>
      </c>
      <c r="D2308" t="inlineStr">
        <is>
          <t>KALMAR LÄN</t>
        </is>
      </c>
      <c r="E2308" t="inlineStr">
        <is>
          <t>VIMMERBY</t>
        </is>
      </c>
      <c r="G2308" t="n">
        <v>5.8</v>
      </c>
      <c r="H2308" t="n">
        <v>0</v>
      </c>
      <c r="I2308" t="n">
        <v>0</v>
      </c>
      <c r="J2308" t="n">
        <v>0</v>
      </c>
      <c r="K2308" t="n">
        <v>0</v>
      </c>
      <c r="L2308" t="n">
        <v>0</v>
      </c>
      <c r="M2308" t="n">
        <v>0</v>
      </c>
      <c r="N2308" t="n">
        <v>0</v>
      </c>
      <c r="O2308" t="n">
        <v>0</v>
      </c>
      <c r="P2308" t="n">
        <v>0</v>
      </c>
      <c r="Q2308" t="n">
        <v>0</v>
      </c>
      <c r="R2308" s="2" t="inlineStr"/>
    </row>
    <row r="2309" ht="15" customHeight="1">
      <c r="A2309" t="inlineStr">
        <is>
          <t>A 52880-2019</t>
        </is>
      </c>
      <c r="B2309" s="1" t="n">
        <v>43746</v>
      </c>
      <c r="C2309" s="1" t="n">
        <v>45715</v>
      </c>
      <c r="D2309" t="inlineStr">
        <is>
          <t>KALMAR LÄN</t>
        </is>
      </c>
      <c r="E2309" t="inlineStr">
        <is>
          <t>NYBRO</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52780-2019</t>
        </is>
      </c>
      <c r="B2310" s="1" t="n">
        <v>43746</v>
      </c>
      <c r="C2310" s="1" t="n">
        <v>45715</v>
      </c>
      <c r="D2310" t="inlineStr">
        <is>
          <t>KALMAR LÄN</t>
        </is>
      </c>
      <c r="E2310" t="inlineStr">
        <is>
          <t>VIMMERBY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52895-2019</t>
        </is>
      </c>
      <c r="B2311" s="1" t="n">
        <v>43746</v>
      </c>
      <c r="C2311" s="1" t="n">
        <v>45715</v>
      </c>
      <c r="D2311" t="inlineStr">
        <is>
          <t>KALMAR LÄN</t>
        </is>
      </c>
      <c r="E2311" t="inlineStr">
        <is>
          <t>HULTSFRED</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53089-2019</t>
        </is>
      </c>
      <c r="B2312" s="1" t="n">
        <v>43747</v>
      </c>
      <c r="C2312" s="1" t="n">
        <v>45715</v>
      </c>
      <c r="D2312" t="inlineStr">
        <is>
          <t>KALMAR LÄN</t>
        </is>
      </c>
      <c r="E2312" t="inlineStr">
        <is>
          <t>EMMABODA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53153-2019</t>
        </is>
      </c>
      <c r="B2313" s="1" t="n">
        <v>43747</v>
      </c>
      <c r="C2313" s="1" t="n">
        <v>45715</v>
      </c>
      <c r="D2313" t="inlineStr">
        <is>
          <t>KALMAR LÄN</t>
        </is>
      </c>
      <c r="E2313" t="inlineStr">
        <is>
          <t>NYBRO</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53013-2019</t>
        </is>
      </c>
      <c r="B2314" s="1" t="n">
        <v>43747</v>
      </c>
      <c r="C2314" s="1" t="n">
        <v>45715</v>
      </c>
      <c r="D2314" t="inlineStr">
        <is>
          <t>KALMAR LÄN</t>
        </is>
      </c>
      <c r="E2314" t="inlineStr">
        <is>
          <t>TORSÅS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53037-2019</t>
        </is>
      </c>
      <c r="B2315" s="1" t="n">
        <v>43747</v>
      </c>
      <c r="C2315" s="1" t="n">
        <v>45715</v>
      </c>
      <c r="D2315" t="inlineStr">
        <is>
          <t>KALMAR LÄN</t>
        </is>
      </c>
      <c r="E2315" t="inlineStr">
        <is>
          <t>NYBRO</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53129-2019</t>
        </is>
      </c>
      <c r="B2316" s="1" t="n">
        <v>43747</v>
      </c>
      <c r="C2316" s="1" t="n">
        <v>45715</v>
      </c>
      <c r="D2316" t="inlineStr">
        <is>
          <t>KALMAR LÄN</t>
        </is>
      </c>
      <c r="E2316" t="inlineStr">
        <is>
          <t>HÖGSBY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53127-2019</t>
        </is>
      </c>
      <c r="B2317" s="1" t="n">
        <v>43747</v>
      </c>
      <c r="C2317" s="1" t="n">
        <v>45715</v>
      </c>
      <c r="D2317" t="inlineStr">
        <is>
          <t>KALMAR LÄN</t>
        </is>
      </c>
      <c r="E2317" t="inlineStr">
        <is>
          <t>HÖGSBY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53027-2019</t>
        </is>
      </c>
      <c r="B2318" s="1" t="n">
        <v>43747</v>
      </c>
      <c r="C2318" s="1" t="n">
        <v>45715</v>
      </c>
      <c r="D2318" t="inlineStr">
        <is>
          <t>KALMAR LÄN</t>
        </is>
      </c>
      <c r="E2318" t="inlineStr">
        <is>
          <t>HULTSFRED</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53262-2019</t>
        </is>
      </c>
      <c r="B2319" s="1" t="n">
        <v>43748</v>
      </c>
      <c r="C2319" s="1" t="n">
        <v>45715</v>
      </c>
      <c r="D2319" t="inlineStr">
        <is>
          <t>KALMAR LÄN</t>
        </is>
      </c>
      <c r="E2319" t="inlineStr">
        <is>
          <t>EMMABODA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53432-2019</t>
        </is>
      </c>
      <c r="B2320" s="1" t="n">
        <v>43748</v>
      </c>
      <c r="C2320" s="1" t="n">
        <v>45715</v>
      </c>
      <c r="D2320" t="inlineStr">
        <is>
          <t>KALMAR LÄN</t>
        </is>
      </c>
      <c r="E2320" t="inlineStr">
        <is>
          <t>NYBRO</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53423-2019</t>
        </is>
      </c>
      <c r="B2321" s="1" t="n">
        <v>43748</v>
      </c>
      <c r="C2321" s="1" t="n">
        <v>45715</v>
      </c>
      <c r="D2321" t="inlineStr">
        <is>
          <t>KALMAR LÄN</t>
        </is>
      </c>
      <c r="E2321" t="inlineStr">
        <is>
          <t>HULTSFRED</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54693-2019</t>
        </is>
      </c>
      <c r="B2322" s="1" t="n">
        <v>43748</v>
      </c>
      <c r="C2322" s="1" t="n">
        <v>45715</v>
      </c>
      <c r="D2322" t="inlineStr">
        <is>
          <t>KALMAR LÄN</t>
        </is>
      </c>
      <c r="E2322" t="inlineStr">
        <is>
          <t>EMMABODA</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54690-2019</t>
        </is>
      </c>
      <c r="B2323" s="1" t="n">
        <v>43748</v>
      </c>
      <c r="C2323" s="1" t="n">
        <v>45715</v>
      </c>
      <c r="D2323" t="inlineStr">
        <is>
          <t>KALMAR LÄN</t>
        </is>
      </c>
      <c r="E2323" t="inlineStr">
        <is>
          <t>EMMABODA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53567-2019</t>
        </is>
      </c>
      <c r="B2324" s="1" t="n">
        <v>43748</v>
      </c>
      <c r="C2324" s="1" t="n">
        <v>45715</v>
      </c>
      <c r="D2324" t="inlineStr">
        <is>
          <t>KALMAR LÄN</t>
        </is>
      </c>
      <c r="E2324" t="inlineStr">
        <is>
          <t>HÖGSBY</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54697-2019</t>
        </is>
      </c>
      <c r="B2325" s="1" t="n">
        <v>43748</v>
      </c>
      <c r="C2325" s="1" t="n">
        <v>45715</v>
      </c>
      <c r="D2325" t="inlineStr">
        <is>
          <t>KALMAR LÄN</t>
        </is>
      </c>
      <c r="E2325" t="inlineStr">
        <is>
          <t>EMMABODA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53260-2019</t>
        </is>
      </c>
      <c r="B2326" s="1" t="n">
        <v>43748</v>
      </c>
      <c r="C2326" s="1" t="n">
        <v>45715</v>
      </c>
      <c r="D2326" t="inlineStr">
        <is>
          <t>KALMAR LÄN</t>
        </is>
      </c>
      <c r="E2326" t="inlineStr">
        <is>
          <t>EMMABODA</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53702-2019</t>
        </is>
      </c>
      <c r="B2327" s="1" t="n">
        <v>43749</v>
      </c>
      <c r="C2327" s="1" t="n">
        <v>45715</v>
      </c>
      <c r="D2327" t="inlineStr">
        <is>
          <t>KALMAR LÄN</t>
        </is>
      </c>
      <c r="E2327" t="inlineStr">
        <is>
          <t>OSKARSHAMN</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53714-2019</t>
        </is>
      </c>
      <c r="B2328" s="1" t="n">
        <v>43749</v>
      </c>
      <c r="C2328" s="1" t="n">
        <v>45715</v>
      </c>
      <c r="D2328" t="inlineStr">
        <is>
          <t>KALMAR LÄN</t>
        </is>
      </c>
      <c r="E2328" t="inlineStr">
        <is>
          <t>VÄSTERVIK</t>
        </is>
      </c>
      <c r="F2328" t="inlineStr">
        <is>
          <t>Holmen skog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53538-2019</t>
        </is>
      </c>
      <c r="B2329" s="1" t="n">
        <v>43749</v>
      </c>
      <c r="C2329" s="1" t="n">
        <v>45715</v>
      </c>
      <c r="D2329" t="inlineStr">
        <is>
          <t>KALMAR LÄN</t>
        </is>
      </c>
      <c r="E2329" t="inlineStr">
        <is>
          <t>MÖNSTERÅS</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53546-2019</t>
        </is>
      </c>
      <c r="B2330" s="1" t="n">
        <v>43749</v>
      </c>
      <c r="C2330" s="1" t="n">
        <v>45715</v>
      </c>
      <c r="D2330" t="inlineStr">
        <is>
          <t>KALMAR LÄN</t>
        </is>
      </c>
      <c r="E2330" t="inlineStr">
        <is>
          <t>VÄSTERVIK</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53581-2019</t>
        </is>
      </c>
      <c r="B2331" s="1" t="n">
        <v>43749</v>
      </c>
      <c r="C2331" s="1" t="n">
        <v>45715</v>
      </c>
      <c r="D2331" t="inlineStr">
        <is>
          <t>KALMAR LÄN</t>
        </is>
      </c>
      <c r="E2331" t="inlineStr">
        <is>
          <t>OSKARSHAMN</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53705-2019</t>
        </is>
      </c>
      <c r="B2332" s="1" t="n">
        <v>43749</v>
      </c>
      <c r="C2332" s="1" t="n">
        <v>45715</v>
      </c>
      <c r="D2332" t="inlineStr">
        <is>
          <t>KALMAR LÄN</t>
        </is>
      </c>
      <c r="E2332" t="inlineStr">
        <is>
          <t>OSKARSHAMN</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53572-2019</t>
        </is>
      </c>
      <c r="B2333" s="1" t="n">
        <v>43749</v>
      </c>
      <c r="C2333" s="1" t="n">
        <v>45715</v>
      </c>
      <c r="D2333" t="inlineStr">
        <is>
          <t>KALMAR LÄN</t>
        </is>
      </c>
      <c r="E2333" t="inlineStr">
        <is>
          <t>KALMAR</t>
        </is>
      </c>
      <c r="F2333" t="inlineStr">
        <is>
          <t>Sveaskog</t>
        </is>
      </c>
      <c r="G2333" t="n">
        <v>10.2</v>
      </c>
      <c r="H2333" t="n">
        <v>0</v>
      </c>
      <c r="I2333" t="n">
        <v>0</v>
      </c>
      <c r="J2333" t="n">
        <v>0</v>
      </c>
      <c r="K2333" t="n">
        <v>0</v>
      </c>
      <c r="L2333" t="n">
        <v>0</v>
      </c>
      <c r="M2333" t="n">
        <v>0</v>
      </c>
      <c r="N2333" t="n">
        <v>0</v>
      </c>
      <c r="O2333" t="n">
        <v>0</v>
      </c>
      <c r="P2333" t="n">
        <v>0</v>
      </c>
      <c r="Q2333" t="n">
        <v>0</v>
      </c>
      <c r="R2333" s="2" t="inlineStr"/>
    </row>
    <row r="2334" ht="15" customHeight="1">
      <c r="A2334" t="inlineStr">
        <is>
          <t>A 53552-2019</t>
        </is>
      </c>
      <c r="B2334" s="1" t="n">
        <v>43749</v>
      </c>
      <c r="C2334" s="1" t="n">
        <v>45715</v>
      </c>
      <c r="D2334" t="inlineStr">
        <is>
          <t>KALMAR LÄN</t>
        </is>
      </c>
      <c r="E2334" t="inlineStr">
        <is>
          <t>MÖRBYLÅNGA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53691-2019</t>
        </is>
      </c>
      <c r="B2335" s="1" t="n">
        <v>43749</v>
      </c>
      <c r="C2335" s="1" t="n">
        <v>45715</v>
      </c>
      <c r="D2335" t="inlineStr">
        <is>
          <t>KALMAR LÄN</t>
        </is>
      </c>
      <c r="E2335" t="inlineStr">
        <is>
          <t>VIMMERBY</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53805-2019</t>
        </is>
      </c>
      <c r="B2336" s="1" t="n">
        <v>43751</v>
      </c>
      <c r="C2336" s="1" t="n">
        <v>45715</v>
      </c>
      <c r="D2336" t="inlineStr">
        <is>
          <t>KALMAR LÄN</t>
        </is>
      </c>
      <c r="E2336" t="inlineStr">
        <is>
          <t>HULTSFRED</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53996-2019</t>
        </is>
      </c>
      <c r="B2337" s="1" t="n">
        <v>43752</v>
      </c>
      <c r="C2337" s="1" t="n">
        <v>45715</v>
      </c>
      <c r="D2337" t="inlineStr">
        <is>
          <t>KALMAR LÄN</t>
        </is>
      </c>
      <c r="E2337" t="inlineStr">
        <is>
          <t>EMMABODA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53851-2019</t>
        </is>
      </c>
      <c r="B2338" s="1" t="n">
        <v>43752</v>
      </c>
      <c r="C2338" s="1" t="n">
        <v>45715</v>
      </c>
      <c r="D2338" t="inlineStr">
        <is>
          <t>KALMAR LÄN</t>
        </is>
      </c>
      <c r="E2338" t="inlineStr">
        <is>
          <t>EMMABODA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53907-2019</t>
        </is>
      </c>
      <c r="B2339" s="1" t="n">
        <v>43752</v>
      </c>
      <c r="C2339" s="1" t="n">
        <v>45715</v>
      </c>
      <c r="D2339" t="inlineStr">
        <is>
          <t>KALMAR LÄN</t>
        </is>
      </c>
      <c r="E2339" t="inlineStr">
        <is>
          <t>TORSÅS</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54000-2019</t>
        </is>
      </c>
      <c r="B2340" s="1" t="n">
        <v>43752</v>
      </c>
      <c r="C2340" s="1" t="n">
        <v>45715</v>
      </c>
      <c r="D2340" t="inlineStr">
        <is>
          <t>KALMAR LÄN</t>
        </is>
      </c>
      <c r="E2340" t="inlineStr">
        <is>
          <t>EMMABODA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54267-2019</t>
        </is>
      </c>
      <c r="B2341" s="1" t="n">
        <v>43753</v>
      </c>
      <c r="C2341" s="1" t="n">
        <v>45715</v>
      </c>
      <c r="D2341" t="inlineStr">
        <is>
          <t>KALMAR LÄN</t>
        </is>
      </c>
      <c r="E2341" t="inlineStr">
        <is>
          <t>TORSÅS</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54591-2019</t>
        </is>
      </c>
      <c r="B2342" s="1" t="n">
        <v>43754</v>
      </c>
      <c r="C2342" s="1" t="n">
        <v>45715</v>
      </c>
      <c r="D2342" t="inlineStr">
        <is>
          <t>KALMAR LÄN</t>
        </is>
      </c>
      <c r="E2342" t="inlineStr">
        <is>
          <t>VÄSTERVIK</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54597-2019</t>
        </is>
      </c>
      <c r="B2343" s="1" t="n">
        <v>43754</v>
      </c>
      <c r="C2343" s="1" t="n">
        <v>45715</v>
      </c>
      <c r="D2343" t="inlineStr">
        <is>
          <t>KALMAR LÄN</t>
        </is>
      </c>
      <c r="E2343" t="inlineStr">
        <is>
          <t>VÄSTERVIK</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54684-2019</t>
        </is>
      </c>
      <c r="B2344" s="1" t="n">
        <v>43754</v>
      </c>
      <c r="C2344" s="1" t="n">
        <v>45715</v>
      </c>
      <c r="D2344" t="inlineStr">
        <is>
          <t>KALMAR LÄN</t>
        </is>
      </c>
      <c r="E2344" t="inlineStr">
        <is>
          <t>HÖGSBY</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54593-2019</t>
        </is>
      </c>
      <c r="B2345" s="1" t="n">
        <v>43754</v>
      </c>
      <c r="C2345" s="1" t="n">
        <v>45715</v>
      </c>
      <c r="D2345" t="inlineStr">
        <is>
          <t>KALMAR LÄN</t>
        </is>
      </c>
      <c r="E2345" t="inlineStr">
        <is>
          <t>VIMMERBY</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54611-2019</t>
        </is>
      </c>
      <c r="B2346" s="1" t="n">
        <v>43754</v>
      </c>
      <c r="C2346" s="1" t="n">
        <v>45715</v>
      </c>
      <c r="D2346" t="inlineStr">
        <is>
          <t>KALMAR LÄN</t>
        </is>
      </c>
      <c r="E2346" t="inlineStr">
        <is>
          <t>HÖGSBY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54651-2019</t>
        </is>
      </c>
      <c r="B2347" s="1" t="n">
        <v>43754</v>
      </c>
      <c r="C2347" s="1" t="n">
        <v>45715</v>
      </c>
      <c r="D2347" t="inlineStr">
        <is>
          <t>KALMAR LÄN</t>
        </is>
      </c>
      <c r="E2347" t="inlineStr">
        <is>
          <t>HULTSFRED</t>
        </is>
      </c>
      <c r="G2347" t="n">
        <v>7.6</v>
      </c>
      <c r="H2347" t="n">
        <v>0</v>
      </c>
      <c r="I2347" t="n">
        <v>0</v>
      </c>
      <c r="J2347" t="n">
        <v>0</v>
      </c>
      <c r="K2347" t="n">
        <v>0</v>
      </c>
      <c r="L2347" t="n">
        <v>0</v>
      </c>
      <c r="M2347" t="n">
        <v>0</v>
      </c>
      <c r="N2347" t="n">
        <v>0</v>
      </c>
      <c r="O2347" t="n">
        <v>0</v>
      </c>
      <c r="P2347" t="n">
        <v>0</v>
      </c>
      <c r="Q2347" t="n">
        <v>0</v>
      </c>
      <c r="R2347" s="2" t="inlineStr"/>
    </row>
    <row r="2348" ht="15" customHeight="1">
      <c r="A2348" t="inlineStr">
        <is>
          <t>A 54801-2019</t>
        </is>
      </c>
      <c r="B2348" s="1" t="n">
        <v>43755</v>
      </c>
      <c r="C2348" s="1" t="n">
        <v>45715</v>
      </c>
      <c r="D2348" t="inlineStr">
        <is>
          <t>KALMAR LÄN</t>
        </is>
      </c>
      <c r="E2348" t="inlineStr">
        <is>
          <t>TORSÅS</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54883-2019</t>
        </is>
      </c>
      <c r="B2349" s="1" t="n">
        <v>43755</v>
      </c>
      <c r="C2349" s="1" t="n">
        <v>45715</v>
      </c>
      <c r="D2349" t="inlineStr">
        <is>
          <t>KALMAR LÄN</t>
        </is>
      </c>
      <c r="E2349" t="inlineStr">
        <is>
          <t>EMMABODA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54794-2019</t>
        </is>
      </c>
      <c r="B2350" s="1" t="n">
        <v>43755</v>
      </c>
      <c r="C2350" s="1" t="n">
        <v>45715</v>
      </c>
      <c r="D2350" t="inlineStr">
        <is>
          <t>KALMAR LÄN</t>
        </is>
      </c>
      <c r="E2350" t="inlineStr">
        <is>
          <t>VIMMERBY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54793-2019</t>
        </is>
      </c>
      <c r="B2351" s="1" t="n">
        <v>43755</v>
      </c>
      <c r="C2351" s="1" t="n">
        <v>45715</v>
      </c>
      <c r="D2351" t="inlineStr">
        <is>
          <t>KALMAR LÄN</t>
        </is>
      </c>
      <c r="E2351" t="inlineStr">
        <is>
          <t>TORSÅS</t>
        </is>
      </c>
      <c r="G2351" t="n">
        <v>14.7</v>
      </c>
      <c r="H2351" t="n">
        <v>0</v>
      </c>
      <c r="I2351" t="n">
        <v>0</v>
      </c>
      <c r="J2351" t="n">
        <v>0</v>
      </c>
      <c r="K2351" t="n">
        <v>0</v>
      </c>
      <c r="L2351" t="n">
        <v>0</v>
      </c>
      <c r="M2351" t="n">
        <v>0</v>
      </c>
      <c r="N2351" t="n">
        <v>0</v>
      </c>
      <c r="O2351" t="n">
        <v>0</v>
      </c>
      <c r="P2351" t="n">
        <v>0</v>
      </c>
      <c r="Q2351" t="n">
        <v>0</v>
      </c>
      <c r="R2351" s="2" t="inlineStr"/>
    </row>
    <row r="2352" ht="15" customHeight="1">
      <c r="A2352" t="inlineStr">
        <is>
          <t>A 54795-2019</t>
        </is>
      </c>
      <c r="B2352" s="1" t="n">
        <v>43755</v>
      </c>
      <c r="C2352" s="1" t="n">
        <v>45715</v>
      </c>
      <c r="D2352" t="inlineStr">
        <is>
          <t>KALMAR LÄN</t>
        </is>
      </c>
      <c r="E2352" t="inlineStr">
        <is>
          <t>KALMAR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54814-2019</t>
        </is>
      </c>
      <c r="B2353" s="1" t="n">
        <v>43755</v>
      </c>
      <c r="C2353" s="1" t="n">
        <v>45715</v>
      </c>
      <c r="D2353" t="inlineStr">
        <is>
          <t>KALMAR LÄN</t>
        </is>
      </c>
      <c r="E2353" t="inlineStr">
        <is>
          <t>EMMABODA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54785-2019</t>
        </is>
      </c>
      <c r="B2354" s="1" t="n">
        <v>43755</v>
      </c>
      <c r="C2354" s="1" t="n">
        <v>45715</v>
      </c>
      <c r="D2354" t="inlineStr">
        <is>
          <t>KALMAR LÄN</t>
        </is>
      </c>
      <c r="E2354" t="inlineStr">
        <is>
          <t>TORSÅS</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55161-2019</t>
        </is>
      </c>
      <c r="B2355" s="1" t="n">
        <v>43756</v>
      </c>
      <c r="C2355" s="1" t="n">
        <v>45715</v>
      </c>
      <c r="D2355" t="inlineStr">
        <is>
          <t>KALMAR LÄN</t>
        </is>
      </c>
      <c r="E2355" t="inlineStr">
        <is>
          <t>KALMAR</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55050-2019</t>
        </is>
      </c>
      <c r="B2356" s="1" t="n">
        <v>43756</v>
      </c>
      <c r="C2356" s="1" t="n">
        <v>45715</v>
      </c>
      <c r="D2356" t="inlineStr">
        <is>
          <t>KALMAR LÄN</t>
        </is>
      </c>
      <c r="E2356" t="inlineStr">
        <is>
          <t>KALMAR</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55118-2019</t>
        </is>
      </c>
      <c r="B2357" s="1" t="n">
        <v>43756</v>
      </c>
      <c r="C2357" s="1" t="n">
        <v>45715</v>
      </c>
      <c r="D2357" t="inlineStr">
        <is>
          <t>KALMAR LÄN</t>
        </is>
      </c>
      <c r="E2357" t="inlineStr">
        <is>
          <t>HULTSFRED</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55165-2019</t>
        </is>
      </c>
      <c r="B2358" s="1" t="n">
        <v>43756</v>
      </c>
      <c r="C2358" s="1" t="n">
        <v>45715</v>
      </c>
      <c r="D2358" t="inlineStr">
        <is>
          <t>KALMAR LÄN</t>
        </is>
      </c>
      <c r="E2358" t="inlineStr">
        <is>
          <t>EMMABODA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55368-2019</t>
        </is>
      </c>
      <c r="B2359" s="1" t="n">
        <v>43756</v>
      </c>
      <c r="C2359" s="1" t="n">
        <v>45715</v>
      </c>
      <c r="D2359" t="inlineStr">
        <is>
          <t>KALMAR LÄN</t>
        </is>
      </c>
      <c r="E2359" t="inlineStr">
        <is>
          <t>EMMABODA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56296-2019</t>
        </is>
      </c>
      <c r="B2360" s="1" t="n">
        <v>43756</v>
      </c>
      <c r="C2360" s="1" t="n">
        <v>45715</v>
      </c>
      <c r="D2360" t="inlineStr">
        <is>
          <t>KALMAR LÄN</t>
        </is>
      </c>
      <c r="E2360" t="inlineStr">
        <is>
          <t>HULTSFRED</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56386-2019</t>
        </is>
      </c>
      <c r="B2361" s="1" t="n">
        <v>43756</v>
      </c>
      <c r="C2361" s="1" t="n">
        <v>45715</v>
      </c>
      <c r="D2361" t="inlineStr">
        <is>
          <t>KALMAR LÄN</t>
        </is>
      </c>
      <c r="E2361" t="inlineStr">
        <is>
          <t>HULTSFRED</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56449-2019</t>
        </is>
      </c>
      <c r="B2362" s="1" t="n">
        <v>43756</v>
      </c>
      <c r="C2362" s="1" t="n">
        <v>45715</v>
      </c>
      <c r="D2362" t="inlineStr">
        <is>
          <t>KALMAR LÄN</t>
        </is>
      </c>
      <c r="E2362" t="inlineStr">
        <is>
          <t>HULTSFRED</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56392-2019</t>
        </is>
      </c>
      <c r="B2363" s="1" t="n">
        <v>43756</v>
      </c>
      <c r="C2363" s="1" t="n">
        <v>45715</v>
      </c>
      <c r="D2363" t="inlineStr">
        <is>
          <t>KALMAR LÄN</t>
        </is>
      </c>
      <c r="E2363" t="inlineStr">
        <is>
          <t>HULTSFRED</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55052-2019</t>
        </is>
      </c>
      <c r="B2364" s="1" t="n">
        <v>43756</v>
      </c>
      <c r="C2364" s="1" t="n">
        <v>45715</v>
      </c>
      <c r="D2364" t="inlineStr">
        <is>
          <t>KALMAR LÄN</t>
        </is>
      </c>
      <c r="E2364" t="inlineStr">
        <is>
          <t>EMMABODA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55409-2019</t>
        </is>
      </c>
      <c r="B2365" s="1" t="n">
        <v>43758</v>
      </c>
      <c r="C2365" s="1" t="n">
        <v>45715</v>
      </c>
      <c r="D2365" t="inlineStr">
        <is>
          <t>KALMAR LÄN</t>
        </is>
      </c>
      <c r="E2365" t="inlineStr">
        <is>
          <t>OSKARSHAMN</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55596-2019</t>
        </is>
      </c>
      <c r="B2366" s="1" t="n">
        <v>43759</v>
      </c>
      <c r="C2366" s="1" t="n">
        <v>45715</v>
      </c>
      <c r="D2366" t="inlineStr">
        <is>
          <t>KALMAR LÄN</t>
        </is>
      </c>
      <c r="E2366" t="inlineStr">
        <is>
          <t>NYBRO</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55757-2019</t>
        </is>
      </c>
      <c r="B2367" s="1" t="n">
        <v>43759</v>
      </c>
      <c r="C2367" s="1" t="n">
        <v>45715</v>
      </c>
      <c r="D2367" t="inlineStr">
        <is>
          <t>KALMAR LÄN</t>
        </is>
      </c>
      <c r="E2367" t="inlineStr">
        <is>
          <t>VIMMERBY</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56050-2019</t>
        </is>
      </c>
      <c r="B2368" s="1" t="n">
        <v>43759</v>
      </c>
      <c r="C2368" s="1" t="n">
        <v>45715</v>
      </c>
      <c r="D2368" t="inlineStr">
        <is>
          <t>KALMAR LÄN</t>
        </is>
      </c>
      <c r="E2368" t="inlineStr">
        <is>
          <t>OSKARSHAMN</t>
        </is>
      </c>
      <c r="F2368" t="inlineStr">
        <is>
          <t>Sveaskog</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56049-2019</t>
        </is>
      </c>
      <c r="B2369" s="1" t="n">
        <v>43759</v>
      </c>
      <c r="C2369" s="1" t="n">
        <v>45715</v>
      </c>
      <c r="D2369" t="inlineStr">
        <is>
          <t>KALMAR LÄN</t>
        </is>
      </c>
      <c r="E2369" t="inlineStr">
        <is>
          <t>OSKARSHAMN</t>
        </is>
      </c>
      <c r="F2369" t="inlineStr">
        <is>
          <t>Sveaskog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55565-2019</t>
        </is>
      </c>
      <c r="B2370" s="1" t="n">
        <v>43760</v>
      </c>
      <c r="C2370" s="1" t="n">
        <v>45715</v>
      </c>
      <c r="D2370" t="inlineStr">
        <is>
          <t>KALMAR LÄN</t>
        </is>
      </c>
      <c r="E2370" t="inlineStr">
        <is>
          <t>NYBRO</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55501-2019</t>
        </is>
      </c>
      <c r="B2371" s="1" t="n">
        <v>43760</v>
      </c>
      <c r="C2371" s="1" t="n">
        <v>45715</v>
      </c>
      <c r="D2371" t="inlineStr">
        <is>
          <t>KALMAR LÄN</t>
        </is>
      </c>
      <c r="E2371" t="inlineStr">
        <is>
          <t>HULTSFRED</t>
        </is>
      </c>
      <c r="G2371" t="n">
        <v>7.5</v>
      </c>
      <c r="H2371" t="n">
        <v>0</v>
      </c>
      <c r="I2371" t="n">
        <v>0</v>
      </c>
      <c r="J2371" t="n">
        <v>0</v>
      </c>
      <c r="K2371" t="n">
        <v>0</v>
      </c>
      <c r="L2371" t="n">
        <v>0</v>
      </c>
      <c r="M2371" t="n">
        <v>0</v>
      </c>
      <c r="N2371" t="n">
        <v>0</v>
      </c>
      <c r="O2371" t="n">
        <v>0</v>
      </c>
      <c r="P2371" t="n">
        <v>0</v>
      </c>
      <c r="Q2371" t="n">
        <v>0</v>
      </c>
      <c r="R2371" s="2" t="inlineStr"/>
    </row>
    <row r="2372" ht="15" customHeight="1">
      <c r="A2372" t="inlineStr">
        <is>
          <t>A 55842-2019</t>
        </is>
      </c>
      <c r="B2372" s="1" t="n">
        <v>43760</v>
      </c>
      <c r="C2372" s="1" t="n">
        <v>45715</v>
      </c>
      <c r="D2372" t="inlineStr">
        <is>
          <t>KALMAR LÄN</t>
        </is>
      </c>
      <c r="E2372" t="inlineStr">
        <is>
          <t>NYBRO</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55638-2019</t>
        </is>
      </c>
      <c r="B2373" s="1" t="n">
        <v>43760</v>
      </c>
      <c r="C2373" s="1" t="n">
        <v>45715</v>
      </c>
      <c r="D2373" t="inlineStr">
        <is>
          <t>KALMAR LÄN</t>
        </is>
      </c>
      <c r="E2373" t="inlineStr">
        <is>
          <t>EMMABODA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57293-2019</t>
        </is>
      </c>
      <c r="B2374" s="1" t="n">
        <v>43760</v>
      </c>
      <c r="C2374" s="1" t="n">
        <v>45715</v>
      </c>
      <c r="D2374" t="inlineStr">
        <is>
          <t>KALMAR LÄN</t>
        </is>
      </c>
      <c r="E2374" t="inlineStr">
        <is>
          <t>MÖNSTERÅS</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57285-2019</t>
        </is>
      </c>
      <c r="B2375" s="1" t="n">
        <v>43760</v>
      </c>
      <c r="C2375" s="1" t="n">
        <v>45715</v>
      </c>
      <c r="D2375" t="inlineStr">
        <is>
          <t>KALMAR LÄN</t>
        </is>
      </c>
      <c r="E2375" t="inlineStr">
        <is>
          <t>MÖNSTERÅS</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57308-2019</t>
        </is>
      </c>
      <c r="B2376" s="1" t="n">
        <v>43760</v>
      </c>
      <c r="C2376" s="1" t="n">
        <v>45715</v>
      </c>
      <c r="D2376" t="inlineStr">
        <is>
          <t>KALMAR LÄN</t>
        </is>
      </c>
      <c r="E2376" t="inlineStr">
        <is>
          <t>NYBRO</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56141-2019</t>
        </is>
      </c>
      <c r="B2377" s="1" t="n">
        <v>43761</v>
      </c>
      <c r="C2377" s="1" t="n">
        <v>45715</v>
      </c>
      <c r="D2377" t="inlineStr">
        <is>
          <t>KALMAR LÄN</t>
        </is>
      </c>
      <c r="E2377" t="inlineStr">
        <is>
          <t>KALMAR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57650-2019</t>
        </is>
      </c>
      <c r="B2378" s="1" t="n">
        <v>43761</v>
      </c>
      <c r="C2378" s="1" t="n">
        <v>45715</v>
      </c>
      <c r="D2378" t="inlineStr">
        <is>
          <t>KALMAR LÄN</t>
        </is>
      </c>
      <c r="E2378" t="inlineStr">
        <is>
          <t>VÄSTERVIK</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57601-2019</t>
        </is>
      </c>
      <c r="B2379" s="1" t="n">
        <v>43761</v>
      </c>
      <c r="C2379" s="1" t="n">
        <v>45715</v>
      </c>
      <c r="D2379" t="inlineStr">
        <is>
          <t>KALMAR LÄN</t>
        </is>
      </c>
      <c r="E2379" t="inlineStr">
        <is>
          <t>OSKARSHAMN</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57654-2019</t>
        </is>
      </c>
      <c r="B2380" s="1" t="n">
        <v>43761</v>
      </c>
      <c r="C2380" s="1" t="n">
        <v>45715</v>
      </c>
      <c r="D2380" t="inlineStr">
        <is>
          <t>KALMAR LÄN</t>
        </is>
      </c>
      <c r="E2380" t="inlineStr">
        <is>
          <t>VÄSTERVIK</t>
        </is>
      </c>
      <c r="G2380" t="n">
        <v>8.800000000000001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56458-2019</t>
        </is>
      </c>
      <c r="B2381" s="1" t="n">
        <v>43762</v>
      </c>
      <c r="C2381" s="1" t="n">
        <v>45715</v>
      </c>
      <c r="D2381" t="inlineStr">
        <is>
          <t>KALMAR LÄN</t>
        </is>
      </c>
      <c r="E2381" t="inlineStr">
        <is>
          <t>HULTSFRED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56459-2019</t>
        </is>
      </c>
      <c r="B2382" s="1" t="n">
        <v>43762</v>
      </c>
      <c r="C2382" s="1" t="n">
        <v>45715</v>
      </c>
      <c r="D2382" t="inlineStr">
        <is>
          <t>KALMAR LÄN</t>
        </is>
      </c>
      <c r="E2382" t="inlineStr">
        <is>
          <t>HULTSFRED</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57998-2019</t>
        </is>
      </c>
      <c r="B2383" s="1" t="n">
        <v>43762</v>
      </c>
      <c r="C2383" s="1" t="n">
        <v>45715</v>
      </c>
      <c r="D2383" t="inlineStr">
        <is>
          <t>KALMAR LÄN</t>
        </is>
      </c>
      <c r="E2383" t="inlineStr">
        <is>
          <t>VIMMERBY</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56558-2019</t>
        </is>
      </c>
      <c r="B2384" s="1" t="n">
        <v>43763</v>
      </c>
      <c r="C2384" s="1" t="n">
        <v>45715</v>
      </c>
      <c r="D2384" t="inlineStr">
        <is>
          <t>KALMAR LÄN</t>
        </is>
      </c>
      <c r="E2384" t="inlineStr">
        <is>
          <t>MÖNSTERÅS</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56530-2019</t>
        </is>
      </c>
      <c r="B2385" s="1" t="n">
        <v>43763</v>
      </c>
      <c r="C2385" s="1" t="n">
        <v>45715</v>
      </c>
      <c r="D2385" t="inlineStr">
        <is>
          <t>KALMAR LÄN</t>
        </is>
      </c>
      <c r="E2385" t="inlineStr">
        <is>
          <t>KALMAR</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56533-2019</t>
        </is>
      </c>
      <c r="B2386" s="1" t="n">
        <v>43763</v>
      </c>
      <c r="C2386" s="1" t="n">
        <v>45715</v>
      </c>
      <c r="D2386" t="inlineStr">
        <is>
          <t>KALMAR LÄN</t>
        </is>
      </c>
      <c r="E2386" t="inlineStr">
        <is>
          <t>KALMAR</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56560-2019</t>
        </is>
      </c>
      <c r="B2387" s="1" t="n">
        <v>43763</v>
      </c>
      <c r="C2387" s="1" t="n">
        <v>45715</v>
      </c>
      <c r="D2387" t="inlineStr">
        <is>
          <t>KALMAR LÄN</t>
        </is>
      </c>
      <c r="E2387" t="inlineStr">
        <is>
          <t>MÖNSTERÅS</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56575-2019</t>
        </is>
      </c>
      <c r="B2388" s="1" t="n">
        <v>43763</v>
      </c>
      <c r="C2388" s="1" t="n">
        <v>45715</v>
      </c>
      <c r="D2388" t="inlineStr">
        <is>
          <t>KALMAR LÄN</t>
        </is>
      </c>
      <c r="E2388" t="inlineStr">
        <is>
          <t>MÖNSTERÅS</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56638-2019</t>
        </is>
      </c>
      <c r="B2389" s="1" t="n">
        <v>43763</v>
      </c>
      <c r="C2389" s="1" t="n">
        <v>45715</v>
      </c>
      <c r="D2389" t="inlineStr">
        <is>
          <t>KALMAR LÄN</t>
        </is>
      </c>
      <c r="E2389" t="inlineStr">
        <is>
          <t>BORGHOLM</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56580-2019</t>
        </is>
      </c>
      <c r="B2390" s="1" t="n">
        <v>43763</v>
      </c>
      <c r="C2390" s="1" t="n">
        <v>45715</v>
      </c>
      <c r="D2390" t="inlineStr">
        <is>
          <t>KALMAR LÄN</t>
        </is>
      </c>
      <c r="E2390" t="inlineStr">
        <is>
          <t>VÄSTERVIK</t>
        </is>
      </c>
      <c r="F2390" t="inlineStr">
        <is>
          <t>Övriga Aktiebolag</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56632-2019</t>
        </is>
      </c>
      <c r="B2391" s="1" t="n">
        <v>43763</v>
      </c>
      <c r="C2391" s="1" t="n">
        <v>45715</v>
      </c>
      <c r="D2391" t="inlineStr">
        <is>
          <t>KALMAR LÄN</t>
        </is>
      </c>
      <c r="E2391" t="inlineStr">
        <is>
          <t>MÖNSTERÅS</t>
        </is>
      </c>
      <c r="G2391" t="n">
        <v>8.6</v>
      </c>
      <c r="H2391" t="n">
        <v>0</v>
      </c>
      <c r="I2391" t="n">
        <v>0</v>
      </c>
      <c r="J2391" t="n">
        <v>0</v>
      </c>
      <c r="K2391" t="n">
        <v>0</v>
      </c>
      <c r="L2391" t="n">
        <v>0</v>
      </c>
      <c r="M2391" t="n">
        <v>0</v>
      </c>
      <c r="N2391" t="n">
        <v>0</v>
      </c>
      <c r="O2391" t="n">
        <v>0</v>
      </c>
      <c r="P2391" t="n">
        <v>0</v>
      </c>
      <c r="Q2391" t="n">
        <v>0</v>
      </c>
      <c r="R2391" s="2" t="inlineStr"/>
    </row>
    <row r="2392" ht="15" customHeight="1">
      <c r="A2392" t="inlineStr">
        <is>
          <t>A 56642-2019</t>
        </is>
      </c>
      <c r="B2392" s="1" t="n">
        <v>43763</v>
      </c>
      <c r="C2392" s="1" t="n">
        <v>45715</v>
      </c>
      <c r="D2392" t="inlineStr">
        <is>
          <t>KALMAR LÄN</t>
        </is>
      </c>
      <c r="E2392" t="inlineStr">
        <is>
          <t>HÖGSBY</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56644-2019</t>
        </is>
      </c>
      <c r="B2393" s="1" t="n">
        <v>43763</v>
      </c>
      <c r="C2393" s="1" t="n">
        <v>45715</v>
      </c>
      <c r="D2393" t="inlineStr">
        <is>
          <t>KALMAR LÄN</t>
        </is>
      </c>
      <c r="E2393" t="inlineStr">
        <is>
          <t>KALMAR</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56828-2019</t>
        </is>
      </c>
      <c r="B2394" s="1" t="n">
        <v>43764</v>
      </c>
      <c r="C2394" s="1" t="n">
        <v>45715</v>
      </c>
      <c r="D2394" t="inlineStr">
        <is>
          <t>KALMAR LÄN</t>
        </is>
      </c>
      <c r="E2394" t="inlineStr">
        <is>
          <t>HULTSFRED</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56877-2019</t>
        </is>
      </c>
      <c r="B2395" s="1" t="n">
        <v>43766</v>
      </c>
      <c r="C2395" s="1" t="n">
        <v>45715</v>
      </c>
      <c r="D2395" t="inlineStr">
        <is>
          <t>KALMAR LÄN</t>
        </is>
      </c>
      <c r="E2395" t="inlineStr">
        <is>
          <t>NYBRO</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56854-2019</t>
        </is>
      </c>
      <c r="B2396" s="1" t="n">
        <v>43766</v>
      </c>
      <c r="C2396" s="1" t="n">
        <v>45715</v>
      </c>
      <c r="D2396" t="inlineStr">
        <is>
          <t>KALMAR LÄN</t>
        </is>
      </c>
      <c r="E2396" t="inlineStr">
        <is>
          <t>TORSÅS</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56899-2019</t>
        </is>
      </c>
      <c r="B2397" s="1" t="n">
        <v>43766</v>
      </c>
      <c r="C2397" s="1" t="n">
        <v>45715</v>
      </c>
      <c r="D2397" t="inlineStr">
        <is>
          <t>KALMAR LÄN</t>
        </is>
      </c>
      <c r="E2397" t="inlineStr">
        <is>
          <t>TORSÅS</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56987-2019</t>
        </is>
      </c>
      <c r="B2398" s="1" t="n">
        <v>43766</v>
      </c>
      <c r="C2398" s="1" t="n">
        <v>45715</v>
      </c>
      <c r="D2398" t="inlineStr">
        <is>
          <t>KALMAR LÄN</t>
        </is>
      </c>
      <c r="E2398" t="inlineStr">
        <is>
          <t>NYBRO</t>
        </is>
      </c>
      <c r="F2398" t="inlineStr">
        <is>
          <t>Sveaskog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56994-2019</t>
        </is>
      </c>
      <c r="B2399" s="1" t="n">
        <v>43766</v>
      </c>
      <c r="C2399" s="1" t="n">
        <v>45715</v>
      </c>
      <c r="D2399" t="inlineStr">
        <is>
          <t>KALMAR LÄN</t>
        </is>
      </c>
      <c r="E2399" t="inlineStr">
        <is>
          <t>KALMAR</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57092-2019</t>
        </is>
      </c>
      <c r="B2400" s="1" t="n">
        <v>43766</v>
      </c>
      <c r="C2400" s="1" t="n">
        <v>45715</v>
      </c>
      <c r="D2400" t="inlineStr">
        <is>
          <t>KALMAR LÄN</t>
        </is>
      </c>
      <c r="E2400" t="inlineStr">
        <is>
          <t>EMMABODA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57108-2019</t>
        </is>
      </c>
      <c r="B2401" s="1" t="n">
        <v>43766</v>
      </c>
      <c r="C2401" s="1" t="n">
        <v>45715</v>
      </c>
      <c r="D2401" t="inlineStr">
        <is>
          <t>KALMAR LÄN</t>
        </is>
      </c>
      <c r="E2401" t="inlineStr">
        <is>
          <t>TORSÅS</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57133-2019</t>
        </is>
      </c>
      <c r="B2402" s="1" t="n">
        <v>43766</v>
      </c>
      <c r="C2402" s="1" t="n">
        <v>45715</v>
      </c>
      <c r="D2402" t="inlineStr">
        <is>
          <t>KALMAR LÄN</t>
        </is>
      </c>
      <c r="E2402" t="inlineStr">
        <is>
          <t>TORSÅS</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57174-2019</t>
        </is>
      </c>
      <c r="B2403" s="1" t="n">
        <v>43766</v>
      </c>
      <c r="C2403" s="1" t="n">
        <v>45715</v>
      </c>
      <c r="D2403" t="inlineStr">
        <is>
          <t>KALMAR LÄN</t>
        </is>
      </c>
      <c r="E2403" t="inlineStr">
        <is>
          <t>MÖNSTERÅS</t>
        </is>
      </c>
      <c r="F2403" t="inlineStr">
        <is>
          <t>Sveaskog</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57131-2019</t>
        </is>
      </c>
      <c r="B2404" s="1" t="n">
        <v>43766</v>
      </c>
      <c r="C2404" s="1" t="n">
        <v>45715</v>
      </c>
      <c r="D2404" t="inlineStr">
        <is>
          <t>KALMAR LÄN</t>
        </is>
      </c>
      <c r="E2404" t="inlineStr">
        <is>
          <t>TORSÅS</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57154-2019</t>
        </is>
      </c>
      <c r="B2405" s="1" t="n">
        <v>43766</v>
      </c>
      <c r="C2405" s="1" t="n">
        <v>45715</v>
      </c>
      <c r="D2405" t="inlineStr">
        <is>
          <t>KALMAR LÄN</t>
        </is>
      </c>
      <c r="E2405" t="inlineStr">
        <is>
          <t>TORSÅS</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57335-2019</t>
        </is>
      </c>
      <c r="B2406" s="1" t="n">
        <v>43767</v>
      </c>
      <c r="C2406" s="1" t="n">
        <v>45715</v>
      </c>
      <c r="D2406" t="inlineStr">
        <is>
          <t>KALMAR LÄN</t>
        </is>
      </c>
      <c r="E2406" t="inlineStr">
        <is>
          <t>MÖNSTERÅS</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57351-2019</t>
        </is>
      </c>
      <c r="B2407" s="1" t="n">
        <v>43767</v>
      </c>
      <c r="C2407" s="1" t="n">
        <v>45715</v>
      </c>
      <c r="D2407" t="inlineStr">
        <is>
          <t>KALMAR LÄN</t>
        </is>
      </c>
      <c r="E2407" t="inlineStr">
        <is>
          <t>HULTSFRED</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57532-2019</t>
        </is>
      </c>
      <c r="B2408" s="1" t="n">
        <v>43767</v>
      </c>
      <c r="C2408" s="1" t="n">
        <v>45715</v>
      </c>
      <c r="D2408" t="inlineStr">
        <is>
          <t>KALMAR LÄN</t>
        </is>
      </c>
      <c r="E2408" t="inlineStr">
        <is>
          <t>HULTSFRED</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57509-2019</t>
        </is>
      </c>
      <c r="B2409" s="1" t="n">
        <v>43767</v>
      </c>
      <c r="C2409" s="1" t="n">
        <v>45715</v>
      </c>
      <c r="D2409" t="inlineStr">
        <is>
          <t>KALMAR LÄN</t>
        </is>
      </c>
      <c r="E2409" t="inlineStr">
        <is>
          <t>VIMMERBY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57525-2019</t>
        </is>
      </c>
      <c r="B2410" s="1" t="n">
        <v>43767</v>
      </c>
      <c r="C2410" s="1" t="n">
        <v>45715</v>
      </c>
      <c r="D2410" t="inlineStr">
        <is>
          <t>KALMAR LÄN</t>
        </is>
      </c>
      <c r="E2410" t="inlineStr">
        <is>
          <t>OSKARSHAMN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57535-2019</t>
        </is>
      </c>
      <c r="B2411" s="1" t="n">
        <v>43767</v>
      </c>
      <c r="C2411" s="1" t="n">
        <v>45715</v>
      </c>
      <c r="D2411" t="inlineStr">
        <is>
          <t>KALMAR LÄN</t>
        </is>
      </c>
      <c r="E2411" t="inlineStr">
        <is>
          <t>HULTSFRED</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58604-2019</t>
        </is>
      </c>
      <c r="B2412" s="1" t="n">
        <v>43767</v>
      </c>
      <c r="C2412" s="1" t="n">
        <v>45715</v>
      </c>
      <c r="D2412" t="inlineStr">
        <is>
          <t>KALMAR LÄN</t>
        </is>
      </c>
      <c r="E2412" t="inlineStr">
        <is>
          <t>MÖNSTERÅS</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57625-2019</t>
        </is>
      </c>
      <c r="B2413" s="1" t="n">
        <v>43768</v>
      </c>
      <c r="C2413" s="1" t="n">
        <v>45715</v>
      </c>
      <c r="D2413" t="inlineStr">
        <is>
          <t>KALMAR LÄN</t>
        </is>
      </c>
      <c r="E2413" t="inlineStr">
        <is>
          <t>TORSÅS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57886-2019</t>
        </is>
      </c>
      <c r="B2414" s="1" t="n">
        <v>43768</v>
      </c>
      <c r="C2414" s="1" t="n">
        <v>45715</v>
      </c>
      <c r="D2414" t="inlineStr">
        <is>
          <t>KALMAR LÄN</t>
        </is>
      </c>
      <c r="E2414" t="inlineStr">
        <is>
          <t>VIMMERBY</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57770-2019</t>
        </is>
      </c>
      <c r="B2415" s="1" t="n">
        <v>43768</v>
      </c>
      <c r="C2415" s="1" t="n">
        <v>45715</v>
      </c>
      <c r="D2415" t="inlineStr">
        <is>
          <t>KALMAR LÄN</t>
        </is>
      </c>
      <c r="E2415" t="inlineStr">
        <is>
          <t>VÄSTERVIK</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57894-2019</t>
        </is>
      </c>
      <c r="B2416" s="1" t="n">
        <v>43769</v>
      </c>
      <c r="C2416" s="1" t="n">
        <v>45715</v>
      </c>
      <c r="D2416" t="inlineStr">
        <is>
          <t>KALMAR LÄN</t>
        </is>
      </c>
      <c r="E2416" t="inlineStr">
        <is>
          <t>HULTSFRED</t>
        </is>
      </c>
      <c r="F2416" t="inlineStr">
        <is>
          <t>Sveaskog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58018-2019</t>
        </is>
      </c>
      <c r="B2417" s="1" t="n">
        <v>43769</v>
      </c>
      <c r="C2417" s="1" t="n">
        <v>45715</v>
      </c>
      <c r="D2417" t="inlineStr">
        <is>
          <t>KALMAR LÄN</t>
        </is>
      </c>
      <c r="E2417" t="inlineStr">
        <is>
          <t>KALMAR</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57900-2019</t>
        </is>
      </c>
      <c r="B2418" s="1" t="n">
        <v>43769</v>
      </c>
      <c r="C2418" s="1" t="n">
        <v>45715</v>
      </c>
      <c r="D2418" t="inlineStr">
        <is>
          <t>KALMAR LÄN</t>
        </is>
      </c>
      <c r="E2418" t="inlineStr">
        <is>
          <t>HULTSFRED</t>
        </is>
      </c>
      <c r="F2418" t="inlineStr">
        <is>
          <t>Sveaskog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58008-2019</t>
        </is>
      </c>
      <c r="B2419" s="1" t="n">
        <v>43769</v>
      </c>
      <c r="C2419" s="1" t="n">
        <v>45715</v>
      </c>
      <c r="D2419" t="inlineStr">
        <is>
          <t>KALMAR LÄN</t>
        </is>
      </c>
      <c r="E2419" t="inlineStr">
        <is>
          <t>HULTSFRED</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58888-2019</t>
        </is>
      </c>
      <c r="B2420" s="1" t="n">
        <v>43769</v>
      </c>
      <c r="C2420" s="1" t="n">
        <v>45715</v>
      </c>
      <c r="D2420" t="inlineStr">
        <is>
          <t>KALMAR LÄN</t>
        </is>
      </c>
      <c r="E2420" t="inlineStr">
        <is>
          <t>OSKARSHAMN</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57902-2019</t>
        </is>
      </c>
      <c r="B2421" s="1" t="n">
        <v>43769</v>
      </c>
      <c r="C2421" s="1" t="n">
        <v>45715</v>
      </c>
      <c r="D2421" t="inlineStr">
        <is>
          <t>KALMAR LÄN</t>
        </is>
      </c>
      <c r="E2421" t="inlineStr">
        <is>
          <t>HULTSFRED</t>
        </is>
      </c>
      <c r="F2421" t="inlineStr">
        <is>
          <t>Sveaskog</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58026-2019</t>
        </is>
      </c>
      <c r="B2422" s="1" t="n">
        <v>43769</v>
      </c>
      <c r="C2422" s="1" t="n">
        <v>45715</v>
      </c>
      <c r="D2422" t="inlineStr">
        <is>
          <t>KALMAR LÄN</t>
        </is>
      </c>
      <c r="E2422" t="inlineStr">
        <is>
          <t>HULTSFRED</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58320-2019</t>
        </is>
      </c>
      <c r="B2423" s="1" t="n">
        <v>43770</v>
      </c>
      <c r="C2423" s="1" t="n">
        <v>45715</v>
      </c>
      <c r="D2423" t="inlineStr">
        <is>
          <t>KALMAR LÄN</t>
        </is>
      </c>
      <c r="E2423" t="inlineStr">
        <is>
          <t>NYBRO</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58323-2019</t>
        </is>
      </c>
      <c r="B2424" s="1" t="n">
        <v>43770</v>
      </c>
      <c r="C2424" s="1" t="n">
        <v>45715</v>
      </c>
      <c r="D2424" t="inlineStr">
        <is>
          <t>KALMAR LÄN</t>
        </is>
      </c>
      <c r="E2424" t="inlineStr">
        <is>
          <t>VÄSTERVIK</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58331-2019</t>
        </is>
      </c>
      <c r="B2425" s="1" t="n">
        <v>43770</v>
      </c>
      <c r="C2425" s="1" t="n">
        <v>45715</v>
      </c>
      <c r="D2425" t="inlineStr">
        <is>
          <t>KALMAR LÄN</t>
        </is>
      </c>
      <c r="E2425" t="inlineStr">
        <is>
          <t>NYBRO</t>
        </is>
      </c>
      <c r="G2425" t="n">
        <v>7.5</v>
      </c>
      <c r="H2425" t="n">
        <v>0</v>
      </c>
      <c r="I2425" t="n">
        <v>0</v>
      </c>
      <c r="J2425" t="n">
        <v>0</v>
      </c>
      <c r="K2425" t="n">
        <v>0</v>
      </c>
      <c r="L2425" t="n">
        <v>0</v>
      </c>
      <c r="M2425" t="n">
        <v>0</v>
      </c>
      <c r="N2425" t="n">
        <v>0</v>
      </c>
      <c r="O2425" t="n">
        <v>0</v>
      </c>
      <c r="P2425" t="n">
        <v>0</v>
      </c>
      <c r="Q2425" t="n">
        <v>0</v>
      </c>
      <c r="R2425" s="2" t="inlineStr"/>
    </row>
    <row r="2426" ht="15" customHeight="1">
      <c r="A2426" t="inlineStr">
        <is>
          <t>A 58382-2019</t>
        </is>
      </c>
      <c r="B2426" s="1" t="n">
        <v>43771</v>
      </c>
      <c r="C2426" s="1" t="n">
        <v>45715</v>
      </c>
      <c r="D2426" t="inlineStr">
        <is>
          <t>KALMAR LÄN</t>
        </is>
      </c>
      <c r="E2426" t="inlineStr">
        <is>
          <t>NYBRO</t>
        </is>
      </c>
      <c r="G2426" t="n">
        <v>9.9</v>
      </c>
      <c r="H2426" t="n">
        <v>0</v>
      </c>
      <c r="I2426" t="n">
        <v>0</v>
      </c>
      <c r="J2426" t="n">
        <v>0</v>
      </c>
      <c r="K2426" t="n">
        <v>0</v>
      </c>
      <c r="L2426" t="n">
        <v>0</v>
      </c>
      <c r="M2426" t="n">
        <v>0</v>
      </c>
      <c r="N2426" t="n">
        <v>0</v>
      </c>
      <c r="O2426" t="n">
        <v>0</v>
      </c>
      <c r="P2426" t="n">
        <v>0</v>
      </c>
      <c r="Q2426" t="n">
        <v>0</v>
      </c>
      <c r="R2426" s="2" t="inlineStr"/>
    </row>
    <row r="2427" ht="15" customHeight="1">
      <c r="A2427" t="inlineStr">
        <is>
          <t>A 58380-2019</t>
        </is>
      </c>
      <c r="B2427" s="1" t="n">
        <v>43771</v>
      </c>
      <c r="C2427" s="1" t="n">
        <v>45715</v>
      </c>
      <c r="D2427" t="inlineStr">
        <is>
          <t>KALMAR LÄN</t>
        </is>
      </c>
      <c r="E2427" t="inlineStr">
        <is>
          <t>NYBRO</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58386-2019</t>
        </is>
      </c>
      <c r="B2428" s="1" t="n">
        <v>43772</v>
      </c>
      <c r="C2428" s="1" t="n">
        <v>45715</v>
      </c>
      <c r="D2428" t="inlineStr">
        <is>
          <t>KALMAR LÄN</t>
        </is>
      </c>
      <c r="E2428" t="inlineStr">
        <is>
          <t>VÄSTERVIK</t>
        </is>
      </c>
      <c r="F2428" t="inlineStr">
        <is>
          <t>Sveaskog</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58397-2019</t>
        </is>
      </c>
      <c r="B2429" s="1" t="n">
        <v>43772</v>
      </c>
      <c r="C2429" s="1" t="n">
        <v>45715</v>
      </c>
      <c r="D2429" t="inlineStr">
        <is>
          <t>KALMAR LÄN</t>
        </is>
      </c>
      <c r="E2429" t="inlineStr">
        <is>
          <t>HULTSFRED</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58479-2019</t>
        </is>
      </c>
      <c r="B2430" s="1" t="n">
        <v>43773</v>
      </c>
      <c r="C2430" s="1" t="n">
        <v>45715</v>
      </c>
      <c r="D2430" t="inlineStr">
        <is>
          <t>KALMAR LÄN</t>
        </is>
      </c>
      <c r="E2430" t="inlineStr">
        <is>
          <t>EMMABODA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58480-2019</t>
        </is>
      </c>
      <c r="B2431" s="1" t="n">
        <v>43773</v>
      </c>
      <c r="C2431" s="1" t="n">
        <v>45715</v>
      </c>
      <c r="D2431" t="inlineStr">
        <is>
          <t>KALMAR LÄN</t>
        </is>
      </c>
      <c r="E2431" t="inlineStr">
        <is>
          <t>NYBRO</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58436-2019</t>
        </is>
      </c>
      <c r="B2432" s="1" t="n">
        <v>43773</v>
      </c>
      <c r="C2432" s="1" t="n">
        <v>45715</v>
      </c>
      <c r="D2432" t="inlineStr">
        <is>
          <t>KALMAR LÄN</t>
        </is>
      </c>
      <c r="E2432" t="inlineStr">
        <is>
          <t>MÖNSTERÅS</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58633-2019</t>
        </is>
      </c>
      <c r="B2433" s="1" t="n">
        <v>43773</v>
      </c>
      <c r="C2433" s="1" t="n">
        <v>45715</v>
      </c>
      <c r="D2433" t="inlineStr">
        <is>
          <t>KALMAR LÄN</t>
        </is>
      </c>
      <c r="E2433" t="inlineStr">
        <is>
          <t>TORSÅS</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58658-2019</t>
        </is>
      </c>
      <c r="B2434" s="1" t="n">
        <v>43773</v>
      </c>
      <c r="C2434" s="1" t="n">
        <v>45715</v>
      </c>
      <c r="D2434" t="inlineStr">
        <is>
          <t>KALMAR LÄN</t>
        </is>
      </c>
      <c r="E2434" t="inlineStr">
        <is>
          <t>VÄSTERVIK</t>
        </is>
      </c>
      <c r="F2434" t="inlineStr">
        <is>
          <t>Kyrkan</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58683-2019</t>
        </is>
      </c>
      <c r="B2435" s="1" t="n">
        <v>43773</v>
      </c>
      <c r="C2435" s="1" t="n">
        <v>45715</v>
      </c>
      <c r="D2435" t="inlineStr">
        <is>
          <t>KALMAR LÄN</t>
        </is>
      </c>
      <c r="E2435" t="inlineStr">
        <is>
          <t>EMMABODA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58571-2019</t>
        </is>
      </c>
      <c r="B2436" s="1" t="n">
        <v>43773</v>
      </c>
      <c r="C2436" s="1" t="n">
        <v>45715</v>
      </c>
      <c r="D2436" t="inlineStr">
        <is>
          <t>KALMAR LÄN</t>
        </is>
      </c>
      <c r="E2436" t="inlineStr">
        <is>
          <t>TORSÅS</t>
        </is>
      </c>
      <c r="G2436" t="n">
        <v>10.4</v>
      </c>
      <c r="H2436" t="n">
        <v>0</v>
      </c>
      <c r="I2436" t="n">
        <v>0</v>
      </c>
      <c r="J2436" t="n">
        <v>0</v>
      </c>
      <c r="K2436" t="n">
        <v>0</v>
      </c>
      <c r="L2436" t="n">
        <v>0</v>
      </c>
      <c r="M2436" t="n">
        <v>0</v>
      </c>
      <c r="N2436" t="n">
        <v>0</v>
      </c>
      <c r="O2436" t="n">
        <v>0</v>
      </c>
      <c r="P2436" t="n">
        <v>0</v>
      </c>
      <c r="Q2436" t="n">
        <v>0</v>
      </c>
      <c r="R2436" s="2" t="inlineStr"/>
    </row>
    <row r="2437" ht="15" customHeight="1">
      <c r="A2437" t="inlineStr">
        <is>
          <t>A 59256-2019</t>
        </is>
      </c>
      <c r="B2437" s="1" t="n">
        <v>43773</v>
      </c>
      <c r="C2437" s="1" t="n">
        <v>45715</v>
      </c>
      <c r="D2437" t="inlineStr">
        <is>
          <t>KALMAR LÄN</t>
        </is>
      </c>
      <c r="E2437" t="inlineStr">
        <is>
          <t>VIMMERBY</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58812-2019</t>
        </is>
      </c>
      <c r="B2438" s="1" t="n">
        <v>43774</v>
      </c>
      <c r="C2438" s="1" t="n">
        <v>45715</v>
      </c>
      <c r="D2438" t="inlineStr">
        <is>
          <t>KALMAR LÄN</t>
        </is>
      </c>
      <c r="E2438" t="inlineStr">
        <is>
          <t>VIMMERBY</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58856-2019</t>
        </is>
      </c>
      <c r="B2439" s="1" t="n">
        <v>43774</v>
      </c>
      <c r="C2439" s="1" t="n">
        <v>45715</v>
      </c>
      <c r="D2439" t="inlineStr">
        <is>
          <t>KALMAR LÄN</t>
        </is>
      </c>
      <c r="E2439" t="inlineStr">
        <is>
          <t>NYBRO</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59067-2019</t>
        </is>
      </c>
      <c r="B2440" s="1" t="n">
        <v>43774</v>
      </c>
      <c r="C2440" s="1" t="n">
        <v>45715</v>
      </c>
      <c r="D2440" t="inlineStr">
        <is>
          <t>KALMAR LÄN</t>
        </is>
      </c>
      <c r="E2440" t="inlineStr">
        <is>
          <t>KALMAR</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59041-2019</t>
        </is>
      </c>
      <c r="B2441" s="1" t="n">
        <v>43774</v>
      </c>
      <c r="C2441" s="1" t="n">
        <v>45715</v>
      </c>
      <c r="D2441" t="inlineStr">
        <is>
          <t>KALMAR LÄN</t>
        </is>
      </c>
      <c r="E2441" t="inlineStr">
        <is>
          <t>HULTSFRED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59214-2019</t>
        </is>
      </c>
      <c r="B2442" s="1" t="n">
        <v>43774</v>
      </c>
      <c r="C2442" s="1" t="n">
        <v>45715</v>
      </c>
      <c r="D2442" t="inlineStr">
        <is>
          <t>KALMAR LÄN</t>
        </is>
      </c>
      <c r="E2442" t="inlineStr">
        <is>
          <t>OSKARSHAMN</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58948-2019</t>
        </is>
      </c>
      <c r="B2443" s="1" t="n">
        <v>43774</v>
      </c>
      <c r="C2443" s="1" t="n">
        <v>45715</v>
      </c>
      <c r="D2443" t="inlineStr">
        <is>
          <t>KALMAR LÄN</t>
        </is>
      </c>
      <c r="E2443" t="inlineStr">
        <is>
          <t>OSKARSHAMN</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59113-2019</t>
        </is>
      </c>
      <c r="B2444" s="1" t="n">
        <v>43775</v>
      </c>
      <c r="C2444" s="1" t="n">
        <v>45715</v>
      </c>
      <c r="D2444" t="inlineStr">
        <is>
          <t>KALMAR LÄN</t>
        </is>
      </c>
      <c r="E2444" t="inlineStr">
        <is>
          <t>NYBRO</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59341-2019</t>
        </is>
      </c>
      <c r="B2445" s="1" t="n">
        <v>43775</v>
      </c>
      <c r="C2445" s="1" t="n">
        <v>45715</v>
      </c>
      <c r="D2445" t="inlineStr">
        <is>
          <t>KALMAR LÄN</t>
        </is>
      </c>
      <c r="E2445" t="inlineStr">
        <is>
          <t>OSKARSHAMN</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59114-2019</t>
        </is>
      </c>
      <c r="B2446" s="1" t="n">
        <v>43775</v>
      </c>
      <c r="C2446" s="1" t="n">
        <v>45715</v>
      </c>
      <c r="D2446" t="inlineStr">
        <is>
          <t>KALMAR LÄN</t>
        </is>
      </c>
      <c r="E2446" t="inlineStr">
        <is>
          <t>NYBRO</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59303-2019</t>
        </is>
      </c>
      <c r="B2447" s="1" t="n">
        <v>43775</v>
      </c>
      <c r="C2447" s="1" t="n">
        <v>45715</v>
      </c>
      <c r="D2447" t="inlineStr">
        <is>
          <t>KALMAR LÄN</t>
        </is>
      </c>
      <c r="E2447" t="inlineStr">
        <is>
          <t>NYBRO</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59411-2019</t>
        </is>
      </c>
      <c r="B2448" s="1" t="n">
        <v>43775</v>
      </c>
      <c r="C2448" s="1" t="n">
        <v>45715</v>
      </c>
      <c r="D2448" t="inlineStr">
        <is>
          <t>KALMAR LÄN</t>
        </is>
      </c>
      <c r="E2448" t="inlineStr">
        <is>
          <t>TORSÅS</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59391-2019</t>
        </is>
      </c>
      <c r="B2449" s="1" t="n">
        <v>43775</v>
      </c>
      <c r="C2449" s="1" t="n">
        <v>45715</v>
      </c>
      <c r="D2449" t="inlineStr">
        <is>
          <t>KALMAR LÄN</t>
        </is>
      </c>
      <c r="E2449" t="inlineStr">
        <is>
          <t>NYBRO</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59479-2019</t>
        </is>
      </c>
      <c r="B2450" s="1" t="n">
        <v>43775</v>
      </c>
      <c r="C2450" s="1" t="n">
        <v>45715</v>
      </c>
      <c r="D2450" t="inlineStr">
        <is>
          <t>KALMAR LÄN</t>
        </is>
      </c>
      <c r="E2450" t="inlineStr">
        <is>
          <t>HÖGSBY</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59300-2019</t>
        </is>
      </c>
      <c r="B2451" s="1" t="n">
        <v>43775</v>
      </c>
      <c r="C2451" s="1" t="n">
        <v>45715</v>
      </c>
      <c r="D2451" t="inlineStr">
        <is>
          <t>KALMAR LÄN</t>
        </is>
      </c>
      <c r="E2451" t="inlineStr">
        <is>
          <t>MÖNSTERÅS</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59369-2019</t>
        </is>
      </c>
      <c r="B2452" s="1" t="n">
        <v>43775</v>
      </c>
      <c r="C2452" s="1" t="n">
        <v>45715</v>
      </c>
      <c r="D2452" t="inlineStr">
        <is>
          <t>KALMAR LÄN</t>
        </is>
      </c>
      <c r="E2452" t="inlineStr">
        <is>
          <t>OSKARSHAMN</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59616-2019</t>
        </is>
      </c>
      <c r="B2453" s="1" t="n">
        <v>43776</v>
      </c>
      <c r="C2453" s="1" t="n">
        <v>45715</v>
      </c>
      <c r="D2453" t="inlineStr">
        <is>
          <t>KALMAR LÄN</t>
        </is>
      </c>
      <c r="E2453" t="inlineStr">
        <is>
          <t>HULTSFRED</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59639-2019</t>
        </is>
      </c>
      <c r="B2454" s="1" t="n">
        <v>43776</v>
      </c>
      <c r="C2454" s="1" t="n">
        <v>45715</v>
      </c>
      <c r="D2454" t="inlineStr">
        <is>
          <t>KALMAR LÄN</t>
        </is>
      </c>
      <c r="E2454" t="inlineStr">
        <is>
          <t>HULTSFRED</t>
        </is>
      </c>
      <c r="F2454" t="inlineStr">
        <is>
          <t>Kyrkan</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59660-2019</t>
        </is>
      </c>
      <c r="B2455" s="1" t="n">
        <v>43776</v>
      </c>
      <c r="C2455" s="1" t="n">
        <v>45715</v>
      </c>
      <c r="D2455" t="inlineStr">
        <is>
          <t>KALMAR LÄN</t>
        </is>
      </c>
      <c r="E2455" t="inlineStr">
        <is>
          <t>MÖNSTERÅS</t>
        </is>
      </c>
      <c r="G2455" t="n">
        <v>13.9</v>
      </c>
      <c r="H2455" t="n">
        <v>0</v>
      </c>
      <c r="I2455" t="n">
        <v>0</v>
      </c>
      <c r="J2455" t="n">
        <v>0</v>
      </c>
      <c r="K2455" t="n">
        <v>0</v>
      </c>
      <c r="L2455" t="n">
        <v>0</v>
      </c>
      <c r="M2455" t="n">
        <v>0</v>
      </c>
      <c r="N2455" t="n">
        <v>0</v>
      </c>
      <c r="O2455" t="n">
        <v>0</v>
      </c>
      <c r="P2455" t="n">
        <v>0</v>
      </c>
      <c r="Q2455" t="n">
        <v>0</v>
      </c>
      <c r="R2455" s="2" t="inlineStr"/>
    </row>
    <row r="2456" ht="15" customHeight="1">
      <c r="A2456" t="inlineStr">
        <is>
          <t>A 59694-2019</t>
        </is>
      </c>
      <c r="B2456" s="1" t="n">
        <v>43776</v>
      </c>
      <c r="C2456" s="1" t="n">
        <v>45715</v>
      </c>
      <c r="D2456" t="inlineStr">
        <is>
          <t>KALMAR LÄN</t>
        </is>
      </c>
      <c r="E2456" t="inlineStr">
        <is>
          <t>HULTSFRED</t>
        </is>
      </c>
      <c r="F2456" t="inlineStr">
        <is>
          <t>Kyrkan</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59463-2019</t>
        </is>
      </c>
      <c r="B2457" s="1" t="n">
        <v>43776</v>
      </c>
      <c r="C2457" s="1" t="n">
        <v>45715</v>
      </c>
      <c r="D2457" t="inlineStr">
        <is>
          <t>KALMAR LÄN</t>
        </is>
      </c>
      <c r="E2457" t="inlineStr">
        <is>
          <t>KALMAR</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59622-2019</t>
        </is>
      </c>
      <c r="B2458" s="1" t="n">
        <v>43776</v>
      </c>
      <c r="C2458" s="1" t="n">
        <v>45715</v>
      </c>
      <c r="D2458" t="inlineStr">
        <is>
          <t>KALMAR LÄN</t>
        </is>
      </c>
      <c r="E2458" t="inlineStr">
        <is>
          <t>HULTSFRED</t>
        </is>
      </c>
      <c r="F2458" t="inlineStr">
        <is>
          <t>Kyrkan</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59753-2019</t>
        </is>
      </c>
      <c r="B2459" s="1" t="n">
        <v>43776</v>
      </c>
      <c r="C2459" s="1" t="n">
        <v>45715</v>
      </c>
      <c r="D2459" t="inlineStr">
        <is>
          <t>KALMAR LÄN</t>
        </is>
      </c>
      <c r="E2459" t="inlineStr">
        <is>
          <t>VÄSTERVIK</t>
        </is>
      </c>
      <c r="F2459" t="inlineStr">
        <is>
          <t>Sveaskog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59645-2019</t>
        </is>
      </c>
      <c r="B2460" s="1" t="n">
        <v>43776</v>
      </c>
      <c r="C2460" s="1" t="n">
        <v>45715</v>
      </c>
      <c r="D2460" t="inlineStr">
        <is>
          <t>KALMAR LÄN</t>
        </is>
      </c>
      <c r="E2460" t="inlineStr">
        <is>
          <t>HULTSFRED</t>
        </is>
      </c>
      <c r="F2460" t="inlineStr">
        <is>
          <t>Kyrkan</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59705-2019</t>
        </is>
      </c>
      <c r="B2461" s="1" t="n">
        <v>43776</v>
      </c>
      <c r="C2461" s="1" t="n">
        <v>45715</v>
      </c>
      <c r="D2461" t="inlineStr">
        <is>
          <t>KALMAR LÄN</t>
        </is>
      </c>
      <c r="E2461" t="inlineStr">
        <is>
          <t>HULTSFRED</t>
        </is>
      </c>
      <c r="F2461" t="inlineStr">
        <is>
          <t>Kyrkan</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59746-2019</t>
        </is>
      </c>
      <c r="B2462" s="1" t="n">
        <v>43776</v>
      </c>
      <c r="C2462" s="1" t="n">
        <v>45715</v>
      </c>
      <c r="D2462" t="inlineStr">
        <is>
          <t>KALMAR LÄN</t>
        </is>
      </c>
      <c r="E2462" t="inlineStr">
        <is>
          <t>KALMAR</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59755-2019</t>
        </is>
      </c>
      <c r="B2463" s="1" t="n">
        <v>43776</v>
      </c>
      <c r="C2463" s="1" t="n">
        <v>45715</v>
      </c>
      <c r="D2463" t="inlineStr">
        <is>
          <t>KALMAR LÄN</t>
        </is>
      </c>
      <c r="E2463" t="inlineStr">
        <is>
          <t>TORSÅS</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59812-2019</t>
        </is>
      </c>
      <c r="B2464" s="1" t="n">
        <v>43776</v>
      </c>
      <c r="C2464" s="1" t="n">
        <v>45715</v>
      </c>
      <c r="D2464" t="inlineStr">
        <is>
          <t>KALMAR LÄN</t>
        </is>
      </c>
      <c r="E2464" t="inlineStr">
        <is>
          <t>HULTSFRED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59557-2019</t>
        </is>
      </c>
      <c r="B2465" s="1" t="n">
        <v>43776</v>
      </c>
      <c r="C2465" s="1" t="n">
        <v>45715</v>
      </c>
      <c r="D2465" t="inlineStr">
        <is>
          <t>KALMAR LÄN</t>
        </is>
      </c>
      <c r="E2465" t="inlineStr">
        <is>
          <t>HÖGSBY</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59795-2019</t>
        </is>
      </c>
      <c r="B2466" s="1" t="n">
        <v>43777</v>
      </c>
      <c r="C2466" s="1" t="n">
        <v>45715</v>
      </c>
      <c r="D2466" t="inlineStr">
        <is>
          <t>KALMAR LÄN</t>
        </is>
      </c>
      <c r="E2466" t="inlineStr">
        <is>
          <t>NYBRO</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59899-2019</t>
        </is>
      </c>
      <c r="B2467" s="1" t="n">
        <v>43777</v>
      </c>
      <c r="C2467" s="1" t="n">
        <v>45715</v>
      </c>
      <c r="D2467" t="inlineStr">
        <is>
          <t>KALMAR LÄN</t>
        </is>
      </c>
      <c r="E2467" t="inlineStr">
        <is>
          <t>KALMAR</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59917-2019</t>
        </is>
      </c>
      <c r="B2468" s="1" t="n">
        <v>43777</v>
      </c>
      <c r="C2468" s="1" t="n">
        <v>45715</v>
      </c>
      <c r="D2468" t="inlineStr">
        <is>
          <t>KALMAR LÄN</t>
        </is>
      </c>
      <c r="E2468" t="inlineStr">
        <is>
          <t>EMMABODA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59928-2019</t>
        </is>
      </c>
      <c r="B2469" s="1" t="n">
        <v>43777</v>
      </c>
      <c r="C2469" s="1" t="n">
        <v>45715</v>
      </c>
      <c r="D2469" t="inlineStr">
        <is>
          <t>KALMAR LÄN</t>
        </is>
      </c>
      <c r="E2469" t="inlineStr">
        <is>
          <t>KALMAR</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59794-2019</t>
        </is>
      </c>
      <c r="B2470" s="1" t="n">
        <v>43777</v>
      </c>
      <c r="C2470" s="1" t="n">
        <v>45715</v>
      </c>
      <c r="D2470" t="inlineStr">
        <is>
          <t>KALMAR LÄN</t>
        </is>
      </c>
      <c r="E2470" t="inlineStr">
        <is>
          <t>NYBRO</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59898-2019</t>
        </is>
      </c>
      <c r="B2471" s="1" t="n">
        <v>43777</v>
      </c>
      <c r="C2471" s="1" t="n">
        <v>45715</v>
      </c>
      <c r="D2471" t="inlineStr">
        <is>
          <t>KALMAR LÄN</t>
        </is>
      </c>
      <c r="E2471" t="inlineStr">
        <is>
          <t>VÄSTERVIK</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59910-2019</t>
        </is>
      </c>
      <c r="B2472" s="1" t="n">
        <v>43777</v>
      </c>
      <c r="C2472" s="1" t="n">
        <v>45715</v>
      </c>
      <c r="D2472" t="inlineStr">
        <is>
          <t>KALMAR LÄN</t>
        </is>
      </c>
      <c r="E2472" t="inlineStr">
        <is>
          <t>KALMAR</t>
        </is>
      </c>
      <c r="G2472" t="n">
        <v>7.9</v>
      </c>
      <c r="H2472" t="n">
        <v>0</v>
      </c>
      <c r="I2472" t="n">
        <v>0</v>
      </c>
      <c r="J2472" t="n">
        <v>0</v>
      </c>
      <c r="K2472" t="n">
        <v>0</v>
      </c>
      <c r="L2472" t="n">
        <v>0</v>
      </c>
      <c r="M2472" t="n">
        <v>0</v>
      </c>
      <c r="N2472" t="n">
        <v>0</v>
      </c>
      <c r="O2472" t="n">
        <v>0</v>
      </c>
      <c r="P2472" t="n">
        <v>0</v>
      </c>
      <c r="Q2472" t="n">
        <v>0</v>
      </c>
      <c r="R2472" s="2" t="inlineStr"/>
    </row>
    <row r="2473" ht="15" customHeight="1">
      <c r="A2473" t="inlineStr">
        <is>
          <t>A 59923-2019</t>
        </is>
      </c>
      <c r="B2473" s="1" t="n">
        <v>43777</v>
      </c>
      <c r="C2473" s="1" t="n">
        <v>45715</v>
      </c>
      <c r="D2473" t="inlineStr">
        <is>
          <t>KALMAR LÄN</t>
        </is>
      </c>
      <c r="E2473" t="inlineStr">
        <is>
          <t>EMMABODA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59814-2019</t>
        </is>
      </c>
      <c r="B2474" s="1" t="n">
        <v>43777</v>
      </c>
      <c r="C2474" s="1" t="n">
        <v>45715</v>
      </c>
      <c r="D2474" t="inlineStr">
        <is>
          <t>KALMAR LÄN</t>
        </is>
      </c>
      <c r="E2474" t="inlineStr">
        <is>
          <t>KALMAR</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59892-2019</t>
        </is>
      </c>
      <c r="B2475" s="1" t="n">
        <v>43777</v>
      </c>
      <c r="C2475" s="1" t="n">
        <v>45715</v>
      </c>
      <c r="D2475" t="inlineStr">
        <is>
          <t>KALMAR LÄN</t>
        </is>
      </c>
      <c r="E2475" t="inlineStr">
        <is>
          <t>VÄSTERVIK</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59937-2019</t>
        </is>
      </c>
      <c r="B2476" s="1" t="n">
        <v>43777</v>
      </c>
      <c r="C2476" s="1" t="n">
        <v>45715</v>
      </c>
      <c r="D2476" t="inlineStr">
        <is>
          <t>KALMAR LÄN</t>
        </is>
      </c>
      <c r="E2476" t="inlineStr">
        <is>
          <t>VÄSTERVIK</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60101-2019</t>
        </is>
      </c>
      <c r="B2477" s="1" t="n">
        <v>43777</v>
      </c>
      <c r="C2477" s="1" t="n">
        <v>45715</v>
      </c>
      <c r="D2477" t="inlineStr">
        <is>
          <t>KALMAR LÄN</t>
        </is>
      </c>
      <c r="E2477" t="inlineStr">
        <is>
          <t>HULTSFRED</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60184-2019</t>
        </is>
      </c>
      <c r="B2478" s="1" t="n">
        <v>43780</v>
      </c>
      <c r="C2478" s="1" t="n">
        <v>45715</v>
      </c>
      <c r="D2478" t="inlineStr">
        <is>
          <t>KALMAR LÄN</t>
        </is>
      </c>
      <c r="E2478" t="inlineStr">
        <is>
          <t>KALMAR</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60324-2019</t>
        </is>
      </c>
      <c r="B2479" s="1" t="n">
        <v>43780</v>
      </c>
      <c r="C2479" s="1" t="n">
        <v>45715</v>
      </c>
      <c r="D2479" t="inlineStr">
        <is>
          <t>KALMAR LÄN</t>
        </is>
      </c>
      <c r="E2479" t="inlineStr">
        <is>
          <t>HULTSFRED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60253-2019</t>
        </is>
      </c>
      <c r="B2480" s="1" t="n">
        <v>43780</v>
      </c>
      <c r="C2480" s="1" t="n">
        <v>45715</v>
      </c>
      <c r="D2480" t="inlineStr">
        <is>
          <t>KALMAR LÄN</t>
        </is>
      </c>
      <c r="E2480" t="inlineStr">
        <is>
          <t>VIMMERBY</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60311-2019</t>
        </is>
      </c>
      <c r="B2481" s="1" t="n">
        <v>43780</v>
      </c>
      <c r="C2481" s="1" t="n">
        <v>45715</v>
      </c>
      <c r="D2481" t="inlineStr">
        <is>
          <t>KALMAR LÄN</t>
        </is>
      </c>
      <c r="E2481" t="inlineStr">
        <is>
          <t>NYBRO</t>
        </is>
      </c>
      <c r="F2481" t="inlineStr">
        <is>
          <t>Sveaskog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60459-2019</t>
        </is>
      </c>
      <c r="B2482" s="1" t="n">
        <v>43780</v>
      </c>
      <c r="C2482" s="1" t="n">
        <v>45715</v>
      </c>
      <c r="D2482" t="inlineStr">
        <is>
          <t>KALMAR LÄN</t>
        </is>
      </c>
      <c r="E2482" t="inlineStr">
        <is>
          <t>OSKARSHAMN</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60439-2019</t>
        </is>
      </c>
      <c r="B2483" s="1" t="n">
        <v>43780</v>
      </c>
      <c r="C2483" s="1" t="n">
        <v>45715</v>
      </c>
      <c r="D2483" t="inlineStr">
        <is>
          <t>KALMAR LÄN</t>
        </is>
      </c>
      <c r="E2483" t="inlineStr">
        <is>
          <t>NYBRO</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60463-2019</t>
        </is>
      </c>
      <c r="B2484" s="1" t="n">
        <v>43780</v>
      </c>
      <c r="C2484" s="1" t="n">
        <v>45715</v>
      </c>
      <c r="D2484" t="inlineStr">
        <is>
          <t>KALMAR LÄN</t>
        </is>
      </c>
      <c r="E2484" t="inlineStr">
        <is>
          <t>OSKARSHAMN</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60451-2019</t>
        </is>
      </c>
      <c r="B2485" s="1" t="n">
        <v>43780</v>
      </c>
      <c r="C2485" s="1" t="n">
        <v>45715</v>
      </c>
      <c r="D2485" t="inlineStr">
        <is>
          <t>KALMAR LÄN</t>
        </is>
      </c>
      <c r="E2485" t="inlineStr">
        <is>
          <t>NYBRO</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60454-2019</t>
        </is>
      </c>
      <c r="B2486" s="1" t="n">
        <v>43780</v>
      </c>
      <c r="C2486" s="1" t="n">
        <v>45715</v>
      </c>
      <c r="D2486" t="inlineStr">
        <is>
          <t>KALMAR LÄN</t>
        </is>
      </c>
      <c r="E2486" t="inlineStr">
        <is>
          <t>OSKARSHAMN</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60932-2019</t>
        </is>
      </c>
      <c r="B2487" s="1" t="n">
        <v>43780</v>
      </c>
      <c r="C2487" s="1" t="n">
        <v>45715</v>
      </c>
      <c r="D2487" t="inlineStr">
        <is>
          <t>KALMAR LÄN</t>
        </is>
      </c>
      <c r="E2487" t="inlineStr">
        <is>
          <t>HULTSFRED</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60277-2019</t>
        </is>
      </c>
      <c r="B2488" s="1" t="n">
        <v>43780</v>
      </c>
      <c r="C2488" s="1" t="n">
        <v>45715</v>
      </c>
      <c r="D2488" t="inlineStr">
        <is>
          <t>KALMAR LÄN</t>
        </is>
      </c>
      <c r="E2488" t="inlineStr">
        <is>
          <t>HULTSFRED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60191-2019</t>
        </is>
      </c>
      <c r="B2489" s="1" t="n">
        <v>43780</v>
      </c>
      <c r="C2489" s="1" t="n">
        <v>45715</v>
      </c>
      <c r="D2489" t="inlineStr">
        <is>
          <t>KALMAR LÄN</t>
        </is>
      </c>
      <c r="E2489" t="inlineStr">
        <is>
          <t>KALMAR</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60642-2019</t>
        </is>
      </c>
      <c r="B2490" s="1" t="n">
        <v>43781</v>
      </c>
      <c r="C2490" s="1" t="n">
        <v>45715</v>
      </c>
      <c r="D2490" t="inlineStr">
        <is>
          <t>KALMAR LÄN</t>
        </is>
      </c>
      <c r="E2490" t="inlineStr">
        <is>
          <t>TORSÅS</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60640-2019</t>
        </is>
      </c>
      <c r="B2491" s="1" t="n">
        <v>43781</v>
      </c>
      <c r="C2491" s="1" t="n">
        <v>45715</v>
      </c>
      <c r="D2491" t="inlineStr">
        <is>
          <t>KALMAR LÄN</t>
        </is>
      </c>
      <c r="E2491" t="inlineStr">
        <is>
          <t>TORSÅS</t>
        </is>
      </c>
      <c r="G2491" t="n">
        <v>9.6</v>
      </c>
      <c r="H2491" t="n">
        <v>0</v>
      </c>
      <c r="I2491" t="n">
        <v>0</v>
      </c>
      <c r="J2491" t="n">
        <v>0</v>
      </c>
      <c r="K2491" t="n">
        <v>0</v>
      </c>
      <c r="L2491" t="n">
        <v>0</v>
      </c>
      <c r="M2491" t="n">
        <v>0</v>
      </c>
      <c r="N2491" t="n">
        <v>0</v>
      </c>
      <c r="O2491" t="n">
        <v>0</v>
      </c>
      <c r="P2491" t="n">
        <v>0</v>
      </c>
      <c r="Q2491" t="n">
        <v>0</v>
      </c>
      <c r="R2491" s="2" t="inlineStr"/>
    </row>
    <row r="2492" ht="15" customHeight="1">
      <c r="A2492" t="inlineStr">
        <is>
          <t>A 60673-2019</t>
        </is>
      </c>
      <c r="B2492" s="1" t="n">
        <v>43781</v>
      </c>
      <c r="C2492" s="1" t="n">
        <v>45715</v>
      </c>
      <c r="D2492" t="inlineStr">
        <is>
          <t>KALMAR LÄN</t>
        </is>
      </c>
      <c r="E2492" t="inlineStr">
        <is>
          <t>VIMMERBY</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60851-2019</t>
        </is>
      </c>
      <c r="B2493" s="1" t="n">
        <v>43781</v>
      </c>
      <c r="C2493" s="1" t="n">
        <v>45715</v>
      </c>
      <c r="D2493" t="inlineStr">
        <is>
          <t>KALMAR LÄN</t>
        </is>
      </c>
      <c r="E2493" t="inlineStr">
        <is>
          <t>NYBRO</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60707-2019</t>
        </is>
      </c>
      <c r="B2494" s="1" t="n">
        <v>43781</v>
      </c>
      <c r="C2494" s="1" t="n">
        <v>45715</v>
      </c>
      <c r="D2494" t="inlineStr">
        <is>
          <t>KALMAR LÄN</t>
        </is>
      </c>
      <c r="E2494" t="inlineStr">
        <is>
          <t>VÄSTERVIK</t>
        </is>
      </c>
      <c r="F2494" t="inlineStr">
        <is>
          <t>Sveaskog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60802-2019</t>
        </is>
      </c>
      <c r="B2495" s="1" t="n">
        <v>43781</v>
      </c>
      <c r="C2495" s="1" t="n">
        <v>45715</v>
      </c>
      <c r="D2495" t="inlineStr">
        <is>
          <t>KALMAR LÄN</t>
        </is>
      </c>
      <c r="E2495" t="inlineStr">
        <is>
          <t>VIMMERBY</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60794-2019</t>
        </is>
      </c>
      <c r="B2496" s="1" t="n">
        <v>43781</v>
      </c>
      <c r="C2496" s="1" t="n">
        <v>45715</v>
      </c>
      <c r="D2496" t="inlineStr">
        <is>
          <t>KALMAR LÄN</t>
        </is>
      </c>
      <c r="E2496" t="inlineStr">
        <is>
          <t>NYBRO</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61049-2019</t>
        </is>
      </c>
      <c r="B2497" s="1" t="n">
        <v>43782</v>
      </c>
      <c r="C2497" s="1" t="n">
        <v>45715</v>
      </c>
      <c r="D2497" t="inlineStr">
        <is>
          <t>KALMAR LÄN</t>
        </is>
      </c>
      <c r="E2497" t="inlineStr">
        <is>
          <t>VIMMERBY</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61061-2019</t>
        </is>
      </c>
      <c r="B2498" s="1" t="n">
        <v>43782</v>
      </c>
      <c r="C2498" s="1" t="n">
        <v>45715</v>
      </c>
      <c r="D2498" t="inlineStr">
        <is>
          <t>KALMAR LÄN</t>
        </is>
      </c>
      <c r="E2498" t="inlineStr">
        <is>
          <t>NYBRO</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61055-2019</t>
        </is>
      </c>
      <c r="B2499" s="1" t="n">
        <v>43782</v>
      </c>
      <c r="C2499" s="1" t="n">
        <v>45715</v>
      </c>
      <c r="D2499" t="inlineStr">
        <is>
          <t>KALMAR LÄN</t>
        </is>
      </c>
      <c r="E2499" t="inlineStr">
        <is>
          <t>VÄSTERVIK</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61190-2019</t>
        </is>
      </c>
      <c r="B2500" s="1" t="n">
        <v>43782</v>
      </c>
      <c r="C2500" s="1" t="n">
        <v>45715</v>
      </c>
      <c r="D2500" t="inlineStr">
        <is>
          <t>KALMAR LÄN</t>
        </is>
      </c>
      <c r="E2500" t="inlineStr">
        <is>
          <t>TORSÅS</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61164-2019</t>
        </is>
      </c>
      <c r="B2501" s="1" t="n">
        <v>43782</v>
      </c>
      <c r="C2501" s="1" t="n">
        <v>45715</v>
      </c>
      <c r="D2501" t="inlineStr">
        <is>
          <t>KALMAR LÄN</t>
        </is>
      </c>
      <c r="E2501" t="inlineStr">
        <is>
          <t>HULTSFRED</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60969-2019</t>
        </is>
      </c>
      <c r="B2502" s="1" t="n">
        <v>43782</v>
      </c>
      <c r="C2502" s="1" t="n">
        <v>45715</v>
      </c>
      <c r="D2502" t="inlineStr">
        <is>
          <t>KALMAR LÄN</t>
        </is>
      </c>
      <c r="E2502" t="inlineStr">
        <is>
          <t>KALMAR</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62074-2019</t>
        </is>
      </c>
      <c r="B2503" s="1" t="n">
        <v>43782</v>
      </c>
      <c r="C2503" s="1" t="n">
        <v>45715</v>
      </c>
      <c r="D2503" t="inlineStr">
        <is>
          <t>KALMAR LÄN</t>
        </is>
      </c>
      <c r="E2503" t="inlineStr">
        <is>
          <t>NYBRO</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61298-2019</t>
        </is>
      </c>
      <c r="B2504" s="1" t="n">
        <v>43783</v>
      </c>
      <c r="C2504" s="1" t="n">
        <v>45715</v>
      </c>
      <c r="D2504" t="inlineStr">
        <is>
          <t>KALMAR LÄN</t>
        </is>
      </c>
      <c r="E2504" t="inlineStr">
        <is>
          <t>HULTSFRED</t>
        </is>
      </c>
      <c r="F2504" t="inlineStr">
        <is>
          <t>Kyrkan</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61327-2019</t>
        </is>
      </c>
      <c r="B2505" s="1" t="n">
        <v>43783</v>
      </c>
      <c r="C2505" s="1" t="n">
        <v>45715</v>
      </c>
      <c r="D2505" t="inlineStr">
        <is>
          <t>KALMAR LÄN</t>
        </is>
      </c>
      <c r="E2505" t="inlineStr">
        <is>
          <t>HULTSFRED</t>
        </is>
      </c>
      <c r="F2505" t="inlineStr">
        <is>
          <t>Kyrkan</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61248-2019</t>
        </is>
      </c>
      <c r="B2506" s="1" t="n">
        <v>43783</v>
      </c>
      <c r="C2506" s="1" t="n">
        <v>45715</v>
      </c>
      <c r="D2506" t="inlineStr">
        <is>
          <t>KALMAR LÄN</t>
        </is>
      </c>
      <c r="E2506" t="inlineStr">
        <is>
          <t>OSKARSHAMN</t>
        </is>
      </c>
      <c r="F2506" t="inlineStr">
        <is>
          <t>Sveaskog</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61254-2019</t>
        </is>
      </c>
      <c r="B2507" s="1" t="n">
        <v>43783</v>
      </c>
      <c r="C2507" s="1" t="n">
        <v>45715</v>
      </c>
      <c r="D2507" t="inlineStr">
        <is>
          <t>KALMAR LÄN</t>
        </is>
      </c>
      <c r="E2507" t="inlineStr">
        <is>
          <t>OSKARSHAMN</t>
        </is>
      </c>
      <c r="F2507" t="inlineStr">
        <is>
          <t>Sveaskog</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61329-2019</t>
        </is>
      </c>
      <c r="B2508" s="1" t="n">
        <v>43783</v>
      </c>
      <c r="C2508" s="1" t="n">
        <v>45715</v>
      </c>
      <c r="D2508" t="inlineStr">
        <is>
          <t>KALMAR LÄN</t>
        </is>
      </c>
      <c r="E2508" t="inlineStr">
        <is>
          <t>HULTSFRED</t>
        </is>
      </c>
      <c r="F2508" t="inlineStr">
        <is>
          <t>Kyrkan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61619-2019</t>
        </is>
      </c>
      <c r="B2509" s="1" t="n">
        <v>43784</v>
      </c>
      <c r="C2509" s="1" t="n">
        <v>45715</v>
      </c>
      <c r="D2509" t="inlineStr">
        <is>
          <t>KALMAR LÄN</t>
        </is>
      </c>
      <c r="E2509" t="inlineStr">
        <is>
          <t>HÖGSBY</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61557-2019</t>
        </is>
      </c>
      <c r="B2510" s="1" t="n">
        <v>43784</v>
      </c>
      <c r="C2510" s="1" t="n">
        <v>45715</v>
      </c>
      <c r="D2510" t="inlineStr">
        <is>
          <t>KALMAR LÄN</t>
        </is>
      </c>
      <c r="E2510" t="inlineStr">
        <is>
          <t>KALMAR</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61674-2019</t>
        </is>
      </c>
      <c r="B2511" s="1" t="n">
        <v>43784</v>
      </c>
      <c r="C2511" s="1" t="n">
        <v>45715</v>
      </c>
      <c r="D2511" t="inlineStr">
        <is>
          <t>KALMAR LÄN</t>
        </is>
      </c>
      <c r="E2511" t="inlineStr">
        <is>
          <t>EMMABODA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61708-2019</t>
        </is>
      </c>
      <c r="B2512" s="1" t="n">
        <v>43784</v>
      </c>
      <c r="C2512" s="1" t="n">
        <v>45715</v>
      </c>
      <c r="D2512" t="inlineStr">
        <is>
          <t>KALMAR LÄN</t>
        </is>
      </c>
      <c r="E2512" t="inlineStr">
        <is>
          <t>VÄSTERVIK</t>
        </is>
      </c>
      <c r="F2512" t="inlineStr">
        <is>
          <t>Holmen skog AB</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61556-2019</t>
        </is>
      </c>
      <c r="B2513" s="1" t="n">
        <v>43784</v>
      </c>
      <c r="C2513" s="1" t="n">
        <v>45715</v>
      </c>
      <c r="D2513" t="inlineStr">
        <is>
          <t>KALMAR LÄN</t>
        </is>
      </c>
      <c r="E2513" t="inlineStr">
        <is>
          <t>KALMAR</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61623-2019</t>
        </is>
      </c>
      <c r="B2514" s="1" t="n">
        <v>43784</v>
      </c>
      <c r="C2514" s="1" t="n">
        <v>45715</v>
      </c>
      <c r="D2514" t="inlineStr">
        <is>
          <t>KALMAR LÄN</t>
        </is>
      </c>
      <c r="E2514" t="inlineStr">
        <is>
          <t>HÖGSBY</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61704-2019</t>
        </is>
      </c>
      <c r="B2515" s="1" t="n">
        <v>43784</v>
      </c>
      <c r="C2515" s="1" t="n">
        <v>45715</v>
      </c>
      <c r="D2515" t="inlineStr">
        <is>
          <t>KALMAR LÄN</t>
        </is>
      </c>
      <c r="E2515" t="inlineStr">
        <is>
          <t>NYBRO</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61715-2019</t>
        </is>
      </c>
      <c r="B2516" s="1" t="n">
        <v>43784</v>
      </c>
      <c r="C2516" s="1" t="n">
        <v>45715</v>
      </c>
      <c r="D2516" t="inlineStr">
        <is>
          <t>KALMAR LÄN</t>
        </is>
      </c>
      <c r="E2516" t="inlineStr">
        <is>
          <t>NYBRO</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61738-2019</t>
        </is>
      </c>
      <c r="B2517" s="1" t="n">
        <v>43784</v>
      </c>
      <c r="C2517" s="1" t="n">
        <v>45715</v>
      </c>
      <c r="D2517" t="inlineStr">
        <is>
          <t>KALMAR LÄN</t>
        </is>
      </c>
      <c r="E2517" t="inlineStr">
        <is>
          <t>KALMAR</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61768-2019</t>
        </is>
      </c>
      <c r="B2518" s="1" t="n">
        <v>43784</v>
      </c>
      <c r="C2518" s="1" t="n">
        <v>45715</v>
      </c>
      <c r="D2518" t="inlineStr">
        <is>
          <t>KALMAR LÄN</t>
        </is>
      </c>
      <c r="E2518" t="inlineStr">
        <is>
          <t>NYBRO</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61607-2019</t>
        </is>
      </c>
      <c r="B2519" s="1" t="n">
        <v>43784</v>
      </c>
      <c r="C2519" s="1" t="n">
        <v>45715</v>
      </c>
      <c r="D2519" t="inlineStr">
        <is>
          <t>KALMAR LÄN</t>
        </is>
      </c>
      <c r="E2519" t="inlineStr">
        <is>
          <t>HÖGSBY</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62565-2019</t>
        </is>
      </c>
      <c r="B2520" s="1" t="n">
        <v>43784</v>
      </c>
      <c r="C2520" s="1" t="n">
        <v>45715</v>
      </c>
      <c r="D2520" t="inlineStr">
        <is>
          <t>KALMAR LÄN</t>
        </is>
      </c>
      <c r="E2520" t="inlineStr">
        <is>
          <t>KALMAR</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62016-2019</t>
        </is>
      </c>
      <c r="B2521" s="1" t="n">
        <v>43787</v>
      </c>
      <c r="C2521" s="1" t="n">
        <v>45715</v>
      </c>
      <c r="D2521" t="inlineStr">
        <is>
          <t>KALMAR LÄN</t>
        </is>
      </c>
      <c r="E2521" t="inlineStr">
        <is>
          <t>KALMAR</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62042-2019</t>
        </is>
      </c>
      <c r="B2522" s="1" t="n">
        <v>43787</v>
      </c>
      <c r="C2522" s="1" t="n">
        <v>45715</v>
      </c>
      <c r="D2522" t="inlineStr">
        <is>
          <t>KALMAR LÄN</t>
        </is>
      </c>
      <c r="E2522" t="inlineStr">
        <is>
          <t>EMMABODA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62090-2019</t>
        </is>
      </c>
      <c r="B2523" s="1" t="n">
        <v>43787</v>
      </c>
      <c r="C2523" s="1" t="n">
        <v>45715</v>
      </c>
      <c r="D2523" t="inlineStr">
        <is>
          <t>KALMAR LÄN</t>
        </is>
      </c>
      <c r="E2523" t="inlineStr">
        <is>
          <t>OSKARSHAMN</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62093-2019</t>
        </is>
      </c>
      <c r="B2524" s="1" t="n">
        <v>43787</v>
      </c>
      <c r="C2524" s="1" t="n">
        <v>45715</v>
      </c>
      <c r="D2524" t="inlineStr">
        <is>
          <t>KALMAR LÄN</t>
        </is>
      </c>
      <c r="E2524" t="inlineStr">
        <is>
          <t>VÄSTERVIK</t>
        </is>
      </c>
      <c r="F2524" t="inlineStr">
        <is>
          <t>Holmen skog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61902-2019</t>
        </is>
      </c>
      <c r="B2525" s="1" t="n">
        <v>43787</v>
      </c>
      <c r="C2525" s="1" t="n">
        <v>45715</v>
      </c>
      <c r="D2525" t="inlineStr">
        <is>
          <t>KALMAR LÄN</t>
        </is>
      </c>
      <c r="E2525" t="inlineStr">
        <is>
          <t>HÖGSBY</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61993-2019</t>
        </is>
      </c>
      <c r="B2526" s="1" t="n">
        <v>43787</v>
      </c>
      <c r="C2526" s="1" t="n">
        <v>45715</v>
      </c>
      <c r="D2526" t="inlineStr">
        <is>
          <t>KALMAR LÄN</t>
        </is>
      </c>
      <c r="E2526" t="inlineStr">
        <is>
          <t>OSKARSHAMN</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62030-2019</t>
        </is>
      </c>
      <c r="B2527" s="1" t="n">
        <v>43787</v>
      </c>
      <c r="C2527" s="1" t="n">
        <v>45715</v>
      </c>
      <c r="D2527" t="inlineStr">
        <is>
          <t>KALMAR LÄN</t>
        </is>
      </c>
      <c r="E2527" t="inlineStr">
        <is>
          <t>NYBRO</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61901-2019</t>
        </is>
      </c>
      <c r="B2528" s="1" t="n">
        <v>43787</v>
      </c>
      <c r="C2528" s="1" t="n">
        <v>45715</v>
      </c>
      <c r="D2528" t="inlineStr">
        <is>
          <t>KALMAR LÄN</t>
        </is>
      </c>
      <c r="E2528" t="inlineStr">
        <is>
          <t>OSKARSHAMN</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62046-2019</t>
        </is>
      </c>
      <c r="B2529" s="1" t="n">
        <v>43787</v>
      </c>
      <c r="C2529" s="1" t="n">
        <v>45715</v>
      </c>
      <c r="D2529" t="inlineStr">
        <is>
          <t>KALMAR LÄN</t>
        </is>
      </c>
      <c r="E2529" t="inlineStr">
        <is>
          <t>VÄSTERVIK</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63362-2019</t>
        </is>
      </c>
      <c r="B2530" s="1" t="n">
        <v>43787</v>
      </c>
      <c r="C2530" s="1" t="n">
        <v>45715</v>
      </c>
      <c r="D2530" t="inlineStr">
        <is>
          <t>KALMAR LÄN</t>
        </is>
      </c>
      <c r="E2530" t="inlineStr">
        <is>
          <t>VIMMERBY</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62473-2019</t>
        </is>
      </c>
      <c r="B2531" s="1" t="n">
        <v>43788</v>
      </c>
      <c r="C2531" s="1" t="n">
        <v>45715</v>
      </c>
      <c r="D2531" t="inlineStr">
        <is>
          <t>KALMAR LÄN</t>
        </is>
      </c>
      <c r="E2531" t="inlineStr">
        <is>
          <t>VÄSTERVIK</t>
        </is>
      </c>
      <c r="F2531" t="inlineStr">
        <is>
          <t>Holmen skog AB</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62521-2019</t>
        </is>
      </c>
      <c r="B2532" s="1" t="n">
        <v>43789</v>
      </c>
      <c r="C2532" s="1" t="n">
        <v>45715</v>
      </c>
      <c r="D2532" t="inlineStr">
        <is>
          <t>KALMAR LÄN</t>
        </is>
      </c>
      <c r="E2532" t="inlineStr">
        <is>
          <t>TORSÅS</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62660-2019</t>
        </is>
      </c>
      <c r="B2533" s="1" t="n">
        <v>43789</v>
      </c>
      <c r="C2533" s="1" t="n">
        <v>45715</v>
      </c>
      <c r="D2533" t="inlineStr">
        <is>
          <t>KALMAR LÄN</t>
        </is>
      </c>
      <c r="E2533" t="inlineStr">
        <is>
          <t>VÄSTERVIK</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62625-2019</t>
        </is>
      </c>
      <c r="B2534" s="1" t="n">
        <v>43789</v>
      </c>
      <c r="C2534" s="1" t="n">
        <v>45715</v>
      </c>
      <c r="D2534" t="inlineStr">
        <is>
          <t>KALMAR LÄN</t>
        </is>
      </c>
      <c r="E2534" t="inlineStr">
        <is>
          <t>VIMMERBY</t>
        </is>
      </c>
      <c r="F2534" t="inlineStr">
        <is>
          <t>Övriga Aktiebolag</t>
        </is>
      </c>
      <c r="G2534" t="n">
        <v>8.1</v>
      </c>
      <c r="H2534" t="n">
        <v>0</v>
      </c>
      <c r="I2534" t="n">
        <v>0</v>
      </c>
      <c r="J2534" t="n">
        <v>0</v>
      </c>
      <c r="K2534" t="n">
        <v>0</v>
      </c>
      <c r="L2534" t="n">
        <v>0</v>
      </c>
      <c r="M2534" t="n">
        <v>0</v>
      </c>
      <c r="N2534" t="n">
        <v>0</v>
      </c>
      <c r="O2534" t="n">
        <v>0</v>
      </c>
      <c r="P2534" t="n">
        <v>0</v>
      </c>
      <c r="Q2534" t="n">
        <v>0</v>
      </c>
      <c r="R2534" s="2" t="inlineStr"/>
    </row>
    <row r="2535" ht="15" customHeight="1">
      <c r="A2535" t="inlineStr">
        <is>
          <t>A 62520-2019</t>
        </is>
      </c>
      <c r="B2535" s="1" t="n">
        <v>43789</v>
      </c>
      <c r="C2535" s="1" t="n">
        <v>45715</v>
      </c>
      <c r="D2535" t="inlineStr">
        <is>
          <t>KALMAR LÄN</t>
        </is>
      </c>
      <c r="E2535" t="inlineStr">
        <is>
          <t>TORSÅS</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62733-2019</t>
        </is>
      </c>
      <c r="B2536" s="1" t="n">
        <v>43790</v>
      </c>
      <c r="C2536" s="1" t="n">
        <v>45715</v>
      </c>
      <c r="D2536" t="inlineStr">
        <is>
          <t>KALMAR LÄN</t>
        </is>
      </c>
      <c r="E2536" t="inlineStr">
        <is>
          <t>EMMABODA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62831-2019</t>
        </is>
      </c>
      <c r="B2537" s="1" t="n">
        <v>43790</v>
      </c>
      <c r="C2537" s="1" t="n">
        <v>45715</v>
      </c>
      <c r="D2537" t="inlineStr">
        <is>
          <t>KALMAR LÄN</t>
        </is>
      </c>
      <c r="E2537" t="inlineStr">
        <is>
          <t>NYBRO</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62734-2019</t>
        </is>
      </c>
      <c r="B2538" s="1" t="n">
        <v>43790</v>
      </c>
      <c r="C2538" s="1" t="n">
        <v>45715</v>
      </c>
      <c r="D2538" t="inlineStr">
        <is>
          <t>KALMAR LÄN</t>
        </is>
      </c>
      <c r="E2538" t="inlineStr">
        <is>
          <t>EMMABODA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62835-2019</t>
        </is>
      </c>
      <c r="B2539" s="1" t="n">
        <v>43790</v>
      </c>
      <c r="C2539" s="1" t="n">
        <v>45715</v>
      </c>
      <c r="D2539" t="inlineStr">
        <is>
          <t>KALMAR LÄN</t>
        </is>
      </c>
      <c r="E2539" t="inlineStr">
        <is>
          <t>EMMABODA</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62968-2019</t>
        </is>
      </c>
      <c r="B2540" s="1" t="n">
        <v>43790</v>
      </c>
      <c r="C2540" s="1" t="n">
        <v>45715</v>
      </c>
      <c r="D2540" t="inlineStr">
        <is>
          <t>KALMAR LÄN</t>
        </is>
      </c>
      <c r="E2540" t="inlineStr">
        <is>
          <t>TORSÅS</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63086-2019</t>
        </is>
      </c>
      <c r="B2541" s="1" t="n">
        <v>43790</v>
      </c>
      <c r="C2541" s="1" t="n">
        <v>45715</v>
      </c>
      <c r="D2541" t="inlineStr">
        <is>
          <t>KALMAR LÄN</t>
        </is>
      </c>
      <c r="E2541" t="inlineStr">
        <is>
          <t>HÖGSBY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63029-2019</t>
        </is>
      </c>
      <c r="B2542" s="1" t="n">
        <v>43791</v>
      </c>
      <c r="C2542" s="1" t="n">
        <v>45715</v>
      </c>
      <c r="D2542" t="inlineStr">
        <is>
          <t>KALMAR LÄN</t>
        </is>
      </c>
      <c r="E2542" t="inlineStr">
        <is>
          <t>VIMMERBY</t>
        </is>
      </c>
      <c r="F2542" t="inlineStr">
        <is>
          <t>Kyrkan</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63090-2019</t>
        </is>
      </c>
      <c r="B2543" s="1" t="n">
        <v>43791</v>
      </c>
      <c r="C2543" s="1" t="n">
        <v>45715</v>
      </c>
      <c r="D2543" t="inlineStr">
        <is>
          <t>KALMAR LÄN</t>
        </is>
      </c>
      <c r="E2543" t="inlineStr">
        <is>
          <t>VÄSTERVIK</t>
        </is>
      </c>
      <c r="F2543" t="inlineStr">
        <is>
          <t>Övriga Aktiebolag</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63125-2019</t>
        </is>
      </c>
      <c r="B2544" s="1" t="n">
        <v>43791</v>
      </c>
      <c r="C2544" s="1" t="n">
        <v>45715</v>
      </c>
      <c r="D2544" t="inlineStr">
        <is>
          <t>KALMAR LÄN</t>
        </is>
      </c>
      <c r="E2544" t="inlineStr">
        <is>
          <t>KALMAR</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64331-2019</t>
        </is>
      </c>
      <c r="B2545" s="1" t="n">
        <v>43791</v>
      </c>
      <c r="C2545" s="1" t="n">
        <v>45715</v>
      </c>
      <c r="D2545" t="inlineStr">
        <is>
          <t>KALMAR LÄN</t>
        </is>
      </c>
      <c r="E2545" t="inlineStr">
        <is>
          <t>NYBRO</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63385-2019</t>
        </is>
      </c>
      <c r="B2546" s="1" t="n">
        <v>43794</v>
      </c>
      <c r="C2546" s="1" t="n">
        <v>45715</v>
      </c>
      <c r="D2546" t="inlineStr">
        <is>
          <t>KALMAR LÄN</t>
        </is>
      </c>
      <c r="E2546" t="inlineStr">
        <is>
          <t>VÄSTERVIK</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63432-2019</t>
        </is>
      </c>
      <c r="B2547" s="1" t="n">
        <v>43794</v>
      </c>
      <c r="C2547" s="1" t="n">
        <v>45715</v>
      </c>
      <c r="D2547" t="inlineStr">
        <is>
          <t>KALMAR LÄN</t>
        </is>
      </c>
      <c r="E2547" t="inlineStr">
        <is>
          <t>HULTSFRED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63304-2019</t>
        </is>
      </c>
      <c r="B2548" s="1" t="n">
        <v>43794</v>
      </c>
      <c r="C2548" s="1" t="n">
        <v>45715</v>
      </c>
      <c r="D2548" t="inlineStr">
        <is>
          <t>KALMAR LÄN</t>
        </is>
      </c>
      <c r="E2548" t="inlineStr">
        <is>
          <t>TORSÅS</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63303-2019</t>
        </is>
      </c>
      <c r="B2549" s="1" t="n">
        <v>43794</v>
      </c>
      <c r="C2549" s="1" t="n">
        <v>45715</v>
      </c>
      <c r="D2549" t="inlineStr">
        <is>
          <t>KALMAR LÄN</t>
        </is>
      </c>
      <c r="E2549" t="inlineStr">
        <is>
          <t>TORSÅS</t>
        </is>
      </c>
      <c r="G2549" t="n">
        <v>6</v>
      </c>
      <c r="H2549" t="n">
        <v>0</v>
      </c>
      <c r="I2549" t="n">
        <v>0</v>
      </c>
      <c r="J2549" t="n">
        <v>0</v>
      </c>
      <c r="K2549" t="n">
        <v>0</v>
      </c>
      <c r="L2549" t="n">
        <v>0</v>
      </c>
      <c r="M2549" t="n">
        <v>0</v>
      </c>
      <c r="N2549" t="n">
        <v>0</v>
      </c>
      <c r="O2549" t="n">
        <v>0</v>
      </c>
      <c r="P2549" t="n">
        <v>0</v>
      </c>
      <c r="Q2549" t="n">
        <v>0</v>
      </c>
      <c r="R2549" s="2" t="inlineStr"/>
    </row>
    <row r="2550" ht="15" customHeight="1">
      <c r="A2550" t="inlineStr">
        <is>
          <t>A 63301-2019</t>
        </is>
      </c>
      <c r="B2550" s="1" t="n">
        <v>43794</v>
      </c>
      <c r="C2550" s="1" t="n">
        <v>45715</v>
      </c>
      <c r="D2550" t="inlineStr">
        <is>
          <t>KALMAR LÄN</t>
        </is>
      </c>
      <c r="E2550" t="inlineStr">
        <is>
          <t>TORSÅS</t>
        </is>
      </c>
      <c r="G2550" t="n">
        <v>19.5</v>
      </c>
      <c r="H2550" t="n">
        <v>0</v>
      </c>
      <c r="I2550" t="n">
        <v>0</v>
      </c>
      <c r="J2550" t="n">
        <v>0</v>
      </c>
      <c r="K2550" t="n">
        <v>0</v>
      </c>
      <c r="L2550" t="n">
        <v>0</v>
      </c>
      <c r="M2550" t="n">
        <v>0</v>
      </c>
      <c r="N2550" t="n">
        <v>0</v>
      </c>
      <c r="O2550" t="n">
        <v>0</v>
      </c>
      <c r="P2550" t="n">
        <v>0</v>
      </c>
      <c r="Q2550" t="n">
        <v>0</v>
      </c>
      <c r="R2550" s="2" t="inlineStr"/>
    </row>
    <row r="2551" ht="15" customHeight="1">
      <c r="A2551" t="inlineStr">
        <is>
          <t>A 63539-2019</t>
        </is>
      </c>
      <c r="B2551" s="1" t="n">
        <v>43794</v>
      </c>
      <c r="C2551" s="1" t="n">
        <v>45715</v>
      </c>
      <c r="D2551" t="inlineStr">
        <is>
          <t>KALMAR LÄN</t>
        </is>
      </c>
      <c r="E2551" t="inlineStr">
        <is>
          <t>HULTSFRED</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63731-2019</t>
        </is>
      </c>
      <c r="B2552" s="1" t="n">
        <v>43795</v>
      </c>
      <c r="C2552" s="1" t="n">
        <v>45715</v>
      </c>
      <c r="D2552" t="inlineStr">
        <is>
          <t>KALMAR LÄN</t>
        </is>
      </c>
      <c r="E2552" t="inlineStr">
        <is>
          <t>TORSÅS</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63610-2019</t>
        </is>
      </c>
      <c r="B2553" s="1" t="n">
        <v>43795</v>
      </c>
      <c r="C2553" s="1" t="n">
        <v>45715</v>
      </c>
      <c r="D2553" t="inlineStr">
        <is>
          <t>KALMAR LÄN</t>
        </is>
      </c>
      <c r="E2553" t="inlineStr">
        <is>
          <t>TORSÅS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63746-2019</t>
        </is>
      </c>
      <c r="B2554" s="1" t="n">
        <v>43795</v>
      </c>
      <c r="C2554" s="1" t="n">
        <v>45715</v>
      </c>
      <c r="D2554" t="inlineStr">
        <is>
          <t>KALMAR LÄN</t>
        </is>
      </c>
      <c r="E2554" t="inlineStr">
        <is>
          <t>VIMMERBY</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64786-2019</t>
        </is>
      </c>
      <c r="B2555" s="1" t="n">
        <v>43795</v>
      </c>
      <c r="C2555" s="1" t="n">
        <v>45715</v>
      </c>
      <c r="D2555" t="inlineStr">
        <is>
          <t>KALMAR LÄN</t>
        </is>
      </c>
      <c r="E2555" t="inlineStr">
        <is>
          <t>HÖGSBY</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63762-2019</t>
        </is>
      </c>
      <c r="B2556" s="1" t="n">
        <v>43795</v>
      </c>
      <c r="C2556" s="1" t="n">
        <v>45715</v>
      </c>
      <c r="D2556" t="inlineStr">
        <is>
          <t>KALMAR LÄN</t>
        </is>
      </c>
      <c r="E2556" t="inlineStr">
        <is>
          <t>HULTSFRED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63935-2019</t>
        </is>
      </c>
      <c r="B2557" s="1" t="n">
        <v>43796</v>
      </c>
      <c r="C2557" s="1" t="n">
        <v>45715</v>
      </c>
      <c r="D2557" t="inlineStr">
        <is>
          <t>KALMAR LÄN</t>
        </is>
      </c>
      <c r="E2557" t="inlineStr">
        <is>
          <t>KALMAR</t>
        </is>
      </c>
      <c r="F2557" t="inlineStr">
        <is>
          <t>Kommuner</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63982-2019</t>
        </is>
      </c>
      <c r="B2558" s="1" t="n">
        <v>43796</v>
      </c>
      <c r="C2558" s="1" t="n">
        <v>45715</v>
      </c>
      <c r="D2558" t="inlineStr">
        <is>
          <t>KALMAR LÄN</t>
        </is>
      </c>
      <c r="E2558" t="inlineStr">
        <is>
          <t>NYBRO</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63911-2019</t>
        </is>
      </c>
      <c r="B2559" s="1" t="n">
        <v>43796</v>
      </c>
      <c r="C2559" s="1" t="n">
        <v>45715</v>
      </c>
      <c r="D2559" t="inlineStr">
        <is>
          <t>KALMAR LÄN</t>
        </is>
      </c>
      <c r="E2559" t="inlineStr">
        <is>
          <t>KALMAR</t>
        </is>
      </c>
      <c r="F2559" t="inlineStr">
        <is>
          <t>Kommuner</t>
        </is>
      </c>
      <c r="G2559" t="n">
        <v>6.9</v>
      </c>
      <c r="H2559" t="n">
        <v>0</v>
      </c>
      <c r="I2559" t="n">
        <v>0</v>
      </c>
      <c r="J2559" t="n">
        <v>0</v>
      </c>
      <c r="K2559" t="n">
        <v>0</v>
      </c>
      <c r="L2559" t="n">
        <v>0</v>
      </c>
      <c r="M2559" t="n">
        <v>0</v>
      </c>
      <c r="N2559" t="n">
        <v>0</v>
      </c>
      <c r="O2559" t="n">
        <v>0</v>
      </c>
      <c r="P2559" t="n">
        <v>0</v>
      </c>
      <c r="Q2559" t="n">
        <v>0</v>
      </c>
      <c r="R2559" s="2" t="inlineStr"/>
    </row>
    <row r="2560" ht="15" customHeight="1">
      <c r="A2560" t="inlineStr">
        <is>
          <t>A 63969-2019</t>
        </is>
      </c>
      <c r="B2560" s="1" t="n">
        <v>43796</v>
      </c>
      <c r="C2560" s="1" t="n">
        <v>45715</v>
      </c>
      <c r="D2560" t="inlineStr">
        <is>
          <t>KALMAR LÄN</t>
        </is>
      </c>
      <c r="E2560" t="inlineStr">
        <is>
          <t>HÖGSBY</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63961-2019</t>
        </is>
      </c>
      <c r="B2561" s="1" t="n">
        <v>43796</v>
      </c>
      <c r="C2561" s="1" t="n">
        <v>45715</v>
      </c>
      <c r="D2561" t="inlineStr">
        <is>
          <t>KALMAR LÄN</t>
        </is>
      </c>
      <c r="E2561" t="inlineStr">
        <is>
          <t>TORSÅS</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64110-2019</t>
        </is>
      </c>
      <c r="B2562" s="1" t="n">
        <v>43796</v>
      </c>
      <c r="C2562" s="1" t="n">
        <v>45715</v>
      </c>
      <c r="D2562" t="inlineStr">
        <is>
          <t>KALMAR LÄN</t>
        </is>
      </c>
      <c r="E2562" t="inlineStr">
        <is>
          <t>NYBRO</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64119-2019</t>
        </is>
      </c>
      <c r="B2563" s="1" t="n">
        <v>43796</v>
      </c>
      <c r="C2563" s="1" t="n">
        <v>45715</v>
      </c>
      <c r="D2563" t="inlineStr">
        <is>
          <t>KALMAR LÄN</t>
        </is>
      </c>
      <c r="E2563" t="inlineStr">
        <is>
          <t>VIMMERBY</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63959-2019</t>
        </is>
      </c>
      <c r="B2564" s="1" t="n">
        <v>43796</v>
      </c>
      <c r="C2564" s="1" t="n">
        <v>45715</v>
      </c>
      <c r="D2564" t="inlineStr">
        <is>
          <t>KALMAR LÄN</t>
        </is>
      </c>
      <c r="E2564" t="inlineStr">
        <is>
          <t>TORSÅS</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64128-2019</t>
        </is>
      </c>
      <c r="B2565" s="1" t="n">
        <v>43796</v>
      </c>
      <c r="C2565" s="1" t="n">
        <v>45715</v>
      </c>
      <c r="D2565" t="inlineStr">
        <is>
          <t>KALMAR LÄN</t>
        </is>
      </c>
      <c r="E2565" t="inlineStr">
        <is>
          <t>MÖNSTERÅS</t>
        </is>
      </c>
      <c r="G2565" t="n">
        <v>8.9</v>
      </c>
      <c r="H2565" t="n">
        <v>0</v>
      </c>
      <c r="I2565" t="n">
        <v>0</v>
      </c>
      <c r="J2565" t="n">
        <v>0</v>
      </c>
      <c r="K2565" t="n">
        <v>0</v>
      </c>
      <c r="L2565" t="n">
        <v>0</v>
      </c>
      <c r="M2565" t="n">
        <v>0</v>
      </c>
      <c r="N2565" t="n">
        <v>0</v>
      </c>
      <c r="O2565" t="n">
        <v>0</v>
      </c>
      <c r="P2565" t="n">
        <v>0</v>
      </c>
      <c r="Q2565" t="n">
        <v>0</v>
      </c>
      <c r="R2565" s="2" t="inlineStr"/>
    </row>
    <row r="2566" ht="15" customHeight="1">
      <c r="A2566" t="inlineStr">
        <is>
          <t>A 64004-2019</t>
        </is>
      </c>
      <c r="B2566" s="1" t="n">
        <v>43796</v>
      </c>
      <c r="C2566" s="1" t="n">
        <v>45715</v>
      </c>
      <c r="D2566" t="inlineStr">
        <is>
          <t>KALMAR LÄN</t>
        </is>
      </c>
      <c r="E2566" t="inlineStr">
        <is>
          <t>NYBRO</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64127-2019</t>
        </is>
      </c>
      <c r="B2567" s="1" t="n">
        <v>43796</v>
      </c>
      <c r="C2567" s="1" t="n">
        <v>45715</v>
      </c>
      <c r="D2567" t="inlineStr">
        <is>
          <t>KALMAR LÄN</t>
        </is>
      </c>
      <c r="E2567" t="inlineStr">
        <is>
          <t>MÖNSTERÅS</t>
        </is>
      </c>
      <c r="G2567" t="n">
        <v>8.9</v>
      </c>
      <c r="H2567" t="n">
        <v>0</v>
      </c>
      <c r="I2567" t="n">
        <v>0</v>
      </c>
      <c r="J2567" t="n">
        <v>0</v>
      </c>
      <c r="K2567" t="n">
        <v>0</v>
      </c>
      <c r="L2567" t="n">
        <v>0</v>
      </c>
      <c r="M2567" t="n">
        <v>0</v>
      </c>
      <c r="N2567" t="n">
        <v>0</v>
      </c>
      <c r="O2567" t="n">
        <v>0</v>
      </c>
      <c r="P2567" t="n">
        <v>0</v>
      </c>
      <c r="Q2567" t="n">
        <v>0</v>
      </c>
      <c r="R2567" s="2" t="inlineStr"/>
    </row>
    <row r="2568" ht="15" customHeight="1">
      <c r="A2568" t="inlineStr">
        <is>
          <t>A 64007-2019</t>
        </is>
      </c>
      <c r="B2568" s="1" t="n">
        <v>43796</v>
      </c>
      <c r="C2568" s="1" t="n">
        <v>45715</v>
      </c>
      <c r="D2568" t="inlineStr">
        <is>
          <t>KALMAR LÄN</t>
        </is>
      </c>
      <c r="E2568" t="inlineStr">
        <is>
          <t>NYBRO</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64194-2019</t>
        </is>
      </c>
      <c r="B2569" s="1" t="n">
        <v>43797</v>
      </c>
      <c r="C2569" s="1" t="n">
        <v>45715</v>
      </c>
      <c r="D2569" t="inlineStr">
        <is>
          <t>KALMAR LÄN</t>
        </is>
      </c>
      <c r="E2569" t="inlineStr">
        <is>
          <t>OSKARSHAMN</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64215-2019</t>
        </is>
      </c>
      <c r="B2570" s="1" t="n">
        <v>43797</v>
      </c>
      <c r="C2570" s="1" t="n">
        <v>45715</v>
      </c>
      <c r="D2570" t="inlineStr">
        <is>
          <t>KALMAR LÄN</t>
        </is>
      </c>
      <c r="E2570" t="inlineStr">
        <is>
          <t>HULTSFRED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64345-2019</t>
        </is>
      </c>
      <c r="B2571" s="1" t="n">
        <v>43797</v>
      </c>
      <c r="C2571" s="1" t="n">
        <v>45715</v>
      </c>
      <c r="D2571" t="inlineStr">
        <is>
          <t>KALMAR LÄN</t>
        </is>
      </c>
      <c r="E2571" t="inlineStr">
        <is>
          <t>VIMMERBY</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64180-2019</t>
        </is>
      </c>
      <c r="B2572" s="1" t="n">
        <v>43797</v>
      </c>
      <c r="C2572" s="1" t="n">
        <v>45715</v>
      </c>
      <c r="D2572" t="inlineStr">
        <is>
          <t>KALMAR LÄN</t>
        </is>
      </c>
      <c r="E2572" t="inlineStr">
        <is>
          <t>TORSÅS</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64302-2019</t>
        </is>
      </c>
      <c r="B2573" s="1" t="n">
        <v>43797</v>
      </c>
      <c r="C2573" s="1" t="n">
        <v>45715</v>
      </c>
      <c r="D2573" t="inlineStr">
        <is>
          <t>KALMAR LÄN</t>
        </is>
      </c>
      <c r="E2573" t="inlineStr">
        <is>
          <t>OSKARSHAMN</t>
        </is>
      </c>
      <c r="F2573" t="inlineStr">
        <is>
          <t>Kommuner</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64212-2019</t>
        </is>
      </c>
      <c r="B2574" s="1" t="n">
        <v>43797</v>
      </c>
      <c r="C2574" s="1" t="n">
        <v>45715</v>
      </c>
      <c r="D2574" t="inlineStr">
        <is>
          <t>KALMAR LÄN</t>
        </is>
      </c>
      <c r="E2574" t="inlineStr">
        <is>
          <t>HULTSFRED</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64243-2019</t>
        </is>
      </c>
      <c r="B2575" s="1" t="n">
        <v>43797</v>
      </c>
      <c r="C2575" s="1" t="n">
        <v>45715</v>
      </c>
      <c r="D2575" t="inlineStr">
        <is>
          <t>KALMAR LÄN</t>
        </is>
      </c>
      <c r="E2575" t="inlineStr">
        <is>
          <t>NYBRO</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64334-2019</t>
        </is>
      </c>
      <c r="B2576" s="1" t="n">
        <v>43797</v>
      </c>
      <c r="C2576" s="1" t="n">
        <v>45715</v>
      </c>
      <c r="D2576" t="inlineStr">
        <is>
          <t>KALMAR LÄN</t>
        </is>
      </c>
      <c r="E2576" t="inlineStr">
        <is>
          <t>VIMMERBY</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64367-2019</t>
        </is>
      </c>
      <c r="B2577" s="1" t="n">
        <v>43797</v>
      </c>
      <c r="C2577" s="1" t="n">
        <v>45715</v>
      </c>
      <c r="D2577" t="inlineStr">
        <is>
          <t>KALMAR LÄN</t>
        </is>
      </c>
      <c r="E2577" t="inlineStr">
        <is>
          <t>NYBRO</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64210-2019</t>
        </is>
      </c>
      <c r="B2578" s="1" t="n">
        <v>43797</v>
      </c>
      <c r="C2578" s="1" t="n">
        <v>45715</v>
      </c>
      <c r="D2578" t="inlineStr">
        <is>
          <t>KALMAR LÄN</t>
        </is>
      </c>
      <c r="E2578" t="inlineStr">
        <is>
          <t>HULTSFRED</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64610-2019</t>
        </is>
      </c>
      <c r="B2579" s="1" t="n">
        <v>43798</v>
      </c>
      <c r="C2579" s="1" t="n">
        <v>45715</v>
      </c>
      <c r="D2579" t="inlineStr">
        <is>
          <t>KALMAR LÄN</t>
        </is>
      </c>
      <c r="E2579" t="inlineStr">
        <is>
          <t>VÄSTERVIK</t>
        </is>
      </c>
      <c r="F2579" t="inlineStr">
        <is>
          <t>Holmen skog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65394-2019</t>
        </is>
      </c>
      <c r="B2580" s="1" t="n">
        <v>43798</v>
      </c>
      <c r="C2580" s="1" t="n">
        <v>45715</v>
      </c>
      <c r="D2580" t="inlineStr">
        <is>
          <t>KALMAR LÄN</t>
        </is>
      </c>
      <c r="E2580" t="inlineStr">
        <is>
          <t>HÖGSBY</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64544-2019</t>
        </is>
      </c>
      <c r="B2581" s="1" t="n">
        <v>43798</v>
      </c>
      <c r="C2581" s="1" t="n">
        <v>45715</v>
      </c>
      <c r="D2581" t="inlineStr">
        <is>
          <t>KALMAR LÄN</t>
        </is>
      </c>
      <c r="E2581" t="inlineStr">
        <is>
          <t>EMMABODA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64732-2019</t>
        </is>
      </c>
      <c r="B2582" s="1" t="n">
        <v>43800</v>
      </c>
      <c r="C2582" s="1" t="n">
        <v>45715</v>
      </c>
      <c r="D2582" t="inlineStr">
        <is>
          <t>KALMAR LÄN</t>
        </is>
      </c>
      <c r="E2582" t="inlineStr">
        <is>
          <t>HULTSFRED</t>
        </is>
      </c>
      <c r="G2582" t="n">
        <v>9.6</v>
      </c>
      <c r="H2582" t="n">
        <v>0</v>
      </c>
      <c r="I2582" t="n">
        <v>0</v>
      </c>
      <c r="J2582" t="n">
        <v>0</v>
      </c>
      <c r="K2582" t="n">
        <v>0</v>
      </c>
      <c r="L2582" t="n">
        <v>0</v>
      </c>
      <c r="M2582" t="n">
        <v>0</v>
      </c>
      <c r="N2582" t="n">
        <v>0</v>
      </c>
      <c r="O2582" t="n">
        <v>0</v>
      </c>
      <c r="P2582" t="n">
        <v>0</v>
      </c>
      <c r="Q2582" t="n">
        <v>0</v>
      </c>
      <c r="R2582" s="2" t="inlineStr"/>
    </row>
    <row r="2583" ht="15" customHeight="1">
      <c r="A2583" t="inlineStr">
        <is>
          <t>A 64870-2019</t>
        </is>
      </c>
      <c r="B2583" s="1" t="n">
        <v>43801</v>
      </c>
      <c r="C2583" s="1" t="n">
        <v>45715</v>
      </c>
      <c r="D2583" t="inlineStr">
        <is>
          <t>KALMAR LÄN</t>
        </is>
      </c>
      <c r="E2583" t="inlineStr">
        <is>
          <t>OSKARSHAMN</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65008-2019</t>
        </is>
      </c>
      <c r="B2584" s="1" t="n">
        <v>43801</v>
      </c>
      <c r="C2584" s="1" t="n">
        <v>45715</v>
      </c>
      <c r="D2584" t="inlineStr">
        <is>
          <t>KALMAR LÄN</t>
        </is>
      </c>
      <c r="E2584" t="inlineStr">
        <is>
          <t>EMMABODA</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65941-2019</t>
        </is>
      </c>
      <c r="B2585" s="1" t="n">
        <v>43801</v>
      </c>
      <c r="C2585" s="1" t="n">
        <v>45715</v>
      </c>
      <c r="D2585" t="inlineStr">
        <is>
          <t>KALMAR LÄN</t>
        </is>
      </c>
      <c r="E2585" t="inlineStr">
        <is>
          <t>MÖRBYLÅNGA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65007-2019</t>
        </is>
      </c>
      <c r="B2586" s="1" t="n">
        <v>43801</v>
      </c>
      <c r="C2586" s="1" t="n">
        <v>45715</v>
      </c>
      <c r="D2586" t="inlineStr">
        <is>
          <t>KALMAR LÄN</t>
        </is>
      </c>
      <c r="E2586" t="inlineStr">
        <is>
          <t>EMMABODA</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65136-2019</t>
        </is>
      </c>
      <c r="B2587" s="1" t="n">
        <v>43802</v>
      </c>
      <c r="C2587" s="1" t="n">
        <v>45715</v>
      </c>
      <c r="D2587" t="inlineStr">
        <is>
          <t>KALMAR LÄN</t>
        </is>
      </c>
      <c r="E2587" t="inlineStr">
        <is>
          <t>HÖGSBY</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65267-2019</t>
        </is>
      </c>
      <c r="B2588" s="1" t="n">
        <v>43802</v>
      </c>
      <c r="C2588" s="1" t="n">
        <v>45715</v>
      </c>
      <c r="D2588" t="inlineStr">
        <is>
          <t>KALMAR LÄN</t>
        </is>
      </c>
      <c r="E2588" t="inlineStr">
        <is>
          <t>VIMMERBY</t>
        </is>
      </c>
      <c r="F2588" t="inlineStr">
        <is>
          <t>Kommuner</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65427-2019</t>
        </is>
      </c>
      <c r="B2589" s="1" t="n">
        <v>43803</v>
      </c>
      <c r="C2589" s="1" t="n">
        <v>45715</v>
      </c>
      <c r="D2589" t="inlineStr">
        <is>
          <t>KALMAR LÄN</t>
        </is>
      </c>
      <c r="E2589" t="inlineStr">
        <is>
          <t>HULTSFRED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65537-2019</t>
        </is>
      </c>
      <c r="B2590" s="1" t="n">
        <v>43803</v>
      </c>
      <c r="C2590" s="1" t="n">
        <v>45715</v>
      </c>
      <c r="D2590" t="inlineStr">
        <is>
          <t>KALMAR LÄN</t>
        </is>
      </c>
      <c r="E2590" t="inlineStr">
        <is>
          <t>HULTSFRED</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65412-2019</t>
        </is>
      </c>
      <c r="B2591" s="1" t="n">
        <v>43803</v>
      </c>
      <c r="C2591" s="1" t="n">
        <v>45715</v>
      </c>
      <c r="D2591" t="inlineStr">
        <is>
          <t>KALMAR LÄN</t>
        </is>
      </c>
      <c r="E2591" t="inlineStr">
        <is>
          <t>KALMAR</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65421-2019</t>
        </is>
      </c>
      <c r="B2592" s="1" t="n">
        <v>43803</v>
      </c>
      <c r="C2592" s="1" t="n">
        <v>45715</v>
      </c>
      <c r="D2592" t="inlineStr">
        <is>
          <t>KALMAR LÄN</t>
        </is>
      </c>
      <c r="E2592" t="inlineStr">
        <is>
          <t>KALMAR</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65420-2019</t>
        </is>
      </c>
      <c r="B2593" s="1" t="n">
        <v>43803</v>
      </c>
      <c r="C2593" s="1" t="n">
        <v>45715</v>
      </c>
      <c r="D2593" t="inlineStr">
        <is>
          <t>KALMAR LÄN</t>
        </is>
      </c>
      <c r="E2593" t="inlineStr">
        <is>
          <t>HULTSFRED</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65418-2019</t>
        </is>
      </c>
      <c r="B2594" s="1" t="n">
        <v>43803</v>
      </c>
      <c r="C2594" s="1" t="n">
        <v>45715</v>
      </c>
      <c r="D2594" t="inlineStr">
        <is>
          <t>KALMAR LÄN</t>
        </is>
      </c>
      <c r="E2594" t="inlineStr">
        <is>
          <t>KALMAR</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66535-2019</t>
        </is>
      </c>
      <c r="B2595" s="1" t="n">
        <v>43803</v>
      </c>
      <c r="C2595" s="1" t="n">
        <v>45715</v>
      </c>
      <c r="D2595" t="inlineStr">
        <is>
          <t>KALMAR LÄN</t>
        </is>
      </c>
      <c r="E2595" t="inlineStr">
        <is>
          <t>HÖGSBY</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65604-2019</t>
        </is>
      </c>
      <c r="B2596" s="1" t="n">
        <v>43804</v>
      </c>
      <c r="C2596" s="1" t="n">
        <v>45715</v>
      </c>
      <c r="D2596" t="inlineStr">
        <is>
          <t>KALMAR LÄN</t>
        </is>
      </c>
      <c r="E2596" t="inlineStr">
        <is>
          <t>VÄSTERVIK</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66836-2019</t>
        </is>
      </c>
      <c r="B2597" s="1" t="n">
        <v>43804</v>
      </c>
      <c r="C2597" s="1" t="n">
        <v>45715</v>
      </c>
      <c r="D2597" t="inlineStr">
        <is>
          <t>KALMAR LÄN</t>
        </is>
      </c>
      <c r="E2597" t="inlineStr">
        <is>
          <t>NYBRO</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65756-2019</t>
        </is>
      </c>
      <c r="B2598" s="1" t="n">
        <v>43804</v>
      </c>
      <c r="C2598" s="1" t="n">
        <v>45715</v>
      </c>
      <c r="D2598" t="inlineStr">
        <is>
          <t>KALMAR LÄN</t>
        </is>
      </c>
      <c r="E2598" t="inlineStr">
        <is>
          <t>EMMABODA</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65649-2019</t>
        </is>
      </c>
      <c r="B2599" s="1" t="n">
        <v>43804</v>
      </c>
      <c r="C2599" s="1" t="n">
        <v>45715</v>
      </c>
      <c r="D2599" t="inlineStr">
        <is>
          <t>KALMAR LÄN</t>
        </is>
      </c>
      <c r="E2599" t="inlineStr">
        <is>
          <t>TORSÅS</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65770-2019</t>
        </is>
      </c>
      <c r="B2600" s="1" t="n">
        <v>43804</v>
      </c>
      <c r="C2600" s="1" t="n">
        <v>45715</v>
      </c>
      <c r="D2600" t="inlineStr">
        <is>
          <t>KALMAR LÄN</t>
        </is>
      </c>
      <c r="E2600" t="inlineStr">
        <is>
          <t>HÖGSBY</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66743-2019</t>
        </is>
      </c>
      <c r="B2601" s="1" t="n">
        <v>43804</v>
      </c>
      <c r="C2601" s="1" t="n">
        <v>45715</v>
      </c>
      <c r="D2601" t="inlineStr">
        <is>
          <t>KALMAR LÄN</t>
        </is>
      </c>
      <c r="E2601" t="inlineStr">
        <is>
          <t>VÄSTERVIK</t>
        </is>
      </c>
      <c r="G2601" t="n">
        <v>1.3</v>
      </c>
      <c r="H2601" t="n">
        <v>0</v>
      </c>
      <c r="I2601" t="n">
        <v>0</v>
      </c>
      <c r="J2601" t="n">
        <v>0</v>
      </c>
      <c r="K2601" t="n">
        <v>0</v>
      </c>
      <c r="L2601" t="n">
        <v>0</v>
      </c>
      <c r="M2601" t="n">
        <v>0</v>
      </c>
      <c r="N2601" t="n">
        <v>0</v>
      </c>
      <c r="O2601" t="n">
        <v>0</v>
      </c>
      <c r="P2601" t="n">
        <v>0</v>
      </c>
      <c r="Q2601" t="n">
        <v>0</v>
      </c>
      <c r="R2601" s="2" t="inlineStr"/>
      <c r="U2601">
        <f>HYPERLINK("https://klasma.github.io/Logging_0883/knärot/A 66743-2019 karta knärot.png", "A 66743-2019")</f>
        <v/>
      </c>
      <c r="V2601">
        <f>HYPERLINK("https://klasma.github.io/Logging_0883/klagomål/A 66743-2019 FSC-klagomål.docx", "A 66743-2019")</f>
        <v/>
      </c>
      <c r="W2601">
        <f>HYPERLINK("https://klasma.github.io/Logging_0883/klagomålsmail/A 66743-2019 FSC-klagomål mail.docx", "A 66743-2019")</f>
        <v/>
      </c>
      <c r="X2601">
        <f>HYPERLINK("https://klasma.github.io/Logging_0883/tillsyn/A 66743-2019 tillsynsbegäran.docx", "A 66743-2019")</f>
        <v/>
      </c>
      <c r="Y2601">
        <f>HYPERLINK("https://klasma.github.io/Logging_0883/tillsynsmail/A 66743-2019 tillsynsbegäran mail.docx", "A 66743-2019")</f>
        <v/>
      </c>
    </row>
    <row r="2602" ht="15" customHeight="1">
      <c r="A2602" t="inlineStr">
        <is>
          <t>A 65846-2019</t>
        </is>
      </c>
      <c r="B2602" s="1" t="n">
        <v>43805</v>
      </c>
      <c r="C2602" s="1" t="n">
        <v>45715</v>
      </c>
      <c r="D2602" t="inlineStr">
        <is>
          <t>KALMAR LÄN</t>
        </is>
      </c>
      <c r="E2602" t="inlineStr">
        <is>
          <t>OSKARSHAMN</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65975-2019</t>
        </is>
      </c>
      <c r="B2603" s="1" t="n">
        <v>43805</v>
      </c>
      <c r="C2603" s="1" t="n">
        <v>45715</v>
      </c>
      <c r="D2603" t="inlineStr">
        <is>
          <t>KALMAR LÄN</t>
        </is>
      </c>
      <c r="E2603" t="inlineStr">
        <is>
          <t>BORGHOLM</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67076-2019</t>
        </is>
      </c>
      <c r="B2604" s="1" t="n">
        <v>43807</v>
      </c>
      <c r="C2604" s="1" t="n">
        <v>45715</v>
      </c>
      <c r="D2604" t="inlineStr">
        <is>
          <t>KALMAR LÄN</t>
        </is>
      </c>
      <c r="E2604" t="inlineStr">
        <is>
          <t>HULTSFRED</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66169-2019</t>
        </is>
      </c>
      <c r="B2605" s="1" t="n">
        <v>43808</v>
      </c>
      <c r="C2605" s="1" t="n">
        <v>45715</v>
      </c>
      <c r="D2605" t="inlineStr">
        <is>
          <t>KALMAR LÄN</t>
        </is>
      </c>
      <c r="E2605" t="inlineStr">
        <is>
          <t>VIMMERBY</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66178-2019</t>
        </is>
      </c>
      <c r="B2606" s="1" t="n">
        <v>43808</v>
      </c>
      <c r="C2606" s="1" t="n">
        <v>45715</v>
      </c>
      <c r="D2606" t="inlineStr">
        <is>
          <t>KALMAR LÄN</t>
        </is>
      </c>
      <c r="E2606" t="inlineStr">
        <is>
          <t>HULTSFRED</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66279-2019</t>
        </is>
      </c>
      <c r="B2607" s="1" t="n">
        <v>43808</v>
      </c>
      <c r="C2607" s="1" t="n">
        <v>45715</v>
      </c>
      <c r="D2607" t="inlineStr">
        <is>
          <t>KALMAR LÄN</t>
        </is>
      </c>
      <c r="E2607" t="inlineStr">
        <is>
          <t>VÄSTERVIK</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66180-2019</t>
        </is>
      </c>
      <c r="B2608" s="1" t="n">
        <v>43808</v>
      </c>
      <c r="C2608" s="1" t="n">
        <v>45715</v>
      </c>
      <c r="D2608" t="inlineStr">
        <is>
          <t>KALMAR LÄN</t>
        </is>
      </c>
      <c r="E2608" t="inlineStr">
        <is>
          <t>HULTSFRED</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66174-2019</t>
        </is>
      </c>
      <c r="B2609" s="1" t="n">
        <v>43808</v>
      </c>
      <c r="C2609" s="1" t="n">
        <v>45715</v>
      </c>
      <c r="D2609" t="inlineStr">
        <is>
          <t>KALMAR LÄN</t>
        </is>
      </c>
      <c r="E2609" t="inlineStr">
        <is>
          <t>HULTSFRED</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66232-2019</t>
        </is>
      </c>
      <c r="B2610" s="1" t="n">
        <v>43808</v>
      </c>
      <c r="C2610" s="1" t="n">
        <v>45715</v>
      </c>
      <c r="D2610" t="inlineStr">
        <is>
          <t>KALMAR LÄN</t>
        </is>
      </c>
      <c r="E2610" t="inlineStr">
        <is>
          <t>VÄSTERVIK</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66172-2019</t>
        </is>
      </c>
      <c r="B2611" s="1" t="n">
        <v>43808</v>
      </c>
      <c r="C2611" s="1" t="n">
        <v>45715</v>
      </c>
      <c r="D2611" t="inlineStr">
        <is>
          <t>KALMAR LÄN</t>
        </is>
      </c>
      <c r="E2611" t="inlineStr">
        <is>
          <t>VIMMERBY</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66184-2019</t>
        </is>
      </c>
      <c r="B2612" s="1" t="n">
        <v>43808</v>
      </c>
      <c r="C2612" s="1" t="n">
        <v>45715</v>
      </c>
      <c r="D2612" t="inlineStr">
        <is>
          <t>KALMAR LÄN</t>
        </is>
      </c>
      <c r="E2612" t="inlineStr">
        <is>
          <t>HULTSFRED</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66151-2019</t>
        </is>
      </c>
      <c r="B2613" s="1" t="n">
        <v>43808</v>
      </c>
      <c r="C2613" s="1" t="n">
        <v>45715</v>
      </c>
      <c r="D2613" t="inlineStr">
        <is>
          <t>KALMAR LÄN</t>
        </is>
      </c>
      <c r="E2613" t="inlineStr">
        <is>
          <t>VIMMERBY</t>
        </is>
      </c>
      <c r="F2613" t="inlineStr">
        <is>
          <t>Sveaskog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66612-2019</t>
        </is>
      </c>
      <c r="B2614" s="1" t="n">
        <v>43809</v>
      </c>
      <c r="C2614" s="1" t="n">
        <v>45715</v>
      </c>
      <c r="D2614" t="inlineStr">
        <is>
          <t>KALMAR LÄN</t>
        </is>
      </c>
      <c r="E2614" t="inlineStr">
        <is>
          <t>NYBRO</t>
        </is>
      </c>
      <c r="F2614" t="inlineStr">
        <is>
          <t>Kommuner</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66683-2019</t>
        </is>
      </c>
      <c r="B2615" s="1" t="n">
        <v>43809</v>
      </c>
      <c r="C2615" s="1" t="n">
        <v>45715</v>
      </c>
      <c r="D2615" t="inlineStr">
        <is>
          <t>KALMAR LÄN</t>
        </is>
      </c>
      <c r="E2615" t="inlineStr">
        <is>
          <t>NYBRO</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66611-2019</t>
        </is>
      </c>
      <c r="B2616" s="1" t="n">
        <v>43809</v>
      </c>
      <c r="C2616" s="1" t="n">
        <v>45715</v>
      </c>
      <c r="D2616" t="inlineStr">
        <is>
          <t>KALMAR LÄN</t>
        </is>
      </c>
      <c r="E2616" t="inlineStr">
        <is>
          <t>OSKARSHAMN</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66621-2019</t>
        </is>
      </c>
      <c r="B2617" s="1" t="n">
        <v>43809</v>
      </c>
      <c r="C2617" s="1" t="n">
        <v>45715</v>
      </c>
      <c r="D2617" t="inlineStr">
        <is>
          <t>KALMAR LÄN</t>
        </is>
      </c>
      <c r="E2617" t="inlineStr">
        <is>
          <t>OSKARSHAMN</t>
        </is>
      </c>
      <c r="G2617" t="n">
        <v>6.7</v>
      </c>
      <c r="H2617" t="n">
        <v>0</v>
      </c>
      <c r="I2617" t="n">
        <v>0</v>
      </c>
      <c r="J2617" t="n">
        <v>0</v>
      </c>
      <c r="K2617" t="n">
        <v>0</v>
      </c>
      <c r="L2617" t="n">
        <v>0</v>
      </c>
      <c r="M2617" t="n">
        <v>0</v>
      </c>
      <c r="N2617" t="n">
        <v>0</v>
      </c>
      <c r="O2617" t="n">
        <v>0</v>
      </c>
      <c r="P2617" t="n">
        <v>0</v>
      </c>
      <c r="Q2617" t="n">
        <v>0</v>
      </c>
      <c r="R2617" s="2" t="inlineStr"/>
    </row>
    <row r="2618" ht="15" customHeight="1">
      <c r="A2618" t="inlineStr">
        <is>
          <t>A 66617-2019</t>
        </is>
      </c>
      <c r="B2618" s="1" t="n">
        <v>43809</v>
      </c>
      <c r="C2618" s="1" t="n">
        <v>45715</v>
      </c>
      <c r="D2618" t="inlineStr">
        <is>
          <t>KALMAR LÄN</t>
        </is>
      </c>
      <c r="E2618" t="inlineStr">
        <is>
          <t>OSKARSHAMN</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66626-2019</t>
        </is>
      </c>
      <c r="B2619" s="1" t="n">
        <v>43809</v>
      </c>
      <c r="C2619" s="1" t="n">
        <v>45715</v>
      </c>
      <c r="D2619" t="inlineStr">
        <is>
          <t>KALMAR LÄN</t>
        </is>
      </c>
      <c r="E2619" t="inlineStr">
        <is>
          <t>OSKARSHAMN</t>
        </is>
      </c>
      <c r="G2619" t="n">
        <v>6.6</v>
      </c>
      <c r="H2619" t="n">
        <v>0</v>
      </c>
      <c r="I2619" t="n">
        <v>0</v>
      </c>
      <c r="J2619" t="n">
        <v>0</v>
      </c>
      <c r="K2619" t="n">
        <v>0</v>
      </c>
      <c r="L2619" t="n">
        <v>0</v>
      </c>
      <c r="M2619" t="n">
        <v>0</v>
      </c>
      <c r="N2619" t="n">
        <v>0</v>
      </c>
      <c r="O2619" t="n">
        <v>0</v>
      </c>
      <c r="P2619" t="n">
        <v>0</v>
      </c>
      <c r="Q2619" t="n">
        <v>0</v>
      </c>
      <c r="R2619" s="2" t="inlineStr"/>
    </row>
    <row r="2620" ht="15" customHeight="1">
      <c r="A2620" t="inlineStr">
        <is>
          <t>A 66619-2019</t>
        </is>
      </c>
      <c r="B2620" s="1" t="n">
        <v>43809</v>
      </c>
      <c r="C2620" s="1" t="n">
        <v>45715</v>
      </c>
      <c r="D2620" t="inlineStr">
        <is>
          <t>KALMAR LÄN</t>
        </is>
      </c>
      <c r="E2620" t="inlineStr">
        <is>
          <t>OSKARSHAMN</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66734-2019</t>
        </is>
      </c>
      <c r="B2621" s="1" t="n">
        <v>43809</v>
      </c>
      <c r="C2621" s="1" t="n">
        <v>45715</v>
      </c>
      <c r="D2621" t="inlineStr">
        <is>
          <t>KALMAR LÄN</t>
        </is>
      </c>
      <c r="E2621" t="inlineStr">
        <is>
          <t>OSKARSHAMN</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66768-2019</t>
        </is>
      </c>
      <c r="B2622" s="1" t="n">
        <v>43809</v>
      </c>
      <c r="C2622" s="1" t="n">
        <v>45715</v>
      </c>
      <c r="D2622" t="inlineStr">
        <is>
          <t>KALMAR LÄN</t>
        </is>
      </c>
      <c r="E2622" t="inlineStr">
        <is>
          <t>OSKARSHAMN</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66463-2019</t>
        </is>
      </c>
      <c r="B2623" s="1" t="n">
        <v>43809</v>
      </c>
      <c r="C2623" s="1" t="n">
        <v>45715</v>
      </c>
      <c r="D2623" t="inlineStr">
        <is>
          <t>KALMAR LÄN</t>
        </is>
      </c>
      <c r="E2623" t="inlineStr">
        <is>
          <t>MÖNSTERÅS</t>
        </is>
      </c>
      <c r="F2623" t="inlineStr">
        <is>
          <t>Kyrkan</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66841-2019</t>
        </is>
      </c>
      <c r="B2624" s="1" t="n">
        <v>43810</v>
      </c>
      <c r="C2624" s="1" t="n">
        <v>45715</v>
      </c>
      <c r="D2624" t="inlineStr">
        <is>
          <t>KALMAR LÄN</t>
        </is>
      </c>
      <c r="E2624" t="inlineStr">
        <is>
          <t>HULTSFRED</t>
        </is>
      </c>
      <c r="F2624" t="inlineStr">
        <is>
          <t>Sveaskog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66773-2019</t>
        </is>
      </c>
      <c r="B2625" s="1" t="n">
        <v>43810</v>
      </c>
      <c r="C2625" s="1" t="n">
        <v>45715</v>
      </c>
      <c r="D2625" t="inlineStr">
        <is>
          <t>KALMAR LÄN</t>
        </is>
      </c>
      <c r="E2625" t="inlineStr">
        <is>
          <t>HULTSFRED</t>
        </is>
      </c>
      <c r="F2625" t="inlineStr">
        <is>
          <t>Sveaskog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66770-2019</t>
        </is>
      </c>
      <c r="B2626" s="1" t="n">
        <v>43810</v>
      </c>
      <c r="C2626" s="1" t="n">
        <v>45715</v>
      </c>
      <c r="D2626" t="inlineStr">
        <is>
          <t>KALMAR LÄN</t>
        </is>
      </c>
      <c r="E2626" t="inlineStr">
        <is>
          <t>HULTSFRED</t>
        </is>
      </c>
      <c r="F2626" t="inlineStr">
        <is>
          <t>Sveaskog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66843-2019</t>
        </is>
      </c>
      <c r="B2627" s="1" t="n">
        <v>43810</v>
      </c>
      <c r="C2627" s="1" t="n">
        <v>45715</v>
      </c>
      <c r="D2627" t="inlineStr">
        <is>
          <t>KALMAR LÄN</t>
        </is>
      </c>
      <c r="E2627" t="inlineStr">
        <is>
          <t>HULTSFRED</t>
        </is>
      </c>
      <c r="F2627" t="inlineStr">
        <is>
          <t>Sveaskog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66961-2019</t>
        </is>
      </c>
      <c r="B2628" s="1" t="n">
        <v>43810</v>
      </c>
      <c r="C2628" s="1" t="n">
        <v>45715</v>
      </c>
      <c r="D2628" t="inlineStr">
        <is>
          <t>KALMAR LÄN</t>
        </is>
      </c>
      <c r="E2628" t="inlineStr">
        <is>
          <t>NYBRO</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66842-2019</t>
        </is>
      </c>
      <c r="B2629" s="1" t="n">
        <v>43810</v>
      </c>
      <c r="C2629" s="1" t="n">
        <v>45715</v>
      </c>
      <c r="D2629" t="inlineStr">
        <is>
          <t>KALMAR LÄN</t>
        </is>
      </c>
      <c r="E2629" t="inlineStr">
        <is>
          <t>HULTSFRED</t>
        </is>
      </c>
      <c r="F2629" t="inlineStr">
        <is>
          <t>Sveaskog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67704-2019</t>
        </is>
      </c>
      <c r="B2630" s="1" t="n">
        <v>43810</v>
      </c>
      <c r="C2630" s="1" t="n">
        <v>45715</v>
      </c>
      <c r="D2630" t="inlineStr">
        <is>
          <t>KALMAR LÄN</t>
        </is>
      </c>
      <c r="E2630" t="inlineStr">
        <is>
          <t>TORSÅS</t>
        </is>
      </c>
      <c r="G2630" t="n">
        <v>7</v>
      </c>
      <c r="H2630" t="n">
        <v>0</v>
      </c>
      <c r="I2630" t="n">
        <v>0</v>
      </c>
      <c r="J2630" t="n">
        <v>0</v>
      </c>
      <c r="K2630" t="n">
        <v>0</v>
      </c>
      <c r="L2630" t="n">
        <v>0</v>
      </c>
      <c r="M2630" t="n">
        <v>0</v>
      </c>
      <c r="N2630" t="n">
        <v>0</v>
      </c>
      <c r="O2630" t="n">
        <v>0</v>
      </c>
      <c r="P2630" t="n">
        <v>0</v>
      </c>
      <c r="Q2630" t="n">
        <v>0</v>
      </c>
      <c r="R2630" s="2" t="inlineStr"/>
    </row>
    <row r="2631" ht="15" customHeight="1">
      <c r="A2631" t="inlineStr">
        <is>
          <t>A 66965-2019</t>
        </is>
      </c>
      <c r="B2631" s="1" t="n">
        <v>43810</v>
      </c>
      <c r="C2631" s="1" t="n">
        <v>45715</v>
      </c>
      <c r="D2631" t="inlineStr">
        <is>
          <t>KALMAR LÄN</t>
        </is>
      </c>
      <c r="E2631" t="inlineStr">
        <is>
          <t>OSKARSHAMN</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67717-2019</t>
        </is>
      </c>
      <c r="B2632" s="1" t="n">
        <v>43810</v>
      </c>
      <c r="C2632" s="1" t="n">
        <v>45715</v>
      </c>
      <c r="D2632" t="inlineStr">
        <is>
          <t>KALMAR LÄN</t>
        </is>
      </c>
      <c r="E2632" t="inlineStr">
        <is>
          <t>OSKARSHAMN</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67186-2019</t>
        </is>
      </c>
      <c r="B2633" s="1" t="n">
        <v>43811</v>
      </c>
      <c r="C2633" s="1" t="n">
        <v>45715</v>
      </c>
      <c r="D2633" t="inlineStr">
        <is>
          <t>KALMAR LÄN</t>
        </is>
      </c>
      <c r="E2633" t="inlineStr">
        <is>
          <t>HULTSFRED</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67184-2019</t>
        </is>
      </c>
      <c r="B2634" s="1" t="n">
        <v>43811</v>
      </c>
      <c r="C2634" s="1" t="n">
        <v>45715</v>
      </c>
      <c r="D2634" t="inlineStr">
        <is>
          <t>KALMAR LÄN</t>
        </is>
      </c>
      <c r="E2634" t="inlineStr">
        <is>
          <t>HULTSFRED</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67017-2019</t>
        </is>
      </c>
      <c r="B2635" s="1" t="n">
        <v>43811</v>
      </c>
      <c r="C2635" s="1" t="n">
        <v>45715</v>
      </c>
      <c r="D2635" t="inlineStr">
        <is>
          <t>KALMAR LÄN</t>
        </is>
      </c>
      <c r="E2635" t="inlineStr">
        <is>
          <t>TORSÅS</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67185-2019</t>
        </is>
      </c>
      <c r="B2636" s="1" t="n">
        <v>43811</v>
      </c>
      <c r="C2636" s="1" t="n">
        <v>45715</v>
      </c>
      <c r="D2636" t="inlineStr">
        <is>
          <t>KALMAR LÄN</t>
        </is>
      </c>
      <c r="E2636" t="inlineStr">
        <is>
          <t>HULTSFRED</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67231-2019</t>
        </is>
      </c>
      <c r="B2637" s="1" t="n">
        <v>43812</v>
      </c>
      <c r="C2637" s="1" t="n">
        <v>45715</v>
      </c>
      <c r="D2637" t="inlineStr">
        <is>
          <t>KALMAR LÄN</t>
        </is>
      </c>
      <c r="E2637" t="inlineStr">
        <is>
          <t>BORGHOLM</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67293-2019</t>
        </is>
      </c>
      <c r="B2638" s="1" t="n">
        <v>43812</v>
      </c>
      <c r="C2638" s="1" t="n">
        <v>45715</v>
      </c>
      <c r="D2638" t="inlineStr">
        <is>
          <t>KALMAR LÄN</t>
        </is>
      </c>
      <c r="E2638" t="inlineStr">
        <is>
          <t>VIMMERBY</t>
        </is>
      </c>
      <c r="F2638" t="inlineStr">
        <is>
          <t>Kommuner</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67359-2019</t>
        </is>
      </c>
      <c r="B2639" s="1" t="n">
        <v>43812</v>
      </c>
      <c r="C2639" s="1" t="n">
        <v>45715</v>
      </c>
      <c r="D2639" t="inlineStr">
        <is>
          <t>KALMAR LÄN</t>
        </is>
      </c>
      <c r="E2639" t="inlineStr">
        <is>
          <t>VIMMERBY</t>
        </is>
      </c>
      <c r="F2639" t="inlineStr">
        <is>
          <t>Kommuner</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67346-2019</t>
        </is>
      </c>
      <c r="B2640" s="1" t="n">
        <v>43812</v>
      </c>
      <c r="C2640" s="1" t="n">
        <v>45715</v>
      </c>
      <c r="D2640" t="inlineStr">
        <is>
          <t>KALMAR LÄN</t>
        </is>
      </c>
      <c r="E2640" t="inlineStr">
        <is>
          <t>VIMMERBY</t>
        </is>
      </c>
      <c r="F2640" t="inlineStr">
        <is>
          <t>Kommuner</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67407-2019</t>
        </is>
      </c>
      <c r="B2641" s="1" t="n">
        <v>43812</v>
      </c>
      <c r="C2641" s="1" t="n">
        <v>45715</v>
      </c>
      <c r="D2641" t="inlineStr">
        <is>
          <t>KALMAR LÄN</t>
        </is>
      </c>
      <c r="E2641" t="inlineStr">
        <is>
          <t>VÄSTERVIK</t>
        </is>
      </c>
      <c r="F2641" t="inlineStr">
        <is>
          <t>Holmen skog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67507-2019</t>
        </is>
      </c>
      <c r="B2642" s="1" t="n">
        <v>43815</v>
      </c>
      <c r="C2642" s="1" t="n">
        <v>45715</v>
      </c>
      <c r="D2642" t="inlineStr">
        <is>
          <t>KALMAR LÄN</t>
        </is>
      </c>
      <c r="E2642" t="inlineStr">
        <is>
          <t>KALMAR</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67519-2019</t>
        </is>
      </c>
      <c r="B2643" s="1" t="n">
        <v>43815</v>
      </c>
      <c r="C2643" s="1" t="n">
        <v>45715</v>
      </c>
      <c r="D2643" t="inlineStr">
        <is>
          <t>KALMAR LÄN</t>
        </is>
      </c>
      <c r="E2643" t="inlineStr">
        <is>
          <t>NYBRO</t>
        </is>
      </c>
      <c r="F2643" t="inlineStr">
        <is>
          <t>Kommuner</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67546-2019</t>
        </is>
      </c>
      <c r="B2644" s="1" t="n">
        <v>43815</v>
      </c>
      <c r="C2644" s="1" t="n">
        <v>45715</v>
      </c>
      <c r="D2644" t="inlineStr">
        <is>
          <t>KALMAR LÄN</t>
        </is>
      </c>
      <c r="E2644" t="inlineStr">
        <is>
          <t>TORSÅS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67511-2019</t>
        </is>
      </c>
      <c r="B2645" s="1" t="n">
        <v>43815</v>
      </c>
      <c r="C2645" s="1" t="n">
        <v>45715</v>
      </c>
      <c r="D2645" t="inlineStr">
        <is>
          <t>KALMAR LÄN</t>
        </is>
      </c>
      <c r="E2645" t="inlineStr">
        <is>
          <t>KALMAR</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67489-2019</t>
        </is>
      </c>
      <c r="B2646" s="1" t="n">
        <v>43815</v>
      </c>
      <c r="C2646" s="1" t="n">
        <v>45715</v>
      </c>
      <c r="D2646" t="inlineStr">
        <is>
          <t>KALMAR LÄN</t>
        </is>
      </c>
      <c r="E2646" t="inlineStr">
        <is>
          <t>HULTSFRED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67512-2019</t>
        </is>
      </c>
      <c r="B2647" s="1" t="n">
        <v>43815</v>
      </c>
      <c r="C2647" s="1" t="n">
        <v>45715</v>
      </c>
      <c r="D2647" t="inlineStr">
        <is>
          <t>KALMAR LÄN</t>
        </is>
      </c>
      <c r="E2647" t="inlineStr">
        <is>
          <t>KALMAR</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67515-2019</t>
        </is>
      </c>
      <c r="B2648" s="1" t="n">
        <v>43815</v>
      </c>
      <c r="C2648" s="1" t="n">
        <v>45715</v>
      </c>
      <c r="D2648" t="inlineStr">
        <is>
          <t>KALMAR LÄN</t>
        </is>
      </c>
      <c r="E2648" t="inlineStr">
        <is>
          <t>KALMAR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69119-2019</t>
        </is>
      </c>
      <c r="B2649" s="1" t="n">
        <v>43815</v>
      </c>
      <c r="C2649" s="1" t="n">
        <v>45715</v>
      </c>
      <c r="D2649" t="inlineStr">
        <is>
          <t>KALMAR LÄN</t>
        </is>
      </c>
      <c r="E2649" t="inlineStr">
        <is>
          <t>MÖNSTERÅS</t>
        </is>
      </c>
      <c r="F2649" t="inlineStr">
        <is>
          <t>Övriga Aktiebolag</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69122-2019</t>
        </is>
      </c>
      <c r="B2650" s="1" t="n">
        <v>43815</v>
      </c>
      <c r="C2650" s="1" t="n">
        <v>45715</v>
      </c>
      <c r="D2650" t="inlineStr">
        <is>
          <t>KALMAR LÄN</t>
        </is>
      </c>
      <c r="E2650" t="inlineStr">
        <is>
          <t>MÖNSTERÅS</t>
        </is>
      </c>
      <c r="F2650" t="inlineStr">
        <is>
          <t>Övriga Aktiebolag</t>
        </is>
      </c>
      <c r="G2650" t="n">
        <v>19.2</v>
      </c>
      <c r="H2650" t="n">
        <v>0</v>
      </c>
      <c r="I2650" t="n">
        <v>0</v>
      </c>
      <c r="J2650" t="n">
        <v>0</v>
      </c>
      <c r="K2650" t="n">
        <v>0</v>
      </c>
      <c r="L2650" t="n">
        <v>0</v>
      </c>
      <c r="M2650" t="n">
        <v>0</v>
      </c>
      <c r="N2650" t="n">
        <v>0</v>
      </c>
      <c r="O2650" t="n">
        <v>0</v>
      </c>
      <c r="P2650" t="n">
        <v>0</v>
      </c>
      <c r="Q2650" t="n">
        <v>0</v>
      </c>
      <c r="R2650" s="2" t="inlineStr"/>
    </row>
    <row r="2651" ht="15" customHeight="1">
      <c r="A2651" t="inlineStr">
        <is>
          <t>A 67799-2019</t>
        </is>
      </c>
      <c r="B2651" s="1" t="n">
        <v>43815</v>
      </c>
      <c r="C2651" s="1" t="n">
        <v>45715</v>
      </c>
      <c r="D2651" t="inlineStr">
        <is>
          <t>KALMAR LÄN</t>
        </is>
      </c>
      <c r="E2651" t="inlineStr">
        <is>
          <t>OSKARSHAMN</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69034-2019</t>
        </is>
      </c>
      <c r="B2652" s="1" t="n">
        <v>43815</v>
      </c>
      <c r="C2652" s="1" t="n">
        <v>45715</v>
      </c>
      <c r="D2652" t="inlineStr">
        <is>
          <t>KALMAR LÄN</t>
        </is>
      </c>
      <c r="E2652" t="inlineStr">
        <is>
          <t>MÖNSTERÅS</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67905-2019</t>
        </is>
      </c>
      <c r="B2653" s="1" t="n">
        <v>43816</v>
      </c>
      <c r="C2653" s="1" t="n">
        <v>45715</v>
      </c>
      <c r="D2653" t="inlineStr">
        <is>
          <t>KALMAR LÄN</t>
        </is>
      </c>
      <c r="E2653" t="inlineStr">
        <is>
          <t>MÖNSTERÅS</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68036-2019</t>
        </is>
      </c>
      <c r="B2654" s="1" t="n">
        <v>43816</v>
      </c>
      <c r="C2654" s="1" t="n">
        <v>45715</v>
      </c>
      <c r="D2654" t="inlineStr">
        <is>
          <t>KALMAR LÄN</t>
        </is>
      </c>
      <c r="E2654" t="inlineStr">
        <is>
          <t>HULTSFRED</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67906-2019</t>
        </is>
      </c>
      <c r="B2655" s="1" t="n">
        <v>43816</v>
      </c>
      <c r="C2655" s="1" t="n">
        <v>45715</v>
      </c>
      <c r="D2655" t="inlineStr">
        <is>
          <t>KALMAR LÄN</t>
        </is>
      </c>
      <c r="E2655" t="inlineStr">
        <is>
          <t>MÖNSTERÅS</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67876-2019</t>
        </is>
      </c>
      <c r="B2656" s="1" t="n">
        <v>43816</v>
      </c>
      <c r="C2656" s="1" t="n">
        <v>45715</v>
      </c>
      <c r="D2656" t="inlineStr">
        <is>
          <t>KALMAR LÄN</t>
        </is>
      </c>
      <c r="E2656" t="inlineStr">
        <is>
          <t>HULTSFRED</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68165-2019</t>
        </is>
      </c>
      <c r="B2657" s="1" t="n">
        <v>43817</v>
      </c>
      <c r="C2657" s="1" t="n">
        <v>45715</v>
      </c>
      <c r="D2657" t="inlineStr">
        <is>
          <t>KALMAR LÄN</t>
        </is>
      </c>
      <c r="E2657" t="inlineStr">
        <is>
          <t>KALMAR</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68162-2019</t>
        </is>
      </c>
      <c r="B2658" s="1" t="n">
        <v>43817</v>
      </c>
      <c r="C2658" s="1" t="n">
        <v>45715</v>
      </c>
      <c r="D2658" t="inlineStr">
        <is>
          <t>KALMAR LÄN</t>
        </is>
      </c>
      <c r="E2658" t="inlineStr">
        <is>
          <t>MÖNSTERÅS</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68132-2019</t>
        </is>
      </c>
      <c r="B2659" s="1" t="n">
        <v>43817</v>
      </c>
      <c r="C2659" s="1" t="n">
        <v>45715</v>
      </c>
      <c r="D2659" t="inlineStr">
        <is>
          <t>KALMAR LÄN</t>
        </is>
      </c>
      <c r="E2659" t="inlineStr">
        <is>
          <t>HÖGSBY</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68275-2019</t>
        </is>
      </c>
      <c r="B2660" s="1" t="n">
        <v>43817</v>
      </c>
      <c r="C2660" s="1" t="n">
        <v>45715</v>
      </c>
      <c r="D2660" t="inlineStr">
        <is>
          <t>KALMAR LÄN</t>
        </is>
      </c>
      <c r="E2660" t="inlineStr">
        <is>
          <t>HULTSFRED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457-2020</t>
        </is>
      </c>
      <c r="B2661" s="1" t="n">
        <v>43817</v>
      </c>
      <c r="C2661" s="1" t="n">
        <v>45715</v>
      </c>
      <c r="D2661" t="inlineStr">
        <is>
          <t>KALMAR LÄN</t>
        </is>
      </c>
      <c r="E2661" t="inlineStr">
        <is>
          <t>HÖGSBY</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68528-2019</t>
        </is>
      </c>
      <c r="B2662" s="1" t="n">
        <v>43818</v>
      </c>
      <c r="C2662" s="1" t="n">
        <v>45715</v>
      </c>
      <c r="D2662" t="inlineStr">
        <is>
          <t>KALMAR LÄN</t>
        </is>
      </c>
      <c r="E2662" t="inlineStr">
        <is>
          <t>OSKARSHAMN</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68494-2019</t>
        </is>
      </c>
      <c r="B2663" s="1" t="n">
        <v>43818</v>
      </c>
      <c r="C2663" s="1" t="n">
        <v>45715</v>
      </c>
      <c r="D2663" t="inlineStr">
        <is>
          <t>KALMAR LÄN</t>
        </is>
      </c>
      <c r="E2663" t="inlineStr">
        <is>
          <t>VÄSTERVIK</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68381-2019</t>
        </is>
      </c>
      <c r="B2664" s="1" t="n">
        <v>43818</v>
      </c>
      <c r="C2664" s="1" t="n">
        <v>45715</v>
      </c>
      <c r="D2664" t="inlineStr">
        <is>
          <t>KALMAR LÄN</t>
        </is>
      </c>
      <c r="E2664" t="inlineStr">
        <is>
          <t>BORGHOLM</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68527-2019</t>
        </is>
      </c>
      <c r="B2665" s="1" t="n">
        <v>43818</v>
      </c>
      <c r="C2665" s="1" t="n">
        <v>45715</v>
      </c>
      <c r="D2665" t="inlineStr">
        <is>
          <t>KALMAR LÄN</t>
        </is>
      </c>
      <c r="E2665" t="inlineStr">
        <is>
          <t>OSKARSHAMN</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68593-2019</t>
        </is>
      </c>
      <c r="B2666" s="1" t="n">
        <v>43818</v>
      </c>
      <c r="C2666" s="1" t="n">
        <v>45715</v>
      </c>
      <c r="D2666" t="inlineStr">
        <is>
          <t>KALMAR LÄN</t>
        </is>
      </c>
      <c r="E2666" t="inlineStr">
        <is>
          <t>BORGHOLM</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68764-2019</t>
        </is>
      </c>
      <c r="B2667" s="1" t="n">
        <v>43819</v>
      </c>
      <c r="C2667" s="1" t="n">
        <v>45715</v>
      </c>
      <c r="D2667" t="inlineStr">
        <is>
          <t>KALMAR LÄN</t>
        </is>
      </c>
      <c r="E2667" t="inlineStr">
        <is>
          <t>VÄSTERVIK</t>
        </is>
      </c>
      <c r="F2667" t="inlineStr">
        <is>
          <t>Holmen skog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68778-2019</t>
        </is>
      </c>
      <c r="B2668" s="1" t="n">
        <v>43819</v>
      </c>
      <c r="C2668" s="1" t="n">
        <v>45715</v>
      </c>
      <c r="D2668" t="inlineStr">
        <is>
          <t>KALMAR LÄN</t>
        </is>
      </c>
      <c r="E2668" t="inlineStr">
        <is>
          <t>MÖNSTERÅS</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68824-2019</t>
        </is>
      </c>
      <c r="B2669" s="1" t="n">
        <v>43819</v>
      </c>
      <c r="C2669" s="1" t="n">
        <v>45715</v>
      </c>
      <c r="D2669" t="inlineStr">
        <is>
          <t>KALMAR LÄN</t>
        </is>
      </c>
      <c r="E2669" t="inlineStr">
        <is>
          <t>TORSÅS</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68803-2019</t>
        </is>
      </c>
      <c r="B2670" s="1" t="n">
        <v>43819</v>
      </c>
      <c r="C2670" s="1" t="n">
        <v>45715</v>
      </c>
      <c r="D2670" t="inlineStr">
        <is>
          <t>KALMAR LÄN</t>
        </is>
      </c>
      <c r="E2670" t="inlineStr">
        <is>
          <t>NYBRO</t>
        </is>
      </c>
      <c r="G2670" t="n">
        <v>10.2</v>
      </c>
      <c r="H2670" t="n">
        <v>0</v>
      </c>
      <c r="I2670" t="n">
        <v>0</v>
      </c>
      <c r="J2670" t="n">
        <v>0</v>
      </c>
      <c r="K2670" t="n">
        <v>0</v>
      </c>
      <c r="L2670" t="n">
        <v>0</v>
      </c>
      <c r="M2670" t="n">
        <v>0</v>
      </c>
      <c r="N2670" t="n">
        <v>0</v>
      </c>
      <c r="O2670" t="n">
        <v>0</v>
      </c>
      <c r="P2670" t="n">
        <v>0</v>
      </c>
      <c r="Q2670" t="n">
        <v>0</v>
      </c>
      <c r="R2670" s="2" t="inlineStr"/>
    </row>
    <row r="2671" ht="15" customHeight="1">
      <c r="A2671" t="inlineStr">
        <is>
          <t>A 68873-2019</t>
        </is>
      </c>
      <c r="B2671" s="1" t="n">
        <v>43821</v>
      </c>
      <c r="C2671" s="1" t="n">
        <v>45715</v>
      </c>
      <c r="D2671" t="inlineStr">
        <is>
          <t>KALMAR LÄN</t>
        </is>
      </c>
      <c r="E2671" t="inlineStr">
        <is>
          <t>NYBRO</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1443-2020</t>
        </is>
      </c>
      <c r="B2672" s="1" t="n">
        <v>43822</v>
      </c>
      <c r="C2672" s="1" t="n">
        <v>45715</v>
      </c>
      <c r="D2672" t="inlineStr">
        <is>
          <t>KALMAR LÄN</t>
        </is>
      </c>
      <c r="E2672" t="inlineStr">
        <is>
          <t>TORSÅS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69151-2019</t>
        </is>
      </c>
      <c r="B2673" s="1" t="n">
        <v>43829</v>
      </c>
      <c r="C2673" s="1" t="n">
        <v>45715</v>
      </c>
      <c r="D2673" t="inlineStr">
        <is>
          <t>KALMAR LÄN</t>
        </is>
      </c>
      <c r="E2673" t="inlineStr">
        <is>
          <t>KALMAR</t>
        </is>
      </c>
      <c r="G2673" t="n">
        <v>12.4</v>
      </c>
      <c r="H2673" t="n">
        <v>0</v>
      </c>
      <c r="I2673" t="n">
        <v>0</v>
      </c>
      <c r="J2673" t="n">
        <v>0</v>
      </c>
      <c r="K2673" t="n">
        <v>0</v>
      </c>
      <c r="L2673" t="n">
        <v>0</v>
      </c>
      <c r="M2673" t="n">
        <v>0</v>
      </c>
      <c r="N2673" t="n">
        <v>0</v>
      </c>
      <c r="O2673" t="n">
        <v>0</v>
      </c>
      <c r="P2673" t="n">
        <v>0</v>
      </c>
      <c r="Q2673" t="n">
        <v>0</v>
      </c>
      <c r="R2673" s="2" t="inlineStr"/>
    </row>
    <row r="2674" ht="15" customHeight="1">
      <c r="A2674" t="inlineStr">
        <is>
          <t>A 103-2020</t>
        </is>
      </c>
      <c r="B2674" s="1" t="n">
        <v>43832</v>
      </c>
      <c r="C2674" s="1" t="n">
        <v>45715</v>
      </c>
      <c r="D2674" t="inlineStr">
        <is>
          <t>KALMAR LÄN</t>
        </is>
      </c>
      <c r="E2674" t="inlineStr">
        <is>
          <t>KALMAR</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104-2020</t>
        </is>
      </c>
      <c r="B2675" s="1" t="n">
        <v>43832</v>
      </c>
      <c r="C2675" s="1" t="n">
        <v>45715</v>
      </c>
      <c r="D2675" t="inlineStr">
        <is>
          <t>KALMAR LÄN</t>
        </is>
      </c>
      <c r="E2675" t="inlineStr">
        <is>
          <t>KALMAR</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105-2020</t>
        </is>
      </c>
      <c r="B2676" s="1" t="n">
        <v>43832</v>
      </c>
      <c r="C2676" s="1" t="n">
        <v>45715</v>
      </c>
      <c r="D2676" t="inlineStr">
        <is>
          <t>KALMAR LÄN</t>
        </is>
      </c>
      <c r="E2676" t="inlineStr">
        <is>
          <t>KALMAR</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109-2020</t>
        </is>
      </c>
      <c r="B2677" s="1" t="n">
        <v>43832</v>
      </c>
      <c r="C2677" s="1" t="n">
        <v>45715</v>
      </c>
      <c r="D2677" t="inlineStr">
        <is>
          <t>KALMAR LÄN</t>
        </is>
      </c>
      <c r="E2677" t="inlineStr">
        <is>
          <t>KALMAR</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107-2020</t>
        </is>
      </c>
      <c r="B2678" s="1" t="n">
        <v>43832</v>
      </c>
      <c r="C2678" s="1" t="n">
        <v>45715</v>
      </c>
      <c r="D2678" t="inlineStr">
        <is>
          <t>KALMAR LÄN</t>
        </is>
      </c>
      <c r="E2678" t="inlineStr">
        <is>
          <t>KALMAR</t>
        </is>
      </c>
      <c r="G2678" t="n">
        <v>11.4</v>
      </c>
      <c r="H2678" t="n">
        <v>0</v>
      </c>
      <c r="I2678" t="n">
        <v>0</v>
      </c>
      <c r="J2678" t="n">
        <v>0</v>
      </c>
      <c r="K2678" t="n">
        <v>0</v>
      </c>
      <c r="L2678" t="n">
        <v>0</v>
      </c>
      <c r="M2678" t="n">
        <v>0</v>
      </c>
      <c r="N2678" t="n">
        <v>0</v>
      </c>
      <c r="O2678" t="n">
        <v>0</v>
      </c>
      <c r="P2678" t="n">
        <v>0</v>
      </c>
      <c r="Q2678" t="n">
        <v>0</v>
      </c>
      <c r="R2678" s="2" t="inlineStr"/>
    </row>
    <row r="2679" ht="15" customHeight="1">
      <c r="A2679" t="inlineStr">
        <is>
          <t>A 108-2020</t>
        </is>
      </c>
      <c r="B2679" s="1" t="n">
        <v>43832</v>
      </c>
      <c r="C2679" s="1" t="n">
        <v>45715</v>
      </c>
      <c r="D2679" t="inlineStr">
        <is>
          <t>KALMAR LÄN</t>
        </is>
      </c>
      <c r="E2679" t="inlineStr">
        <is>
          <t>KALMAR</t>
        </is>
      </c>
      <c r="G2679" t="n">
        <v>6.8</v>
      </c>
      <c r="H2679" t="n">
        <v>0</v>
      </c>
      <c r="I2679" t="n">
        <v>0</v>
      </c>
      <c r="J2679" t="n">
        <v>0</v>
      </c>
      <c r="K2679" t="n">
        <v>0</v>
      </c>
      <c r="L2679" t="n">
        <v>0</v>
      </c>
      <c r="M2679" t="n">
        <v>0</v>
      </c>
      <c r="N2679" t="n">
        <v>0</v>
      </c>
      <c r="O2679" t="n">
        <v>0</v>
      </c>
      <c r="P2679" t="n">
        <v>0</v>
      </c>
      <c r="Q2679" t="n">
        <v>0</v>
      </c>
      <c r="R2679" s="2" t="inlineStr"/>
    </row>
    <row r="2680" ht="15" customHeight="1">
      <c r="A2680" t="inlineStr">
        <is>
          <t>A 53-2020</t>
        </is>
      </c>
      <c r="B2680" s="1" t="n">
        <v>43832</v>
      </c>
      <c r="C2680" s="1" t="n">
        <v>45715</v>
      </c>
      <c r="D2680" t="inlineStr">
        <is>
          <t>KALMAR LÄN</t>
        </is>
      </c>
      <c r="E2680" t="inlineStr">
        <is>
          <t>NYBRO</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106-2020</t>
        </is>
      </c>
      <c r="B2681" s="1" t="n">
        <v>43832</v>
      </c>
      <c r="C2681" s="1" t="n">
        <v>45715</v>
      </c>
      <c r="D2681" t="inlineStr">
        <is>
          <t>KALMAR LÄN</t>
        </is>
      </c>
      <c r="E2681" t="inlineStr">
        <is>
          <t>KALMAR</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110-2020</t>
        </is>
      </c>
      <c r="B2682" s="1" t="n">
        <v>43832</v>
      </c>
      <c r="C2682" s="1" t="n">
        <v>45715</v>
      </c>
      <c r="D2682" t="inlineStr">
        <is>
          <t>KALMAR LÄN</t>
        </is>
      </c>
      <c r="E2682" t="inlineStr">
        <is>
          <t>KALMAR</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153-2020</t>
        </is>
      </c>
      <c r="B2683" s="1" t="n">
        <v>43833</v>
      </c>
      <c r="C2683" s="1" t="n">
        <v>45715</v>
      </c>
      <c r="D2683" t="inlineStr">
        <is>
          <t>KALMAR LÄN</t>
        </is>
      </c>
      <c r="E2683" t="inlineStr">
        <is>
          <t>HULTSFRED</t>
        </is>
      </c>
      <c r="F2683" t="inlineStr">
        <is>
          <t>Sveaskog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156-2020</t>
        </is>
      </c>
      <c r="B2684" s="1" t="n">
        <v>43833</v>
      </c>
      <c r="C2684" s="1" t="n">
        <v>45715</v>
      </c>
      <c r="D2684" t="inlineStr">
        <is>
          <t>KALMAR LÄN</t>
        </is>
      </c>
      <c r="E2684" t="inlineStr">
        <is>
          <t>HULTSFRED</t>
        </is>
      </c>
      <c r="F2684" t="inlineStr">
        <is>
          <t>Sveaskog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233-2020</t>
        </is>
      </c>
      <c r="B2685" s="1" t="n">
        <v>43834</v>
      </c>
      <c r="C2685" s="1" t="n">
        <v>45715</v>
      </c>
      <c r="D2685" t="inlineStr">
        <is>
          <t>KALMAR LÄN</t>
        </is>
      </c>
      <c r="E2685" t="inlineStr">
        <is>
          <t>MÖNSTERÅS</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234-2020</t>
        </is>
      </c>
      <c r="B2686" s="1" t="n">
        <v>43834</v>
      </c>
      <c r="C2686" s="1" t="n">
        <v>45715</v>
      </c>
      <c r="D2686" t="inlineStr">
        <is>
          <t>KALMAR LÄN</t>
        </is>
      </c>
      <c r="E2686" t="inlineStr">
        <is>
          <t>MÖNSTERÅS</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245-2020</t>
        </is>
      </c>
      <c r="B2687" s="1" t="n">
        <v>43835</v>
      </c>
      <c r="C2687" s="1" t="n">
        <v>45715</v>
      </c>
      <c r="D2687" t="inlineStr">
        <is>
          <t>KALMAR LÄN</t>
        </is>
      </c>
      <c r="E2687" t="inlineStr">
        <is>
          <t>OSKARSHAMN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370-2020</t>
        </is>
      </c>
      <c r="B2688" s="1" t="n">
        <v>43837</v>
      </c>
      <c r="C2688" s="1" t="n">
        <v>45715</v>
      </c>
      <c r="D2688" t="inlineStr">
        <is>
          <t>KALMAR LÄN</t>
        </is>
      </c>
      <c r="E2688" t="inlineStr">
        <is>
          <t>OSKARSHAMN</t>
        </is>
      </c>
      <c r="G2688" t="n">
        <v>12.8</v>
      </c>
      <c r="H2688" t="n">
        <v>0</v>
      </c>
      <c r="I2688" t="n">
        <v>0</v>
      </c>
      <c r="J2688" t="n">
        <v>0</v>
      </c>
      <c r="K2688" t="n">
        <v>0</v>
      </c>
      <c r="L2688" t="n">
        <v>0</v>
      </c>
      <c r="M2688" t="n">
        <v>0</v>
      </c>
      <c r="N2688" t="n">
        <v>0</v>
      </c>
      <c r="O2688" t="n">
        <v>0</v>
      </c>
      <c r="P2688" t="n">
        <v>0</v>
      </c>
      <c r="Q2688" t="n">
        <v>0</v>
      </c>
      <c r="R2688" s="2" t="inlineStr"/>
    </row>
    <row r="2689" ht="15" customHeight="1">
      <c r="A2689" t="inlineStr">
        <is>
          <t>A 278-2020</t>
        </is>
      </c>
      <c r="B2689" s="1" t="n">
        <v>43837</v>
      </c>
      <c r="C2689" s="1" t="n">
        <v>45715</v>
      </c>
      <c r="D2689" t="inlineStr">
        <is>
          <t>KALMAR LÄN</t>
        </is>
      </c>
      <c r="E2689" t="inlineStr">
        <is>
          <t>HÖGSBY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483-2020</t>
        </is>
      </c>
      <c r="B2690" s="1" t="n">
        <v>43837</v>
      </c>
      <c r="C2690" s="1" t="n">
        <v>45715</v>
      </c>
      <c r="D2690" t="inlineStr">
        <is>
          <t>KALMAR LÄN</t>
        </is>
      </c>
      <c r="E2690" t="inlineStr">
        <is>
          <t>VÄSTERVIK</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447-2020</t>
        </is>
      </c>
      <c r="B2691" s="1" t="n">
        <v>43837</v>
      </c>
      <c r="C2691" s="1" t="n">
        <v>45715</v>
      </c>
      <c r="D2691" t="inlineStr">
        <is>
          <t>KALMAR LÄN</t>
        </is>
      </c>
      <c r="E2691" t="inlineStr">
        <is>
          <t>VIMMERBY</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306-2020</t>
        </is>
      </c>
      <c r="B2692" s="1" t="n">
        <v>43837</v>
      </c>
      <c r="C2692" s="1" t="n">
        <v>45715</v>
      </c>
      <c r="D2692" t="inlineStr">
        <is>
          <t>KALMAR LÄN</t>
        </is>
      </c>
      <c r="E2692" t="inlineStr">
        <is>
          <t>VIMMERBY</t>
        </is>
      </c>
      <c r="G2692" t="n">
        <v>9.9</v>
      </c>
      <c r="H2692" t="n">
        <v>0</v>
      </c>
      <c r="I2692" t="n">
        <v>0</v>
      </c>
      <c r="J2692" t="n">
        <v>0</v>
      </c>
      <c r="K2692" t="n">
        <v>0</v>
      </c>
      <c r="L2692" t="n">
        <v>0</v>
      </c>
      <c r="M2692" t="n">
        <v>0</v>
      </c>
      <c r="N2692" t="n">
        <v>0</v>
      </c>
      <c r="O2692" t="n">
        <v>0</v>
      </c>
      <c r="P2692" t="n">
        <v>0</v>
      </c>
      <c r="Q2692" t="n">
        <v>0</v>
      </c>
      <c r="R2692" s="2" t="inlineStr"/>
    </row>
    <row r="2693" ht="15" customHeight="1">
      <c r="A2693" t="inlineStr">
        <is>
          <t>A 524-2020</t>
        </is>
      </c>
      <c r="B2693" s="1" t="n">
        <v>43837</v>
      </c>
      <c r="C2693" s="1" t="n">
        <v>45715</v>
      </c>
      <c r="D2693" t="inlineStr">
        <is>
          <t>KALMAR LÄN</t>
        </is>
      </c>
      <c r="E2693" t="inlineStr">
        <is>
          <t>NYBRO</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512-2020</t>
        </is>
      </c>
      <c r="B2694" s="1" t="n">
        <v>43837</v>
      </c>
      <c r="C2694" s="1" t="n">
        <v>45715</v>
      </c>
      <c r="D2694" t="inlineStr">
        <is>
          <t>KALMAR LÄN</t>
        </is>
      </c>
      <c r="E2694" t="inlineStr">
        <is>
          <t>TORSÅS</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655-2020</t>
        </is>
      </c>
      <c r="B2695" s="1" t="n">
        <v>43838</v>
      </c>
      <c r="C2695" s="1" t="n">
        <v>45715</v>
      </c>
      <c r="D2695" t="inlineStr">
        <is>
          <t>KALMAR LÄN</t>
        </is>
      </c>
      <c r="E2695" t="inlineStr">
        <is>
          <t>HULTSFRED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777-2020</t>
        </is>
      </c>
      <c r="B2696" s="1" t="n">
        <v>43838</v>
      </c>
      <c r="C2696" s="1" t="n">
        <v>45715</v>
      </c>
      <c r="D2696" t="inlineStr">
        <is>
          <t>KALMAR LÄN</t>
        </is>
      </c>
      <c r="E2696" t="inlineStr">
        <is>
          <t>VÄSTERVIK</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776-2020</t>
        </is>
      </c>
      <c r="B2697" s="1" t="n">
        <v>43838</v>
      </c>
      <c r="C2697" s="1" t="n">
        <v>45715</v>
      </c>
      <c r="D2697" t="inlineStr">
        <is>
          <t>KALMAR LÄN</t>
        </is>
      </c>
      <c r="E2697" t="inlineStr">
        <is>
          <t>VÄSTERVIK</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593-2020</t>
        </is>
      </c>
      <c r="B2698" s="1" t="n">
        <v>43838</v>
      </c>
      <c r="C2698" s="1" t="n">
        <v>45715</v>
      </c>
      <c r="D2698" t="inlineStr">
        <is>
          <t>KALMAR LÄN</t>
        </is>
      </c>
      <c r="E2698" t="inlineStr">
        <is>
          <t>VIMMERBY</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1989-2020</t>
        </is>
      </c>
      <c r="B2699" s="1" t="n">
        <v>43838</v>
      </c>
      <c r="C2699" s="1" t="n">
        <v>45715</v>
      </c>
      <c r="D2699" t="inlineStr">
        <is>
          <t>KALMAR LÄN</t>
        </is>
      </c>
      <c r="E2699" t="inlineStr">
        <is>
          <t>VÄSTERVIK</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863-2020</t>
        </is>
      </c>
      <c r="B2700" s="1" t="n">
        <v>43839</v>
      </c>
      <c r="C2700" s="1" t="n">
        <v>45715</v>
      </c>
      <c r="D2700" t="inlineStr">
        <is>
          <t>KALMAR LÄN</t>
        </is>
      </c>
      <c r="E2700" t="inlineStr">
        <is>
          <t>HÖGSBY</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825-2020</t>
        </is>
      </c>
      <c r="B2701" s="1" t="n">
        <v>43839</v>
      </c>
      <c r="C2701" s="1" t="n">
        <v>45715</v>
      </c>
      <c r="D2701" t="inlineStr">
        <is>
          <t>KALMAR LÄN</t>
        </is>
      </c>
      <c r="E2701" t="inlineStr">
        <is>
          <t>NYBRO</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1073-2020</t>
        </is>
      </c>
      <c r="B2702" s="1" t="n">
        <v>43840</v>
      </c>
      <c r="C2702" s="1" t="n">
        <v>45715</v>
      </c>
      <c r="D2702" t="inlineStr">
        <is>
          <t>KALMAR LÄN</t>
        </is>
      </c>
      <c r="E2702" t="inlineStr">
        <is>
          <t>NYBRO</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1125-2020</t>
        </is>
      </c>
      <c r="B2703" s="1" t="n">
        <v>43840</v>
      </c>
      <c r="C2703" s="1" t="n">
        <v>45715</v>
      </c>
      <c r="D2703" t="inlineStr">
        <is>
          <t>KALMAR LÄN</t>
        </is>
      </c>
      <c r="E2703" t="inlineStr">
        <is>
          <t>TORSÅS</t>
        </is>
      </c>
      <c r="G2703" t="n">
        <v>13.2</v>
      </c>
      <c r="H2703" t="n">
        <v>0</v>
      </c>
      <c r="I2703" t="n">
        <v>0</v>
      </c>
      <c r="J2703" t="n">
        <v>0</v>
      </c>
      <c r="K2703" t="n">
        <v>0</v>
      </c>
      <c r="L2703" t="n">
        <v>0</v>
      </c>
      <c r="M2703" t="n">
        <v>0</v>
      </c>
      <c r="N2703" t="n">
        <v>0</v>
      </c>
      <c r="O2703" t="n">
        <v>0</v>
      </c>
      <c r="P2703" t="n">
        <v>0</v>
      </c>
      <c r="Q2703" t="n">
        <v>0</v>
      </c>
      <c r="R2703" s="2" t="inlineStr"/>
    </row>
    <row r="2704" ht="15" customHeight="1">
      <c r="A2704" t="inlineStr">
        <is>
          <t>A 1095-2020</t>
        </is>
      </c>
      <c r="B2704" s="1" t="n">
        <v>43840</v>
      </c>
      <c r="C2704" s="1" t="n">
        <v>45715</v>
      </c>
      <c r="D2704" t="inlineStr">
        <is>
          <t>KALMAR LÄN</t>
        </is>
      </c>
      <c r="E2704" t="inlineStr">
        <is>
          <t>TORSÅS</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1149-2020</t>
        </is>
      </c>
      <c r="B2705" s="1" t="n">
        <v>43840</v>
      </c>
      <c r="C2705" s="1" t="n">
        <v>45715</v>
      </c>
      <c r="D2705" t="inlineStr">
        <is>
          <t>KALMAR LÄN</t>
        </is>
      </c>
      <c r="E2705" t="inlineStr">
        <is>
          <t>EMMABODA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1156-2020</t>
        </is>
      </c>
      <c r="B2706" s="1" t="n">
        <v>43840</v>
      </c>
      <c r="C2706" s="1" t="n">
        <v>45715</v>
      </c>
      <c r="D2706" t="inlineStr">
        <is>
          <t>KALMAR LÄN</t>
        </is>
      </c>
      <c r="E2706" t="inlineStr">
        <is>
          <t>EMMABODA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1147-2020</t>
        </is>
      </c>
      <c r="B2707" s="1" t="n">
        <v>43840</v>
      </c>
      <c r="C2707" s="1" t="n">
        <v>45715</v>
      </c>
      <c r="D2707" t="inlineStr">
        <is>
          <t>KALMAR LÄN</t>
        </is>
      </c>
      <c r="E2707" t="inlineStr">
        <is>
          <t>EMMABODA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1308-2020</t>
        </is>
      </c>
      <c r="B2708" s="1" t="n">
        <v>43840</v>
      </c>
      <c r="C2708" s="1" t="n">
        <v>45715</v>
      </c>
      <c r="D2708" t="inlineStr">
        <is>
          <t>KALMAR LÄN</t>
        </is>
      </c>
      <c r="E2708" t="inlineStr">
        <is>
          <t>OSKARSHAMN</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1072-2020</t>
        </is>
      </c>
      <c r="B2709" s="1" t="n">
        <v>43840</v>
      </c>
      <c r="C2709" s="1" t="n">
        <v>45715</v>
      </c>
      <c r="D2709" t="inlineStr">
        <is>
          <t>KALMAR LÄN</t>
        </is>
      </c>
      <c r="E2709" t="inlineStr">
        <is>
          <t>NYBRO</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2460-2020</t>
        </is>
      </c>
      <c r="B2710" s="1" t="n">
        <v>43840</v>
      </c>
      <c r="C2710" s="1" t="n">
        <v>45715</v>
      </c>
      <c r="D2710" t="inlineStr">
        <is>
          <t>KALMAR LÄN</t>
        </is>
      </c>
      <c r="E2710" t="inlineStr">
        <is>
          <t>KALMAR</t>
        </is>
      </c>
      <c r="G2710" t="n">
        <v>5.6</v>
      </c>
      <c r="H2710" t="n">
        <v>0</v>
      </c>
      <c r="I2710" t="n">
        <v>0</v>
      </c>
      <c r="J2710" t="n">
        <v>0</v>
      </c>
      <c r="K2710" t="n">
        <v>0</v>
      </c>
      <c r="L2710" t="n">
        <v>0</v>
      </c>
      <c r="M2710" t="n">
        <v>0</v>
      </c>
      <c r="N2710" t="n">
        <v>0</v>
      </c>
      <c r="O2710" t="n">
        <v>0</v>
      </c>
      <c r="P2710" t="n">
        <v>0</v>
      </c>
      <c r="Q2710" t="n">
        <v>0</v>
      </c>
      <c r="R2710" s="2" t="inlineStr"/>
    </row>
    <row r="2711" ht="15" customHeight="1">
      <c r="A2711" t="inlineStr">
        <is>
          <t>A 2473-2020</t>
        </is>
      </c>
      <c r="B2711" s="1" t="n">
        <v>43840</v>
      </c>
      <c r="C2711" s="1" t="n">
        <v>45715</v>
      </c>
      <c r="D2711" t="inlineStr">
        <is>
          <t>KALMAR LÄN</t>
        </is>
      </c>
      <c r="E2711" t="inlineStr">
        <is>
          <t>VIMMERBY</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1301-2020</t>
        </is>
      </c>
      <c r="B2712" s="1" t="n">
        <v>43842</v>
      </c>
      <c r="C2712" s="1" t="n">
        <v>45715</v>
      </c>
      <c r="D2712" t="inlineStr">
        <is>
          <t>KALMAR LÄN</t>
        </is>
      </c>
      <c r="E2712" t="inlineStr">
        <is>
          <t>HULTSFRED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1292-2020</t>
        </is>
      </c>
      <c r="B2713" s="1" t="n">
        <v>43842</v>
      </c>
      <c r="C2713" s="1" t="n">
        <v>45715</v>
      </c>
      <c r="D2713" t="inlineStr">
        <is>
          <t>KALMAR LÄN</t>
        </is>
      </c>
      <c r="E2713" t="inlineStr">
        <is>
          <t>NYBRO</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1536-2020</t>
        </is>
      </c>
      <c r="B2714" s="1" t="n">
        <v>43843</v>
      </c>
      <c r="C2714" s="1" t="n">
        <v>45715</v>
      </c>
      <c r="D2714" t="inlineStr">
        <is>
          <t>KALMAR LÄN</t>
        </is>
      </c>
      <c r="E2714" t="inlineStr">
        <is>
          <t>OSKARSHAMN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1342-2020</t>
        </is>
      </c>
      <c r="B2715" s="1" t="n">
        <v>43843</v>
      </c>
      <c r="C2715" s="1" t="n">
        <v>45715</v>
      </c>
      <c r="D2715" t="inlineStr">
        <is>
          <t>KALMAR LÄN</t>
        </is>
      </c>
      <c r="E2715" t="inlineStr">
        <is>
          <t>NYBRO</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1488-2020</t>
        </is>
      </c>
      <c r="B2716" s="1" t="n">
        <v>43843</v>
      </c>
      <c r="C2716" s="1" t="n">
        <v>45715</v>
      </c>
      <c r="D2716" t="inlineStr">
        <is>
          <t>KALMAR LÄN</t>
        </is>
      </c>
      <c r="E2716" t="inlineStr">
        <is>
          <t>NYBRO</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1537-2020</t>
        </is>
      </c>
      <c r="B2717" s="1" t="n">
        <v>43843</v>
      </c>
      <c r="C2717" s="1" t="n">
        <v>45715</v>
      </c>
      <c r="D2717" t="inlineStr">
        <is>
          <t>KALMAR LÄN</t>
        </is>
      </c>
      <c r="E2717" t="inlineStr">
        <is>
          <t>OSKARSHAMN</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1479-2020</t>
        </is>
      </c>
      <c r="B2718" s="1" t="n">
        <v>43843</v>
      </c>
      <c r="C2718" s="1" t="n">
        <v>45715</v>
      </c>
      <c r="D2718" t="inlineStr">
        <is>
          <t>KALMAR LÄN</t>
        </is>
      </c>
      <c r="E2718" t="inlineStr">
        <is>
          <t>NYBRO</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1539-2020</t>
        </is>
      </c>
      <c r="B2719" s="1" t="n">
        <v>43843</v>
      </c>
      <c r="C2719" s="1" t="n">
        <v>45715</v>
      </c>
      <c r="D2719" t="inlineStr">
        <is>
          <t>KALMAR LÄN</t>
        </is>
      </c>
      <c r="E2719" t="inlineStr">
        <is>
          <t>HULTSFRED</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1492-2020</t>
        </is>
      </c>
      <c r="B2720" s="1" t="n">
        <v>43843</v>
      </c>
      <c r="C2720" s="1" t="n">
        <v>45715</v>
      </c>
      <c r="D2720" t="inlineStr">
        <is>
          <t>KALMAR LÄN</t>
        </is>
      </c>
      <c r="E2720" t="inlineStr">
        <is>
          <t>EMMABODA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1853-2020</t>
        </is>
      </c>
      <c r="B2721" s="1" t="n">
        <v>43844</v>
      </c>
      <c r="C2721" s="1" t="n">
        <v>45715</v>
      </c>
      <c r="D2721" t="inlineStr">
        <is>
          <t>KALMAR LÄN</t>
        </is>
      </c>
      <c r="E2721" t="inlineStr">
        <is>
          <t>KALMAR</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1967-2020</t>
        </is>
      </c>
      <c r="B2722" s="1" t="n">
        <v>43845</v>
      </c>
      <c r="C2722" s="1" t="n">
        <v>45715</v>
      </c>
      <c r="D2722" t="inlineStr">
        <is>
          <t>KALMAR LÄN</t>
        </is>
      </c>
      <c r="E2722" t="inlineStr">
        <is>
          <t>VIMMERBY</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2070-2020</t>
        </is>
      </c>
      <c r="B2723" s="1" t="n">
        <v>43845</v>
      </c>
      <c r="C2723" s="1" t="n">
        <v>45715</v>
      </c>
      <c r="D2723" t="inlineStr">
        <is>
          <t>KALMAR LÄN</t>
        </is>
      </c>
      <c r="E2723" t="inlineStr">
        <is>
          <t>VIMMERBY</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3434-2020</t>
        </is>
      </c>
      <c r="B2724" s="1" t="n">
        <v>43845</v>
      </c>
      <c r="C2724" s="1" t="n">
        <v>45715</v>
      </c>
      <c r="D2724" t="inlineStr">
        <is>
          <t>KALMAR LÄN</t>
        </is>
      </c>
      <c r="E2724" t="inlineStr">
        <is>
          <t>VIMMERBY</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2126-2020</t>
        </is>
      </c>
      <c r="B2725" s="1" t="n">
        <v>43846</v>
      </c>
      <c r="C2725" s="1" t="n">
        <v>45715</v>
      </c>
      <c r="D2725" t="inlineStr">
        <is>
          <t>KALMAR LÄN</t>
        </is>
      </c>
      <c r="E2725" t="inlineStr">
        <is>
          <t>EMMABODA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2210-2020</t>
        </is>
      </c>
      <c r="B2726" s="1" t="n">
        <v>43846</v>
      </c>
      <c r="C2726" s="1" t="n">
        <v>45715</v>
      </c>
      <c r="D2726" t="inlineStr">
        <is>
          <t>KALMAR LÄN</t>
        </is>
      </c>
      <c r="E2726" t="inlineStr">
        <is>
          <t>NYBRO</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2140-2020</t>
        </is>
      </c>
      <c r="B2727" s="1" t="n">
        <v>43846</v>
      </c>
      <c r="C2727" s="1" t="n">
        <v>45715</v>
      </c>
      <c r="D2727" t="inlineStr">
        <is>
          <t>KALMAR LÄN</t>
        </is>
      </c>
      <c r="E2727" t="inlineStr">
        <is>
          <t>KALMAR</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2196-2020</t>
        </is>
      </c>
      <c r="B2728" s="1" t="n">
        <v>43846</v>
      </c>
      <c r="C2728" s="1" t="n">
        <v>45715</v>
      </c>
      <c r="D2728" t="inlineStr">
        <is>
          <t>KALMAR LÄN</t>
        </is>
      </c>
      <c r="E2728" t="inlineStr">
        <is>
          <t>NYBRO</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2343-2020</t>
        </is>
      </c>
      <c r="B2729" s="1" t="n">
        <v>43846</v>
      </c>
      <c r="C2729" s="1" t="n">
        <v>45715</v>
      </c>
      <c r="D2729" t="inlineStr">
        <is>
          <t>KALMAR LÄN</t>
        </is>
      </c>
      <c r="E2729" t="inlineStr">
        <is>
          <t>TORSÅS</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2130-2020</t>
        </is>
      </c>
      <c r="B2730" s="1" t="n">
        <v>43846</v>
      </c>
      <c r="C2730" s="1" t="n">
        <v>45715</v>
      </c>
      <c r="D2730" t="inlineStr">
        <is>
          <t>KALMAR LÄN</t>
        </is>
      </c>
      <c r="E2730" t="inlineStr">
        <is>
          <t>OSKARSHAMN</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2206-2020</t>
        </is>
      </c>
      <c r="B2731" s="1" t="n">
        <v>43846</v>
      </c>
      <c r="C2731" s="1" t="n">
        <v>45715</v>
      </c>
      <c r="D2731" t="inlineStr">
        <is>
          <t>KALMAR LÄN</t>
        </is>
      </c>
      <c r="E2731" t="inlineStr">
        <is>
          <t>NYBRO</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2345-2020</t>
        </is>
      </c>
      <c r="B2732" s="1" t="n">
        <v>43846</v>
      </c>
      <c r="C2732" s="1" t="n">
        <v>45715</v>
      </c>
      <c r="D2732" t="inlineStr">
        <is>
          <t>KALMAR LÄN</t>
        </is>
      </c>
      <c r="E2732" t="inlineStr">
        <is>
          <t>KALMAR</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2596-2020</t>
        </is>
      </c>
      <c r="B2733" s="1" t="n">
        <v>43847</v>
      </c>
      <c r="C2733" s="1" t="n">
        <v>45715</v>
      </c>
      <c r="D2733" t="inlineStr">
        <is>
          <t>KALMAR LÄN</t>
        </is>
      </c>
      <c r="E2733" t="inlineStr">
        <is>
          <t>HULTSFRED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2579-2020</t>
        </is>
      </c>
      <c r="B2734" s="1" t="n">
        <v>43847</v>
      </c>
      <c r="C2734" s="1" t="n">
        <v>45715</v>
      </c>
      <c r="D2734" t="inlineStr">
        <is>
          <t>KALMAR LÄN</t>
        </is>
      </c>
      <c r="E2734" t="inlineStr">
        <is>
          <t>HÖGSBY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2463-2020</t>
        </is>
      </c>
      <c r="B2735" s="1" t="n">
        <v>43847</v>
      </c>
      <c r="C2735" s="1" t="n">
        <v>45715</v>
      </c>
      <c r="D2735" t="inlineStr">
        <is>
          <t>KALMAR LÄN</t>
        </is>
      </c>
      <c r="E2735" t="inlineStr">
        <is>
          <t>HULTSFRED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2504-2020</t>
        </is>
      </c>
      <c r="B2736" s="1" t="n">
        <v>43847</v>
      </c>
      <c r="C2736" s="1" t="n">
        <v>45715</v>
      </c>
      <c r="D2736" t="inlineStr">
        <is>
          <t>KALMAR LÄN</t>
        </is>
      </c>
      <c r="E2736" t="inlineStr">
        <is>
          <t>HULTSFRED</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4236-2020</t>
        </is>
      </c>
      <c r="B2737" s="1" t="n">
        <v>43847</v>
      </c>
      <c r="C2737" s="1" t="n">
        <v>45715</v>
      </c>
      <c r="D2737" t="inlineStr">
        <is>
          <t>KALMAR LÄN</t>
        </is>
      </c>
      <c r="E2737" t="inlineStr">
        <is>
          <t>HULTSFRED</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4232-2020</t>
        </is>
      </c>
      <c r="B2738" s="1" t="n">
        <v>43847</v>
      </c>
      <c r="C2738" s="1" t="n">
        <v>45715</v>
      </c>
      <c r="D2738" t="inlineStr">
        <is>
          <t>KALMAR LÄN</t>
        </is>
      </c>
      <c r="E2738" t="inlineStr">
        <is>
          <t>HULTSFRED</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4394-2020</t>
        </is>
      </c>
      <c r="B2739" s="1" t="n">
        <v>43847</v>
      </c>
      <c r="C2739" s="1" t="n">
        <v>45715</v>
      </c>
      <c r="D2739" t="inlineStr">
        <is>
          <t>KALMAR LÄN</t>
        </is>
      </c>
      <c r="E2739" t="inlineStr">
        <is>
          <t>NYBRO</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2494-2020</t>
        </is>
      </c>
      <c r="B2740" s="1" t="n">
        <v>43847</v>
      </c>
      <c r="C2740" s="1" t="n">
        <v>45715</v>
      </c>
      <c r="D2740" t="inlineStr">
        <is>
          <t>KALMAR LÄN</t>
        </is>
      </c>
      <c r="E2740" t="inlineStr">
        <is>
          <t>VÄSTERVIK</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2400-2020</t>
        </is>
      </c>
      <c r="B2741" s="1" t="n">
        <v>43847</v>
      </c>
      <c r="C2741" s="1" t="n">
        <v>45715</v>
      </c>
      <c r="D2741" t="inlineStr">
        <is>
          <t>KALMAR LÄN</t>
        </is>
      </c>
      <c r="E2741" t="inlineStr">
        <is>
          <t>NYBRO</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2756-2020</t>
        </is>
      </c>
      <c r="B2742" s="1" t="n">
        <v>43850</v>
      </c>
      <c r="C2742" s="1" t="n">
        <v>45715</v>
      </c>
      <c r="D2742" t="inlineStr">
        <is>
          <t>KALMAR LÄN</t>
        </is>
      </c>
      <c r="E2742" t="inlineStr">
        <is>
          <t>VIMMERBY</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2860-2020</t>
        </is>
      </c>
      <c r="B2743" s="1" t="n">
        <v>43850</v>
      </c>
      <c r="C2743" s="1" t="n">
        <v>45715</v>
      </c>
      <c r="D2743" t="inlineStr">
        <is>
          <t>KALMAR LÄN</t>
        </is>
      </c>
      <c r="E2743" t="inlineStr">
        <is>
          <t>HULTSFRED</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2865-2020</t>
        </is>
      </c>
      <c r="B2744" s="1" t="n">
        <v>43850</v>
      </c>
      <c r="C2744" s="1" t="n">
        <v>45715</v>
      </c>
      <c r="D2744" t="inlineStr">
        <is>
          <t>KALMAR LÄN</t>
        </is>
      </c>
      <c r="E2744" t="inlineStr">
        <is>
          <t>HULTSFRED</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2898-2020</t>
        </is>
      </c>
      <c r="B2745" s="1" t="n">
        <v>43850</v>
      </c>
      <c r="C2745" s="1" t="n">
        <v>45715</v>
      </c>
      <c r="D2745" t="inlineStr">
        <is>
          <t>KALMAR LÄN</t>
        </is>
      </c>
      <c r="E2745" t="inlineStr">
        <is>
          <t>HULTSFRED</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2856-2020</t>
        </is>
      </c>
      <c r="B2746" s="1" t="n">
        <v>43850</v>
      </c>
      <c r="C2746" s="1" t="n">
        <v>45715</v>
      </c>
      <c r="D2746" t="inlineStr">
        <is>
          <t>KALMAR LÄN</t>
        </is>
      </c>
      <c r="E2746" t="inlineStr">
        <is>
          <t>VIMMERBY</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4489-2020</t>
        </is>
      </c>
      <c r="B2747" s="1" t="n">
        <v>43850</v>
      </c>
      <c r="C2747" s="1" t="n">
        <v>45715</v>
      </c>
      <c r="D2747" t="inlineStr">
        <is>
          <t>KALMAR LÄN</t>
        </is>
      </c>
      <c r="E2747" t="inlineStr">
        <is>
          <t>NYBRO</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3153-2020</t>
        </is>
      </c>
      <c r="B2748" s="1" t="n">
        <v>43851</v>
      </c>
      <c r="C2748" s="1" t="n">
        <v>45715</v>
      </c>
      <c r="D2748" t="inlineStr">
        <is>
          <t>KALMAR LÄN</t>
        </is>
      </c>
      <c r="E2748" t="inlineStr">
        <is>
          <t>OSKARSHAMN</t>
        </is>
      </c>
      <c r="G2748" t="n">
        <v>0</v>
      </c>
      <c r="H2748" t="n">
        <v>0</v>
      </c>
      <c r="I2748" t="n">
        <v>0</v>
      </c>
      <c r="J2748" t="n">
        <v>0</v>
      </c>
      <c r="K2748" t="n">
        <v>0</v>
      </c>
      <c r="L2748" t="n">
        <v>0</v>
      </c>
      <c r="M2748" t="n">
        <v>0</v>
      </c>
      <c r="N2748" t="n">
        <v>0</v>
      </c>
      <c r="O2748" t="n">
        <v>0</v>
      </c>
      <c r="P2748" t="n">
        <v>0</v>
      </c>
      <c r="Q2748" t="n">
        <v>0</v>
      </c>
      <c r="R2748" s="2" t="inlineStr"/>
    </row>
    <row r="2749" ht="15" customHeight="1">
      <c r="A2749" t="inlineStr">
        <is>
          <t>A 3104-2020</t>
        </is>
      </c>
      <c r="B2749" s="1" t="n">
        <v>43851</v>
      </c>
      <c r="C2749" s="1" t="n">
        <v>45715</v>
      </c>
      <c r="D2749" t="inlineStr">
        <is>
          <t>KALMAR LÄN</t>
        </is>
      </c>
      <c r="E2749" t="inlineStr">
        <is>
          <t>TORSÅS</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3148-2020</t>
        </is>
      </c>
      <c r="B2750" s="1" t="n">
        <v>43851</v>
      </c>
      <c r="C2750" s="1" t="n">
        <v>45715</v>
      </c>
      <c r="D2750" t="inlineStr">
        <is>
          <t>KALMAR LÄN</t>
        </is>
      </c>
      <c r="E2750" t="inlineStr">
        <is>
          <t>OSKARSHAMN</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3061-2020</t>
        </is>
      </c>
      <c r="B2751" s="1" t="n">
        <v>43851</v>
      </c>
      <c r="C2751" s="1" t="n">
        <v>45715</v>
      </c>
      <c r="D2751" t="inlineStr">
        <is>
          <t>KALMAR LÄN</t>
        </is>
      </c>
      <c r="E2751" t="inlineStr">
        <is>
          <t>EMMABODA</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3151-2020</t>
        </is>
      </c>
      <c r="B2752" s="1" t="n">
        <v>43851</v>
      </c>
      <c r="C2752" s="1" t="n">
        <v>45715</v>
      </c>
      <c r="D2752" t="inlineStr">
        <is>
          <t>KALMAR LÄN</t>
        </is>
      </c>
      <c r="E2752" t="inlineStr">
        <is>
          <t>OSKARSHAMN</t>
        </is>
      </c>
      <c r="G2752" t="n">
        <v>8</v>
      </c>
      <c r="H2752" t="n">
        <v>0</v>
      </c>
      <c r="I2752" t="n">
        <v>0</v>
      </c>
      <c r="J2752" t="n">
        <v>0</v>
      </c>
      <c r="K2752" t="n">
        <v>0</v>
      </c>
      <c r="L2752" t="n">
        <v>0</v>
      </c>
      <c r="M2752" t="n">
        <v>0</v>
      </c>
      <c r="N2752" t="n">
        <v>0</v>
      </c>
      <c r="O2752" t="n">
        <v>0</v>
      </c>
      <c r="P2752" t="n">
        <v>0</v>
      </c>
      <c r="Q2752" t="n">
        <v>0</v>
      </c>
      <c r="R2752" s="2" t="inlineStr"/>
    </row>
    <row r="2753" ht="15" customHeight="1">
      <c r="A2753" t="inlineStr">
        <is>
          <t>A 3211-2020</t>
        </is>
      </c>
      <c r="B2753" s="1" t="n">
        <v>43851</v>
      </c>
      <c r="C2753" s="1" t="n">
        <v>45715</v>
      </c>
      <c r="D2753" t="inlineStr">
        <is>
          <t>KALMAR LÄN</t>
        </is>
      </c>
      <c r="E2753" t="inlineStr">
        <is>
          <t>VIMMERBY</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3143-2020</t>
        </is>
      </c>
      <c r="B2754" s="1" t="n">
        <v>43851</v>
      </c>
      <c r="C2754" s="1" t="n">
        <v>45715</v>
      </c>
      <c r="D2754" t="inlineStr">
        <is>
          <t>KALMAR LÄN</t>
        </is>
      </c>
      <c r="E2754" t="inlineStr">
        <is>
          <t>OSKARSHAMN</t>
        </is>
      </c>
      <c r="G2754" t="n">
        <v>9.5</v>
      </c>
      <c r="H2754" t="n">
        <v>0</v>
      </c>
      <c r="I2754" t="n">
        <v>0</v>
      </c>
      <c r="J2754" t="n">
        <v>0</v>
      </c>
      <c r="K2754" t="n">
        <v>0</v>
      </c>
      <c r="L2754" t="n">
        <v>0</v>
      </c>
      <c r="M2754" t="n">
        <v>0</v>
      </c>
      <c r="N2754" t="n">
        <v>0</v>
      </c>
      <c r="O2754" t="n">
        <v>0</v>
      </c>
      <c r="P2754" t="n">
        <v>0</v>
      </c>
      <c r="Q2754" t="n">
        <v>0</v>
      </c>
      <c r="R2754" s="2" t="inlineStr"/>
    </row>
    <row r="2755" ht="15" customHeight="1">
      <c r="A2755" t="inlineStr">
        <is>
          <t>A 3414-2020</t>
        </is>
      </c>
      <c r="B2755" s="1" t="n">
        <v>43852</v>
      </c>
      <c r="C2755" s="1" t="n">
        <v>45715</v>
      </c>
      <c r="D2755" t="inlineStr">
        <is>
          <t>KALMAR LÄN</t>
        </is>
      </c>
      <c r="E2755" t="inlineStr">
        <is>
          <t>VIMMERBY</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3475-2020</t>
        </is>
      </c>
      <c r="B2756" s="1" t="n">
        <v>43852</v>
      </c>
      <c r="C2756" s="1" t="n">
        <v>45715</v>
      </c>
      <c r="D2756" t="inlineStr">
        <is>
          <t>KALMAR LÄN</t>
        </is>
      </c>
      <c r="E2756" t="inlineStr">
        <is>
          <t>NYBRO</t>
        </is>
      </c>
      <c r="G2756" t="n">
        <v>11.8</v>
      </c>
      <c r="H2756" t="n">
        <v>0</v>
      </c>
      <c r="I2756" t="n">
        <v>0</v>
      </c>
      <c r="J2756" t="n">
        <v>0</v>
      </c>
      <c r="K2756" t="n">
        <v>0</v>
      </c>
      <c r="L2756" t="n">
        <v>0</v>
      </c>
      <c r="M2756" t="n">
        <v>0</v>
      </c>
      <c r="N2756" t="n">
        <v>0</v>
      </c>
      <c r="O2756" t="n">
        <v>0</v>
      </c>
      <c r="P2756" t="n">
        <v>0</v>
      </c>
      <c r="Q2756" t="n">
        <v>0</v>
      </c>
      <c r="R2756" s="2" t="inlineStr"/>
    </row>
    <row r="2757" ht="15" customHeight="1">
      <c r="A2757" t="inlineStr">
        <is>
          <t>A 3476-2020</t>
        </is>
      </c>
      <c r="B2757" s="1" t="n">
        <v>43852</v>
      </c>
      <c r="C2757" s="1" t="n">
        <v>45715</v>
      </c>
      <c r="D2757" t="inlineStr">
        <is>
          <t>KALMAR LÄN</t>
        </is>
      </c>
      <c r="E2757" t="inlineStr">
        <is>
          <t>NYBRO</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3474-2020</t>
        </is>
      </c>
      <c r="B2758" s="1" t="n">
        <v>43852</v>
      </c>
      <c r="C2758" s="1" t="n">
        <v>45715</v>
      </c>
      <c r="D2758" t="inlineStr">
        <is>
          <t>KALMAR LÄN</t>
        </is>
      </c>
      <c r="E2758" t="inlineStr">
        <is>
          <t>NYBRO</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3546-2020</t>
        </is>
      </c>
      <c r="B2759" s="1" t="n">
        <v>43853</v>
      </c>
      <c r="C2759" s="1" t="n">
        <v>45715</v>
      </c>
      <c r="D2759" t="inlineStr">
        <is>
          <t>KALMAR LÄN</t>
        </is>
      </c>
      <c r="E2759" t="inlineStr">
        <is>
          <t>OSKARSHAMN</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3636-2020</t>
        </is>
      </c>
      <c r="B2760" s="1" t="n">
        <v>43853</v>
      </c>
      <c r="C2760" s="1" t="n">
        <v>45715</v>
      </c>
      <c r="D2760" t="inlineStr">
        <is>
          <t>KALMAR LÄN</t>
        </is>
      </c>
      <c r="E2760" t="inlineStr">
        <is>
          <t>NYBRO</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3672-2020</t>
        </is>
      </c>
      <c r="B2761" s="1" t="n">
        <v>43853</v>
      </c>
      <c r="C2761" s="1" t="n">
        <v>45715</v>
      </c>
      <c r="D2761" t="inlineStr">
        <is>
          <t>KALMAR LÄN</t>
        </is>
      </c>
      <c r="E2761" t="inlineStr">
        <is>
          <t>VIMMERBY</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5047-2020</t>
        </is>
      </c>
      <c r="B2762" s="1" t="n">
        <v>43853</v>
      </c>
      <c r="C2762" s="1" t="n">
        <v>45715</v>
      </c>
      <c r="D2762" t="inlineStr">
        <is>
          <t>KALMAR LÄN</t>
        </is>
      </c>
      <c r="E2762" t="inlineStr">
        <is>
          <t>VIMMERBY</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3535-2020</t>
        </is>
      </c>
      <c r="B2763" s="1" t="n">
        <v>43853</v>
      </c>
      <c r="C2763" s="1" t="n">
        <v>45715</v>
      </c>
      <c r="D2763" t="inlineStr">
        <is>
          <t>KALMAR LÄN</t>
        </is>
      </c>
      <c r="E2763" t="inlineStr">
        <is>
          <t>HÖGSBY</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3739-2020</t>
        </is>
      </c>
      <c r="B2764" s="1" t="n">
        <v>43853</v>
      </c>
      <c r="C2764" s="1" t="n">
        <v>45715</v>
      </c>
      <c r="D2764" t="inlineStr">
        <is>
          <t>KALMAR LÄN</t>
        </is>
      </c>
      <c r="E2764" t="inlineStr">
        <is>
          <t>VÄSTERVIK</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5023-2020</t>
        </is>
      </c>
      <c r="B2765" s="1" t="n">
        <v>43853</v>
      </c>
      <c r="C2765" s="1" t="n">
        <v>45715</v>
      </c>
      <c r="D2765" t="inlineStr">
        <is>
          <t>KALMAR LÄN</t>
        </is>
      </c>
      <c r="E2765" t="inlineStr">
        <is>
          <t>EMMABODA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5043-2020</t>
        </is>
      </c>
      <c r="B2766" s="1" t="n">
        <v>43853</v>
      </c>
      <c r="C2766" s="1" t="n">
        <v>45715</v>
      </c>
      <c r="D2766" t="inlineStr">
        <is>
          <t>KALMAR LÄN</t>
        </is>
      </c>
      <c r="E2766" t="inlineStr">
        <is>
          <t>VIMMERBY</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3763-2020</t>
        </is>
      </c>
      <c r="B2767" s="1" t="n">
        <v>43854</v>
      </c>
      <c r="C2767" s="1" t="n">
        <v>45715</v>
      </c>
      <c r="D2767" t="inlineStr">
        <is>
          <t>KALMAR LÄN</t>
        </is>
      </c>
      <c r="E2767" t="inlineStr">
        <is>
          <t>NYBRO</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3761-2020</t>
        </is>
      </c>
      <c r="B2768" s="1" t="n">
        <v>43854</v>
      </c>
      <c r="C2768" s="1" t="n">
        <v>45715</v>
      </c>
      <c r="D2768" t="inlineStr">
        <is>
          <t>KALMAR LÄN</t>
        </is>
      </c>
      <c r="E2768" t="inlineStr">
        <is>
          <t>NYBRO</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3765-2020</t>
        </is>
      </c>
      <c r="B2769" s="1" t="n">
        <v>43854</v>
      </c>
      <c r="C2769" s="1" t="n">
        <v>45715</v>
      </c>
      <c r="D2769" t="inlineStr">
        <is>
          <t>KALMAR LÄN</t>
        </is>
      </c>
      <c r="E2769" t="inlineStr">
        <is>
          <t>NYBRO</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3891-2020</t>
        </is>
      </c>
      <c r="B2770" s="1" t="n">
        <v>43854</v>
      </c>
      <c r="C2770" s="1" t="n">
        <v>45715</v>
      </c>
      <c r="D2770" t="inlineStr">
        <is>
          <t>KALMAR LÄN</t>
        </is>
      </c>
      <c r="E2770" t="inlineStr">
        <is>
          <t>MÖNSTERÅS</t>
        </is>
      </c>
      <c r="G2770" t="n">
        <v>14.4</v>
      </c>
      <c r="H2770" t="n">
        <v>0</v>
      </c>
      <c r="I2770" t="n">
        <v>0</v>
      </c>
      <c r="J2770" t="n">
        <v>0</v>
      </c>
      <c r="K2770" t="n">
        <v>0</v>
      </c>
      <c r="L2770" t="n">
        <v>0</v>
      </c>
      <c r="M2770" t="n">
        <v>0</v>
      </c>
      <c r="N2770" t="n">
        <v>0</v>
      </c>
      <c r="O2770" t="n">
        <v>0</v>
      </c>
      <c r="P2770" t="n">
        <v>0</v>
      </c>
      <c r="Q2770" t="n">
        <v>0</v>
      </c>
      <c r="R2770" s="2" t="inlineStr"/>
    </row>
    <row r="2771" ht="15" customHeight="1">
      <c r="A2771" t="inlineStr">
        <is>
          <t>A 3756-2020</t>
        </is>
      </c>
      <c r="B2771" s="1" t="n">
        <v>43854</v>
      </c>
      <c r="C2771" s="1" t="n">
        <v>45715</v>
      </c>
      <c r="D2771" t="inlineStr">
        <is>
          <t>KALMAR LÄN</t>
        </is>
      </c>
      <c r="E2771" t="inlineStr">
        <is>
          <t>EMMABODA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3934-2020</t>
        </is>
      </c>
      <c r="B2772" s="1" t="n">
        <v>43854</v>
      </c>
      <c r="C2772" s="1" t="n">
        <v>45715</v>
      </c>
      <c r="D2772" t="inlineStr">
        <is>
          <t>KALMAR LÄN</t>
        </is>
      </c>
      <c r="E2772" t="inlineStr">
        <is>
          <t>VÄSTERVIK</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4090-2020</t>
        </is>
      </c>
      <c r="B2773" s="1" t="n">
        <v>43854</v>
      </c>
      <c r="C2773" s="1" t="n">
        <v>45715</v>
      </c>
      <c r="D2773" t="inlineStr">
        <is>
          <t>KALMAR LÄN</t>
        </is>
      </c>
      <c r="E2773" t="inlineStr">
        <is>
          <t>HÖGSBY</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4314-2020</t>
        </is>
      </c>
      <c r="B2774" s="1" t="n">
        <v>43857</v>
      </c>
      <c r="C2774" s="1" t="n">
        <v>45715</v>
      </c>
      <c r="D2774" t="inlineStr">
        <is>
          <t>KALMAR LÄN</t>
        </is>
      </c>
      <c r="E2774" t="inlineStr">
        <is>
          <t>TORSÅS</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4194-2020</t>
        </is>
      </c>
      <c r="B2775" s="1" t="n">
        <v>43857</v>
      </c>
      <c r="C2775" s="1" t="n">
        <v>45715</v>
      </c>
      <c r="D2775" t="inlineStr">
        <is>
          <t>KALMAR LÄN</t>
        </is>
      </c>
      <c r="E2775" t="inlineStr">
        <is>
          <t>VIMMERBY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5362-2020</t>
        </is>
      </c>
      <c r="B2776" s="1" t="n">
        <v>43857</v>
      </c>
      <c r="C2776" s="1" t="n">
        <v>45715</v>
      </c>
      <c r="D2776" t="inlineStr">
        <is>
          <t>KALMAR LÄN</t>
        </is>
      </c>
      <c r="E2776" t="inlineStr">
        <is>
          <t>VIMMERBY</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4465-2020</t>
        </is>
      </c>
      <c r="B2777" s="1" t="n">
        <v>43858</v>
      </c>
      <c r="C2777" s="1" t="n">
        <v>45715</v>
      </c>
      <c r="D2777" t="inlineStr">
        <is>
          <t>KALMAR LÄN</t>
        </is>
      </c>
      <c r="E2777" t="inlineStr">
        <is>
          <t>MÖNSTERÅS</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4472-2020</t>
        </is>
      </c>
      <c r="B2778" s="1" t="n">
        <v>43858</v>
      </c>
      <c r="C2778" s="1" t="n">
        <v>45715</v>
      </c>
      <c r="D2778" t="inlineStr">
        <is>
          <t>KALMAR LÄN</t>
        </is>
      </c>
      <c r="E2778" t="inlineStr">
        <is>
          <t>VIMMERBY</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4486-2020</t>
        </is>
      </c>
      <c r="B2779" s="1" t="n">
        <v>43858</v>
      </c>
      <c r="C2779" s="1" t="n">
        <v>45715</v>
      </c>
      <c r="D2779" t="inlineStr">
        <is>
          <t>KALMAR LÄN</t>
        </is>
      </c>
      <c r="E2779" t="inlineStr">
        <is>
          <t>MÖNSTERÅS</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4510-2020</t>
        </is>
      </c>
      <c r="B2780" s="1" t="n">
        <v>43858</v>
      </c>
      <c r="C2780" s="1" t="n">
        <v>45715</v>
      </c>
      <c r="D2780" t="inlineStr">
        <is>
          <t>KALMAR LÄN</t>
        </is>
      </c>
      <c r="E2780" t="inlineStr">
        <is>
          <t>MÖNSTERÅS</t>
        </is>
      </c>
      <c r="G2780" t="n">
        <v>7.5</v>
      </c>
      <c r="H2780" t="n">
        <v>0</v>
      </c>
      <c r="I2780" t="n">
        <v>0</v>
      </c>
      <c r="J2780" t="n">
        <v>0</v>
      </c>
      <c r="K2780" t="n">
        <v>0</v>
      </c>
      <c r="L2780" t="n">
        <v>0</v>
      </c>
      <c r="M2780" t="n">
        <v>0</v>
      </c>
      <c r="N2780" t="n">
        <v>0</v>
      </c>
      <c r="O2780" t="n">
        <v>0</v>
      </c>
      <c r="P2780" t="n">
        <v>0</v>
      </c>
      <c r="Q2780" t="n">
        <v>0</v>
      </c>
      <c r="R2780" s="2" t="inlineStr"/>
    </row>
    <row r="2781" ht="15" customHeight="1">
      <c r="A2781" t="inlineStr">
        <is>
          <t>A 4653-2020</t>
        </is>
      </c>
      <c r="B2781" s="1" t="n">
        <v>43858</v>
      </c>
      <c r="C2781" s="1" t="n">
        <v>45715</v>
      </c>
      <c r="D2781" t="inlineStr">
        <is>
          <t>KALMAR LÄN</t>
        </is>
      </c>
      <c r="E2781" t="inlineStr">
        <is>
          <t>OSKARSHAMN</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4687-2020</t>
        </is>
      </c>
      <c r="B2782" s="1" t="n">
        <v>43858</v>
      </c>
      <c r="C2782" s="1" t="n">
        <v>45715</v>
      </c>
      <c r="D2782" t="inlineStr">
        <is>
          <t>KALMAR LÄN</t>
        </is>
      </c>
      <c r="E2782" t="inlineStr">
        <is>
          <t>HULTSFRED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4689-2020</t>
        </is>
      </c>
      <c r="B2783" s="1" t="n">
        <v>43858</v>
      </c>
      <c r="C2783" s="1" t="n">
        <v>45715</v>
      </c>
      <c r="D2783" t="inlineStr">
        <is>
          <t>KALMAR LÄN</t>
        </is>
      </c>
      <c r="E2783" t="inlineStr">
        <is>
          <t>HULTSFRED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5461-2020</t>
        </is>
      </c>
      <c r="B2784" s="1" t="n">
        <v>43858</v>
      </c>
      <c r="C2784" s="1" t="n">
        <v>45715</v>
      </c>
      <c r="D2784" t="inlineStr">
        <is>
          <t>KALMAR LÄN</t>
        </is>
      </c>
      <c r="E2784" t="inlineStr">
        <is>
          <t>EMMABODA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5483-2020</t>
        </is>
      </c>
      <c r="B2785" s="1" t="n">
        <v>43858</v>
      </c>
      <c r="C2785" s="1" t="n">
        <v>45715</v>
      </c>
      <c r="D2785" t="inlineStr">
        <is>
          <t>KALMAR LÄN</t>
        </is>
      </c>
      <c r="E2785" t="inlineStr">
        <is>
          <t>EMMABODA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4733-2020</t>
        </is>
      </c>
      <c r="B2786" s="1" t="n">
        <v>43859</v>
      </c>
      <c r="C2786" s="1" t="n">
        <v>45715</v>
      </c>
      <c r="D2786" t="inlineStr">
        <is>
          <t>KALMAR LÄN</t>
        </is>
      </c>
      <c r="E2786" t="inlineStr">
        <is>
          <t>HULTSFRED</t>
        </is>
      </c>
      <c r="F2786" t="inlineStr">
        <is>
          <t>Sveaskog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4786-2020</t>
        </is>
      </c>
      <c r="B2787" s="1" t="n">
        <v>43859</v>
      </c>
      <c r="C2787" s="1" t="n">
        <v>45715</v>
      </c>
      <c r="D2787" t="inlineStr">
        <is>
          <t>KALMAR LÄN</t>
        </is>
      </c>
      <c r="E2787" t="inlineStr">
        <is>
          <t>VÄSTERVIK</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4935-2020</t>
        </is>
      </c>
      <c r="B2788" s="1" t="n">
        <v>43859</v>
      </c>
      <c r="C2788" s="1" t="n">
        <v>45715</v>
      </c>
      <c r="D2788" t="inlineStr">
        <is>
          <t>KALMAR LÄN</t>
        </is>
      </c>
      <c r="E2788" t="inlineStr">
        <is>
          <t>EMMABODA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5027-2020</t>
        </is>
      </c>
      <c r="B2789" s="1" t="n">
        <v>43859</v>
      </c>
      <c r="C2789" s="1" t="n">
        <v>45715</v>
      </c>
      <c r="D2789" t="inlineStr">
        <is>
          <t>KALMAR LÄN</t>
        </is>
      </c>
      <c r="E2789" t="inlineStr">
        <is>
          <t>KALMAR</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5040-2020</t>
        </is>
      </c>
      <c r="B2790" s="1" t="n">
        <v>43859</v>
      </c>
      <c r="C2790" s="1" t="n">
        <v>45715</v>
      </c>
      <c r="D2790" t="inlineStr">
        <is>
          <t>KALMAR LÄN</t>
        </is>
      </c>
      <c r="E2790" t="inlineStr">
        <is>
          <t>OSKARSHAMN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5444-2020</t>
        </is>
      </c>
      <c r="B2791" s="1" t="n">
        <v>43859</v>
      </c>
      <c r="C2791" s="1" t="n">
        <v>45715</v>
      </c>
      <c r="D2791" t="inlineStr">
        <is>
          <t>KALMAR LÄN</t>
        </is>
      </c>
      <c r="E2791" t="inlineStr">
        <is>
          <t>NYBRO</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4954-2020</t>
        </is>
      </c>
      <c r="B2792" s="1" t="n">
        <v>43859</v>
      </c>
      <c r="C2792" s="1" t="n">
        <v>45715</v>
      </c>
      <c r="D2792" t="inlineStr">
        <is>
          <t>KALMAR LÄN</t>
        </is>
      </c>
      <c r="E2792" t="inlineStr">
        <is>
          <t>VÄSTERVIK</t>
        </is>
      </c>
      <c r="F2792" t="inlineStr">
        <is>
          <t>Holmen skog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5017-2020</t>
        </is>
      </c>
      <c r="B2793" s="1" t="n">
        <v>43859</v>
      </c>
      <c r="C2793" s="1" t="n">
        <v>45715</v>
      </c>
      <c r="D2793" t="inlineStr">
        <is>
          <t>KALMAR LÄN</t>
        </is>
      </c>
      <c r="E2793" t="inlineStr">
        <is>
          <t>OSKARSHAMN</t>
        </is>
      </c>
      <c r="G2793" t="n">
        <v>9.1</v>
      </c>
      <c r="H2793" t="n">
        <v>0</v>
      </c>
      <c r="I2793" t="n">
        <v>0</v>
      </c>
      <c r="J2793" t="n">
        <v>0</v>
      </c>
      <c r="K2793" t="n">
        <v>0</v>
      </c>
      <c r="L2793" t="n">
        <v>0</v>
      </c>
      <c r="M2793" t="n">
        <v>0</v>
      </c>
      <c r="N2793" t="n">
        <v>0</v>
      </c>
      <c r="O2793" t="n">
        <v>0</v>
      </c>
      <c r="P2793" t="n">
        <v>0</v>
      </c>
      <c r="Q2793" t="n">
        <v>0</v>
      </c>
      <c r="R2793" s="2" t="inlineStr"/>
    </row>
    <row r="2794" ht="15" customHeight="1">
      <c r="A2794" t="inlineStr">
        <is>
          <t>A 5050-2020</t>
        </is>
      </c>
      <c r="B2794" s="1" t="n">
        <v>43859</v>
      </c>
      <c r="C2794" s="1" t="n">
        <v>45715</v>
      </c>
      <c r="D2794" t="inlineStr">
        <is>
          <t>KALMAR LÄN</t>
        </is>
      </c>
      <c r="E2794" t="inlineStr">
        <is>
          <t>EMMABODA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4947-2020</t>
        </is>
      </c>
      <c r="B2795" s="1" t="n">
        <v>43859</v>
      </c>
      <c r="C2795" s="1" t="n">
        <v>45715</v>
      </c>
      <c r="D2795" t="inlineStr">
        <is>
          <t>KALMAR LÄN</t>
        </is>
      </c>
      <c r="E2795" t="inlineStr">
        <is>
          <t>TORSÅS</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4992-2020</t>
        </is>
      </c>
      <c r="B2796" s="1" t="n">
        <v>43859</v>
      </c>
      <c r="C2796" s="1" t="n">
        <v>45715</v>
      </c>
      <c r="D2796" t="inlineStr">
        <is>
          <t>KALMAR LÄN</t>
        </is>
      </c>
      <c r="E2796" t="inlineStr">
        <is>
          <t>VÄSTERVIK</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5448-2020</t>
        </is>
      </c>
      <c r="B2797" s="1" t="n">
        <v>43859</v>
      </c>
      <c r="C2797" s="1" t="n">
        <v>45715</v>
      </c>
      <c r="D2797" t="inlineStr">
        <is>
          <t>KALMAR LÄN</t>
        </is>
      </c>
      <c r="E2797" t="inlineStr">
        <is>
          <t>MÖNSTERÅS</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4792-2020</t>
        </is>
      </c>
      <c r="B2798" s="1" t="n">
        <v>43859</v>
      </c>
      <c r="C2798" s="1" t="n">
        <v>45715</v>
      </c>
      <c r="D2798" t="inlineStr">
        <is>
          <t>KALMAR LÄN</t>
        </is>
      </c>
      <c r="E2798" t="inlineStr">
        <is>
          <t>EMMABODA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4939-2020</t>
        </is>
      </c>
      <c r="B2799" s="1" t="n">
        <v>43859</v>
      </c>
      <c r="C2799" s="1" t="n">
        <v>45715</v>
      </c>
      <c r="D2799" t="inlineStr">
        <is>
          <t>KALMAR LÄN</t>
        </is>
      </c>
      <c r="E2799" t="inlineStr">
        <is>
          <t>VÄSTERVIK</t>
        </is>
      </c>
      <c r="F2799" t="inlineStr">
        <is>
          <t>Holmen skog AB</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5372-2020</t>
        </is>
      </c>
      <c r="B2800" s="1" t="n">
        <v>43860</v>
      </c>
      <c r="C2800" s="1" t="n">
        <v>45715</v>
      </c>
      <c r="D2800" t="inlineStr">
        <is>
          <t>KALMAR LÄN</t>
        </is>
      </c>
      <c r="E2800" t="inlineStr">
        <is>
          <t>OSKARSHAMN</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5184-2020</t>
        </is>
      </c>
      <c r="B2801" s="1" t="n">
        <v>43860</v>
      </c>
      <c r="C2801" s="1" t="n">
        <v>45715</v>
      </c>
      <c r="D2801" t="inlineStr">
        <is>
          <t>KALMAR LÄN</t>
        </is>
      </c>
      <c r="E2801" t="inlineStr">
        <is>
          <t>NYBRO</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5391-2020</t>
        </is>
      </c>
      <c r="B2802" s="1" t="n">
        <v>43860</v>
      </c>
      <c r="C2802" s="1" t="n">
        <v>45715</v>
      </c>
      <c r="D2802" t="inlineStr">
        <is>
          <t>KALMAR LÄN</t>
        </is>
      </c>
      <c r="E2802" t="inlineStr">
        <is>
          <t>OSKARSHAMN</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5622-2020</t>
        </is>
      </c>
      <c r="B2803" s="1" t="n">
        <v>43860</v>
      </c>
      <c r="C2803" s="1" t="n">
        <v>45715</v>
      </c>
      <c r="D2803" t="inlineStr">
        <is>
          <t>KALMAR LÄN</t>
        </is>
      </c>
      <c r="E2803" t="inlineStr">
        <is>
          <t>VÄSTERVIK</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5637-2020</t>
        </is>
      </c>
      <c r="B2804" s="1" t="n">
        <v>43860</v>
      </c>
      <c r="C2804" s="1" t="n">
        <v>45715</v>
      </c>
      <c r="D2804" t="inlineStr">
        <is>
          <t>KALMAR LÄN</t>
        </is>
      </c>
      <c r="E2804" t="inlineStr">
        <is>
          <t>VÄSTERVIK</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5629-2020</t>
        </is>
      </c>
      <c r="B2805" s="1" t="n">
        <v>43860</v>
      </c>
      <c r="C2805" s="1" t="n">
        <v>45715</v>
      </c>
      <c r="D2805" t="inlineStr">
        <is>
          <t>KALMAR LÄN</t>
        </is>
      </c>
      <c r="E2805" t="inlineStr">
        <is>
          <t>VÄSTERVIK</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5638-2020</t>
        </is>
      </c>
      <c r="B2806" s="1" t="n">
        <v>43860</v>
      </c>
      <c r="C2806" s="1" t="n">
        <v>45715</v>
      </c>
      <c r="D2806" t="inlineStr">
        <is>
          <t>KALMAR LÄN</t>
        </is>
      </c>
      <c r="E2806" t="inlineStr">
        <is>
          <t>NYBRO</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5583-2020</t>
        </is>
      </c>
      <c r="B2807" s="1" t="n">
        <v>43861</v>
      </c>
      <c r="C2807" s="1" t="n">
        <v>45715</v>
      </c>
      <c r="D2807" t="inlineStr">
        <is>
          <t>KALMAR LÄN</t>
        </is>
      </c>
      <c r="E2807" t="inlineStr">
        <is>
          <t>VÄSTERVIK</t>
        </is>
      </c>
      <c r="F2807" t="inlineStr">
        <is>
          <t>Holmen skog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5594-2020</t>
        </is>
      </c>
      <c r="B2808" s="1" t="n">
        <v>43861</v>
      </c>
      <c r="C2808" s="1" t="n">
        <v>45715</v>
      </c>
      <c r="D2808" t="inlineStr">
        <is>
          <t>KALMAR LÄN</t>
        </is>
      </c>
      <c r="E2808" t="inlineStr">
        <is>
          <t>VÄSTERVIK</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5584-2020</t>
        </is>
      </c>
      <c r="B2809" s="1" t="n">
        <v>43861</v>
      </c>
      <c r="C2809" s="1" t="n">
        <v>45715</v>
      </c>
      <c r="D2809" t="inlineStr">
        <is>
          <t>KALMAR LÄN</t>
        </is>
      </c>
      <c r="E2809" t="inlineStr">
        <is>
          <t>OSKARSHAMN</t>
        </is>
      </c>
      <c r="F2809" t="inlineStr">
        <is>
          <t>Kommuner</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5697-2020</t>
        </is>
      </c>
      <c r="B2810" s="1" t="n">
        <v>43861</v>
      </c>
      <c r="C2810" s="1" t="n">
        <v>45715</v>
      </c>
      <c r="D2810" t="inlineStr">
        <is>
          <t>KALMAR LÄN</t>
        </is>
      </c>
      <c r="E2810" t="inlineStr">
        <is>
          <t>VÄSTERVIK</t>
        </is>
      </c>
      <c r="F2810" t="inlineStr">
        <is>
          <t>Holmen skog AB</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5672-2020</t>
        </is>
      </c>
      <c r="B2811" s="1" t="n">
        <v>43861</v>
      </c>
      <c r="C2811" s="1" t="n">
        <v>45715</v>
      </c>
      <c r="D2811" t="inlineStr">
        <is>
          <t>KALMAR LÄN</t>
        </is>
      </c>
      <c r="E2811" t="inlineStr">
        <is>
          <t>TORSÅS</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5570-2020</t>
        </is>
      </c>
      <c r="B2812" s="1" t="n">
        <v>43861</v>
      </c>
      <c r="C2812" s="1" t="n">
        <v>45715</v>
      </c>
      <c r="D2812" t="inlineStr">
        <is>
          <t>KALMAR LÄN</t>
        </is>
      </c>
      <c r="E2812" t="inlineStr">
        <is>
          <t>OSKARSHAMN</t>
        </is>
      </c>
      <c r="F2812" t="inlineStr">
        <is>
          <t>Kommuner</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5666-2020</t>
        </is>
      </c>
      <c r="B2813" s="1" t="n">
        <v>43861</v>
      </c>
      <c r="C2813" s="1" t="n">
        <v>45715</v>
      </c>
      <c r="D2813" t="inlineStr">
        <is>
          <t>KALMAR LÄN</t>
        </is>
      </c>
      <c r="E2813" t="inlineStr">
        <is>
          <t>TORSÅS</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5670-2020</t>
        </is>
      </c>
      <c r="B2814" s="1" t="n">
        <v>43861</v>
      </c>
      <c r="C2814" s="1" t="n">
        <v>45715</v>
      </c>
      <c r="D2814" t="inlineStr">
        <is>
          <t>KALMAR LÄN</t>
        </is>
      </c>
      <c r="E2814" t="inlineStr">
        <is>
          <t>TORSÅS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5548-2020</t>
        </is>
      </c>
      <c r="B2815" s="1" t="n">
        <v>43861</v>
      </c>
      <c r="C2815" s="1" t="n">
        <v>45715</v>
      </c>
      <c r="D2815" t="inlineStr">
        <is>
          <t>KALMAR LÄN</t>
        </is>
      </c>
      <c r="E2815" t="inlineStr">
        <is>
          <t>VIMMERBY</t>
        </is>
      </c>
      <c r="F2815" t="inlineStr">
        <is>
          <t>Sveaskog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5827-2020</t>
        </is>
      </c>
      <c r="B2816" s="1" t="n">
        <v>43864</v>
      </c>
      <c r="C2816" s="1" t="n">
        <v>45715</v>
      </c>
      <c r="D2816" t="inlineStr">
        <is>
          <t>KALMAR LÄN</t>
        </is>
      </c>
      <c r="E2816" t="inlineStr">
        <is>
          <t>EMMABODA</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5808-2020</t>
        </is>
      </c>
      <c r="B2817" s="1" t="n">
        <v>43864</v>
      </c>
      <c r="C2817" s="1" t="n">
        <v>45715</v>
      </c>
      <c r="D2817" t="inlineStr">
        <is>
          <t>KALMAR LÄN</t>
        </is>
      </c>
      <c r="E2817" t="inlineStr">
        <is>
          <t>HÖGSBY</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5931-2020</t>
        </is>
      </c>
      <c r="B2818" s="1" t="n">
        <v>43864</v>
      </c>
      <c r="C2818" s="1" t="n">
        <v>45715</v>
      </c>
      <c r="D2818" t="inlineStr">
        <is>
          <t>KALMAR LÄN</t>
        </is>
      </c>
      <c r="E2818" t="inlineStr">
        <is>
          <t>MÖNSTERÅS</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5932-2020</t>
        </is>
      </c>
      <c r="B2819" s="1" t="n">
        <v>43864</v>
      </c>
      <c r="C2819" s="1" t="n">
        <v>45715</v>
      </c>
      <c r="D2819" t="inlineStr">
        <is>
          <t>KALMAR LÄN</t>
        </is>
      </c>
      <c r="E2819" t="inlineStr">
        <is>
          <t>MÖNSTERÅS</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6087-2020</t>
        </is>
      </c>
      <c r="B2820" s="1" t="n">
        <v>43864</v>
      </c>
      <c r="C2820" s="1" t="n">
        <v>45715</v>
      </c>
      <c r="D2820" t="inlineStr">
        <is>
          <t>KALMAR LÄN</t>
        </is>
      </c>
      <c r="E2820" t="inlineStr">
        <is>
          <t>OSKARSHAMN</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5810-2020</t>
        </is>
      </c>
      <c r="B2821" s="1" t="n">
        <v>43864</v>
      </c>
      <c r="C2821" s="1" t="n">
        <v>45715</v>
      </c>
      <c r="D2821" t="inlineStr">
        <is>
          <t>KALMAR LÄN</t>
        </is>
      </c>
      <c r="E2821" t="inlineStr">
        <is>
          <t>HULTSFRED</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5822-2020</t>
        </is>
      </c>
      <c r="B2822" s="1" t="n">
        <v>43864</v>
      </c>
      <c r="C2822" s="1" t="n">
        <v>45715</v>
      </c>
      <c r="D2822" t="inlineStr">
        <is>
          <t>KALMAR LÄN</t>
        </is>
      </c>
      <c r="E2822" t="inlineStr">
        <is>
          <t>VÄSTERVIK</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6088-2020</t>
        </is>
      </c>
      <c r="B2823" s="1" t="n">
        <v>43864</v>
      </c>
      <c r="C2823" s="1" t="n">
        <v>45715</v>
      </c>
      <c r="D2823" t="inlineStr">
        <is>
          <t>KALMAR LÄN</t>
        </is>
      </c>
      <c r="E2823" t="inlineStr">
        <is>
          <t>OSKARSHAMN</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6371-2020</t>
        </is>
      </c>
      <c r="B2824" s="1" t="n">
        <v>43865</v>
      </c>
      <c r="C2824" s="1" t="n">
        <v>45715</v>
      </c>
      <c r="D2824" t="inlineStr">
        <is>
          <t>KALMAR LÄN</t>
        </is>
      </c>
      <c r="E2824" t="inlineStr">
        <is>
          <t>NYBRO</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6532-2020</t>
        </is>
      </c>
      <c r="B2825" s="1" t="n">
        <v>43865</v>
      </c>
      <c r="C2825" s="1" t="n">
        <v>45715</v>
      </c>
      <c r="D2825" t="inlineStr">
        <is>
          <t>KALMAR LÄN</t>
        </is>
      </c>
      <c r="E2825" t="inlineStr">
        <is>
          <t>KALMAR</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6133-2020</t>
        </is>
      </c>
      <c r="B2826" s="1" t="n">
        <v>43865</v>
      </c>
      <c r="C2826" s="1" t="n">
        <v>45715</v>
      </c>
      <c r="D2826" t="inlineStr">
        <is>
          <t>KALMAR LÄN</t>
        </is>
      </c>
      <c r="E2826" t="inlineStr">
        <is>
          <t>HULTSFRED</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6135-2020</t>
        </is>
      </c>
      <c r="B2827" s="1" t="n">
        <v>43865</v>
      </c>
      <c r="C2827" s="1" t="n">
        <v>45715</v>
      </c>
      <c r="D2827" t="inlineStr">
        <is>
          <t>KALMAR LÄN</t>
        </is>
      </c>
      <c r="E2827" t="inlineStr">
        <is>
          <t>HULTSFRED</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6425-2020</t>
        </is>
      </c>
      <c r="B2828" s="1" t="n">
        <v>43865</v>
      </c>
      <c r="C2828" s="1" t="n">
        <v>45715</v>
      </c>
      <c r="D2828" t="inlineStr">
        <is>
          <t>KALMAR LÄN</t>
        </is>
      </c>
      <c r="E2828" t="inlineStr">
        <is>
          <t>VÄSTERVIK</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6042-2020</t>
        </is>
      </c>
      <c r="B2829" s="1" t="n">
        <v>43865</v>
      </c>
      <c r="C2829" s="1" t="n">
        <v>45715</v>
      </c>
      <c r="D2829" t="inlineStr">
        <is>
          <t>KALMAR LÄN</t>
        </is>
      </c>
      <c r="E2829" t="inlineStr">
        <is>
          <t>VIMMERBY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6526-2020</t>
        </is>
      </c>
      <c r="B2830" s="1" t="n">
        <v>43865</v>
      </c>
      <c r="C2830" s="1" t="n">
        <v>45715</v>
      </c>
      <c r="D2830" t="inlineStr">
        <is>
          <t>KALMAR LÄN</t>
        </is>
      </c>
      <c r="E2830" t="inlineStr">
        <is>
          <t>KALMAR</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6311-2020</t>
        </is>
      </c>
      <c r="B2831" s="1" t="n">
        <v>43866</v>
      </c>
      <c r="C2831" s="1" t="n">
        <v>45715</v>
      </c>
      <c r="D2831" t="inlineStr">
        <is>
          <t>KALMAR LÄN</t>
        </is>
      </c>
      <c r="E2831" t="inlineStr">
        <is>
          <t>TORSÅS</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6360-2020</t>
        </is>
      </c>
      <c r="B2832" s="1" t="n">
        <v>43866</v>
      </c>
      <c r="C2832" s="1" t="n">
        <v>45715</v>
      </c>
      <c r="D2832" t="inlineStr">
        <is>
          <t>KALMAR LÄN</t>
        </is>
      </c>
      <c r="E2832" t="inlineStr">
        <is>
          <t>EMMABODA</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6391-2020</t>
        </is>
      </c>
      <c r="B2833" s="1" t="n">
        <v>43866</v>
      </c>
      <c r="C2833" s="1" t="n">
        <v>45715</v>
      </c>
      <c r="D2833" t="inlineStr">
        <is>
          <t>KALMAR LÄN</t>
        </is>
      </c>
      <c r="E2833" t="inlineStr">
        <is>
          <t>VÄSTERVIK</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6359-2020</t>
        </is>
      </c>
      <c r="B2834" s="1" t="n">
        <v>43866</v>
      </c>
      <c r="C2834" s="1" t="n">
        <v>45715</v>
      </c>
      <c r="D2834" t="inlineStr">
        <is>
          <t>KALMAR LÄN</t>
        </is>
      </c>
      <c r="E2834" t="inlineStr">
        <is>
          <t>EMMABODA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6387-2020</t>
        </is>
      </c>
      <c r="B2835" s="1" t="n">
        <v>43866</v>
      </c>
      <c r="C2835" s="1" t="n">
        <v>45715</v>
      </c>
      <c r="D2835" t="inlineStr">
        <is>
          <t>KALMAR LÄN</t>
        </is>
      </c>
      <c r="E2835" t="inlineStr">
        <is>
          <t>VÄSTERVIK</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6482-2020</t>
        </is>
      </c>
      <c r="B2836" s="1" t="n">
        <v>43866</v>
      </c>
      <c r="C2836" s="1" t="n">
        <v>45715</v>
      </c>
      <c r="D2836" t="inlineStr">
        <is>
          <t>KALMAR LÄN</t>
        </is>
      </c>
      <c r="E2836" t="inlineStr">
        <is>
          <t>EMMABODA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6730-2020</t>
        </is>
      </c>
      <c r="B2837" s="1" t="n">
        <v>43867</v>
      </c>
      <c r="C2837" s="1" t="n">
        <v>45715</v>
      </c>
      <c r="D2837" t="inlineStr">
        <is>
          <t>KALMAR LÄN</t>
        </is>
      </c>
      <c r="E2837" t="inlineStr">
        <is>
          <t>KALMAR</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6742-2020</t>
        </is>
      </c>
      <c r="B2838" s="1" t="n">
        <v>43867</v>
      </c>
      <c r="C2838" s="1" t="n">
        <v>45715</v>
      </c>
      <c r="D2838" t="inlineStr">
        <is>
          <t>KALMAR LÄN</t>
        </is>
      </c>
      <c r="E2838" t="inlineStr">
        <is>
          <t>KALMAR</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6508-2020</t>
        </is>
      </c>
      <c r="B2839" s="1" t="n">
        <v>43867</v>
      </c>
      <c r="C2839" s="1" t="n">
        <v>45715</v>
      </c>
      <c r="D2839" t="inlineStr">
        <is>
          <t>KALMAR LÄN</t>
        </is>
      </c>
      <c r="E2839" t="inlineStr">
        <is>
          <t>NYBRO</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6598-2020</t>
        </is>
      </c>
      <c r="B2840" s="1" t="n">
        <v>43867</v>
      </c>
      <c r="C2840" s="1" t="n">
        <v>45715</v>
      </c>
      <c r="D2840" t="inlineStr">
        <is>
          <t>KALMAR LÄN</t>
        </is>
      </c>
      <c r="E2840" t="inlineStr">
        <is>
          <t>KALMAR</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6800-2020</t>
        </is>
      </c>
      <c r="B2841" s="1" t="n">
        <v>43867</v>
      </c>
      <c r="C2841" s="1" t="n">
        <v>45715</v>
      </c>
      <c r="D2841" t="inlineStr">
        <is>
          <t>KALMAR LÄN</t>
        </is>
      </c>
      <c r="E2841" t="inlineStr">
        <is>
          <t>TORSÅS</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6793-2020</t>
        </is>
      </c>
      <c r="B2842" s="1" t="n">
        <v>43867</v>
      </c>
      <c r="C2842" s="1" t="n">
        <v>45715</v>
      </c>
      <c r="D2842" t="inlineStr">
        <is>
          <t>KALMAR LÄN</t>
        </is>
      </c>
      <c r="E2842" t="inlineStr">
        <is>
          <t>HULTSFRED</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6798-2020</t>
        </is>
      </c>
      <c r="B2843" s="1" t="n">
        <v>43867</v>
      </c>
      <c r="C2843" s="1" t="n">
        <v>45715</v>
      </c>
      <c r="D2843" t="inlineStr">
        <is>
          <t>KALMAR LÄN</t>
        </is>
      </c>
      <c r="E2843" t="inlineStr">
        <is>
          <t>TORSÅS</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6822-2020</t>
        </is>
      </c>
      <c r="B2844" s="1" t="n">
        <v>43868</v>
      </c>
      <c r="C2844" s="1" t="n">
        <v>45715</v>
      </c>
      <c r="D2844" t="inlineStr">
        <is>
          <t>KALMAR LÄN</t>
        </is>
      </c>
      <c r="E2844" t="inlineStr">
        <is>
          <t>MÖNSTERÅS</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6819-2020</t>
        </is>
      </c>
      <c r="B2845" s="1" t="n">
        <v>43868</v>
      </c>
      <c r="C2845" s="1" t="n">
        <v>45715</v>
      </c>
      <c r="D2845" t="inlineStr">
        <is>
          <t>KALMAR LÄN</t>
        </is>
      </c>
      <c r="E2845" t="inlineStr">
        <is>
          <t>MÖNSTERÅS</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7049-2020</t>
        </is>
      </c>
      <c r="B2846" s="1" t="n">
        <v>43868</v>
      </c>
      <c r="C2846" s="1" t="n">
        <v>45715</v>
      </c>
      <c r="D2846" t="inlineStr">
        <is>
          <t>KALMAR LÄN</t>
        </is>
      </c>
      <c r="E2846" t="inlineStr">
        <is>
          <t>TORSÅS</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6841-2020</t>
        </is>
      </c>
      <c r="B2847" s="1" t="n">
        <v>43868</v>
      </c>
      <c r="C2847" s="1" t="n">
        <v>45715</v>
      </c>
      <c r="D2847" t="inlineStr">
        <is>
          <t>KALMAR LÄN</t>
        </is>
      </c>
      <c r="E2847" t="inlineStr">
        <is>
          <t>MÖNSTERÅS</t>
        </is>
      </c>
      <c r="G2847" t="n">
        <v>13.7</v>
      </c>
      <c r="H2847" t="n">
        <v>0</v>
      </c>
      <c r="I2847" t="n">
        <v>0</v>
      </c>
      <c r="J2847" t="n">
        <v>0</v>
      </c>
      <c r="K2847" t="n">
        <v>0</v>
      </c>
      <c r="L2847" t="n">
        <v>0</v>
      </c>
      <c r="M2847" t="n">
        <v>0</v>
      </c>
      <c r="N2847" t="n">
        <v>0</v>
      </c>
      <c r="O2847" t="n">
        <v>0</v>
      </c>
      <c r="P2847" t="n">
        <v>0</v>
      </c>
      <c r="Q2847" t="n">
        <v>0</v>
      </c>
      <c r="R2847" s="2" t="inlineStr"/>
    </row>
    <row r="2848" ht="15" customHeight="1">
      <c r="A2848" t="inlineStr">
        <is>
          <t>A 6832-2020</t>
        </is>
      </c>
      <c r="B2848" s="1" t="n">
        <v>43868</v>
      </c>
      <c r="C2848" s="1" t="n">
        <v>45715</v>
      </c>
      <c r="D2848" t="inlineStr">
        <is>
          <t>KALMAR LÄN</t>
        </is>
      </c>
      <c r="E2848" t="inlineStr">
        <is>
          <t>MÖNSTERÅS</t>
        </is>
      </c>
      <c r="G2848" t="n">
        <v>10.8</v>
      </c>
      <c r="H2848" t="n">
        <v>0</v>
      </c>
      <c r="I2848" t="n">
        <v>0</v>
      </c>
      <c r="J2848" t="n">
        <v>0</v>
      </c>
      <c r="K2848" t="n">
        <v>0</v>
      </c>
      <c r="L2848" t="n">
        <v>0</v>
      </c>
      <c r="M2848" t="n">
        <v>0</v>
      </c>
      <c r="N2848" t="n">
        <v>0</v>
      </c>
      <c r="O2848" t="n">
        <v>0</v>
      </c>
      <c r="P2848" t="n">
        <v>0</v>
      </c>
      <c r="Q2848" t="n">
        <v>0</v>
      </c>
      <c r="R2848" s="2" t="inlineStr"/>
    </row>
    <row r="2849" ht="15" customHeight="1">
      <c r="A2849" t="inlineStr">
        <is>
          <t>A 6848-2020</t>
        </is>
      </c>
      <c r="B2849" s="1" t="n">
        <v>43868</v>
      </c>
      <c r="C2849" s="1" t="n">
        <v>45715</v>
      </c>
      <c r="D2849" t="inlineStr">
        <is>
          <t>KALMAR LÄN</t>
        </is>
      </c>
      <c r="E2849" t="inlineStr">
        <is>
          <t>MÖNSTERÅS</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7187-2020</t>
        </is>
      </c>
      <c r="B2850" s="1" t="n">
        <v>43871</v>
      </c>
      <c r="C2850" s="1" t="n">
        <v>45715</v>
      </c>
      <c r="D2850" t="inlineStr">
        <is>
          <t>KALMAR LÄN</t>
        </is>
      </c>
      <c r="E2850" t="inlineStr">
        <is>
          <t>KALMAR</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7356-2020</t>
        </is>
      </c>
      <c r="B2851" s="1" t="n">
        <v>43871</v>
      </c>
      <c r="C2851" s="1" t="n">
        <v>45715</v>
      </c>
      <c r="D2851" t="inlineStr">
        <is>
          <t>KALMAR LÄN</t>
        </is>
      </c>
      <c r="E2851" t="inlineStr">
        <is>
          <t>MÖNSTERÅS</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7185-2020</t>
        </is>
      </c>
      <c r="B2852" s="1" t="n">
        <v>43871</v>
      </c>
      <c r="C2852" s="1" t="n">
        <v>45715</v>
      </c>
      <c r="D2852" t="inlineStr">
        <is>
          <t>KALMAR LÄN</t>
        </is>
      </c>
      <c r="E2852" t="inlineStr">
        <is>
          <t>KALMAR</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7290-2020</t>
        </is>
      </c>
      <c r="B2853" s="1" t="n">
        <v>43871</v>
      </c>
      <c r="C2853" s="1" t="n">
        <v>45715</v>
      </c>
      <c r="D2853" t="inlineStr">
        <is>
          <t>KALMAR LÄN</t>
        </is>
      </c>
      <c r="E2853" t="inlineStr">
        <is>
          <t>VÄSTERVIK</t>
        </is>
      </c>
      <c r="F2853" t="inlineStr">
        <is>
          <t>Holmen skog AB</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7557-2020</t>
        </is>
      </c>
      <c r="B2854" s="1" t="n">
        <v>43872</v>
      </c>
      <c r="C2854" s="1" t="n">
        <v>45715</v>
      </c>
      <c r="D2854" t="inlineStr">
        <is>
          <t>KALMAR LÄN</t>
        </is>
      </c>
      <c r="E2854" t="inlineStr">
        <is>
          <t>NYBRO</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7553-2020</t>
        </is>
      </c>
      <c r="B2855" s="1" t="n">
        <v>43872</v>
      </c>
      <c r="C2855" s="1" t="n">
        <v>45715</v>
      </c>
      <c r="D2855" t="inlineStr">
        <is>
          <t>KALMAR LÄN</t>
        </is>
      </c>
      <c r="E2855" t="inlineStr">
        <is>
          <t>EMMABODA</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7660-2020</t>
        </is>
      </c>
      <c r="B2856" s="1" t="n">
        <v>43872</v>
      </c>
      <c r="C2856" s="1" t="n">
        <v>45715</v>
      </c>
      <c r="D2856" t="inlineStr">
        <is>
          <t>KALMAR LÄN</t>
        </is>
      </c>
      <c r="E2856" t="inlineStr">
        <is>
          <t>VÄSTERVIK</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7746-2020</t>
        </is>
      </c>
      <c r="B2857" s="1" t="n">
        <v>43872</v>
      </c>
      <c r="C2857" s="1" t="n">
        <v>45715</v>
      </c>
      <c r="D2857" t="inlineStr">
        <is>
          <t>KALMAR LÄN</t>
        </is>
      </c>
      <c r="E2857" t="inlineStr">
        <is>
          <t>HULTSFRED</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7577-2020</t>
        </is>
      </c>
      <c r="B2858" s="1" t="n">
        <v>43872</v>
      </c>
      <c r="C2858" s="1" t="n">
        <v>45715</v>
      </c>
      <c r="D2858" t="inlineStr">
        <is>
          <t>KALMAR LÄN</t>
        </is>
      </c>
      <c r="E2858" t="inlineStr">
        <is>
          <t>KALMAR</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7652-2020</t>
        </is>
      </c>
      <c r="B2859" s="1" t="n">
        <v>43872</v>
      </c>
      <c r="C2859" s="1" t="n">
        <v>45715</v>
      </c>
      <c r="D2859" t="inlineStr">
        <is>
          <t>KALMAR LÄN</t>
        </is>
      </c>
      <c r="E2859" t="inlineStr">
        <is>
          <t>VÄSTERVIK</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7727-2020</t>
        </is>
      </c>
      <c r="B2860" s="1" t="n">
        <v>43872</v>
      </c>
      <c r="C2860" s="1" t="n">
        <v>45715</v>
      </c>
      <c r="D2860" t="inlineStr">
        <is>
          <t>KALMAR LÄN</t>
        </is>
      </c>
      <c r="E2860" t="inlineStr">
        <is>
          <t>VÄSTERVIK</t>
        </is>
      </c>
      <c r="F2860" t="inlineStr">
        <is>
          <t>Holmen skog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7554-2020</t>
        </is>
      </c>
      <c r="B2861" s="1" t="n">
        <v>43872</v>
      </c>
      <c r="C2861" s="1" t="n">
        <v>45715</v>
      </c>
      <c r="D2861" t="inlineStr">
        <is>
          <t>KALMAR LÄN</t>
        </is>
      </c>
      <c r="E2861" t="inlineStr">
        <is>
          <t>HULTSFRED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7800-2020</t>
        </is>
      </c>
      <c r="B2862" s="1" t="n">
        <v>43873</v>
      </c>
      <c r="C2862" s="1" t="n">
        <v>45715</v>
      </c>
      <c r="D2862" t="inlineStr">
        <is>
          <t>KALMAR LÄN</t>
        </is>
      </c>
      <c r="E2862" t="inlineStr">
        <is>
          <t>MÖNSTERÅS</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7803-2020</t>
        </is>
      </c>
      <c r="B2863" s="1" t="n">
        <v>43873</v>
      </c>
      <c r="C2863" s="1" t="n">
        <v>45715</v>
      </c>
      <c r="D2863" t="inlineStr">
        <is>
          <t>KALMAR LÄN</t>
        </is>
      </c>
      <c r="E2863" t="inlineStr">
        <is>
          <t>KALMAR</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7857-2020</t>
        </is>
      </c>
      <c r="B2864" s="1" t="n">
        <v>43873</v>
      </c>
      <c r="C2864" s="1" t="n">
        <v>45715</v>
      </c>
      <c r="D2864" t="inlineStr">
        <is>
          <t>KALMAR LÄN</t>
        </is>
      </c>
      <c r="E2864" t="inlineStr">
        <is>
          <t>KALMAR</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7933-2020</t>
        </is>
      </c>
      <c r="B2865" s="1" t="n">
        <v>43873</v>
      </c>
      <c r="C2865" s="1" t="n">
        <v>45715</v>
      </c>
      <c r="D2865" t="inlineStr">
        <is>
          <t>KALMAR LÄN</t>
        </is>
      </c>
      <c r="E2865" t="inlineStr">
        <is>
          <t>HULTSFRED</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7966-2020</t>
        </is>
      </c>
      <c r="B2866" s="1" t="n">
        <v>43873</v>
      </c>
      <c r="C2866" s="1" t="n">
        <v>45715</v>
      </c>
      <c r="D2866" t="inlineStr">
        <is>
          <t>KALMAR LÄN</t>
        </is>
      </c>
      <c r="E2866" t="inlineStr">
        <is>
          <t>EMMABODA</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7967-2020</t>
        </is>
      </c>
      <c r="B2867" s="1" t="n">
        <v>43873</v>
      </c>
      <c r="C2867" s="1" t="n">
        <v>45715</v>
      </c>
      <c r="D2867" t="inlineStr">
        <is>
          <t>KALMAR LÄN</t>
        </is>
      </c>
      <c r="E2867" t="inlineStr">
        <is>
          <t>EMMABODA</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7793-2020</t>
        </is>
      </c>
      <c r="B2868" s="1" t="n">
        <v>43873</v>
      </c>
      <c r="C2868" s="1" t="n">
        <v>45715</v>
      </c>
      <c r="D2868" t="inlineStr">
        <is>
          <t>KALMAR LÄN</t>
        </is>
      </c>
      <c r="E2868" t="inlineStr">
        <is>
          <t>HULTSFRED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7870-2020</t>
        </is>
      </c>
      <c r="B2869" s="1" t="n">
        <v>43873</v>
      </c>
      <c r="C2869" s="1" t="n">
        <v>45715</v>
      </c>
      <c r="D2869" t="inlineStr">
        <is>
          <t>KALMAR LÄN</t>
        </is>
      </c>
      <c r="E2869" t="inlineStr">
        <is>
          <t>VIMMERBY</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8013-2020</t>
        </is>
      </c>
      <c r="B2870" s="1" t="n">
        <v>43873</v>
      </c>
      <c r="C2870" s="1" t="n">
        <v>45715</v>
      </c>
      <c r="D2870" t="inlineStr">
        <is>
          <t>KALMAR LÄN</t>
        </is>
      </c>
      <c r="E2870" t="inlineStr">
        <is>
          <t>KALMAR</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7838-2020</t>
        </is>
      </c>
      <c r="B2871" s="1" t="n">
        <v>43873</v>
      </c>
      <c r="C2871" s="1" t="n">
        <v>45715</v>
      </c>
      <c r="D2871" t="inlineStr">
        <is>
          <t>KALMAR LÄN</t>
        </is>
      </c>
      <c r="E2871" t="inlineStr">
        <is>
          <t>OSKARSHAMN</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7852-2020</t>
        </is>
      </c>
      <c r="B2872" s="1" t="n">
        <v>43873</v>
      </c>
      <c r="C2872" s="1" t="n">
        <v>45715</v>
      </c>
      <c r="D2872" t="inlineStr">
        <is>
          <t>KALMAR LÄN</t>
        </is>
      </c>
      <c r="E2872" t="inlineStr">
        <is>
          <t>TORSÅS</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8075-2020</t>
        </is>
      </c>
      <c r="B2873" s="1" t="n">
        <v>43874</v>
      </c>
      <c r="C2873" s="1" t="n">
        <v>45715</v>
      </c>
      <c r="D2873" t="inlineStr">
        <is>
          <t>KALMAR LÄN</t>
        </is>
      </c>
      <c r="E2873" t="inlineStr">
        <is>
          <t>VÄSTERVIK</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8106-2020</t>
        </is>
      </c>
      <c r="B2874" s="1" t="n">
        <v>43874</v>
      </c>
      <c r="C2874" s="1" t="n">
        <v>45715</v>
      </c>
      <c r="D2874" t="inlineStr">
        <is>
          <t>KALMAR LÄN</t>
        </is>
      </c>
      <c r="E2874" t="inlineStr">
        <is>
          <t>EMMABODA</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8072-2020</t>
        </is>
      </c>
      <c r="B2875" s="1" t="n">
        <v>43874</v>
      </c>
      <c r="C2875" s="1" t="n">
        <v>45715</v>
      </c>
      <c r="D2875" t="inlineStr">
        <is>
          <t>KALMAR LÄN</t>
        </is>
      </c>
      <c r="E2875" t="inlineStr">
        <is>
          <t>VÄSTERVIK</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8508-2020</t>
        </is>
      </c>
      <c r="B2876" s="1" t="n">
        <v>43875</v>
      </c>
      <c r="C2876" s="1" t="n">
        <v>45715</v>
      </c>
      <c r="D2876" t="inlineStr">
        <is>
          <t>KALMAR LÄN</t>
        </is>
      </c>
      <c r="E2876" t="inlineStr">
        <is>
          <t>OSKARSHAMN</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8445-2020</t>
        </is>
      </c>
      <c r="B2877" s="1" t="n">
        <v>43875</v>
      </c>
      <c r="C2877" s="1" t="n">
        <v>45715</v>
      </c>
      <c r="D2877" t="inlineStr">
        <is>
          <t>KALMAR LÄN</t>
        </is>
      </c>
      <c r="E2877" t="inlineStr">
        <is>
          <t>KALMAR</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8506-2020</t>
        </is>
      </c>
      <c r="B2878" s="1" t="n">
        <v>43875</v>
      </c>
      <c r="C2878" s="1" t="n">
        <v>45715</v>
      </c>
      <c r="D2878" t="inlineStr">
        <is>
          <t>KALMAR LÄN</t>
        </is>
      </c>
      <c r="E2878" t="inlineStr">
        <is>
          <t>OSKARSHAMN</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8505-2020</t>
        </is>
      </c>
      <c r="B2879" s="1" t="n">
        <v>43875</v>
      </c>
      <c r="C2879" s="1" t="n">
        <v>45715</v>
      </c>
      <c r="D2879" t="inlineStr">
        <is>
          <t>KALMAR LÄN</t>
        </is>
      </c>
      <c r="E2879" t="inlineStr">
        <is>
          <t>OSKARSHAMN</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8511-2020</t>
        </is>
      </c>
      <c r="B2880" s="1" t="n">
        <v>43875</v>
      </c>
      <c r="C2880" s="1" t="n">
        <v>45715</v>
      </c>
      <c r="D2880" t="inlineStr">
        <is>
          <t>KALMAR LÄN</t>
        </is>
      </c>
      <c r="E2880" t="inlineStr">
        <is>
          <t>NYBRO</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8507-2020</t>
        </is>
      </c>
      <c r="B2881" s="1" t="n">
        <v>43875</v>
      </c>
      <c r="C2881" s="1" t="n">
        <v>45715</v>
      </c>
      <c r="D2881" t="inlineStr">
        <is>
          <t>KALMAR LÄN</t>
        </is>
      </c>
      <c r="E2881" t="inlineStr">
        <is>
          <t>OSKARSHAMN</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8453-2020</t>
        </is>
      </c>
      <c r="B2882" s="1" t="n">
        <v>43875</v>
      </c>
      <c r="C2882" s="1" t="n">
        <v>45715</v>
      </c>
      <c r="D2882" t="inlineStr">
        <is>
          <t>KALMAR LÄN</t>
        </is>
      </c>
      <c r="E2882" t="inlineStr">
        <is>
          <t>KALMAR</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8555-2020</t>
        </is>
      </c>
      <c r="B2883" s="1" t="n">
        <v>43877</v>
      </c>
      <c r="C2883" s="1" t="n">
        <v>45715</v>
      </c>
      <c r="D2883" t="inlineStr">
        <is>
          <t>KALMAR LÄN</t>
        </is>
      </c>
      <c r="E2883" t="inlineStr">
        <is>
          <t>NYBRO</t>
        </is>
      </c>
      <c r="G2883" t="n">
        <v>16.1</v>
      </c>
      <c r="H2883" t="n">
        <v>0</v>
      </c>
      <c r="I2883" t="n">
        <v>0</v>
      </c>
      <c r="J2883" t="n">
        <v>0</v>
      </c>
      <c r="K2883" t="n">
        <v>0</v>
      </c>
      <c r="L2883" t="n">
        <v>0</v>
      </c>
      <c r="M2883" t="n">
        <v>0</v>
      </c>
      <c r="N2883" t="n">
        <v>0</v>
      </c>
      <c r="O2883" t="n">
        <v>0</v>
      </c>
      <c r="P2883" t="n">
        <v>0</v>
      </c>
      <c r="Q2883" t="n">
        <v>0</v>
      </c>
      <c r="R2883" s="2" t="inlineStr"/>
    </row>
    <row r="2884" ht="15" customHeight="1">
      <c r="A2884" t="inlineStr">
        <is>
          <t>A 8805-2020</t>
        </is>
      </c>
      <c r="B2884" s="1" t="n">
        <v>43878</v>
      </c>
      <c r="C2884" s="1" t="n">
        <v>45715</v>
      </c>
      <c r="D2884" t="inlineStr">
        <is>
          <t>KALMAR LÄN</t>
        </is>
      </c>
      <c r="E2884" t="inlineStr">
        <is>
          <t>HULTSFRED</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8828-2020</t>
        </is>
      </c>
      <c r="B2885" s="1" t="n">
        <v>43878</v>
      </c>
      <c r="C2885" s="1" t="n">
        <v>45715</v>
      </c>
      <c r="D2885" t="inlineStr">
        <is>
          <t>KALMAR LÄN</t>
        </is>
      </c>
      <c r="E2885" t="inlineStr">
        <is>
          <t>OSKARSHAMN</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8675-2020</t>
        </is>
      </c>
      <c r="B2886" s="1" t="n">
        <v>43878</v>
      </c>
      <c r="C2886" s="1" t="n">
        <v>45715</v>
      </c>
      <c r="D2886" t="inlineStr">
        <is>
          <t>KALMAR LÄN</t>
        </is>
      </c>
      <c r="E2886" t="inlineStr">
        <is>
          <t>NYBRO</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8691-2020</t>
        </is>
      </c>
      <c r="B2887" s="1" t="n">
        <v>43878</v>
      </c>
      <c r="C2887" s="1" t="n">
        <v>45715</v>
      </c>
      <c r="D2887" t="inlineStr">
        <is>
          <t>KALMAR LÄN</t>
        </is>
      </c>
      <c r="E2887" t="inlineStr">
        <is>
          <t>VIMMERBY</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8645-2020</t>
        </is>
      </c>
      <c r="B2888" s="1" t="n">
        <v>43878</v>
      </c>
      <c r="C2888" s="1" t="n">
        <v>45715</v>
      </c>
      <c r="D2888" t="inlineStr">
        <is>
          <t>KALMAR LÄN</t>
        </is>
      </c>
      <c r="E2888" t="inlineStr">
        <is>
          <t>NYBRO</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8818-2020</t>
        </is>
      </c>
      <c r="B2889" s="1" t="n">
        <v>43878</v>
      </c>
      <c r="C2889" s="1" t="n">
        <v>45715</v>
      </c>
      <c r="D2889" t="inlineStr">
        <is>
          <t>KALMAR LÄN</t>
        </is>
      </c>
      <c r="E2889" t="inlineStr">
        <is>
          <t>HULTSFRED</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8736-2020</t>
        </is>
      </c>
      <c r="B2890" s="1" t="n">
        <v>43878</v>
      </c>
      <c r="C2890" s="1" t="n">
        <v>45715</v>
      </c>
      <c r="D2890" t="inlineStr">
        <is>
          <t>KALMAR LÄN</t>
        </is>
      </c>
      <c r="E2890" t="inlineStr">
        <is>
          <t>TORSÅS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8673-2020</t>
        </is>
      </c>
      <c r="B2891" s="1" t="n">
        <v>43878</v>
      </c>
      <c r="C2891" s="1" t="n">
        <v>45715</v>
      </c>
      <c r="D2891" t="inlineStr">
        <is>
          <t>KALMAR LÄN</t>
        </is>
      </c>
      <c r="E2891" t="inlineStr">
        <is>
          <t>NYBRO</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9023-2020</t>
        </is>
      </c>
      <c r="B2892" s="1" t="n">
        <v>43879</v>
      </c>
      <c r="C2892" s="1" t="n">
        <v>45715</v>
      </c>
      <c r="D2892" t="inlineStr">
        <is>
          <t>KALMAR LÄN</t>
        </is>
      </c>
      <c r="E2892" t="inlineStr">
        <is>
          <t>NYBRO</t>
        </is>
      </c>
      <c r="F2892" t="inlineStr">
        <is>
          <t>Kyrkan</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8999-2020</t>
        </is>
      </c>
      <c r="B2893" s="1" t="n">
        <v>43879</v>
      </c>
      <c r="C2893" s="1" t="n">
        <v>45715</v>
      </c>
      <c r="D2893" t="inlineStr">
        <is>
          <t>KALMAR LÄN</t>
        </is>
      </c>
      <c r="E2893" t="inlineStr">
        <is>
          <t>HULTSFRED</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8996-2020</t>
        </is>
      </c>
      <c r="B2894" s="1" t="n">
        <v>43879</v>
      </c>
      <c r="C2894" s="1" t="n">
        <v>45715</v>
      </c>
      <c r="D2894" t="inlineStr">
        <is>
          <t>KALMAR LÄN</t>
        </is>
      </c>
      <c r="E2894" t="inlineStr">
        <is>
          <t>HULTSFRED</t>
        </is>
      </c>
      <c r="F2894" t="inlineStr">
        <is>
          <t>Kommuner</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9107-2020</t>
        </is>
      </c>
      <c r="B2895" s="1" t="n">
        <v>43879</v>
      </c>
      <c r="C2895" s="1" t="n">
        <v>45715</v>
      </c>
      <c r="D2895" t="inlineStr">
        <is>
          <t>KALMAR LÄN</t>
        </is>
      </c>
      <c r="E2895" t="inlineStr">
        <is>
          <t>HULTSFRED</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9168-2020</t>
        </is>
      </c>
      <c r="B2896" s="1" t="n">
        <v>43879</v>
      </c>
      <c r="C2896" s="1" t="n">
        <v>45715</v>
      </c>
      <c r="D2896" t="inlineStr">
        <is>
          <t>KALMAR LÄN</t>
        </is>
      </c>
      <c r="E2896" t="inlineStr">
        <is>
          <t>VÄSTERVIK</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9151-2020</t>
        </is>
      </c>
      <c r="B2897" s="1" t="n">
        <v>43879</v>
      </c>
      <c r="C2897" s="1" t="n">
        <v>45715</v>
      </c>
      <c r="D2897" t="inlineStr">
        <is>
          <t>KALMAR LÄN</t>
        </is>
      </c>
      <c r="E2897" t="inlineStr">
        <is>
          <t>VIMMERBY</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9166-2020</t>
        </is>
      </c>
      <c r="B2898" s="1" t="n">
        <v>43879</v>
      </c>
      <c r="C2898" s="1" t="n">
        <v>45715</v>
      </c>
      <c r="D2898" t="inlineStr">
        <is>
          <t>KALMAR LÄN</t>
        </is>
      </c>
      <c r="E2898" t="inlineStr">
        <is>
          <t>VÄSTERVIK</t>
        </is>
      </c>
      <c r="G2898" t="n">
        <v>6.9</v>
      </c>
      <c r="H2898" t="n">
        <v>0</v>
      </c>
      <c r="I2898" t="n">
        <v>0</v>
      </c>
      <c r="J2898" t="n">
        <v>0</v>
      </c>
      <c r="K2898" t="n">
        <v>0</v>
      </c>
      <c r="L2898" t="n">
        <v>0</v>
      </c>
      <c r="M2898" t="n">
        <v>0</v>
      </c>
      <c r="N2898" t="n">
        <v>0</v>
      </c>
      <c r="O2898" t="n">
        <v>0</v>
      </c>
      <c r="P2898" t="n">
        <v>0</v>
      </c>
      <c r="Q2898" t="n">
        <v>0</v>
      </c>
      <c r="R2898" s="2" t="inlineStr"/>
    </row>
    <row r="2899" ht="15" customHeight="1">
      <c r="A2899" t="inlineStr">
        <is>
          <t>A 9283-2020</t>
        </is>
      </c>
      <c r="B2899" s="1" t="n">
        <v>43879</v>
      </c>
      <c r="C2899" s="1" t="n">
        <v>45715</v>
      </c>
      <c r="D2899" t="inlineStr">
        <is>
          <t>KALMAR LÄN</t>
        </is>
      </c>
      <c r="E2899" t="inlineStr">
        <is>
          <t>NYBRO</t>
        </is>
      </c>
      <c r="F2899" t="inlineStr">
        <is>
          <t>Kyrkan</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9382-2020</t>
        </is>
      </c>
      <c r="B2900" s="1" t="n">
        <v>43880</v>
      </c>
      <c r="C2900" s="1" t="n">
        <v>45715</v>
      </c>
      <c r="D2900" t="inlineStr">
        <is>
          <t>KALMAR LÄN</t>
        </is>
      </c>
      <c r="E2900" t="inlineStr">
        <is>
          <t>VIMMERBY</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9280-2020</t>
        </is>
      </c>
      <c r="B2901" s="1" t="n">
        <v>43880</v>
      </c>
      <c r="C2901" s="1" t="n">
        <v>45715</v>
      </c>
      <c r="D2901" t="inlineStr">
        <is>
          <t>KALMAR LÄN</t>
        </is>
      </c>
      <c r="E2901" t="inlineStr">
        <is>
          <t>HULTSFRED</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9332-2020</t>
        </is>
      </c>
      <c r="B2902" s="1" t="n">
        <v>43880</v>
      </c>
      <c r="C2902" s="1" t="n">
        <v>45715</v>
      </c>
      <c r="D2902" t="inlineStr">
        <is>
          <t>KALMAR LÄN</t>
        </is>
      </c>
      <c r="E2902" t="inlineStr">
        <is>
          <t>VÄSTERVIK</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9410-2020</t>
        </is>
      </c>
      <c r="B2903" s="1" t="n">
        <v>43880</v>
      </c>
      <c r="C2903" s="1" t="n">
        <v>45715</v>
      </c>
      <c r="D2903" t="inlineStr">
        <is>
          <t>KALMAR LÄN</t>
        </is>
      </c>
      <c r="E2903" t="inlineStr">
        <is>
          <t>NYBRO</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9434-2020</t>
        </is>
      </c>
      <c r="B2904" s="1" t="n">
        <v>43880</v>
      </c>
      <c r="C2904" s="1" t="n">
        <v>45715</v>
      </c>
      <c r="D2904" t="inlineStr">
        <is>
          <t>KALMAR LÄN</t>
        </is>
      </c>
      <c r="E2904" t="inlineStr">
        <is>
          <t>NYBRO</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9377-2020</t>
        </is>
      </c>
      <c r="B2905" s="1" t="n">
        <v>43880</v>
      </c>
      <c r="C2905" s="1" t="n">
        <v>45715</v>
      </c>
      <c r="D2905" t="inlineStr">
        <is>
          <t>KALMAR LÄN</t>
        </is>
      </c>
      <c r="E2905" t="inlineStr">
        <is>
          <t>OSKARSHAMN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9415-2020</t>
        </is>
      </c>
      <c r="B2906" s="1" t="n">
        <v>43880</v>
      </c>
      <c r="C2906" s="1" t="n">
        <v>45715</v>
      </c>
      <c r="D2906" t="inlineStr">
        <is>
          <t>KALMAR LÄN</t>
        </is>
      </c>
      <c r="E2906" t="inlineStr">
        <is>
          <t>EMMABODA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9322-2020</t>
        </is>
      </c>
      <c r="B2907" s="1" t="n">
        <v>43880</v>
      </c>
      <c r="C2907" s="1" t="n">
        <v>45715</v>
      </c>
      <c r="D2907" t="inlineStr">
        <is>
          <t>KALMAR LÄN</t>
        </is>
      </c>
      <c r="E2907" t="inlineStr">
        <is>
          <t>KALMAR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9547-2020</t>
        </is>
      </c>
      <c r="B2908" s="1" t="n">
        <v>43881</v>
      </c>
      <c r="C2908" s="1" t="n">
        <v>45715</v>
      </c>
      <c r="D2908" t="inlineStr">
        <is>
          <t>KALMAR LÄN</t>
        </is>
      </c>
      <c r="E2908" t="inlineStr">
        <is>
          <t>MÖNSTERÅS</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9564-2020</t>
        </is>
      </c>
      <c r="B2909" s="1" t="n">
        <v>43881</v>
      </c>
      <c r="C2909" s="1" t="n">
        <v>45715</v>
      </c>
      <c r="D2909" t="inlineStr">
        <is>
          <t>KALMAR LÄN</t>
        </is>
      </c>
      <c r="E2909" t="inlineStr">
        <is>
          <t>KALMAR</t>
        </is>
      </c>
      <c r="G2909" t="n">
        <v>8</v>
      </c>
      <c r="H2909" t="n">
        <v>0</v>
      </c>
      <c r="I2909" t="n">
        <v>0</v>
      </c>
      <c r="J2909" t="n">
        <v>0</v>
      </c>
      <c r="K2909" t="n">
        <v>0</v>
      </c>
      <c r="L2909" t="n">
        <v>0</v>
      </c>
      <c r="M2909" t="n">
        <v>0</v>
      </c>
      <c r="N2909" t="n">
        <v>0</v>
      </c>
      <c r="O2909" t="n">
        <v>0</v>
      </c>
      <c r="P2909" t="n">
        <v>0</v>
      </c>
      <c r="Q2909" t="n">
        <v>0</v>
      </c>
      <c r="R2909" s="2" t="inlineStr"/>
    </row>
    <row r="2910" ht="15" customHeight="1">
      <c r="A2910" t="inlineStr">
        <is>
          <t>A 9691-2020</t>
        </is>
      </c>
      <c r="B2910" s="1" t="n">
        <v>43881</v>
      </c>
      <c r="C2910" s="1" t="n">
        <v>45715</v>
      </c>
      <c r="D2910" t="inlineStr">
        <is>
          <t>KALMAR LÄN</t>
        </is>
      </c>
      <c r="E2910" t="inlineStr">
        <is>
          <t>MÖNSTERÅS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9781-2020</t>
        </is>
      </c>
      <c r="B2911" s="1" t="n">
        <v>43881</v>
      </c>
      <c r="C2911" s="1" t="n">
        <v>45715</v>
      </c>
      <c r="D2911" t="inlineStr">
        <is>
          <t>KALMAR LÄN</t>
        </is>
      </c>
      <c r="E2911" t="inlineStr">
        <is>
          <t>EMMABODA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9718-2020</t>
        </is>
      </c>
      <c r="B2912" s="1" t="n">
        <v>43881</v>
      </c>
      <c r="C2912" s="1" t="n">
        <v>45715</v>
      </c>
      <c r="D2912" t="inlineStr">
        <is>
          <t>KALMAR LÄN</t>
        </is>
      </c>
      <c r="E2912" t="inlineStr">
        <is>
          <t>VIMMERBY</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9863-2020</t>
        </is>
      </c>
      <c r="B2913" s="1" t="n">
        <v>43881</v>
      </c>
      <c r="C2913" s="1" t="n">
        <v>45715</v>
      </c>
      <c r="D2913" t="inlineStr">
        <is>
          <t>KALMAR LÄN</t>
        </is>
      </c>
      <c r="E2913" t="inlineStr">
        <is>
          <t>EMMABODA</t>
        </is>
      </c>
      <c r="F2913" t="inlineStr">
        <is>
          <t>Kyrkan</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9809-2020</t>
        </is>
      </c>
      <c r="B2914" s="1" t="n">
        <v>43881</v>
      </c>
      <c r="C2914" s="1" t="n">
        <v>45715</v>
      </c>
      <c r="D2914" t="inlineStr">
        <is>
          <t>KALMAR LÄN</t>
        </is>
      </c>
      <c r="E2914" t="inlineStr">
        <is>
          <t>OSKARSHAMN</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9873-2020</t>
        </is>
      </c>
      <c r="B2915" s="1" t="n">
        <v>43881</v>
      </c>
      <c r="C2915" s="1" t="n">
        <v>45715</v>
      </c>
      <c r="D2915" t="inlineStr">
        <is>
          <t>KALMAR LÄN</t>
        </is>
      </c>
      <c r="E2915" t="inlineStr">
        <is>
          <t>EMMABODA</t>
        </is>
      </c>
      <c r="F2915" t="inlineStr">
        <is>
          <t>Kyrkan</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9844-2020</t>
        </is>
      </c>
      <c r="B2916" s="1" t="n">
        <v>43882</v>
      </c>
      <c r="C2916" s="1" t="n">
        <v>45715</v>
      </c>
      <c r="D2916" t="inlineStr">
        <is>
          <t>KALMAR LÄN</t>
        </is>
      </c>
      <c r="E2916" t="inlineStr">
        <is>
          <t>OSKARSHAMN</t>
        </is>
      </c>
      <c r="G2916" t="n">
        <v>7.5</v>
      </c>
      <c r="H2916" t="n">
        <v>0</v>
      </c>
      <c r="I2916" t="n">
        <v>0</v>
      </c>
      <c r="J2916" t="n">
        <v>0</v>
      </c>
      <c r="K2916" t="n">
        <v>0</v>
      </c>
      <c r="L2916" t="n">
        <v>0</v>
      </c>
      <c r="M2916" t="n">
        <v>0</v>
      </c>
      <c r="N2916" t="n">
        <v>0</v>
      </c>
      <c r="O2916" t="n">
        <v>0</v>
      </c>
      <c r="P2916" t="n">
        <v>0</v>
      </c>
      <c r="Q2916" t="n">
        <v>0</v>
      </c>
      <c r="R2916" s="2" t="inlineStr"/>
    </row>
    <row r="2917" ht="15" customHeight="1">
      <c r="A2917" t="inlineStr">
        <is>
          <t>A 9839-2020</t>
        </is>
      </c>
      <c r="B2917" s="1" t="n">
        <v>43882</v>
      </c>
      <c r="C2917" s="1" t="n">
        <v>45715</v>
      </c>
      <c r="D2917" t="inlineStr">
        <is>
          <t>KALMAR LÄN</t>
        </is>
      </c>
      <c r="E2917" t="inlineStr">
        <is>
          <t>OSKARSHAMN</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9913-2020</t>
        </is>
      </c>
      <c r="B2918" s="1" t="n">
        <v>43882</v>
      </c>
      <c r="C2918" s="1" t="n">
        <v>45715</v>
      </c>
      <c r="D2918" t="inlineStr">
        <is>
          <t>KALMAR LÄN</t>
        </is>
      </c>
      <c r="E2918" t="inlineStr">
        <is>
          <t>MÖNSTERÅS</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9855-2020</t>
        </is>
      </c>
      <c r="B2919" s="1" t="n">
        <v>43882</v>
      </c>
      <c r="C2919" s="1" t="n">
        <v>45715</v>
      </c>
      <c r="D2919" t="inlineStr">
        <is>
          <t>KALMAR LÄN</t>
        </is>
      </c>
      <c r="E2919" t="inlineStr">
        <is>
          <t>OSKARSHAMN</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9849-2020</t>
        </is>
      </c>
      <c r="B2920" s="1" t="n">
        <v>43882</v>
      </c>
      <c r="C2920" s="1" t="n">
        <v>45715</v>
      </c>
      <c r="D2920" t="inlineStr">
        <is>
          <t>KALMAR LÄN</t>
        </is>
      </c>
      <c r="E2920" t="inlineStr">
        <is>
          <t>OSKARSHAMN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9895-2020</t>
        </is>
      </c>
      <c r="B2921" s="1" t="n">
        <v>43882</v>
      </c>
      <c r="C2921" s="1" t="n">
        <v>45715</v>
      </c>
      <c r="D2921" t="inlineStr">
        <is>
          <t>KALMAR LÄN</t>
        </is>
      </c>
      <c r="E2921" t="inlineStr">
        <is>
          <t>MÖNSTERÅS</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9908-2020</t>
        </is>
      </c>
      <c r="B2922" s="1" t="n">
        <v>43882</v>
      </c>
      <c r="C2922" s="1" t="n">
        <v>45715</v>
      </c>
      <c r="D2922" t="inlineStr">
        <is>
          <t>KALMAR LÄN</t>
        </is>
      </c>
      <c r="E2922" t="inlineStr">
        <is>
          <t>BORGHOLM</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9911-2020</t>
        </is>
      </c>
      <c r="B2923" s="1" t="n">
        <v>43882</v>
      </c>
      <c r="C2923" s="1" t="n">
        <v>45715</v>
      </c>
      <c r="D2923" t="inlineStr">
        <is>
          <t>KALMAR LÄN</t>
        </is>
      </c>
      <c r="E2923" t="inlineStr">
        <is>
          <t>MÖNSTERÅS</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9918-2020</t>
        </is>
      </c>
      <c r="B2924" s="1" t="n">
        <v>43882</v>
      </c>
      <c r="C2924" s="1" t="n">
        <v>45715</v>
      </c>
      <c r="D2924" t="inlineStr">
        <is>
          <t>KALMAR LÄN</t>
        </is>
      </c>
      <c r="E2924" t="inlineStr">
        <is>
          <t>HULTSFRED</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10034-2020</t>
        </is>
      </c>
      <c r="B2925" s="1" t="n">
        <v>43882</v>
      </c>
      <c r="C2925" s="1" t="n">
        <v>45715</v>
      </c>
      <c r="D2925" t="inlineStr">
        <is>
          <t>KALMAR LÄN</t>
        </is>
      </c>
      <c r="E2925" t="inlineStr">
        <is>
          <t>EMMABODA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10068-2020</t>
        </is>
      </c>
      <c r="B2926" s="1" t="n">
        <v>43883</v>
      </c>
      <c r="C2926" s="1" t="n">
        <v>45715</v>
      </c>
      <c r="D2926" t="inlineStr">
        <is>
          <t>KALMAR LÄN</t>
        </is>
      </c>
      <c r="E2926" t="inlineStr">
        <is>
          <t>OSKARSHAMN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10082-2020</t>
        </is>
      </c>
      <c r="B2927" s="1" t="n">
        <v>43884</v>
      </c>
      <c r="C2927" s="1" t="n">
        <v>45715</v>
      </c>
      <c r="D2927" t="inlineStr">
        <is>
          <t>KALMAR LÄN</t>
        </is>
      </c>
      <c r="E2927" t="inlineStr">
        <is>
          <t>HÖGSBY</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10188-2020</t>
        </is>
      </c>
      <c r="B2928" s="1" t="n">
        <v>43885</v>
      </c>
      <c r="C2928" s="1" t="n">
        <v>45715</v>
      </c>
      <c r="D2928" t="inlineStr">
        <is>
          <t>KALMAR LÄN</t>
        </is>
      </c>
      <c r="E2928" t="inlineStr">
        <is>
          <t>TORSÅS</t>
        </is>
      </c>
      <c r="G2928" t="n">
        <v>5.9</v>
      </c>
      <c r="H2928" t="n">
        <v>0</v>
      </c>
      <c r="I2928" t="n">
        <v>0</v>
      </c>
      <c r="J2928" t="n">
        <v>0</v>
      </c>
      <c r="K2928" t="n">
        <v>0</v>
      </c>
      <c r="L2928" t="n">
        <v>0</v>
      </c>
      <c r="M2928" t="n">
        <v>0</v>
      </c>
      <c r="N2928" t="n">
        <v>0</v>
      </c>
      <c r="O2928" t="n">
        <v>0</v>
      </c>
      <c r="P2928" t="n">
        <v>0</v>
      </c>
      <c r="Q2928" t="n">
        <v>0</v>
      </c>
      <c r="R2928" s="2" t="inlineStr"/>
    </row>
    <row r="2929" ht="15" customHeight="1">
      <c r="A2929" t="inlineStr">
        <is>
          <t>A 10259-2020</t>
        </is>
      </c>
      <c r="B2929" s="1" t="n">
        <v>43885</v>
      </c>
      <c r="C2929" s="1" t="n">
        <v>45715</v>
      </c>
      <c r="D2929" t="inlineStr">
        <is>
          <t>KALMAR LÄN</t>
        </is>
      </c>
      <c r="E2929" t="inlineStr">
        <is>
          <t>HULTSFRED</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10373-2020</t>
        </is>
      </c>
      <c r="B2930" s="1" t="n">
        <v>43885</v>
      </c>
      <c r="C2930" s="1" t="n">
        <v>45715</v>
      </c>
      <c r="D2930" t="inlineStr">
        <is>
          <t>KALMAR LÄN</t>
        </is>
      </c>
      <c r="E2930" t="inlineStr">
        <is>
          <t>VÄSTERVIK</t>
        </is>
      </c>
      <c r="F2930" t="inlineStr">
        <is>
          <t>Kyrkan</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10190-2020</t>
        </is>
      </c>
      <c r="B2931" s="1" t="n">
        <v>43885</v>
      </c>
      <c r="C2931" s="1" t="n">
        <v>45715</v>
      </c>
      <c r="D2931" t="inlineStr">
        <is>
          <t>KALMAR LÄN</t>
        </is>
      </c>
      <c r="E2931" t="inlineStr">
        <is>
          <t>TORSÅS</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11067-2020</t>
        </is>
      </c>
      <c r="B2932" s="1" t="n">
        <v>43885</v>
      </c>
      <c r="C2932" s="1" t="n">
        <v>45715</v>
      </c>
      <c r="D2932" t="inlineStr">
        <is>
          <t>KALMAR LÄN</t>
        </is>
      </c>
      <c r="E2932" t="inlineStr">
        <is>
          <t>VÄSTERVIK</t>
        </is>
      </c>
      <c r="F2932" t="inlineStr">
        <is>
          <t>Övriga Aktiebolag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10397-2020</t>
        </is>
      </c>
      <c r="B2933" s="1" t="n">
        <v>43885</v>
      </c>
      <c r="C2933" s="1" t="n">
        <v>45715</v>
      </c>
      <c r="D2933" t="inlineStr">
        <is>
          <t>KALMAR LÄN</t>
        </is>
      </c>
      <c r="E2933" t="inlineStr">
        <is>
          <t>EMMABODA</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10419-2020</t>
        </is>
      </c>
      <c r="B2934" s="1" t="n">
        <v>43886</v>
      </c>
      <c r="C2934" s="1" t="n">
        <v>45715</v>
      </c>
      <c r="D2934" t="inlineStr">
        <is>
          <t>KALMAR LÄN</t>
        </is>
      </c>
      <c r="E2934" t="inlineStr">
        <is>
          <t>EMMABODA</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11181-2020</t>
        </is>
      </c>
      <c r="B2935" s="1" t="n">
        <v>43886</v>
      </c>
      <c r="C2935" s="1" t="n">
        <v>45715</v>
      </c>
      <c r="D2935" t="inlineStr">
        <is>
          <t>KALMAR LÄN</t>
        </is>
      </c>
      <c r="E2935" t="inlineStr">
        <is>
          <t>HULTSFRED</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10482-2020</t>
        </is>
      </c>
      <c r="B2936" s="1" t="n">
        <v>43886</v>
      </c>
      <c r="C2936" s="1" t="n">
        <v>45715</v>
      </c>
      <c r="D2936" t="inlineStr">
        <is>
          <t>KALMAR LÄN</t>
        </is>
      </c>
      <c r="E2936" t="inlineStr">
        <is>
          <t>VÄSTERVIK</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10173-2020</t>
        </is>
      </c>
      <c r="B2937" s="1" t="n">
        <v>43886</v>
      </c>
      <c r="C2937" s="1" t="n">
        <v>45715</v>
      </c>
      <c r="D2937" t="inlineStr">
        <is>
          <t>KALMAR LÄN</t>
        </is>
      </c>
      <c r="E2937" t="inlineStr">
        <is>
          <t>VÄSTERVIK</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10161-2020</t>
        </is>
      </c>
      <c r="B2938" s="1" t="n">
        <v>43886</v>
      </c>
      <c r="C2938" s="1" t="n">
        <v>45715</v>
      </c>
      <c r="D2938" t="inlineStr">
        <is>
          <t>KALMAR LÄN</t>
        </is>
      </c>
      <c r="E2938" t="inlineStr">
        <is>
          <t>OSKARSHAMN</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10519-2020</t>
        </is>
      </c>
      <c r="B2939" s="1" t="n">
        <v>43886</v>
      </c>
      <c r="C2939" s="1" t="n">
        <v>45715</v>
      </c>
      <c r="D2939" t="inlineStr">
        <is>
          <t>KALMAR LÄN</t>
        </is>
      </c>
      <c r="E2939" t="inlineStr">
        <is>
          <t>KALMAR</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10327-2020</t>
        </is>
      </c>
      <c r="B2940" s="1" t="n">
        <v>43887</v>
      </c>
      <c r="C2940" s="1" t="n">
        <v>45715</v>
      </c>
      <c r="D2940" t="inlineStr">
        <is>
          <t>KALMAR LÄN</t>
        </is>
      </c>
      <c r="E2940" t="inlineStr">
        <is>
          <t>KALMAR</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10474-2020</t>
        </is>
      </c>
      <c r="B2941" s="1" t="n">
        <v>43887</v>
      </c>
      <c r="C2941" s="1" t="n">
        <v>45715</v>
      </c>
      <c r="D2941" t="inlineStr">
        <is>
          <t>KALMAR LÄN</t>
        </is>
      </c>
      <c r="E2941" t="inlineStr">
        <is>
          <t>VIMMERBY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10619-2020</t>
        </is>
      </c>
      <c r="B2942" s="1" t="n">
        <v>43887</v>
      </c>
      <c r="C2942" s="1" t="n">
        <v>45715</v>
      </c>
      <c r="D2942" t="inlineStr">
        <is>
          <t>KALMAR LÄN</t>
        </is>
      </c>
      <c r="E2942" t="inlineStr">
        <is>
          <t>NYBRO</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10099-2020</t>
        </is>
      </c>
      <c r="B2943" s="1" t="n">
        <v>43887</v>
      </c>
      <c r="C2943" s="1" t="n">
        <v>45715</v>
      </c>
      <c r="D2943" t="inlineStr">
        <is>
          <t>KALMAR LÄN</t>
        </is>
      </c>
      <c r="E2943" t="inlineStr">
        <is>
          <t>MÖNSTERÅS</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10323-2020</t>
        </is>
      </c>
      <c r="B2944" s="1" t="n">
        <v>43887</v>
      </c>
      <c r="C2944" s="1" t="n">
        <v>45715</v>
      </c>
      <c r="D2944" t="inlineStr">
        <is>
          <t>KALMAR LÄN</t>
        </is>
      </c>
      <c r="E2944" t="inlineStr">
        <is>
          <t>KALMAR</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10221-2020</t>
        </is>
      </c>
      <c r="B2945" s="1" t="n">
        <v>43887</v>
      </c>
      <c r="C2945" s="1" t="n">
        <v>45715</v>
      </c>
      <c r="D2945" t="inlineStr">
        <is>
          <t>KALMAR LÄN</t>
        </is>
      </c>
      <c r="E2945" t="inlineStr">
        <is>
          <t>TORSÅS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10328-2020</t>
        </is>
      </c>
      <c r="B2946" s="1" t="n">
        <v>43887</v>
      </c>
      <c r="C2946" s="1" t="n">
        <v>45715</v>
      </c>
      <c r="D2946" t="inlineStr">
        <is>
          <t>KALMAR LÄN</t>
        </is>
      </c>
      <c r="E2946" t="inlineStr">
        <is>
          <t>KALMAR</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10484-2020</t>
        </is>
      </c>
      <c r="B2947" s="1" t="n">
        <v>43887</v>
      </c>
      <c r="C2947" s="1" t="n">
        <v>45715</v>
      </c>
      <c r="D2947" t="inlineStr">
        <is>
          <t>KALMAR LÄN</t>
        </is>
      </c>
      <c r="E2947" t="inlineStr">
        <is>
          <t>VIMMERBY</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10677-2020</t>
        </is>
      </c>
      <c r="B2948" s="1" t="n">
        <v>43887</v>
      </c>
      <c r="C2948" s="1" t="n">
        <v>45715</v>
      </c>
      <c r="D2948" t="inlineStr">
        <is>
          <t>KALMAR LÄN</t>
        </is>
      </c>
      <c r="E2948" t="inlineStr">
        <is>
          <t>HULTSFRED</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10614-2020</t>
        </is>
      </c>
      <c r="B2949" s="1" t="n">
        <v>43887</v>
      </c>
      <c r="C2949" s="1" t="n">
        <v>45715</v>
      </c>
      <c r="D2949" t="inlineStr">
        <is>
          <t>KALMAR LÄN</t>
        </is>
      </c>
      <c r="E2949" t="inlineStr">
        <is>
          <t>NYBRO</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10672-2020</t>
        </is>
      </c>
      <c r="B2950" s="1" t="n">
        <v>43888</v>
      </c>
      <c r="C2950" s="1" t="n">
        <v>45715</v>
      </c>
      <c r="D2950" t="inlineStr">
        <is>
          <t>KALMAR LÄN</t>
        </is>
      </c>
      <c r="E2950" t="inlineStr">
        <is>
          <t>NYBRO</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11937-2020</t>
        </is>
      </c>
      <c r="B2951" s="1" t="n">
        <v>43888</v>
      </c>
      <c r="C2951" s="1" t="n">
        <v>45715</v>
      </c>
      <c r="D2951" t="inlineStr">
        <is>
          <t>KALMAR LÄN</t>
        </is>
      </c>
      <c r="E2951" t="inlineStr">
        <is>
          <t>EMMABODA</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10867-2020</t>
        </is>
      </c>
      <c r="B2952" s="1" t="n">
        <v>43889</v>
      </c>
      <c r="C2952" s="1" t="n">
        <v>45715</v>
      </c>
      <c r="D2952" t="inlineStr">
        <is>
          <t>KALMAR LÄN</t>
        </is>
      </c>
      <c r="E2952" t="inlineStr">
        <is>
          <t>HULTSFRED</t>
        </is>
      </c>
      <c r="F2952" t="inlineStr">
        <is>
          <t>Sveaskog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10923-2020</t>
        </is>
      </c>
      <c r="B2953" s="1" t="n">
        <v>43889</v>
      </c>
      <c r="C2953" s="1" t="n">
        <v>45715</v>
      </c>
      <c r="D2953" t="inlineStr">
        <is>
          <t>KALMAR LÄN</t>
        </is>
      </c>
      <c r="E2953" t="inlineStr">
        <is>
          <t>VIMMERBY</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10910-2020</t>
        </is>
      </c>
      <c r="B2954" s="1" t="n">
        <v>43889</v>
      </c>
      <c r="C2954" s="1" t="n">
        <v>45715</v>
      </c>
      <c r="D2954" t="inlineStr">
        <is>
          <t>KALMAR LÄN</t>
        </is>
      </c>
      <c r="E2954" t="inlineStr">
        <is>
          <t>EMMABODA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10869-2020</t>
        </is>
      </c>
      <c r="B2955" s="1" t="n">
        <v>43889</v>
      </c>
      <c r="C2955" s="1" t="n">
        <v>45715</v>
      </c>
      <c r="D2955" t="inlineStr">
        <is>
          <t>KALMAR LÄN</t>
        </is>
      </c>
      <c r="E2955" t="inlineStr">
        <is>
          <t>HULTSFRED</t>
        </is>
      </c>
      <c r="F2955" t="inlineStr">
        <is>
          <t>Sveaskog</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11147-2020</t>
        </is>
      </c>
      <c r="B2956" s="1" t="n">
        <v>43891</v>
      </c>
      <c r="C2956" s="1" t="n">
        <v>45715</v>
      </c>
      <c r="D2956" t="inlineStr">
        <is>
          <t>KALMAR LÄN</t>
        </is>
      </c>
      <c r="E2956" t="inlineStr">
        <is>
          <t>MÖNSTERÅS</t>
        </is>
      </c>
      <c r="G2956" t="n">
        <v>8.199999999999999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11253-2020</t>
        </is>
      </c>
      <c r="B2957" s="1" t="n">
        <v>43892</v>
      </c>
      <c r="C2957" s="1" t="n">
        <v>45715</v>
      </c>
      <c r="D2957" t="inlineStr">
        <is>
          <t>KALMAR LÄN</t>
        </is>
      </c>
      <c r="E2957" t="inlineStr">
        <is>
          <t>VÄSTERVIK</t>
        </is>
      </c>
      <c r="F2957" t="inlineStr">
        <is>
          <t>Övriga Aktiebolag</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11371-2020</t>
        </is>
      </c>
      <c r="B2958" s="1" t="n">
        <v>43892</v>
      </c>
      <c r="C2958" s="1" t="n">
        <v>45715</v>
      </c>
      <c r="D2958" t="inlineStr">
        <is>
          <t>KALMAR LÄN</t>
        </is>
      </c>
      <c r="E2958" t="inlineStr">
        <is>
          <t>TORSÅS</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11384-2020</t>
        </is>
      </c>
      <c r="B2959" s="1" t="n">
        <v>43892</v>
      </c>
      <c r="C2959" s="1" t="n">
        <v>45715</v>
      </c>
      <c r="D2959" t="inlineStr">
        <is>
          <t>KALMAR LÄN</t>
        </is>
      </c>
      <c r="E2959" t="inlineStr">
        <is>
          <t>TORSÅS</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11248-2020</t>
        </is>
      </c>
      <c r="B2960" s="1" t="n">
        <v>43892</v>
      </c>
      <c r="C2960" s="1" t="n">
        <v>45715</v>
      </c>
      <c r="D2960" t="inlineStr">
        <is>
          <t>KALMAR LÄN</t>
        </is>
      </c>
      <c r="E2960" t="inlineStr">
        <is>
          <t>VÄSTERVIK</t>
        </is>
      </c>
      <c r="F2960" t="inlineStr">
        <is>
          <t>Övriga Aktiebolag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11379-2020</t>
        </is>
      </c>
      <c r="B2961" s="1" t="n">
        <v>43892</v>
      </c>
      <c r="C2961" s="1" t="n">
        <v>45715</v>
      </c>
      <c r="D2961" t="inlineStr">
        <is>
          <t>KALMAR LÄN</t>
        </is>
      </c>
      <c r="E2961" t="inlineStr">
        <is>
          <t>TORSÅS</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11243-2020</t>
        </is>
      </c>
      <c r="B2962" s="1" t="n">
        <v>43892</v>
      </c>
      <c r="C2962" s="1" t="n">
        <v>45715</v>
      </c>
      <c r="D2962" t="inlineStr">
        <is>
          <t>KALMAR LÄN</t>
        </is>
      </c>
      <c r="E2962" t="inlineStr">
        <is>
          <t>VIMMERBY</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11196-2020</t>
        </is>
      </c>
      <c r="B2963" s="1" t="n">
        <v>43892</v>
      </c>
      <c r="C2963" s="1" t="n">
        <v>45715</v>
      </c>
      <c r="D2963" t="inlineStr">
        <is>
          <t>KALMAR LÄN</t>
        </is>
      </c>
      <c r="E2963" t="inlineStr">
        <is>
          <t>HULTSFRED</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11246-2020</t>
        </is>
      </c>
      <c r="B2964" s="1" t="n">
        <v>43892</v>
      </c>
      <c r="C2964" s="1" t="n">
        <v>45715</v>
      </c>
      <c r="D2964" t="inlineStr">
        <is>
          <t>KALMAR LÄN</t>
        </is>
      </c>
      <c r="E2964" t="inlineStr">
        <is>
          <t>VÄSTERVIK</t>
        </is>
      </c>
      <c r="F2964" t="inlineStr">
        <is>
          <t>Övriga Aktiebolag</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11544-2020</t>
        </is>
      </c>
      <c r="B2965" s="1" t="n">
        <v>43893</v>
      </c>
      <c r="C2965" s="1" t="n">
        <v>45715</v>
      </c>
      <c r="D2965" t="inlineStr">
        <is>
          <t>KALMAR LÄN</t>
        </is>
      </c>
      <c r="E2965" t="inlineStr">
        <is>
          <t>NYBRO</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11702-2020</t>
        </is>
      </c>
      <c r="B2966" s="1" t="n">
        <v>43894</v>
      </c>
      <c r="C2966" s="1" t="n">
        <v>45715</v>
      </c>
      <c r="D2966" t="inlineStr">
        <is>
          <t>KALMAR LÄN</t>
        </is>
      </c>
      <c r="E2966" t="inlineStr">
        <is>
          <t>KALMAR</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11927-2020</t>
        </is>
      </c>
      <c r="B2967" s="1" t="n">
        <v>43894</v>
      </c>
      <c r="C2967" s="1" t="n">
        <v>45715</v>
      </c>
      <c r="D2967" t="inlineStr">
        <is>
          <t>KALMAR LÄN</t>
        </is>
      </c>
      <c r="E2967" t="inlineStr">
        <is>
          <t>KALMAR</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12006-2020</t>
        </is>
      </c>
      <c r="B2968" s="1" t="n">
        <v>43894</v>
      </c>
      <c r="C2968" s="1" t="n">
        <v>45715</v>
      </c>
      <c r="D2968" t="inlineStr">
        <is>
          <t>KALMAR LÄN</t>
        </is>
      </c>
      <c r="E2968" t="inlineStr">
        <is>
          <t>NYBRO</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12270-2020</t>
        </is>
      </c>
      <c r="B2969" s="1" t="n">
        <v>43895</v>
      </c>
      <c r="C2969" s="1" t="n">
        <v>45715</v>
      </c>
      <c r="D2969" t="inlineStr">
        <is>
          <t>KALMAR LÄN</t>
        </is>
      </c>
      <c r="E2969" t="inlineStr">
        <is>
          <t>MÖNSTERÅS</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12296-2020</t>
        </is>
      </c>
      <c r="B2970" s="1" t="n">
        <v>43895</v>
      </c>
      <c r="C2970" s="1" t="n">
        <v>45715</v>
      </c>
      <c r="D2970" t="inlineStr">
        <is>
          <t>KALMAR LÄN</t>
        </is>
      </c>
      <c r="E2970" t="inlineStr">
        <is>
          <t>TORSÅS</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13619-2020</t>
        </is>
      </c>
      <c r="B2971" s="1" t="n">
        <v>43896</v>
      </c>
      <c r="C2971" s="1" t="n">
        <v>45715</v>
      </c>
      <c r="D2971" t="inlineStr">
        <is>
          <t>KALMAR LÄN</t>
        </is>
      </c>
      <c r="E2971" t="inlineStr">
        <is>
          <t>NYBRO</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12349-2020</t>
        </is>
      </c>
      <c r="B2972" s="1" t="n">
        <v>43896</v>
      </c>
      <c r="C2972" s="1" t="n">
        <v>45715</v>
      </c>
      <c r="D2972" t="inlineStr">
        <is>
          <t>KALMAR LÄN</t>
        </is>
      </c>
      <c r="E2972" t="inlineStr">
        <is>
          <t>EMMABODA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12385-2020</t>
        </is>
      </c>
      <c r="B2973" s="1" t="n">
        <v>43896</v>
      </c>
      <c r="C2973" s="1" t="n">
        <v>45715</v>
      </c>
      <c r="D2973" t="inlineStr">
        <is>
          <t>KALMAR LÄN</t>
        </is>
      </c>
      <c r="E2973" t="inlineStr">
        <is>
          <t>NYBRO</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12430-2020</t>
        </is>
      </c>
      <c r="B2974" s="1" t="n">
        <v>43896</v>
      </c>
      <c r="C2974" s="1" t="n">
        <v>45715</v>
      </c>
      <c r="D2974" t="inlineStr">
        <is>
          <t>KALMAR LÄN</t>
        </is>
      </c>
      <c r="E2974" t="inlineStr">
        <is>
          <t>VÄSTERVIK</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12555-2020</t>
        </is>
      </c>
      <c r="B2975" s="1" t="n">
        <v>43898</v>
      </c>
      <c r="C2975" s="1" t="n">
        <v>45715</v>
      </c>
      <c r="D2975" t="inlineStr">
        <is>
          <t>KALMAR LÄN</t>
        </is>
      </c>
      <c r="E2975" t="inlineStr">
        <is>
          <t>TORSÅS</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12689-2020</t>
        </is>
      </c>
      <c r="B2976" s="1" t="n">
        <v>43899</v>
      </c>
      <c r="C2976" s="1" t="n">
        <v>45715</v>
      </c>
      <c r="D2976" t="inlineStr">
        <is>
          <t>KALMAR LÄN</t>
        </is>
      </c>
      <c r="E2976" t="inlineStr">
        <is>
          <t>EMMABODA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12643-2020</t>
        </is>
      </c>
      <c r="B2977" s="1" t="n">
        <v>43899</v>
      </c>
      <c r="C2977" s="1" t="n">
        <v>45715</v>
      </c>
      <c r="D2977" t="inlineStr">
        <is>
          <t>KALMAR LÄN</t>
        </is>
      </c>
      <c r="E2977" t="inlineStr">
        <is>
          <t>EMMABODA</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12616-2020</t>
        </is>
      </c>
      <c r="B2978" s="1" t="n">
        <v>43899</v>
      </c>
      <c r="C2978" s="1" t="n">
        <v>45715</v>
      </c>
      <c r="D2978" t="inlineStr">
        <is>
          <t>KALMAR LÄN</t>
        </is>
      </c>
      <c r="E2978" t="inlineStr">
        <is>
          <t>OSKARSHAMN</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12645-2020</t>
        </is>
      </c>
      <c r="B2979" s="1" t="n">
        <v>43899</v>
      </c>
      <c r="C2979" s="1" t="n">
        <v>45715</v>
      </c>
      <c r="D2979" t="inlineStr">
        <is>
          <t>KALMAR LÄN</t>
        </is>
      </c>
      <c r="E2979" t="inlineStr">
        <is>
          <t>EMMABODA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12789-2020</t>
        </is>
      </c>
      <c r="B2980" s="1" t="n">
        <v>43899</v>
      </c>
      <c r="C2980" s="1" t="n">
        <v>45715</v>
      </c>
      <c r="D2980" t="inlineStr">
        <is>
          <t>KALMAR LÄN</t>
        </is>
      </c>
      <c r="E2980" t="inlineStr">
        <is>
          <t>OSKARSHAMN</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12728-2020</t>
        </is>
      </c>
      <c r="B2981" s="1" t="n">
        <v>43899</v>
      </c>
      <c r="C2981" s="1" t="n">
        <v>45715</v>
      </c>
      <c r="D2981" t="inlineStr">
        <is>
          <t>KALMAR LÄN</t>
        </is>
      </c>
      <c r="E2981" t="inlineStr">
        <is>
          <t>EMMABODA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13957-2020</t>
        </is>
      </c>
      <c r="B2982" s="1" t="n">
        <v>43899</v>
      </c>
      <c r="C2982" s="1" t="n">
        <v>45715</v>
      </c>
      <c r="D2982" t="inlineStr">
        <is>
          <t>KALMAR LÄN</t>
        </is>
      </c>
      <c r="E2982" t="inlineStr">
        <is>
          <t>KALMAR</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12823-2020</t>
        </is>
      </c>
      <c r="B2983" s="1" t="n">
        <v>43899</v>
      </c>
      <c r="C2983" s="1" t="n">
        <v>45715</v>
      </c>
      <c r="D2983" t="inlineStr">
        <is>
          <t>KALMAR LÄN</t>
        </is>
      </c>
      <c r="E2983" t="inlineStr">
        <is>
          <t>VIMMERBY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12873-2020</t>
        </is>
      </c>
      <c r="B2984" s="1" t="n">
        <v>43899</v>
      </c>
      <c r="C2984" s="1" t="n">
        <v>45715</v>
      </c>
      <c r="D2984" t="inlineStr">
        <is>
          <t>KALMAR LÄN</t>
        </is>
      </c>
      <c r="E2984" t="inlineStr">
        <is>
          <t>NYBRO</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14174-2020</t>
        </is>
      </c>
      <c r="B2985" s="1" t="n">
        <v>43899</v>
      </c>
      <c r="C2985" s="1" t="n">
        <v>45715</v>
      </c>
      <c r="D2985" t="inlineStr">
        <is>
          <t>KALMAR LÄN</t>
        </is>
      </c>
      <c r="E2985" t="inlineStr">
        <is>
          <t>HULTSFRED</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12612-2020</t>
        </is>
      </c>
      <c r="B2986" s="1" t="n">
        <v>43899</v>
      </c>
      <c r="C2986" s="1" t="n">
        <v>45715</v>
      </c>
      <c r="D2986" t="inlineStr">
        <is>
          <t>KALMAR LÄN</t>
        </is>
      </c>
      <c r="E2986" t="inlineStr">
        <is>
          <t>EMMABODA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12849-2020</t>
        </is>
      </c>
      <c r="B2987" s="1" t="n">
        <v>43899</v>
      </c>
      <c r="C2987" s="1" t="n">
        <v>45715</v>
      </c>
      <c r="D2987" t="inlineStr">
        <is>
          <t>KALMAR LÄN</t>
        </is>
      </c>
      <c r="E2987" t="inlineStr">
        <is>
          <t>BORGHOLM</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13496-2020</t>
        </is>
      </c>
      <c r="B2988" s="1" t="n">
        <v>43900</v>
      </c>
      <c r="C2988" s="1" t="n">
        <v>45715</v>
      </c>
      <c r="D2988" t="inlineStr">
        <is>
          <t>KALMAR LÄN</t>
        </is>
      </c>
      <c r="E2988" t="inlineStr">
        <is>
          <t>VIMMERBY</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13045-2020</t>
        </is>
      </c>
      <c r="B2989" s="1" t="n">
        <v>43900</v>
      </c>
      <c r="C2989" s="1" t="n">
        <v>45715</v>
      </c>
      <c r="D2989" t="inlineStr">
        <is>
          <t>KALMAR LÄN</t>
        </is>
      </c>
      <c r="E2989" t="inlineStr">
        <is>
          <t>HULTSFRED</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14102-2020</t>
        </is>
      </c>
      <c r="B2990" s="1" t="n">
        <v>43900</v>
      </c>
      <c r="C2990" s="1" t="n">
        <v>45715</v>
      </c>
      <c r="D2990" t="inlineStr">
        <is>
          <t>KALMAR LÄN</t>
        </is>
      </c>
      <c r="E2990" t="inlineStr">
        <is>
          <t>EMMABODA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14945-2020</t>
        </is>
      </c>
      <c r="B2991" s="1" t="n">
        <v>43900</v>
      </c>
      <c r="C2991" s="1" t="n">
        <v>45715</v>
      </c>
      <c r="D2991" t="inlineStr">
        <is>
          <t>KALMAR LÄN</t>
        </is>
      </c>
      <c r="E2991" t="inlineStr">
        <is>
          <t>KALMAR</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13046-2020</t>
        </is>
      </c>
      <c r="B2992" s="1" t="n">
        <v>43900</v>
      </c>
      <c r="C2992" s="1" t="n">
        <v>45715</v>
      </c>
      <c r="D2992" t="inlineStr">
        <is>
          <t>KALMAR LÄN</t>
        </is>
      </c>
      <c r="E2992" t="inlineStr">
        <is>
          <t>HULTSFRED</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12997-2020</t>
        </is>
      </c>
      <c r="B2993" s="1" t="n">
        <v>43900</v>
      </c>
      <c r="C2993" s="1" t="n">
        <v>45715</v>
      </c>
      <c r="D2993" t="inlineStr">
        <is>
          <t>KALMAR LÄN</t>
        </is>
      </c>
      <c r="E2993" t="inlineStr">
        <is>
          <t>MÖNSTERÅS</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12965-2020</t>
        </is>
      </c>
      <c r="B2994" s="1" t="n">
        <v>43900</v>
      </c>
      <c r="C2994" s="1" t="n">
        <v>45715</v>
      </c>
      <c r="D2994" t="inlineStr">
        <is>
          <t>KALMAR LÄN</t>
        </is>
      </c>
      <c r="E2994" t="inlineStr">
        <is>
          <t>VÄSTERVIK</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13228-2020</t>
        </is>
      </c>
      <c r="B2995" s="1" t="n">
        <v>43901</v>
      </c>
      <c r="C2995" s="1" t="n">
        <v>45715</v>
      </c>
      <c r="D2995" t="inlineStr">
        <is>
          <t>KALMAR LÄN</t>
        </is>
      </c>
      <c r="E2995" t="inlineStr">
        <is>
          <t>OSKARSHAMN</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13227-2020</t>
        </is>
      </c>
      <c r="B2996" s="1" t="n">
        <v>43901</v>
      </c>
      <c r="C2996" s="1" t="n">
        <v>45715</v>
      </c>
      <c r="D2996" t="inlineStr">
        <is>
          <t>KALMAR LÄN</t>
        </is>
      </c>
      <c r="E2996" t="inlineStr">
        <is>
          <t>OSKARSHAMN</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13514-2020</t>
        </is>
      </c>
      <c r="B2997" s="1" t="n">
        <v>43902</v>
      </c>
      <c r="C2997" s="1" t="n">
        <v>45715</v>
      </c>
      <c r="D2997" t="inlineStr">
        <is>
          <t>KALMAR LÄN</t>
        </is>
      </c>
      <c r="E2997" t="inlineStr">
        <is>
          <t>VÄSTERVIK</t>
        </is>
      </c>
      <c r="F2997" t="inlineStr">
        <is>
          <t>Holmen skog AB</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13526-2020</t>
        </is>
      </c>
      <c r="B2998" s="1" t="n">
        <v>43902</v>
      </c>
      <c r="C2998" s="1" t="n">
        <v>45715</v>
      </c>
      <c r="D2998" t="inlineStr">
        <is>
          <t>KALMAR LÄN</t>
        </is>
      </c>
      <c r="E2998" t="inlineStr">
        <is>
          <t>VÄSTERVIK</t>
        </is>
      </c>
      <c r="F2998" t="inlineStr">
        <is>
          <t>Holmen skog AB</t>
        </is>
      </c>
      <c r="G2998" t="n">
        <v>18.6</v>
      </c>
      <c r="H2998" t="n">
        <v>0</v>
      </c>
      <c r="I2998" t="n">
        <v>0</v>
      </c>
      <c r="J2998" t="n">
        <v>0</v>
      </c>
      <c r="K2998" t="n">
        <v>0</v>
      </c>
      <c r="L2998" t="n">
        <v>0</v>
      </c>
      <c r="M2998" t="n">
        <v>0</v>
      </c>
      <c r="N2998" t="n">
        <v>0</v>
      </c>
      <c r="O2998" t="n">
        <v>0</v>
      </c>
      <c r="P2998" t="n">
        <v>0</v>
      </c>
      <c r="Q2998" t="n">
        <v>0</v>
      </c>
      <c r="R2998" s="2" t="inlineStr"/>
    </row>
    <row r="2999" ht="15" customHeight="1">
      <c r="A2999" t="inlineStr">
        <is>
          <t>A 13523-2020</t>
        </is>
      </c>
      <c r="B2999" s="1" t="n">
        <v>43902</v>
      </c>
      <c r="C2999" s="1" t="n">
        <v>45715</v>
      </c>
      <c r="D2999" t="inlineStr">
        <is>
          <t>KALMAR LÄN</t>
        </is>
      </c>
      <c r="E2999" t="inlineStr">
        <is>
          <t>VÄSTERVIK</t>
        </is>
      </c>
      <c r="F2999" t="inlineStr">
        <is>
          <t>Holmen skog AB</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13550-2020</t>
        </is>
      </c>
      <c r="B3000" s="1" t="n">
        <v>43902</v>
      </c>
      <c r="C3000" s="1" t="n">
        <v>45715</v>
      </c>
      <c r="D3000" t="inlineStr">
        <is>
          <t>KALMAR LÄN</t>
        </is>
      </c>
      <c r="E3000" t="inlineStr">
        <is>
          <t>HULTSFRED</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14410-2020</t>
        </is>
      </c>
      <c r="B3001" s="1" t="n">
        <v>43902</v>
      </c>
      <c r="C3001" s="1" t="n">
        <v>45715</v>
      </c>
      <c r="D3001" t="inlineStr">
        <is>
          <t>KALMAR LÄN</t>
        </is>
      </c>
      <c r="E3001" t="inlineStr">
        <is>
          <t>VIMMERBY</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13690-2020</t>
        </is>
      </c>
      <c r="B3002" s="1" t="n">
        <v>43902</v>
      </c>
      <c r="C3002" s="1" t="n">
        <v>45715</v>
      </c>
      <c r="D3002" t="inlineStr">
        <is>
          <t>KALMAR LÄN</t>
        </is>
      </c>
      <c r="E3002" t="inlineStr">
        <is>
          <t>EMMABODA</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13606-2020</t>
        </is>
      </c>
      <c r="B3003" s="1" t="n">
        <v>43903</v>
      </c>
      <c r="C3003" s="1" t="n">
        <v>45715</v>
      </c>
      <c r="D3003" t="inlineStr">
        <is>
          <t>KALMAR LÄN</t>
        </is>
      </c>
      <c r="E3003" t="inlineStr">
        <is>
          <t>VIMMERBY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13647-2020</t>
        </is>
      </c>
      <c r="B3004" s="1" t="n">
        <v>43903</v>
      </c>
      <c r="C3004" s="1" t="n">
        <v>45715</v>
      </c>
      <c r="D3004" t="inlineStr">
        <is>
          <t>KALMAR LÄN</t>
        </is>
      </c>
      <c r="E3004" t="inlineStr">
        <is>
          <t>TORSÅS</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14022-2020</t>
        </is>
      </c>
      <c r="B3005" s="1" t="n">
        <v>43906</v>
      </c>
      <c r="C3005" s="1" t="n">
        <v>45715</v>
      </c>
      <c r="D3005" t="inlineStr">
        <is>
          <t>KALMAR LÄN</t>
        </is>
      </c>
      <c r="E3005" t="inlineStr">
        <is>
          <t>VIMMERBY</t>
        </is>
      </c>
      <c r="F3005" t="inlineStr">
        <is>
          <t>Kommuner</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14020-2020</t>
        </is>
      </c>
      <c r="B3006" s="1" t="n">
        <v>43906</v>
      </c>
      <c r="C3006" s="1" t="n">
        <v>45715</v>
      </c>
      <c r="D3006" t="inlineStr">
        <is>
          <t>KALMAR LÄN</t>
        </is>
      </c>
      <c r="E3006" t="inlineStr">
        <is>
          <t>MÖNSTERÅS</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14889-2020</t>
        </is>
      </c>
      <c r="B3007" s="1" t="n">
        <v>43906</v>
      </c>
      <c r="C3007" s="1" t="n">
        <v>45715</v>
      </c>
      <c r="D3007" t="inlineStr">
        <is>
          <t>KALMAR LÄN</t>
        </is>
      </c>
      <c r="E3007" t="inlineStr">
        <is>
          <t>VÄSTERVIK</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14887-2020</t>
        </is>
      </c>
      <c r="B3008" s="1" t="n">
        <v>43906</v>
      </c>
      <c r="C3008" s="1" t="n">
        <v>45715</v>
      </c>
      <c r="D3008" t="inlineStr">
        <is>
          <t>KALMAR LÄN</t>
        </is>
      </c>
      <c r="E3008" t="inlineStr">
        <is>
          <t>VÄSTERVIK</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14891-2020</t>
        </is>
      </c>
      <c r="B3009" s="1" t="n">
        <v>43906</v>
      </c>
      <c r="C3009" s="1" t="n">
        <v>45715</v>
      </c>
      <c r="D3009" t="inlineStr">
        <is>
          <t>KALMAR LÄN</t>
        </is>
      </c>
      <c r="E3009" t="inlineStr">
        <is>
          <t>VÄSTERVIK</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14002-2020</t>
        </is>
      </c>
      <c r="B3010" s="1" t="n">
        <v>43906</v>
      </c>
      <c r="C3010" s="1" t="n">
        <v>45715</v>
      </c>
      <c r="D3010" t="inlineStr">
        <is>
          <t>KALMAR LÄN</t>
        </is>
      </c>
      <c r="E3010" t="inlineStr">
        <is>
          <t>HULTSFRED</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14191-2020</t>
        </is>
      </c>
      <c r="B3011" s="1" t="n">
        <v>43907</v>
      </c>
      <c r="C3011" s="1" t="n">
        <v>45715</v>
      </c>
      <c r="D3011" t="inlineStr">
        <is>
          <t>KALMAR LÄN</t>
        </is>
      </c>
      <c r="E3011" t="inlineStr">
        <is>
          <t>TORSÅS</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14131-2020</t>
        </is>
      </c>
      <c r="B3012" s="1" t="n">
        <v>43907</v>
      </c>
      <c r="C3012" s="1" t="n">
        <v>45715</v>
      </c>
      <c r="D3012" t="inlineStr">
        <is>
          <t>KALMAR LÄN</t>
        </is>
      </c>
      <c r="E3012" t="inlineStr">
        <is>
          <t>OSKARSHAMN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14178-2020</t>
        </is>
      </c>
      <c r="B3013" s="1" t="n">
        <v>43907</v>
      </c>
      <c r="C3013" s="1" t="n">
        <v>45715</v>
      </c>
      <c r="D3013" t="inlineStr">
        <is>
          <t>KALMAR LÄN</t>
        </is>
      </c>
      <c r="E3013" t="inlineStr">
        <is>
          <t>HULTSFRED</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15839-2020</t>
        </is>
      </c>
      <c r="B3014" s="1" t="n">
        <v>43907</v>
      </c>
      <c r="C3014" s="1" t="n">
        <v>45715</v>
      </c>
      <c r="D3014" t="inlineStr">
        <is>
          <t>KALMAR LÄN</t>
        </is>
      </c>
      <c r="E3014" t="inlineStr">
        <is>
          <t>NYBRO</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14205-2020</t>
        </is>
      </c>
      <c r="B3015" s="1" t="n">
        <v>43907</v>
      </c>
      <c r="C3015" s="1" t="n">
        <v>45715</v>
      </c>
      <c r="D3015" t="inlineStr">
        <is>
          <t>KALMAR LÄN</t>
        </is>
      </c>
      <c r="E3015" t="inlineStr">
        <is>
          <t>TORSÅS</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14301-2020</t>
        </is>
      </c>
      <c r="B3016" s="1" t="n">
        <v>43907</v>
      </c>
      <c r="C3016" s="1" t="n">
        <v>45715</v>
      </c>
      <c r="D3016" t="inlineStr">
        <is>
          <t>KALMAR LÄN</t>
        </is>
      </c>
      <c r="E3016" t="inlineStr">
        <is>
          <t>KALMAR</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14304-2020</t>
        </is>
      </c>
      <c r="B3017" s="1" t="n">
        <v>43907</v>
      </c>
      <c r="C3017" s="1" t="n">
        <v>45715</v>
      </c>
      <c r="D3017" t="inlineStr">
        <is>
          <t>KALMAR LÄN</t>
        </is>
      </c>
      <c r="E3017" t="inlineStr">
        <is>
          <t>KALMAR</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15784-2020</t>
        </is>
      </c>
      <c r="B3018" s="1" t="n">
        <v>43907</v>
      </c>
      <c r="C3018" s="1" t="n">
        <v>45715</v>
      </c>
      <c r="D3018" t="inlineStr">
        <is>
          <t>KALMAR LÄN</t>
        </is>
      </c>
      <c r="E3018" t="inlineStr">
        <is>
          <t>TORSÅS</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14335-2020</t>
        </is>
      </c>
      <c r="B3019" s="1" t="n">
        <v>43908</v>
      </c>
      <c r="C3019" s="1" t="n">
        <v>45715</v>
      </c>
      <c r="D3019" t="inlineStr">
        <is>
          <t>KALMAR LÄN</t>
        </is>
      </c>
      <c r="E3019" t="inlineStr">
        <is>
          <t>TORSÅS</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14537-2020</t>
        </is>
      </c>
      <c r="B3020" s="1" t="n">
        <v>43908</v>
      </c>
      <c r="C3020" s="1" t="n">
        <v>45715</v>
      </c>
      <c r="D3020" t="inlineStr">
        <is>
          <t>KALMAR LÄN</t>
        </is>
      </c>
      <c r="E3020" t="inlineStr">
        <is>
          <t>EMMABODA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14723-2020</t>
        </is>
      </c>
      <c r="B3021" s="1" t="n">
        <v>43908</v>
      </c>
      <c r="C3021" s="1" t="n">
        <v>45715</v>
      </c>
      <c r="D3021" t="inlineStr">
        <is>
          <t>KALMAR LÄN</t>
        </is>
      </c>
      <c r="E3021" t="inlineStr">
        <is>
          <t>NYBRO</t>
        </is>
      </c>
      <c r="G3021" t="n">
        <v>7.2</v>
      </c>
      <c r="H3021" t="n">
        <v>0</v>
      </c>
      <c r="I3021" t="n">
        <v>0</v>
      </c>
      <c r="J3021" t="n">
        <v>0</v>
      </c>
      <c r="K3021" t="n">
        <v>0</v>
      </c>
      <c r="L3021" t="n">
        <v>0</v>
      </c>
      <c r="M3021" t="n">
        <v>0</v>
      </c>
      <c r="N3021" t="n">
        <v>0</v>
      </c>
      <c r="O3021" t="n">
        <v>0</v>
      </c>
      <c r="P3021" t="n">
        <v>0</v>
      </c>
      <c r="Q3021" t="n">
        <v>0</v>
      </c>
      <c r="R3021" s="2" t="inlineStr"/>
    </row>
    <row r="3022" ht="15" customHeight="1">
      <c r="A3022" t="inlineStr">
        <is>
          <t>A 14338-2020</t>
        </is>
      </c>
      <c r="B3022" s="1" t="n">
        <v>43908</v>
      </c>
      <c r="C3022" s="1" t="n">
        <v>45715</v>
      </c>
      <c r="D3022" t="inlineStr">
        <is>
          <t>KALMAR LÄN</t>
        </is>
      </c>
      <c r="E3022" t="inlineStr">
        <is>
          <t>TORSÅS</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14456-2020</t>
        </is>
      </c>
      <c r="B3023" s="1" t="n">
        <v>43908</v>
      </c>
      <c r="C3023" s="1" t="n">
        <v>45715</v>
      </c>
      <c r="D3023" t="inlineStr">
        <is>
          <t>KALMAR LÄN</t>
        </is>
      </c>
      <c r="E3023" t="inlineStr">
        <is>
          <t>VÄSTERVIK</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16580-2020</t>
        </is>
      </c>
      <c r="B3024" s="1" t="n">
        <v>43908</v>
      </c>
      <c r="C3024" s="1" t="n">
        <v>45715</v>
      </c>
      <c r="D3024" t="inlineStr">
        <is>
          <t>KALMAR LÄN</t>
        </is>
      </c>
      <c r="E3024" t="inlineStr">
        <is>
          <t>VÄSTERVIK</t>
        </is>
      </c>
      <c r="F3024" t="inlineStr">
        <is>
          <t>Övriga Aktiebolag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14830-2020</t>
        </is>
      </c>
      <c r="B3025" s="1" t="n">
        <v>43909</v>
      </c>
      <c r="C3025" s="1" t="n">
        <v>45715</v>
      </c>
      <c r="D3025" t="inlineStr">
        <is>
          <t>KALMAR LÄN</t>
        </is>
      </c>
      <c r="E3025" t="inlineStr">
        <is>
          <t>KALMAR</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14839-2020</t>
        </is>
      </c>
      <c r="B3026" s="1" t="n">
        <v>43909</v>
      </c>
      <c r="C3026" s="1" t="n">
        <v>45715</v>
      </c>
      <c r="D3026" t="inlineStr">
        <is>
          <t>KALMAR LÄN</t>
        </is>
      </c>
      <c r="E3026" t="inlineStr">
        <is>
          <t>TORSÅS</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14844-2020</t>
        </is>
      </c>
      <c r="B3027" s="1" t="n">
        <v>43909</v>
      </c>
      <c r="C3027" s="1" t="n">
        <v>45715</v>
      </c>
      <c r="D3027" t="inlineStr">
        <is>
          <t>KALMAR LÄN</t>
        </is>
      </c>
      <c r="E3027" t="inlineStr">
        <is>
          <t>TORSÅS</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16520-2020</t>
        </is>
      </c>
      <c r="B3028" s="1" t="n">
        <v>43909</v>
      </c>
      <c r="C3028" s="1" t="n">
        <v>45715</v>
      </c>
      <c r="D3028" t="inlineStr">
        <is>
          <t>KALMAR LÄN</t>
        </is>
      </c>
      <c r="E3028" t="inlineStr">
        <is>
          <t>HÖGSBY</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14960-2020</t>
        </is>
      </c>
      <c r="B3029" s="1" t="n">
        <v>43910</v>
      </c>
      <c r="C3029" s="1" t="n">
        <v>45715</v>
      </c>
      <c r="D3029" t="inlineStr">
        <is>
          <t>KALMAR LÄN</t>
        </is>
      </c>
      <c r="E3029" t="inlineStr">
        <is>
          <t>HULTSFRED</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14983-2020</t>
        </is>
      </c>
      <c r="B3030" s="1" t="n">
        <v>43910</v>
      </c>
      <c r="C3030" s="1" t="n">
        <v>45715</v>
      </c>
      <c r="D3030" t="inlineStr">
        <is>
          <t>KALMAR LÄN</t>
        </is>
      </c>
      <c r="E3030" t="inlineStr">
        <is>
          <t>HÖGSBY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16832-2020</t>
        </is>
      </c>
      <c r="B3031" s="1" t="n">
        <v>43910</v>
      </c>
      <c r="C3031" s="1" t="n">
        <v>45715</v>
      </c>
      <c r="D3031" t="inlineStr">
        <is>
          <t>KALMAR LÄN</t>
        </is>
      </c>
      <c r="E3031" t="inlineStr">
        <is>
          <t>HULTSFRED</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15135-2020</t>
        </is>
      </c>
      <c r="B3032" s="1" t="n">
        <v>43911</v>
      </c>
      <c r="C3032" s="1" t="n">
        <v>45715</v>
      </c>
      <c r="D3032" t="inlineStr">
        <is>
          <t>KALMAR LÄN</t>
        </is>
      </c>
      <c r="E3032" t="inlineStr">
        <is>
          <t>TORSÅS</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15350-2020</t>
        </is>
      </c>
      <c r="B3033" s="1" t="n">
        <v>43913</v>
      </c>
      <c r="C3033" s="1" t="n">
        <v>45715</v>
      </c>
      <c r="D3033" t="inlineStr">
        <is>
          <t>KALMAR LÄN</t>
        </is>
      </c>
      <c r="E3033" t="inlineStr">
        <is>
          <t>HULTSFRED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15356-2020</t>
        </is>
      </c>
      <c r="B3034" s="1" t="n">
        <v>43913</v>
      </c>
      <c r="C3034" s="1" t="n">
        <v>45715</v>
      </c>
      <c r="D3034" t="inlineStr">
        <is>
          <t>KALMAR LÄN</t>
        </is>
      </c>
      <c r="E3034" t="inlineStr">
        <is>
          <t>HULTSFRED</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15352-2020</t>
        </is>
      </c>
      <c r="B3035" s="1" t="n">
        <v>43913</v>
      </c>
      <c r="C3035" s="1" t="n">
        <v>45715</v>
      </c>
      <c r="D3035" t="inlineStr">
        <is>
          <t>KALMAR LÄN</t>
        </is>
      </c>
      <c r="E3035" t="inlineStr">
        <is>
          <t>HULTSFRED</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16805-2020</t>
        </is>
      </c>
      <c r="B3036" s="1" t="n">
        <v>43913</v>
      </c>
      <c r="C3036" s="1" t="n">
        <v>45715</v>
      </c>
      <c r="D3036" t="inlineStr">
        <is>
          <t>KALMAR LÄN</t>
        </is>
      </c>
      <c r="E3036" t="inlineStr">
        <is>
          <t>NYBRO</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15206-2020</t>
        </is>
      </c>
      <c r="B3037" s="1" t="n">
        <v>43913</v>
      </c>
      <c r="C3037" s="1" t="n">
        <v>45715</v>
      </c>
      <c r="D3037" t="inlineStr">
        <is>
          <t>KALMAR LÄN</t>
        </is>
      </c>
      <c r="E3037" t="inlineStr">
        <is>
          <t>HULTSFRED</t>
        </is>
      </c>
      <c r="F3037" t="inlineStr">
        <is>
          <t>Sveaskog</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15414-2020</t>
        </is>
      </c>
      <c r="B3038" s="1" t="n">
        <v>43914</v>
      </c>
      <c r="C3038" s="1" t="n">
        <v>45715</v>
      </c>
      <c r="D3038" t="inlineStr">
        <is>
          <t>KALMAR LÄN</t>
        </is>
      </c>
      <c r="E3038" t="inlineStr">
        <is>
          <t>NYBRO</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15618-2020</t>
        </is>
      </c>
      <c r="B3039" s="1" t="n">
        <v>43914</v>
      </c>
      <c r="C3039" s="1" t="n">
        <v>45715</v>
      </c>
      <c r="D3039" t="inlineStr">
        <is>
          <t>KALMAR LÄN</t>
        </is>
      </c>
      <c r="E3039" t="inlineStr">
        <is>
          <t>KALMAR</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15479-2020</t>
        </is>
      </c>
      <c r="B3040" s="1" t="n">
        <v>43914</v>
      </c>
      <c r="C3040" s="1" t="n">
        <v>45715</v>
      </c>
      <c r="D3040" t="inlineStr">
        <is>
          <t>KALMAR LÄN</t>
        </is>
      </c>
      <c r="E3040" t="inlineStr">
        <is>
          <t>NYBRO</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15521-2020</t>
        </is>
      </c>
      <c r="B3041" s="1" t="n">
        <v>43914</v>
      </c>
      <c r="C3041" s="1" t="n">
        <v>45715</v>
      </c>
      <c r="D3041" t="inlineStr">
        <is>
          <t>KALMAR LÄN</t>
        </is>
      </c>
      <c r="E3041" t="inlineStr">
        <is>
          <t>BORGHOLM</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16439-2020</t>
        </is>
      </c>
      <c r="B3042" s="1" t="n">
        <v>43914</v>
      </c>
      <c r="C3042" s="1" t="n">
        <v>45715</v>
      </c>
      <c r="D3042" t="inlineStr">
        <is>
          <t>KALMAR LÄN</t>
        </is>
      </c>
      <c r="E3042" t="inlineStr">
        <is>
          <t>NYBRO</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15985-2020</t>
        </is>
      </c>
      <c r="B3043" s="1" t="n">
        <v>43914</v>
      </c>
      <c r="C3043" s="1" t="n">
        <v>45715</v>
      </c>
      <c r="D3043" t="inlineStr">
        <is>
          <t>KALMAR LÄN</t>
        </is>
      </c>
      <c r="E3043" t="inlineStr">
        <is>
          <t>NYBRO</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16810-2020</t>
        </is>
      </c>
      <c r="B3044" s="1" t="n">
        <v>43914</v>
      </c>
      <c r="C3044" s="1" t="n">
        <v>45715</v>
      </c>
      <c r="D3044" t="inlineStr">
        <is>
          <t>KALMAR LÄN</t>
        </is>
      </c>
      <c r="E3044" t="inlineStr">
        <is>
          <t>NYBRO</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15661-2020</t>
        </is>
      </c>
      <c r="B3045" s="1" t="n">
        <v>43915</v>
      </c>
      <c r="C3045" s="1" t="n">
        <v>45715</v>
      </c>
      <c r="D3045" t="inlineStr">
        <is>
          <t>KALMAR LÄN</t>
        </is>
      </c>
      <c r="E3045" t="inlineStr">
        <is>
          <t>NYBRO</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15989-2020</t>
        </is>
      </c>
      <c r="B3046" s="1" t="n">
        <v>43916</v>
      </c>
      <c r="C3046" s="1" t="n">
        <v>45715</v>
      </c>
      <c r="D3046" t="inlineStr">
        <is>
          <t>KALMAR LÄN</t>
        </is>
      </c>
      <c r="E3046" t="inlineStr">
        <is>
          <t>KALMAR</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16002-2020</t>
        </is>
      </c>
      <c r="B3047" s="1" t="n">
        <v>43916</v>
      </c>
      <c r="C3047" s="1" t="n">
        <v>45715</v>
      </c>
      <c r="D3047" t="inlineStr">
        <is>
          <t>KALMAR LÄN</t>
        </is>
      </c>
      <c r="E3047" t="inlineStr">
        <is>
          <t>NYBRO</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15995-2020</t>
        </is>
      </c>
      <c r="B3048" s="1" t="n">
        <v>43916</v>
      </c>
      <c r="C3048" s="1" t="n">
        <v>45715</v>
      </c>
      <c r="D3048" t="inlineStr">
        <is>
          <t>KALMAR LÄN</t>
        </is>
      </c>
      <c r="E3048" t="inlineStr">
        <is>
          <t>NYBRO</t>
        </is>
      </c>
      <c r="G3048" t="n">
        <v>11.7</v>
      </c>
      <c r="H3048" t="n">
        <v>0</v>
      </c>
      <c r="I3048" t="n">
        <v>0</v>
      </c>
      <c r="J3048" t="n">
        <v>0</v>
      </c>
      <c r="K3048" t="n">
        <v>0</v>
      </c>
      <c r="L3048" t="n">
        <v>0</v>
      </c>
      <c r="M3048" t="n">
        <v>0</v>
      </c>
      <c r="N3048" t="n">
        <v>0</v>
      </c>
      <c r="O3048" t="n">
        <v>0</v>
      </c>
      <c r="P3048" t="n">
        <v>0</v>
      </c>
      <c r="Q3048" t="n">
        <v>0</v>
      </c>
      <c r="R3048" s="2" t="inlineStr"/>
    </row>
    <row r="3049" ht="15" customHeight="1">
      <c r="A3049" t="inlineStr">
        <is>
          <t>A 15981-2020</t>
        </is>
      </c>
      <c r="B3049" s="1" t="n">
        <v>43916</v>
      </c>
      <c r="C3049" s="1" t="n">
        <v>45715</v>
      </c>
      <c r="D3049" t="inlineStr">
        <is>
          <t>KALMAR LÄN</t>
        </is>
      </c>
      <c r="E3049" t="inlineStr">
        <is>
          <t>HULTSFRED</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15992-2020</t>
        </is>
      </c>
      <c r="B3050" s="1" t="n">
        <v>43916</v>
      </c>
      <c r="C3050" s="1" t="n">
        <v>45715</v>
      </c>
      <c r="D3050" t="inlineStr">
        <is>
          <t>KALMAR LÄN</t>
        </is>
      </c>
      <c r="E3050" t="inlineStr">
        <is>
          <t>KALMAR</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16086-2020</t>
        </is>
      </c>
      <c r="B3051" s="1" t="n">
        <v>43916</v>
      </c>
      <c r="C3051" s="1" t="n">
        <v>45715</v>
      </c>
      <c r="D3051" t="inlineStr">
        <is>
          <t>KALMAR LÄN</t>
        </is>
      </c>
      <c r="E3051" t="inlineStr">
        <is>
          <t>EMMABODA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16271-2020</t>
        </is>
      </c>
      <c r="B3052" s="1" t="n">
        <v>43917</v>
      </c>
      <c r="C3052" s="1" t="n">
        <v>45715</v>
      </c>
      <c r="D3052" t="inlineStr">
        <is>
          <t>KALMAR LÄN</t>
        </is>
      </c>
      <c r="E3052" t="inlineStr">
        <is>
          <t>BORGHOLM</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16275-2020</t>
        </is>
      </c>
      <c r="B3053" s="1" t="n">
        <v>43917</v>
      </c>
      <c r="C3053" s="1" t="n">
        <v>45715</v>
      </c>
      <c r="D3053" t="inlineStr">
        <is>
          <t>KALMAR LÄN</t>
        </is>
      </c>
      <c r="E3053" t="inlineStr">
        <is>
          <t>TORSÅS</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16168-2020</t>
        </is>
      </c>
      <c r="B3054" s="1" t="n">
        <v>43917</v>
      </c>
      <c r="C3054" s="1" t="n">
        <v>45715</v>
      </c>
      <c r="D3054" t="inlineStr">
        <is>
          <t>KALMAR LÄN</t>
        </is>
      </c>
      <c r="E3054" t="inlineStr">
        <is>
          <t>NYBRO</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16222-2020</t>
        </is>
      </c>
      <c r="B3055" s="1" t="n">
        <v>43917</v>
      </c>
      <c r="C3055" s="1" t="n">
        <v>45715</v>
      </c>
      <c r="D3055" t="inlineStr">
        <is>
          <t>KALMAR LÄN</t>
        </is>
      </c>
      <c r="E3055" t="inlineStr">
        <is>
          <t>VIMMERBY</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16263-2020</t>
        </is>
      </c>
      <c r="B3056" s="1" t="n">
        <v>43917</v>
      </c>
      <c r="C3056" s="1" t="n">
        <v>45715</v>
      </c>
      <c r="D3056" t="inlineStr">
        <is>
          <t>KALMAR LÄN</t>
        </is>
      </c>
      <c r="E3056" t="inlineStr">
        <is>
          <t>KALMAR</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16331-2020</t>
        </is>
      </c>
      <c r="B3057" s="1" t="n">
        <v>43917</v>
      </c>
      <c r="C3057" s="1" t="n">
        <v>45715</v>
      </c>
      <c r="D3057" t="inlineStr">
        <is>
          <t>KALMAR LÄN</t>
        </is>
      </c>
      <c r="E3057" t="inlineStr">
        <is>
          <t>NYBRO</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16422-2020</t>
        </is>
      </c>
      <c r="B3058" s="1" t="n">
        <v>43919</v>
      </c>
      <c r="C3058" s="1" t="n">
        <v>45715</v>
      </c>
      <c r="D3058" t="inlineStr">
        <is>
          <t>KALMAR LÄN</t>
        </is>
      </c>
      <c r="E3058" t="inlineStr">
        <is>
          <t>NYBRO</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16486-2020</t>
        </is>
      </c>
      <c r="B3059" s="1" t="n">
        <v>43920</v>
      </c>
      <c r="C3059" s="1" t="n">
        <v>45715</v>
      </c>
      <c r="D3059" t="inlineStr">
        <is>
          <t>KALMAR LÄN</t>
        </is>
      </c>
      <c r="E3059" t="inlineStr">
        <is>
          <t>OSKARSHAMN</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16565-2020</t>
        </is>
      </c>
      <c r="B3060" s="1" t="n">
        <v>43920</v>
      </c>
      <c r="C3060" s="1" t="n">
        <v>45715</v>
      </c>
      <c r="D3060" t="inlineStr">
        <is>
          <t>KALMAR LÄN</t>
        </is>
      </c>
      <c r="E3060" t="inlineStr">
        <is>
          <t>NYBRO</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16556-2020</t>
        </is>
      </c>
      <c r="B3061" s="1" t="n">
        <v>43920</v>
      </c>
      <c r="C3061" s="1" t="n">
        <v>45715</v>
      </c>
      <c r="D3061" t="inlineStr">
        <is>
          <t>KALMAR LÄN</t>
        </is>
      </c>
      <c r="E3061" t="inlineStr">
        <is>
          <t>EMMABODA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16541-2020</t>
        </is>
      </c>
      <c r="B3062" s="1" t="n">
        <v>43920</v>
      </c>
      <c r="C3062" s="1" t="n">
        <v>45715</v>
      </c>
      <c r="D3062" t="inlineStr">
        <is>
          <t>KALMAR LÄN</t>
        </is>
      </c>
      <c r="E3062" t="inlineStr">
        <is>
          <t>MÖNSTERÅS</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16558-2020</t>
        </is>
      </c>
      <c r="B3063" s="1" t="n">
        <v>43920</v>
      </c>
      <c r="C3063" s="1" t="n">
        <v>45715</v>
      </c>
      <c r="D3063" t="inlineStr">
        <is>
          <t>KALMAR LÄN</t>
        </is>
      </c>
      <c r="E3063" t="inlineStr">
        <is>
          <t>EMMABODA</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16747-2020</t>
        </is>
      </c>
      <c r="B3064" s="1" t="n">
        <v>43920</v>
      </c>
      <c r="C3064" s="1" t="n">
        <v>45715</v>
      </c>
      <c r="D3064" t="inlineStr">
        <is>
          <t>KALMAR LÄN</t>
        </is>
      </c>
      <c r="E3064" t="inlineStr">
        <is>
          <t>TORSÅS</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17491-2020</t>
        </is>
      </c>
      <c r="B3065" s="1" t="n">
        <v>43920</v>
      </c>
      <c r="C3065" s="1" t="n">
        <v>45715</v>
      </c>
      <c r="D3065" t="inlineStr">
        <is>
          <t>KALMAR LÄN</t>
        </is>
      </c>
      <c r="E3065" t="inlineStr">
        <is>
          <t>HULTSFRED</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16752-2020</t>
        </is>
      </c>
      <c r="B3066" s="1" t="n">
        <v>43920</v>
      </c>
      <c r="C3066" s="1" t="n">
        <v>45715</v>
      </c>
      <c r="D3066" t="inlineStr">
        <is>
          <t>KALMAR LÄN</t>
        </is>
      </c>
      <c r="E3066" t="inlineStr">
        <is>
          <t>TORSÅS</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16934-2020</t>
        </is>
      </c>
      <c r="B3067" s="1" t="n">
        <v>43921</v>
      </c>
      <c r="C3067" s="1" t="n">
        <v>45715</v>
      </c>
      <c r="D3067" t="inlineStr">
        <is>
          <t>KALMAR LÄN</t>
        </is>
      </c>
      <c r="E3067" t="inlineStr">
        <is>
          <t>HULTSFRED</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16850-2020</t>
        </is>
      </c>
      <c r="B3068" s="1" t="n">
        <v>43921</v>
      </c>
      <c r="C3068" s="1" t="n">
        <v>45715</v>
      </c>
      <c r="D3068" t="inlineStr">
        <is>
          <t>KALMAR LÄN</t>
        </is>
      </c>
      <c r="E3068" t="inlineStr">
        <is>
          <t>HULTSFRED</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17058-2020</t>
        </is>
      </c>
      <c r="B3069" s="1" t="n">
        <v>43921</v>
      </c>
      <c r="C3069" s="1" t="n">
        <v>45715</v>
      </c>
      <c r="D3069" t="inlineStr">
        <is>
          <t>KALMAR LÄN</t>
        </is>
      </c>
      <c r="E3069" t="inlineStr">
        <is>
          <t>HULTSFRED</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17562-2020</t>
        </is>
      </c>
      <c r="B3070" s="1" t="n">
        <v>43921</v>
      </c>
      <c r="C3070" s="1" t="n">
        <v>45715</v>
      </c>
      <c r="D3070" t="inlineStr">
        <is>
          <t>KALMAR LÄN</t>
        </is>
      </c>
      <c r="E3070" t="inlineStr">
        <is>
          <t>OSKARSHAMN</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17608-2020</t>
        </is>
      </c>
      <c r="B3071" s="1" t="n">
        <v>43921</v>
      </c>
      <c r="C3071" s="1" t="n">
        <v>45715</v>
      </c>
      <c r="D3071" t="inlineStr">
        <is>
          <t>KALMAR LÄN</t>
        </is>
      </c>
      <c r="E3071" t="inlineStr">
        <is>
          <t>MÖNSTERÅS</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17333-2020</t>
        </is>
      </c>
      <c r="B3072" s="1" t="n">
        <v>43922</v>
      </c>
      <c r="C3072" s="1" t="n">
        <v>45715</v>
      </c>
      <c r="D3072" t="inlineStr">
        <is>
          <t>KALMAR LÄN</t>
        </is>
      </c>
      <c r="E3072" t="inlineStr">
        <is>
          <t>NYBRO</t>
        </is>
      </c>
      <c r="F3072" t="inlineStr">
        <is>
          <t>Kommuner</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17119-2020</t>
        </is>
      </c>
      <c r="B3073" s="1" t="n">
        <v>43922</v>
      </c>
      <c r="C3073" s="1" t="n">
        <v>45715</v>
      </c>
      <c r="D3073" t="inlineStr">
        <is>
          <t>KALMAR LÄN</t>
        </is>
      </c>
      <c r="E3073" t="inlineStr">
        <is>
          <t>HULTSFRED</t>
        </is>
      </c>
      <c r="F3073" t="inlineStr">
        <is>
          <t>Övriga Aktiebolag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17193-2020</t>
        </is>
      </c>
      <c r="B3074" s="1" t="n">
        <v>43922</v>
      </c>
      <c r="C3074" s="1" t="n">
        <v>45715</v>
      </c>
      <c r="D3074" t="inlineStr">
        <is>
          <t>KALMAR LÄN</t>
        </is>
      </c>
      <c r="E3074" t="inlineStr">
        <is>
          <t>EMMABODA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17338-2020</t>
        </is>
      </c>
      <c r="B3075" s="1" t="n">
        <v>43922</v>
      </c>
      <c r="C3075" s="1" t="n">
        <v>45715</v>
      </c>
      <c r="D3075" t="inlineStr">
        <is>
          <t>KALMAR LÄN</t>
        </is>
      </c>
      <c r="E3075" t="inlineStr">
        <is>
          <t>TORSÅS</t>
        </is>
      </c>
      <c r="G3075" t="n">
        <v>4.6</v>
      </c>
      <c r="H3075" t="n">
        <v>0</v>
      </c>
      <c r="I3075" t="n">
        <v>0</v>
      </c>
      <c r="J3075" t="n">
        <v>0</v>
      </c>
      <c r="K3075" t="n">
        <v>0</v>
      </c>
      <c r="L3075" t="n">
        <v>0</v>
      </c>
      <c r="M3075" t="n">
        <v>0</v>
      </c>
      <c r="N3075" t="n">
        <v>0</v>
      </c>
      <c r="O3075" t="n">
        <v>0</v>
      </c>
      <c r="P3075" t="n">
        <v>0</v>
      </c>
      <c r="Q3075" t="n">
        <v>0</v>
      </c>
      <c r="R3075" s="2" t="inlineStr"/>
    </row>
    <row r="3076" ht="15" customHeight="1">
      <c r="A3076" t="inlineStr">
        <is>
          <t>A 17387-2020</t>
        </is>
      </c>
      <c r="B3076" s="1" t="n">
        <v>43923</v>
      </c>
      <c r="C3076" s="1" t="n">
        <v>45715</v>
      </c>
      <c r="D3076" t="inlineStr">
        <is>
          <t>KALMAR LÄN</t>
        </is>
      </c>
      <c r="E3076" t="inlineStr">
        <is>
          <t>EMMABODA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17394-2020</t>
        </is>
      </c>
      <c r="B3077" s="1" t="n">
        <v>43923</v>
      </c>
      <c r="C3077" s="1" t="n">
        <v>45715</v>
      </c>
      <c r="D3077" t="inlineStr">
        <is>
          <t>KALMAR LÄN</t>
        </is>
      </c>
      <c r="E3077" t="inlineStr">
        <is>
          <t>TORSÅS</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17499-2020</t>
        </is>
      </c>
      <c r="B3078" s="1" t="n">
        <v>43923</v>
      </c>
      <c r="C3078" s="1" t="n">
        <v>45715</v>
      </c>
      <c r="D3078" t="inlineStr">
        <is>
          <t>KALMAR LÄN</t>
        </is>
      </c>
      <c r="E3078" t="inlineStr">
        <is>
          <t>NYBRO</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17529-2020</t>
        </is>
      </c>
      <c r="B3079" s="1" t="n">
        <v>43923</v>
      </c>
      <c r="C3079" s="1" t="n">
        <v>45715</v>
      </c>
      <c r="D3079" t="inlineStr">
        <is>
          <t>KALMAR LÄN</t>
        </is>
      </c>
      <c r="E3079" t="inlineStr">
        <is>
          <t>EMMABODA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17928-2020</t>
        </is>
      </c>
      <c r="B3080" s="1" t="n">
        <v>43924</v>
      </c>
      <c r="C3080" s="1" t="n">
        <v>45715</v>
      </c>
      <c r="D3080" t="inlineStr">
        <is>
          <t>KALMAR LÄN</t>
        </is>
      </c>
      <c r="E3080" t="inlineStr">
        <is>
          <t>HULTSFRED</t>
        </is>
      </c>
      <c r="F3080" t="inlineStr">
        <is>
          <t>Övriga Aktiebolag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17938-2020</t>
        </is>
      </c>
      <c r="B3081" s="1" t="n">
        <v>43924</v>
      </c>
      <c r="C3081" s="1" t="n">
        <v>45715</v>
      </c>
      <c r="D3081" t="inlineStr">
        <is>
          <t>KALMAR LÄN</t>
        </is>
      </c>
      <c r="E3081" t="inlineStr">
        <is>
          <t>HULTSFRED</t>
        </is>
      </c>
      <c r="F3081" t="inlineStr">
        <is>
          <t>Övriga Aktiebolag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17834-2020</t>
        </is>
      </c>
      <c r="B3082" s="1" t="n">
        <v>43924</v>
      </c>
      <c r="C3082" s="1" t="n">
        <v>45715</v>
      </c>
      <c r="D3082" t="inlineStr">
        <is>
          <t>KALMAR LÄN</t>
        </is>
      </c>
      <c r="E3082" t="inlineStr">
        <is>
          <t>HÖGSBY</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17863-2020</t>
        </is>
      </c>
      <c r="B3083" s="1" t="n">
        <v>43924</v>
      </c>
      <c r="C3083" s="1" t="n">
        <v>45715</v>
      </c>
      <c r="D3083" t="inlineStr">
        <is>
          <t>KALMAR LÄN</t>
        </is>
      </c>
      <c r="E3083" t="inlineStr">
        <is>
          <t>HÖGSBY</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17933-2020</t>
        </is>
      </c>
      <c r="B3084" s="1" t="n">
        <v>43924</v>
      </c>
      <c r="C3084" s="1" t="n">
        <v>45715</v>
      </c>
      <c r="D3084" t="inlineStr">
        <is>
          <t>KALMAR LÄN</t>
        </is>
      </c>
      <c r="E3084" t="inlineStr">
        <is>
          <t>HULTSFRED</t>
        </is>
      </c>
      <c r="F3084" t="inlineStr">
        <is>
          <t>Övriga Aktiebolag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17937-2020</t>
        </is>
      </c>
      <c r="B3085" s="1" t="n">
        <v>43924</v>
      </c>
      <c r="C3085" s="1" t="n">
        <v>45715</v>
      </c>
      <c r="D3085" t="inlineStr">
        <is>
          <t>KALMAR LÄN</t>
        </is>
      </c>
      <c r="E3085" t="inlineStr">
        <is>
          <t>HULTSFRED</t>
        </is>
      </c>
      <c r="F3085" t="inlineStr">
        <is>
          <t>Övriga Aktiebolag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17932-2020</t>
        </is>
      </c>
      <c r="B3086" s="1" t="n">
        <v>43924</v>
      </c>
      <c r="C3086" s="1" t="n">
        <v>45715</v>
      </c>
      <c r="D3086" t="inlineStr">
        <is>
          <t>KALMAR LÄN</t>
        </is>
      </c>
      <c r="E3086" t="inlineStr">
        <is>
          <t>HULTSFRED</t>
        </is>
      </c>
      <c r="F3086" t="inlineStr">
        <is>
          <t>Övriga Aktiebolag</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18032-2020</t>
        </is>
      </c>
      <c r="B3087" s="1" t="n">
        <v>43927</v>
      </c>
      <c r="C3087" s="1" t="n">
        <v>45715</v>
      </c>
      <c r="D3087" t="inlineStr">
        <is>
          <t>KALMAR LÄN</t>
        </is>
      </c>
      <c r="E3087" t="inlineStr">
        <is>
          <t>HÖGSBY</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18230-2020</t>
        </is>
      </c>
      <c r="B3088" s="1" t="n">
        <v>43927</v>
      </c>
      <c r="C3088" s="1" t="n">
        <v>45715</v>
      </c>
      <c r="D3088" t="inlineStr">
        <is>
          <t>KALMAR LÄN</t>
        </is>
      </c>
      <c r="E3088" t="inlineStr">
        <is>
          <t>OSKARSHAMN</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18413-2020</t>
        </is>
      </c>
      <c r="B3089" s="1" t="n">
        <v>43928</v>
      </c>
      <c r="C3089" s="1" t="n">
        <v>45715</v>
      </c>
      <c r="D3089" t="inlineStr">
        <is>
          <t>KALMAR LÄN</t>
        </is>
      </c>
      <c r="E3089" t="inlineStr">
        <is>
          <t>TORSÅS</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18416-2020</t>
        </is>
      </c>
      <c r="B3090" s="1" t="n">
        <v>43928</v>
      </c>
      <c r="C3090" s="1" t="n">
        <v>45715</v>
      </c>
      <c r="D3090" t="inlineStr">
        <is>
          <t>KALMAR LÄN</t>
        </is>
      </c>
      <c r="E3090" t="inlineStr">
        <is>
          <t>TORSÅS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18465-2020</t>
        </is>
      </c>
      <c r="B3091" s="1" t="n">
        <v>43929</v>
      </c>
      <c r="C3091" s="1" t="n">
        <v>45715</v>
      </c>
      <c r="D3091" t="inlineStr">
        <is>
          <t>KALMAR LÄN</t>
        </is>
      </c>
      <c r="E3091" t="inlineStr">
        <is>
          <t>HULTSFRED</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18573-2020</t>
        </is>
      </c>
      <c r="B3092" s="1" t="n">
        <v>43929</v>
      </c>
      <c r="C3092" s="1" t="n">
        <v>45715</v>
      </c>
      <c r="D3092" t="inlineStr">
        <is>
          <t>KALMAR LÄN</t>
        </is>
      </c>
      <c r="E3092" t="inlineStr">
        <is>
          <t>MÖNSTERÅS</t>
        </is>
      </c>
      <c r="G3092" t="n">
        <v>11.2</v>
      </c>
      <c r="H3092" t="n">
        <v>0</v>
      </c>
      <c r="I3092" t="n">
        <v>0</v>
      </c>
      <c r="J3092" t="n">
        <v>0</v>
      </c>
      <c r="K3092" t="n">
        <v>0</v>
      </c>
      <c r="L3092" t="n">
        <v>0</v>
      </c>
      <c r="M3092" t="n">
        <v>0</v>
      </c>
      <c r="N3092" t="n">
        <v>0</v>
      </c>
      <c r="O3092" t="n">
        <v>0</v>
      </c>
      <c r="P3092" t="n">
        <v>0</v>
      </c>
      <c r="Q3092" t="n">
        <v>0</v>
      </c>
      <c r="R3092" s="2" t="inlineStr"/>
    </row>
    <row r="3093" ht="15" customHeight="1">
      <c r="A3093" t="inlineStr">
        <is>
          <t>A 18594-2020</t>
        </is>
      </c>
      <c r="B3093" s="1" t="n">
        <v>43929</v>
      </c>
      <c r="C3093" s="1" t="n">
        <v>45715</v>
      </c>
      <c r="D3093" t="inlineStr">
        <is>
          <t>KALMAR LÄN</t>
        </is>
      </c>
      <c r="E3093" t="inlineStr">
        <is>
          <t>TORSÅS</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18649-2020</t>
        </is>
      </c>
      <c r="B3094" s="1" t="n">
        <v>43929</v>
      </c>
      <c r="C3094" s="1" t="n">
        <v>45715</v>
      </c>
      <c r="D3094" t="inlineStr">
        <is>
          <t>KALMAR LÄN</t>
        </is>
      </c>
      <c r="E3094" t="inlineStr">
        <is>
          <t>KALMAR</t>
        </is>
      </c>
      <c r="G3094" t="n">
        <v>12.6</v>
      </c>
      <c r="H3094" t="n">
        <v>0</v>
      </c>
      <c r="I3094" t="n">
        <v>0</v>
      </c>
      <c r="J3094" t="n">
        <v>0</v>
      </c>
      <c r="K3094" t="n">
        <v>0</v>
      </c>
      <c r="L3094" t="n">
        <v>0</v>
      </c>
      <c r="M3094" t="n">
        <v>0</v>
      </c>
      <c r="N3094" t="n">
        <v>0</v>
      </c>
      <c r="O3094" t="n">
        <v>0</v>
      </c>
      <c r="P3094" t="n">
        <v>0</v>
      </c>
      <c r="Q3094" t="n">
        <v>0</v>
      </c>
      <c r="R3094" s="2" t="inlineStr"/>
    </row>
    <row r="3095" ht="15" customHeight="1">
      <c r="A3095" t="inlineStr">
        <is>
          <t>A 18676-2020</t>
        </is>
      </c>
      <c r="B3095" s="1" t="n">
        <v>43930</v>
      </c>
      <c r="C3095" s="1" t="n">
        <v>45715</v>
      </c>
      <c r="D3095" t="inlineStr">
        <is>
          <t>KALMAR LÄN</t>
        </is>
      </c>
      <c r="E3095" t="inlineStr">
        <is>
          <t>VIMMERBY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18716-2020</t>
        </is>
      </c>
      <c r="B3096" s="1" t="n">
        <v>43930</v>
      </c>
      <c r="C3096" s="1" t="n">
        <v>45715</v>
      </c>
      <c r="D3096" t="inlineStr">
        <is>
          <t>KALMAR LÄN</t>
        </is>
      </c>
      <c r="E3096" t="inlineStr">
        <is>
          <t>NYBRO</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18646-2020</t>
        </is>
      </c>
      <c r="B3097" s="1" t="n">
        <v>43930</v>
      </c>
      <c r="C3097" s="1" t="n">
        <v>45715</v>
      </c>
      <c r="D3097" t="inlineStr">
        <is>
          <t>KALMAR LÄN</t>
        </is>
      </c>
      <c r="E3097" t="inlineStr">
        <is>
          <t>EMMABODA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18711-2020</t>
        </is>
      </c>
      <c r="B3098" s="1" t="n">
        <v>43930</v>
      </c>
      <c r="C3098" s="1" t="n">
        <v>45715</v>
      </c>
      <c r="D3098" t="inlineStr">
        <is>
          <t>KALMAR LÄN</t>
        </is>
      </c>
      <c r="E3098" t="inlineStr">
        <is>
          <t>OSKARSHAMN</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18855-2020</t>
        </is>
      </c>
      <c r="B3099" s="1" t="n">
        <v>43930</v>
      </c>
      <c r="C3099" s="1" t="n">
        <v>45715</v>
      </c>
      <c r="D3099" t="inlineStr">
        <is>
          <t>KALMAR LÄN</t>
        </is>
      </c>
      <c r="E3099" t="inlineStr">
        <is>
          <t>VIMMERBY</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18885-2020</t>
        </is>
      </c>
      <c r="B3100" s="1" t="n">
        <v>43935</v>
      </c>
      <c r="C3100" s="1" t="n">
        <v>45715</v>
      </c>
      <c r="D3100" t="inlineStr">
        <is>
          <t>KALMAR LÄN</t>
        </is>
      </c>
      <c r="E3100" t="inlineStr">
        <is>
          <t>VIMMERBY</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18909-2020</t>
        </is>
      </c>
      <c r="B3101" s="1" t="n">
        <v>43935</v>
      </c>
      <c r="C3101" s="1" t="n">
        <v>45715</v>
      </c>
      <c r="D3101" t="inlineStr">
        <is>
          <t>KALMAR LÄN</t>
        </is>
      </c>
      <c r="E3101" t="inlineStr">
        <is>
          <t>VIMMERBY</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19003-2020</t>
        </is>
      </c>
      <c r="B3102" s="1" t="n">
        <v>43936</v>
      </c>
      <c r="C3102" s="1" t="n">
        <v>45715</v>
      </c>
      <c r="D3102" t="inlineStr">
        <is>
          <t>KALMAR LÄN</t>
        </is>
      </c>
      <c r="E3102" t="inlineStr">
        <is>
          <t>KALMAR</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19047-2020</t>
        </is>
      </c>
      <c r="B3103" s="1" t="n">
        <v>43936</v>
      </c>
      <c r="C3103" s="1" t="n">
        <v>45715</v>
      </c>
      <c r="D3103" t="inlineStr">
        <is>
          <t>KALMAR LÄN</t>
        </is>
      </c>
      <c r="E3103" t="inlineStr">
        <is>
          <t>TORSÅS</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19069-2020</t>
        </is>
      </c>
      <c r="B3104" s="1" t="n">
        <v>43936</v>
      </c>
      <c r="C3104" s="1" t="n">
        <v>45715</v>
      </c>
      <c r="D3104" t="inlineStr">
        <is>
          <t>KALMAR LÄN</t>
        </is>
      </c>
      <c r="E3104" t="inlineStr">
        <is>
          <t>HULTSFRED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19041-2020</t>
        </is>
      </c>
      <c r="B3105" s="1" t="n">
        <v>43936</v>
      </c>
      <c r="C3105" s="1" t="n">
        <v>45715</v>
      </c>
      <c r="D3105" t="inlineStr">
        <is>
          <t>KALMAR LÄN</t>
        </is>
      </c>
      <c r="E3105" t="inlineStr">
        <is>
          <t>TORSÅS</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19261-2020</t>
        </is>
      </c>
      <c r="B3106" s="1" t="n">
        <v>43937</v>
      </c>
      <c r="C3106" s="1" t="n">
        <v>45715</v>
      </c>
      <c r="D3106" t="inlineStr">
        <is>
          <t>KALMAR LÄN</t>
        </is>
      </c>
      <c r="E3106" t="inlineStr">
        <is>
          <t>OSKARSHAMN</t>
        </is>
      </c>
      <c r="F3106" t="inlineStr">
        <is>
          <t>Övriga Aktiebolag</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19393-2020</t>
        </is>
      </c>
      <c r="B3107" s="1" t="n">
        <v>43938</v>
      </c>
      <c r="C3107" s="1" t="n">
        <v>45715</v>
      </c>
      <c r="D3107" t="inlineStr">
        <is>
          <t>KALMAR LÄN</t>
        </is>
      </c>
      <c r="E3107" t="inlineStr">
        <is>
          <t>NYBRO</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19373-2020</t>
        </is>
      </c>
      <c r="B3108" s="1" t="n">
        <v>43938</v>
      </c>
      <c r="C3108" s="1" t="n">
        <v>45715</v>
      </c>
      <c r="D3108" t="inlineStr">
        <is>
          <t>KALMAR LÄN</t>
        </is>
      </c>
      <c r="E3108" t="inlineStr">
        <is>
          <t>NYBRO</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19391-2020</t>
        </is>
      </c>
      <c r="B3109" s="1" t="n">
        <v>43938</v>
      </c>
      <c r="C3109" s="1" t="n">
        <v>45715</v>
      </c>
      <c r="D3109" t="inlineStr">
        <is>
          <t>KALMAR LÄN</t>
        </is>
      </c>
      <c r="E3109" t="inlineStr">
        <is>
          <t>NYBRO</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19467-2020</t>
        </is>
      </c>
      <c r="B3110" s="1" t="n">
        <v>43938</v>
      </c>
      <c r="C3110" s="1" t="n">
        <v>45715</v>
      </c>
      <c r="D3110" t="inlineStr">
        <is>
          <t>KALMAR LÄN</t>
        </is>
      </c>
      <c r="E3110" t="inlineStr">
        <is>
          <t>OSKARSHAMN</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19368-2020</t>
        </is>
      </c>
      <c r="B3111" s="1" t="n">
        <v>43938</v>
      </c>
      <c r="C3111" s="1" t="n">
        <v>45715</v>
      </c>
      <c r="D3111" t="inlineStr">
        <is>
          <t>KALMAR LÄN</t>
        </is>
      </c>
      <c r="E3111" t="inlineStr">
        <is>
          <t>NYBRO</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19422-2020</t>
        </is>
      </c>
      <c r="B3112" s="1" t="n">
        <v>43938</v>
      </c>
      <c r="C3112" s="1" t="n">
        <v>45715</v>
      </c>
      <c r="D3112" t="inlineStr">
        <is>
          <t>KALMAR LÄN</t>
        </is>
      </c>
      <c r="E3112" t="inlineStr">
        <is>
          <t>VÄSTERVIK</t>
        </is>
      </c>
      <c r="F3112" t="inlineStr">
        <is>
          <t>Holmen skog AB</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19437-2020</t>
        </is>
      </c>
      <c r="B3113" s="1" t="n">
        <v>43938</v>
      </c>
      <c r="C3113" s="1" t="n">
        <v>45715</v>
      </c>
      <c r="D3113" t="inlineStr">
        <is>
          <t>KALMAR LÄN</t>
        </is>
      </c>
      <c r="E3113" t="inlineStr">
        <is>
          <t>VÄSTERVIK</t>
        </is>
      </c>
      <c r="F3113" t="inlineStr">
        <is>
          <t>Holmen skog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19673-2020</t>
        </is>
      </c>
      <c r="B3114" s="1" t="n">
        <v>43941</v>
      </c>
      <c r="C3114" s="1" t="n">
        <v>45715</v>
      </c>
      <c r="D3114" t="inlineStr">
        <is>
          <t>KALMAR LÄN</t>
        </is>
      </c>
      <c r="E3114" t="inlineStr">
        <is>
          <t>KALMAR</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19763-2020</t>
        </is>
      </c>
      <c r="B3115" s="1" t="n">
        <v>43942</v>
      </c>
      <c r="C3115" s="1" t="n">
        <v>45715</v>
      </c>
      <c r="D3115" t="inlineStr">
        <is>
          <t>KALMAR LÄN</t>
        </is>
      </c>
      <c r="E3115" t="inlineStr">
        <is>
          <t>TORSÅS</t>
        </is>
      </c>
      <c r="G3115" t="n">
        <v>5.9</v>
      </c>
      <c r="H3115" t="n">
        <v>0</v>
      </c>
      <c r="I3115" t="n">
        <v>0</v>
      </c>
      <c r="J3115" t="n">
        <v>0</v>
      </c>
      <c r="K3115" t="n">
        <v>0</v>
      </c>
      <c r="L3115" t="n">
        <v>0</v>
      </c>
      <c r="M3115" t="n">
        <v>0</v>
      </c>
      <c r="N3115" t="n">
        <v>0</v>
      </c>
      <c r="O3115" t="n">
        <v>0</v>
      </c>
      <c r="P3115" t="n">
        <v>0</v>
      </c>
      <c r="Q3115" t="n">
        <v>0</v>
      </c>
      <c r="R3115" s="2" t="inlineStr"/>
    </row>
    <row r="3116" ht="15" customHeight="1">
      <c r="A3116" t="inlineStr">
        <is>
          <t>A 19829-2020</t>
        </is>
      </c>
      <c r="B3116" s="1" t="n">
        <v>43942</v>
      </c>
      <c r="C3116" s="1" t="n">
        <v>45715</v>
      </c>
      <c r="D3116" t="inlineStr">
        <is>
          <t>KALMAR LÄN</t>
        </is>
      </c>
      <c r="E3116" t="inlineStr">
        <is>
          <t>VÄSTERVIK</t>
        </is>
      </c>
      <c r="F3116" t="inlineStr">
        <is>
          <t>Holmen skog AB</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20029-2020</t>
        </is>
      </c>
      <c r="B3117" s="1" t="n">
        <v>43943</v>
      </c>
      <c r="C3117" s="1" t="n">
        <v>45715</v>
      </c>
      <c r="D3117" t="inlineStr">
        <is>
          <t>KALMAR LÄN</t>
        </is>
      </c>
      <c r="E3117" t="inlineStr">
        <is>
          <t>HULTSFRED</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20095-2020</t>
        </is>
      </c>
      <c r="B3118" s="1" t="n">
        <v>43944</v>
      </c>
      <c r="C3118" s="1" t="n">
        <v>45715</v>
      </c>
      <c r="D3118" t="inlineStr">
        <is>
          <t>KALMAR LÄN</t>
        </is>
      </c>
      <c r="E3118" t="inlineStr">
        <is>
          <t>EMMABODA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20345-2020</t>
        </is>
      </c>
      <c r="B3119" s="1" t="n">
        <v>43944</v>
      </c>
      <c r="C3119" s="1" t="n">
        <v>45715</v>
      </c>
      <c r="D3119" t="inlineStr">
        <is>
          <t>KALMAR LÄN</t>
        </is>
      </c>
      <c r="E3119" t="inlineStr">
        <is>
          <t>TORSÅS</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20231-2020</t>
        </is>
      </c>
      <c r="B3120" s="1" t="n">
        <v>43944</v>
      </c>
      <c r="C3120" s="1" t="n">
        <v>45715</v>
      </c>
      <c r="D3120" t="inlineStr">
        <is>
          <t>KALMAR LÄN</t>
        </is>
      </c>
      <c r="E3120" t="inlineStr">
        <is>
          <t>TORSÅS</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20408-2020</t>
        </is>
      </c>
      <c r="B3121" s="1" t="n">
        <v>43945</v>
      </c>
      <c r="C3121" s="1" t="n">
        <v>45715</v>
      </c>
      <c r="D3121" t="inlineStr">
        <is>
          <t>KALMAR LÄN</t>
        </is>
      </c>
      <c r="E3121" t="inlineStr">
        <is>
          <t>VÄSTERVIK</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20348-2020</t>
        </is>
      </c>
      <c r="B3122" s="1" t="n">
        <v>43945</v>
      </c>
      <c r="C3122" s="1" t="n">
        <v>45715</v>
      </c>
      <c r="D3122" t="inlineStr">
        <is>
          <t>KALMAR LÄN</t>
        </is>
      </c>
      <c r="E3122" t="inlineStr">
        <is>
          <t>OSKARSHAMN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20411-2020</t>
        </is>
      </c>
      <c r="B3123" s="1" t="n">
        <v>43945</v>
      </c>
      <c r="C3123" s="1" t="n">
        <v>45715</v>
      </c>
      <c r="D3123" t="inlineStr">
        <is>
          <t>KALMAR LÄN</t>
        </is>
      </c>
      <c r="E3123" t="inlineStr">
        <is>
          <t>VÄSTERVIK</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20291-2020</t>
        </is>
      </c>
      <c r="B3124" s="1" t="n">
        <v>43945</v>
      </c>
      <c r="C3124" s="1" t="n">
        <v>45715</v>
      </c>
      <c r="D3124" t="inlineStr">
        <is>
          <t>KALMAR LÄN</t>
        </is>
      </c>
      <c r="E3124" t="inlineStr">
        <is>
          <t>VIMMERBY</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20749-2020</t>
        </is>
      </c>
      <c r="B3125" s="1" t="n">
        <v>43948</v>
      </c>
      <c r="C3125" s="1" t="n">
        <v>45715</v>
      </c>
      <c r="D3125" t="inlineStr">
        <is>
          <t>KALMAR LÄN</t>
        </is>
      </c>
      <c r="E3125" t="inlineStr">
        <is>
          <t>HÖGSBY</t>
        </is>
      </c>
      <c r="G3125" t="n">
        <v>6.3</v>
      </c>
      <c r="H3125" t="n">
        <v>0</v>
      </c>
      <c r="I3125" t="n">
        <v>0</v>
      </c>
      <c r="J3125" t="n">
        <v>0</v>
      </c>
      <c r="K3125" t="n">
        <v>0</v>
      </c>
      <c r="L3125" t="n">
        <v>0</v>
      </c>
      <c r="M3125" t="n">
        <v>0</v>
      </c>
      <c r="N3125" t="n">
        <v>0</v>
      </c>
      <c r="O3125" t="n">
        <v>0</v>
      </c>
      <c r="P3125" t="n">
        <v>0</v>
      </c>
      <c r="Q3125" t="n">
        <v>0</v>
      </c>
      <c r="R3125" s="2" t="inlineStr"/>
    </row>
    <row r="3126" ht="15" customHeight="1">
      <c r="A3126" t="inlineStr">
        <is>
          <t>A 20694-2020</t>
        </is>
      </c>
      <c r="B3126" s="1" t="n">
        <v>43949</v>
      </c>
      <c r="C3126" s="1" t="n">
        <v>45715</v>
      </c>
      <c r="D3126" t="inlineStr">
        <is>
          <t>KALMAR LÄN</t>
        </is>
      </c>
      <c r="E3126" t="inlineStr">
        <is>
          <t>VÄSTERVIK</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20647-2020</t>
        </is>
      </c>
      <c r="B3127" s="1" t="n">
        <v>43949</v>
      </c>
      <c r="C3127" s="1" t="n">
        <v>45715</v>
      </c>
      <c r="D3127" t="inlineStr">
        <is>
          <t>KALMAR LÄN</t>
        </is>
      </c>
      <c r="E3127" t="inlineStr">
        <is>
          <t>MÖNSTERÅS</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20636-2020</t>
        </is>
      </c>
      <c r="B3128" s="1" t="n">
        <v>43949</v>
      </c>
      <c r="C3128" s="1" t="n">
        <v>45715</v>
      </c>
      <c r="D3128" t="inlineStr">
        <is>
          <t>KALMAR LÄN</t>
        </is>
      </c>
      <c r="E3128" t="inlineStr">
        <is>
          <t>KALMAR</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20965-2020</t>
        </is>
      </c>
      <c r="B3129" s="1" t="n">
        <v>43950</v>
      </c>
      <c r="C3129" s="1" t="n">
        <v>45715</v>
      </c>
      <c r="D3129" t="inlineStr">
        <is>
          <t>KALMAR LÄN</t>
        </is>
      </c>
      <c r="E3129" t="inlineStr">
        <is>
          <t>MÖNSTERÅS</t>
        </is>
      </c>
      <c r="F3129" t="inlineStr">
        <is>
          <t>Kommuner</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20891-2020</t>
        </is>
      </c>
      <c r="B3130" s="1" t="n">
        <v>43950</v>
      </c>
      <c r="C3130" s="1" t="n">
        <v>45715</v>
      </c>
      <c r="D3130" t="inlineStr">
        <is>
          <t>KALMAR LÄN</t>
        </is>
      </c>
      <c r="E3130" t="inlineStr">
        <is>
          <t>NYBRO</t>
        </is>
      </c>
      <c r="F3130" t="inlineStr">
        <is>
          <t>Sveaskog</t>
        </is>
      </c>
      <c r="G3130" t="n">
        <v>7</v>
      </c>
      <c r="H3130" t="n">
        <v>0</v>
      </c>
      <c r="I3130" t="n">
        <v>0</v>
      </c>
      <c r="J3130" t="n">
        <v>0</v>
      </c>
      <c r="K3130" t="n">
        <v>0</v>
      </c>
      <c r="L3130" t="n">
        <v>0</v>
      </c>
      <c r="M3130" t="n">
        <v>0</v>
      </c>
      <c r="N3130" t="n">
        <v>0</v>
      </c>
      <c r="O3130" t="n">
        <v>0</v>
      </c>
      <c r="P3130" t="n">
        <v>0</v>
      </c>
      <c r="Q3130" t="n">
        <v>0</v>
      </c>
      <c r="R3130" s="2" t="inlineStr"/>
    </row>
    <row r="3131" ht="15" customHeight="1">
      <c r="A3131" t="inlineStr">
        <is>
          <t>A 21023-2020</t>
        </is>
      </c>
      <c r="B3131" s="1" t="n">
        <v>43950</v>
      </c>
      <c r="C3131" s="1" t="n">
        <v>45715</v>
      </c>
      <c r="D3131" t="inlineStr">
        <is>
          <t>KALMAR LÄN</t>
        </is>
      </c>
      <c r="E3131" t="inlineStr">
        <is>
          <t>KALMAR</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21202-2020</t>
        </is>
      </c>
      <c r="B3132" s="1" t="n">
        <v>43951</v>
      </c>
      <c r="C3132" s="1" t="n">
        <v>45715</v>
      </c>
      <c r="D3132" t="inlineStr">
        <is>
          <t>KALMAR LÄN</t>
        </is>
      </c>
      <c r="E3132" t="inlineStr">
        <is>
          <t>OSKARSHAMN</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21205-2020</t>
        </is>
      </c>
      <c r="B3133" s="1" t="n">
        <v>43951</v>
      </c>
      <c r="C3133" s="1" t="n">
        <v>45715</v>
      </c>
      <c r="D3133" t="inlineStr">
        <is>
          <t>KALMAR LÄN</t>
        </is>
      </c>
      <c r="E3133" t="inlineStr">
        <is>
          <t>HULTSFRED</t>
        </is>
      </c>
      <c r="G3133" t="n">
        <v>12.3</v>
      </c>
      <c r="H3133" t="n">
        <v>0</v>
      </c>
      <c r="I3133" t="n">
        <v>0</v>
      </c>
      <c r="J3133" t="n">
        <v>0</v>
      </c>
      <c r="K3133" t="n">
        <v>0</v>
      </c>
      <c r="L3133" t="n">
        <v>0</v>
      </c>
      <c r="M3133" t="n">
        <v>0</v>
      </c>
      <c r="N3133" t="n">
        <v>0</v>
      </c>
      <c r="O3133" t="n">
        <v>0</v>
      </c>
      <c r="P3133" t="n">
        <v>0</v>
      </c>
      <c r="Q3133" t="n">
        <v>0</v>
      </c>
      <c r="R3133" s="2" t="inlineStr"/>
    </row>
    <row r="3134" ht="15" customHeight="1">
      <c r="A3134" t="inlineStr">
        <is>
          <t>A 21206-2020</t>
        </is>
      </c>
      <c r="B3134" s="1" t="n">
        <v>43951</v>
      </c>
      <c r="C3134" s="1" t="n">
        <v>45715</v>
      </c>
      <c r="D3134" t="inlineStr">
        <is>
          <t>KALMAR LÄN</t>
        </is>
      </c>
      <c r="E3134" t="inlineStr">
        <is>
          <t>HULTSFRED</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21461-2020</t>
        </is>
      </c>
      <c r="B3135" s="1" t="n">
        <v>43951</v>
      </c>
      <c r="C3135" s="1" t="n">
        <v>45715</v>
      </c>
      <c r="D3135" t="inlineStr">
        <is>
          <t>KALMAR LÄN</t>
        </is>
      </c>
      <c r="E3135" t="inlineStr">
        <is>
          <t>HÖGSBY</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21464-2020</t>
        </is>
      </c>
      <c r="B3136" s="1" t="n">
        <v>43951</v>
      </c>
      <c r="C3136" s="1" t="n">
        <v>45715</v>
      </c>
      <c r="D3136" t="inlineStr">
        <is>
          <t>KALMAR LÄN</t>
        </is>
      </c>
      <c r="E3136" t="inlineStr">
        <is>
          <t>HÖGSBY</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21317-2020</t>
        </is>
      </c>
      <c r="B3137" s="1" t="n">
        <v>43955</v>
      </c>
      <c r="C3137" s="1" t="n">
        <v>45715</v>
      </c>
      <c r="D3137" t="inlineStr">
        <is>
          <t>KALMAR LÄN</t>
        </is>
      </c>
      <c r="E3137" t="inlineStr">
        <is>
          <t>NYBRO</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21333-2020</t>
        </is>
      </c>
      <c r="B3138" s="1" t="n">
        <v>43955</v>
      </c>
      <c r="C3138" s="1" t="n">
        <v>45715</v>
      </c>
      <c r="D3138" t="inlineStr">
        <is>
          <t>KALMAR LÄN</t>
        </is>
      </c>
      <c r="E3138" t="inlineStr">
        <is>
          <t>NYBRO</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21408-2020</t>
        </is>
      </c>
      <c r="B3139" s="1" t="n">
        <v>43955</v>
      </c>
      <c r="C3139" s="1" t="n">
        <v>45715</v>
      </c>
      <c r="D3139" t="inlineStr">
        <is>
          <t>KALMAR LÄN</t>
        </is>
      </c>
      <c r="E3139" t="inlineStr">
        <is>
          <t>VIMMERBY</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21334-2020</t>
        </is>
      </c>
      <c r="B3140" s="1" t="n">
        <v>43955</v>
      </c>
      <c r="C3140" s="1" t="n">
        <v>45715</v>
      </c>
      <c r="D3140" t="inlineStr">
        <is>
          <t>KALMAR LÄN</t>
        </is>
      </c>
      <c r="E3140" t="inlineStr">
        <is>
          <t>OSKARSHAMN</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21246-2020</t>
        </is>
      </c>
      <c r="B3141" s="1" t="n">
        <v>43955</v>
      </c>
      <c r="C3141" s="1" t="n">
        <v>45715</v>
      </c>
      <c r="D3141" t="inlineStr">
        <is>
          <t>KALMAR LÄN</t>
        </is>
      </c>
      <c r="E3141" t="inlineStr">
        <is>
          <t>EMMABODA</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21273-2020</t>
        </is>
      </c>
      <c r="B3142" s="1" t="n">
        <v>43955</v>
      </c>
      <c r="C3142" s="1" t="n">
        <v>45715</v>
      </c>
      <c r="D3142" t="inlineStr">
        <is>
          <t>KALMAR LÄN</t>
        </is>
      </c>
      <c r="E3142" t="inlineStr">
        <is>
          <t>HULTSFRED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21331-2020</t>
        </is>
      </c>
      <c r="B3143" s="1" t="n">
        <v>43955</v>
      </c>
      <c r="C3143" s="1" t="n">
        <v>45715</v>
      </c>
      <c r="D3143" t="inlineStr">
        <is>
          <t>KALMAR LÄN</t>
        </is>
      </c>
      <c r="E3143" t="inlineStr">
        <is>
          <t>NYBRO</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21345-2020</t>
        </is>
      </c>
      <c r="B3144" s="1" t="n">
        <v>43955</v>
      </c>
      <c r="C3144" s="1" t="n">
        <v>45715</v>
      </c>
      <c r="D3144" t="inlineStr">
        <is>
          <t>KALMAR LÄN</t>
        </is>
      </c>
      <c r="E3144" t="inlineStr">
        <is>
          <t>OSKARSHAMN</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21247-2020</t>
        </is>
      </c>
      <c r="B3145" s="1" t="n">
        <v>43955</v>
      </c>
      <c r="C3145" s="1" t="n">
        <v>45715</v>
      </c>
      <c r="D3145" t="inlineStr">
        <is>
          <t>KALMAR LÄN</t>
        </is>
      </c>
      <c r="E3145" t="inlineStr">
        <is>
          <t>NYBRO</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21444-2020</t>
        </is>
      </c>
      <c r="B3146" s="1" t="n">
        <v>43956</v>
      </c>
      <c r="C3146" s="1" t="n">
        <v>45715</v>
      </c>
      <c r="D3146" t="inlineStr">
        <is>
          <t>KALMAR LÄN</t>
        </is>
      </c>
      <c r="E3146" t="inlineStr">
        <is>
          <t>TORSÅS</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21517-2020</t>
        </is>
      </c>
      <c r="B3147" s="1" t="n">
        <v>43956</v>
      </c>
      <c r="C3147" s="1" t="n">
        <v>45715</v>
      </c>
      <c r="D3147" t="inlineStr">
        <is>
          <t>KALMAR LÄN</t>
        </is>
      </c>
      <c r="E3147" t="inlineStr">
        <is>
          <t>MÖNSTERÅS</t>
        </is>
      </c>
      <c r="G3147" t="n">
        <v>13.4</v>
      </c>
      <c r="H3147" t="n">
        <v>0</v>
      </c>
      <c r="I3147" t="n">
        <v>0</v>
      </c>
      <c r="J3147" t="n">
        <v>0</v>
      </c>
      <c r="K3147" t="n">
        <v>0</v>
      </c>
      <c r="L3147" t="n">
        <v>0</v>
      </c>
      <c r="M3147" t="n">
        <v>0</v>
      </c>
      <c r="N3147" t="n">
        <v>0</v>
      </c>
      <c r="O3147" t="n">
        <v>0</v>
      </c>
      <c r="P3147" t="n">
        <v>0</v>
      </c>
      <c r="Q3147" t="n">
        <v>0</v>
      </c>
      <c r="R3147" s="2" t="inlineStr"/>
    </row>
    <row r="3148" ht="15" customHeight="1">
      <c r="A3148" t="inlineStr">
        <is>
          <t>A 21457-2020</t>
        </is>
      </c>
      <c r="B3148" s="1" t="n">
        <v>43956</v>
      </c>
      <c r="C3148" s="1" t="n">
        <v>45715</v>
      </c>
      <c r="D3148" t="inlineStr">
        <is>
          <t>KALMAR LÄN</t>
        </is>
      </c>
      <c r="E3148" t="inlineStr">
        <is>
          <t>NYBRO</t>
        </is>
      </c>
      <c r="F3148" t="inlineStr">
        <is>
          <t>Kommuner</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21523-2020</t>
        </is>
      </c>
      <c r="B3149" s="1" t="n">
        <v>43956</v>
      </c>
      <c r="C3149" s="1" t="n">
        <v>45715</v>
      </c>
      <c r="D3149" t="inlineStr">
        <is>
          <t>KALMAR LÄN</t>
        </is>
      </c>
      <c r="E3149" t="inlineStr">
        <is>
          <t>MÖNSTERÅS</t>
        </is>
      </c>
      <c r="G3149" t="n">
        <v>10.5</v>
      </c>
      <c r="H3149" t="n">
        <v>0</v>
      </c>
      <c r="I3149" t="n">
        <v>0</v>
      </c>
      <c r="J3149" t="n">
        <v>0</v>
      </c>
      <c r="K3149" t="n">
        <v>0</v>
      </c>
      <c r="L3149" t="n">
        <v>0</v>
      </c>
      <c r="M3149" t="n">
        <v>0</v>
      </c>
      <c r="N3149" t="n">
        <v>0</v>
      </c>
      <c r="O3149" t="n">
        <v>0</v>
      </c>
      <c r="P3149" t="n">
        <v>0</v>
      </c>
      <c r="Q3149" t="n">
        <v>0</v>
      </c>
      <c r="R3149" s="2" t="inlineStr"/>
    </row>
    <row r="3150" ht="15" customHeight="1">
      <c r="A3150" t="inlineStr">
        <is>
          <t>A 21528-2020</t>
        </is>
      </c>
      <c r="B3150" s="1" t="n">
        <v>43956</v>
      </c>
      <c r="C3150" s="1" t="n">
        <v>45715</v>
      </c>
      <c r="D3150" t="inlineStr">
        <is>
          <t>KALMAR LÄN</t>
        </is>
      </c>
      <c r="E3150" t="inlineStr">
        <is>
          <t>MÖNSTERÅS</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21581-2020</t>
        </is>
      </c>
      <c r="B3151" s="1" t="n">
        <v>43956</v>
      </c>
      <c r="C3151" s="1" t="n">
        <v>45715</v>
      </c>
      <c r="D3151" t="inlineStr">
        <is>
          <t>KALMAR LÄN</t>
        </is>
      </c>
      <c r="E3151" t="inlineStr">
        <is>
          <t>VIMMERBY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21520-2020</t>
        </is>
      </c>
      <c r="B3152" s="1" t="n">
        <v>43956</v>
      </c>
      <c r="C3152" s="1" t="n">
        <v>45715</v>
      </c>
      <c r="D3152" t="inlineStr">
        <is>
          <t>KALMAR LÄN</t>
        </is>
      </c>
      <c r="E3152" t="inlineStr">
        <is>
          <t>MÖNSTERÅS</t>
        </is>
      </c>
      <c r="G3152" t="n">
        <v>20.5</v>
      </c>
      <c r="H3152" t="n">
        <v>0</v>
      </c>
      <c r="I3152" t="n">
        <v>0</v>
      </c>
      <c r="J3152" t="n">
        <v>0</v>
      </c>
      <c r="K3152" t="n">
        <v>0</v>
      </c>
      <c r="L3152" t="n">
        <v>0</v>
      </c>
      <c r="M3152" t="n">
        <v>0</v>
      </c>
      <c r="N3152" t="n">
        <v>0</v>
      </c>
      <c r="O3152" t="n">
        <v>0</v>
      </c>
      <c r="P3152" t="n">
        <v>0</v>
      </c>
      <c r="Q3152" t="n">
        <v>0</v>
      </c>
      <c r="R3152" s="2" t="inlineStr"/>
    </row>
    <row r="3153" ht="15" customHeight="1">
      <c r="A3153" t="inlineStr">
        <is>
          <t>A 21438-2020</t>
        </is>
      </c>
      <c r="B3153" s="1" t="n">
        <v>43956</v>
      </c>
      <c r="C3153" s="1" t="n">
        <v>45715</v>
      </c>
      <c r="D3153" t="inlineStr">
        <is>
          <t>KALMAR LÄN</t>
        </is>
      </c>
      <c r="E3153" t="inlineStr">
        <is>
          <t>TORSÅS</t>
        </is>
      </c>
      <c r="G3153" t="n">
        <v>10.5</v>
      </c>
      <c r="H3153" t="n">
        <v>0</v>
      </c>
      <c r="I3153" t="n">
        <v>0</v>
      </c>
      <c r="J3153" t="n">
        <v>0</v>
      </c>
      <c r="K3153" t="n">
        <v>0</v>
      </c>
      <c r="L3153" t="n">
        <v>0</v>
      </c>
      <c r="M3153" t="n">
        <v>0</v>
      </c>
      <c r="N3153" t="n">
        <v>0</v>
      </c>
      <c r="O3153" t="n">
        <v>0</v>
      </c>
      <c r="P3153" t="n">
        <v>0</v>
      </c>
      <c r="Q3153" t="n">
        <v>0</v>
      </c>
      <c r="R3153" s="2" t="inlineStr"/>
    </row>
    <row r="3154" ht="15" customHeight="1">
      <c r="A3154" t="inlineStr">
        <is>
          <t>A 21586-2020</t>
        </is>
      </c>
      <c r="B3154" s="1" t="n">
        <v>43956</v>
      </c>
      <c r="C3154" s="1" t="n">
        <v>45715</v>
      </c>
      <c r="D3154" t="inlineStr">
        <is>
          <t>KALMAR LÄN</t>
        </is>
      </c>
      <c r="E3154" t="inlineStr">
        <is>
          <t>KALMAR</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21657-2020</t>
        </is>
      </c>
      <c r="B3155" s="1" t="n">
        <v>43957</v>
      </c>
      <c r="C3155" s="1" t="n">
        <v>45715</v>
      </c>
      <c r="D3155" t="inlineStr">
        <is>
          <t>KALMAR LÄN</t>
        </is>
      </c>
      <c r="E3155" t="inlineStr">
        <is>
          <t>NYBRO</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21692-2020</t>
        </is>
      </c>
      <c r="B3156" s="1" t="n">
        <v>43957</v>
      </c>
      <c r="C3156" s="1" t="n">
        <v>45715</v>
      </c>
      <c r="D3156" t="inlineStr">
        <is>
          <t>KALMAR LÄN</t>
        </is>
      </c>
      <c r="E3156" t="inlineStr">
        <is>
          <t>NYBRO</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21891-2020</t>
        </is>
      </c>
      <c r="B3157" s="1" t="n">
        <v>43958</v>
      </c>
      <c r="C3157" s="1" t="n">
        <v>45715</v>
      </c>
      <c r="D3157" t="inlineStr">
        <is>
          <t>KALMAR LÄN</t>
        </is>
      </c>
      <c r="E3157" t="inlineStr">
        <is>
          <t>VIMMERBY</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21903-2020</t>
        </is>
      </c>
      <c r="B3158" s="1" t="n">
        <v>43958</v>
      </c>
      <c r="C3158" s="1" t="n">
        <v>45715</v>
      </c>
      <c r="D3158" t="inlineStr">
        <is>
          <t>KALMAR LÄN</t>
        </is>
      </c>
      <c r="E3158" t="inlineStr">
        <is>
          <t>MÖNSTERÅS</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21788-2020</t>
        </is>
      </c>
      <c r="B3159" s="1" t="n">
        <v>43958</v>
      </c>
      <c r="C3159" s="1" t="n">
        <v>45715</v>
      </c>
      <c r="D3159" t="inlineStr">
        <is>
          <t>KALMAR LÄN</t>
        </is>
      </c>
      <c r="E3159" t="inlineStr">
        <is>
          <t>HULTSFRED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22119-2020</t>
        </is>
      </c>
      <c r="B3160" s="1" t="n">
        <v>43960</v>
      </c>
      <c r="C3160" s="1" t="n">
        <v>45715</v>
      </c>
      <c r="D3160" t="inlineStr">
        <is>
          <t>KALMAR LÄN</t>
        </is>
      </c>
      <c r="E3160" t="inlineStr">
        <is>
          <t>HULTSFRED</t>
        </is>
      </c>
      <c r="G3160" t="n">
        <v>10.8</v>
      </c>
      <c r="H3160" t="n">
        <v>0</v>
      </c>
      <c r="I3160" t="n">
        <v>0</v>
      </c>
      <c r="J3160" t="n">
        <v>0</v>
      </c>
      <c r="K3160" t="n">
        <v>0</v>
      </c>
      <c r="L3160" t="n">
        <v>0</v>
      </c>
      <c r="M3160" t="n">
        <v>0</v>
      </c>
      <c r="N3160" t="n">
        <v>0</v>
      </c>
      <c r="O3160" t="n">
        <v>0</v>
      </c>
      <c r="P3160" t="n">
        <v>0</v>
      </c>
      <c r="Q3160" t="n">
        <v>0</v>
      </c>
      <c r="R3160" s="2" t="inlineStr"/>
    </row>
    <row r="3161" ht="15" customHeight="1">
      <c r="A3161" t="inlineStr">
        <is>
          <t>A 22118-2020</t>
        </is>
      </c>
      <c r="B3161" s="1" t="n">
        <v>43960</v>
      </c>
      <c r="C3161" s="1" t="n">
        <v>45715</v>
      </c>
      <c r="D3161" t="inlineStr">
        <is>
          <t>KALMAR LÄN</t>
        </is>
      </c>
      <c r="E3161" t="inlineStr">
        <is>
          <t>HULTSFRED</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22267-2020</t>
        </is>
      </c>
      <c r="B3162" s="1" t="n">
        <v>43962</v>
      </c>
      <c r="C3162" s="1" t="n">
        <v>45715</v>
      </c>
      <c r="D3162" t="inlineStr">
        <is>
          <t>KALMAR LÄN</t>
        </is>
      </c>
      <c r="E3162" t="inlineStr">
        <is>
          <t>VIMMERBY</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22306-2020</t>
        </is>
      </c>
      <c r="B3163" s="1" t="n">
        <v>43962</v>
      </c>
      <c r="C3163" s="1" t="n">
        <v>45715</v>
      </c>
      <c r="D3163" t="inlineStr">
        <is>
          <t>KALMAR LÄN</t>
        </is>
      </c>
      <c r="E3163" t="inlineStr">
        <is>
          <t>NYBRO</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22201-2020</t>
        </is>
      </c>
      <c r="B3164" s="1" t="n">
        <v>43962</v>
      </c>
      <c r="C3164" s="1" t="n">
        <v>45715</v>
      </c>
      <c r="D3164" t="inlineStr">
        <is>
          <t>KALMAR LÄN</t>
        </is>
      </c>
      <c r="E3164" t="inlineStr">
        <is>
          <t>OSKARSHAMN</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22244-2020</t>
        </is>
      </c>
      <c r="B3165" s="1" t="n">
        <v>43962</v>
      </c>
      <c r="C3165" s="1" t="n">
        <v>45715</v>
      </c>
      <c r="D3165" t="inlineStr">
        <is>
          <t>KALMAR LÄN</t>
        </is>
      </c>
      <c r="E3165" t="inlineStr">
        <is>
          <t>BORGHOLM</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22722-2020</t>
        </is>
      </c>
      <c r="B3166" s="1" t="n">
        <v>43962</v>
      </c>
      <c r="C3166" s="1" t="n">
        <v>45715</v>
      </c>
      <c r="D3166" t="inlineStr">
        <is>
          <t>KALMAR LÄN</t>
        </is>
      </c>
      <c r="E3166" t="inlineStr">
        <is>
          <t>BORGHOLM</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22574-2020</t>
        </is>
      </c>
      <c r="B3167" s="1" t="n">
        <v>43963</v>
      </c>
      <c r="C3167" s="1" t="n">
        <v>45715</v>
      </c>
      <c r="D3167" t="inlineStr">
        <is>
          <t>KALMAR LÄN</t>
        </is>
      </c>
      <c r="E3167" t="inlineStr">
        <is>
          <t>VIMMERBY</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22643-2020</t>
        </is>
      </c>
      <c r="B3168" s="1" t="n">
        <v>43963</v>
      </c>
      <c r="C3168" s="1" t="n">
        <v>45715</v>
      </c>
      <c r="D3168" t="inlineStr">
        <is>
          <t>KALMAR LÄN</t>
        </is>
      </c>
      <c r="E3168" t="inlineStr">
        <is>
          <t>VÄSTERVIK</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22669-2020</t>
        </is>
      </c>
      <c r="B3169" s="1" t="n">
        <v>43963</v>
      </c>
      <c r="C3169" s="1" t="n">
        <v>45715</v>
      </c>
      <c r="D3169" t="inlineStr">
        <is>
          <t>KALMAR LÄN</t>
        </is>
      </c>
      <c r="E3169" t="inlineStr">
        <is>
          <t>MÖNSTERÅS</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22637-2020</t>
        </is>
      </c>
      <c r="B3170" s="1" t="n">
        <v>43963</v>
      </c>
      <c r="C3170" s="1" t="n">
        <v>45715</v>
      </c>
      <c r="D3170" t="inlineStr">
        <is>
          <t>KALMAR LÄN</t>
        </is>
      </c>
      <c r="E3170" t="inlineStr">
        <is>
          <t>VIMMERBY</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22652-2020</t>
        </is>
      </c>
      <c r="B3171" s="1" t="n">
        <v>43963</v>
      </c>
      <c r="C3171" s="1" t="n">
        <v>45715</v>
      </c>
      <c r="D3171" t="inlineStr">
        <is>
          <t>KALMAR LÄN</t>
        </is>
      </c>
      <c r="E3171" t="inlineStr">
        <is>
          <t>KALMAR</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22812-2020</t>
        </is>
      </c>
      <c r="B3172" s="1" t="n">
        <v>43964</v>
      </c>
      <c r="C3172" s="1" t="n">
        <v>45715</v>
      </c>
      <c r="D3172" t="inlineStr">
        <is>
          <t>KALMAR LÄN</t>
        </is>
      </c>
      <c r="E3172" t="inlineStr">
        <is>
          <t>NYBRO</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22882-2020</t>
        </is>
      </c>
      <c r="B3173" s="1" t="n">
        <v>43964</v>
      </c>
      <c r="C3173" s="1" t="n">
        <v>45715</v>
      </c>
      <c r="D3173" t="inlineStr">
        <is>
          <t>KALMAR LÄN</t>
        </is>
      </c>
      <c r="E3173" t="inlineStr">
        <is>
          <t>VÄSTERVIK</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22838-2020</t>
        </is>
      </c>
      <c r="B3174" s="1" t="n">
        <v>43964</v>
      </c>
      <c r="C3174" s="1" t="n">
        <v>45715</v>
      </c>
      <c r="D3174" t="inlineStr">
        <is>
          <t>KALMAR LÄN</t>
        </is>
      </c>
      <c r="E3174" t="inlineStr">
        <is>
          <t>BORGHOLM</t>
        </is>
      </c>
      <c r="F3174" t="inlineStr">
        <is>
          <t>Sveaskog</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22880-2020</t>
        </is>
      </c>
      <c r="B3175" s="1" t="n">
        <v>43964</v>
      </c>
      <c r="C3175" s="1" t="n">
        <v>45715</v>
      </c>
      <c r="D3175" t="inlineStr">
        <is>
          <t>KALMAR LÄN</t>
        </is>
      </c>
      <c r="E3175" t="inlineStr">
        <is>
          <t>VÄSTERVIK</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23061-2020</t>
        </is>
      </c>
      <c r="B3176" s="1" t="n">
        <v>43964</v>
      </c>
      <c r="C3176" s="1" t="n">
        <v>45715</v>
      </c>
      <c r="D3176" t="inlineStr">
        <is>
          <t>KALMAR LÄN</t>
        </is>
      </c>
      <c r="E3176" t="inlineStr">
        <is>
          <t>HULTSFRED</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23064-2020</t>
        </is>
      </c>
      <c r="B3177" s="1" t="n">
        <v>43964</v>
      </c>
      <c r="C3177" s="1" t="n">
        <v>45715</v>
      </c>
      <c r="D3177" t="inlineStr">
        <is>
          <t>KALMAR LÄN</t>
        </is>
      </c>
      <c r="E3177" t="inlineStr">
        <is>
          <t>HULTSFRED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22721-2020</t>
        </is>
      </c>
      <c r="B3178" s="1" t="n">
        <v>43964</v>
      </c>
      <c r="C3178" s="1" t="n">
        <v>45715</v>
      </c>
      <c r="D3178" t="inlineStr">
        <is>
          <t>KALMAR LÄN</t>
        </is>
      </c>
      <c r="E3178" t="inlineStr">
        <is>
          <t>HÖGSBY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22803-2020</t>
        </is>
      </c>
      <c r="B3179" s="1" t="n">
        <v>43964</v>
      </c>
      <c r="C3179" s="1" t="n">
        <v>45715</v>
      </c>
      <c r="D3179" t="inlineStr">
        <is>
          <t>KALMAR LÄN</t>
        </is>
      </c>
      <c r="E3179" t="inlineStr">
        <is>
          <t>VÄSTERVIK</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22828-2020</t>
        </is>
      </c>
      <c r="B3180" s="1" t="n">
        <v>43964</v>
      </c>
      <c r="C3180" s="1" t="n">
        <v>45715</v>
      </c>
      <c r="D3180" t="inlineStr">
        <is>
          <t>KALMAR LÄN</t>
        </is>
      </c>
      <c r="E3180" t="inlineStr">
        <is>
          <t>VIMMERBY</t>
        </is>
      </c>
      <c r="G3180" t="n">
        <v>7.5</v>
      </c>
      <c r="H3180" t="n">
        <v>0</v>
      </c>
      <c r="I3180" t="n">
        <v>0</v>
      </c>
      <c r="J3180" t="n">
        <v>0</v>
      </c>
      <c r="K3180" t="n">
        <v>0</v>
      </c>
      <c r="L3180" t="n">
        <v>0</v>
      </c>
      <c r="M3180" t="n">
        <v>0</v>
      </c>
      <c r="N3180" t="n">
        <v>0</v>
      </c>
      <c r="O3180" t="n">
        <v>0</v>
      </c>
      <c r="P3180" t="n">
        <v>0</v>
      </c>
      <c r="Q3180" t="n">
        <v>0</v>
      </c>
      <c r="R3180" s="2" t="inlineStr"/>
    </row>
    <row r="3181" ht="15" customHeight="1">
      <c r="A3181" t="inlineStr">
        <is>
          <t>A 23088-2020</t>
        </is>
      </c>
      <c r="B3181" s="1" t="n">
        <v>43965</v>
      </c>
      <c r="C3181" s="1" t="n">
        <v>45715</v>
      </c>
      <c r="D3181" t="inlineStr">
        <is>
          <t>KALMAR LÄN</t>
        </is>
      </c>
      <c r="E3181" t="inlineStr">
        <is>
          <t>OSKARSHAMN</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22985-2020</t>
        </is>
      </c>
      <c r="B3182" s="1" t="n">
        <v>43965</v>
      </c>
      <c r="C3182" s="1" t="n">
        <v>45715</v>
      </c>
      <c r="D3182" t="inlineStr">
        <is>
          <t>KALMAR LÄN</t>
        </is>
      </c>
      <c r="E3182" t="inlineStr">
        <is>
          <t>HULTSFRED</t>
        </is>
      </c>
      <c r="F3182" t="inlineStr">
        <is>
          <t>Sveaskog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22989-2020</t>
        </is>
      </c>
      <c r="B3183" s="1" t="n">
        <v>43965</v>
      </c>
      <c r="C3183" s="1" t="n">
        <v>45715</v>
      </c>
      <c r="D3183" t="inlineStr">
        <is>
          <t>KALMAR LÄN</t>
        </is>
      </c>
      <c r="E3183" t="inlineStr">
        <is>
          <t>HULTSFRED</t>
        </is>
      </c>
      <c r="F3183" t="inlineStr">
        <is>
          <t>Sveaskog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23391-2020</t>
        </is>
      </c>
      <c r="B3184" s="1" t="n">
        <v>43968</v>
      </c>
      <c r="C3184" s="1" t="n">
        <v>45715</v>
      </c>
      <c r="D3184" t="inlineStr">
        <is>
          <t>KALMAR LÄN</t>
        </is>
      </c>
      <c r="E3184" t="inlineStr">
        <is>
          <t>VIMMERBY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23389-2020</t>
        </is>
      </c>
      <c r="B3185" s="1" t="n">
        <v>43968</v>
      </c>
      <c r="C3185" s="1" t="n">
        <v>45715</v>
      </c>
      <c r="D3185" t="inlineStr">
        <is>
          <t>KALMAR LÄN</t>
        </is>
      </c>
      <c r="E3185" t="inlineStr">
        <is>
          <t>NYBRO</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23394-2020</t>
        </is>
      </c>
      <c r="B3186" s="1" t="n">
        <v>43968</v>
      </c>
      <c r="C3186" s="1" t="n">
        <v>45715</v>
      </c>
      <c r="D3186" t="inlineStr">
        <is>
          <t>KALMAR LÄN</t>
        </is>
      </c>
      <c r="E3186" t="inlineStr">
        <is>
          <t>VIMMERBY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23436-2020</t>
        </is>
      </c>
      <c r="B3187" s="1" t="n">
        <v>43969</v>
      </c>
      <c r="C3187" s="1" t="n">
        <v>45715</v>
      </c>
      <c r="D3187" t="inlineStr">
        <is>
          <t>KALMAR LÄN</t>
        </is>
      </c>
      <c r="E3187" t="inlineStr">
        <is>
          <t>HULTSFRED</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23483-2020</t>
        </is>
      </c>
      <c r="B3188" s="1" t="n">
        <v>43969</v>
      </c>
      <c r="C3188" s="1" t="n">
        <v>45715</v>
      </c>
      <c r="D3188" t="inlineStr">
        <is>
          <t>KALMAR LÄN</t>
        </is>
      </c>
      <c r="E3188" t="inlineStr">
        <is>
          <t>EMMABODA</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23501-2020</t>
        </is>
      </c>
      <c r="B3189" s="1" t="n">
        <v>43969</v>
      </c>
      <c r="C3189" s="1" t="n">
        <v>45715</v>
      </c>
      <c r="D3189" t="inlineStr">
        <is>
          <t>KALMAR LÄN</t>
        </is>
      </c>
      <c r="E3189" t="inlineStr">
        <is>
          <t>EMMABODA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23472-2020</t>
        </is>
      </c>
      <c r="B3190" s="1" t="n">
        <v>43969</v>
      </c>
      <c r="C3190" s="1" t="n">
        <v>45715</v>
      </c>
      <c r="D3190" t="inlineStr">
        <is>
          <t>KALMAR LÄN</t>
        </is>
      </c>
      <c r="E3190" t="inlineStr">
        <is>
          <t>HULTSFRED</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23705-2020</t>
        </is>
      </c>
      <c r="B3191" s="1" t="n">
        <v>43970</v>
      </c>
      <c r="C3191" s="1" t="n">
        <v>45715</v>
      </c>
      <c r="D3191" t="inlineStr">
        <is>
          <t>KALMAR LÄN</t>
        </is>
      </c>
      <c r="E3191" t="inlineStr">
        <is>
          <t>VIMMERBY</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23718-2020</t>
        </is>
      </c>
      <c r="B3192" s="1" t="n">
        <v>43970</v>
      </c>
      <c r="C3192" s="1" t="n">
        <v>45715</v>
      </c>
      <c r="D3192" t="inlineStr">
        <is>
          <t>KALMAR LÄN</t>
        </is>
      </c>
      <c r="E3192" t="inlineStr">
        <is>
          <t>OSKARSHAMN</t>
        </is>
      </c>
      <c r="F3192" t="inlineStr">
        <is>
          <t>Sveaskog</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23754-2020</t>
        </is>
      </c>
      <c r="B3193" s="1" t="n">
        <v>43970</v>
      </c>
      <c r="C3193" s="1" t="n">
        <v>45715</v>
      </c>
      <c r="D3193" t="inlineStr">
        <is>
          <t>KALMAR LÄN</t>
        </is>
      </c>
      <c r="E3193" t="inlineStr">
        <is>
          <t>HULTSFRED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23764-2020</t>
        </is>
      </c>
      <c r="B3194" s="1" t="n">
        <v>43970</v>
      </c>
      <c r="C3194" s="1" t="n">
        <v>45715</v>
      </c>
      <c r="D3194" t="inlineStr">
        <is>
          <t>KALMAR LÄN</t>
        </is>
      </c>
      <c r="E3194" t="inlineStr">
        <is>
          <t>EMMABODA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23761-2020</t>
        </is>
      </c>
      <c r="B3195" s="1" t="n">
        <v>43970</v>
      </c>
      <c r="C3195" s="1" t="n">
        <v>45715</v>
      </c>
      <c r="D3195" t="inlineStr">
        <is>
          <t>KALMAR LÄN</t>
        </is>
      </c>
      <c r="E3195" t="inlineStr">
        <is>
          <t>HULTSFRED</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23877-2020</t>
        </is>
      </c>
      <c r="B3196" s="1" t="n">
        <v>43971</v>
      </c>
      <c r="C3196" s="1" t="n">
        <v>45715</v>
      </c>
      <c r="D3196" t="inlineStr">
        <is>
          <t>KALMAR LÄN</t>
        </is>
      </c>
      <c r="E3196" t="inlineStr">
        <is>
          <t>VIMMERBY</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24005-2020</t>
        </is>
      </c>
      <c r="B3197" s="1" t="n">
        <v>43971</v>
      </c>
      <c r="C3197" s="1" t="n">
        <v>45715</v>
      </c>
      <c r="D3197" t="inlineStr">
        <is>
          <t>KALMAR LÄN</t>
        </is>
      </c>
      <c r="E3197" t="inlineStr">
        <is>
          <t>NYBRO</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23939-2020</t>
        </is>
      </c>
      <c r="B3198" s="1" t="n">
        <v>43971</v>
      </c>
      <c r="C3198" s="1" t="n">
        <v>45715</v>
      </c>
      <c r="D3198" t="inlineStr">
        <is>
          <t>KALMAR LÄN</t>
        </is>
      </c>
      <c r="E3198" t="inlineStr">
        <is>
          <t>HULTSFRED</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23931-2020</t>
        </is>
      </c>
      <c r="B3199" s="1" t="n">
        <v>43971</v>
      </c>
      <c r="C3199" s="1" t="n">
        <v>45715</v>
      </c>
      <c r="D3199" t="inlineStr">
        <is>
          <t>KALMAR LÄN</t>
        </is>
      </c>
      <c r="E3199" t="inlineStr">
        <is>
          <t>HULTSFRED</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23867-2020</t>
        </is>
      </c>
      <c r="B3200" s="1" t="n">
        <v>43971</v>
      </c>
      <c r="C3200" s="1" t="n">
        <v>45715</v>
      </c>
      <c r="D3200" t="inlineStr">
        <is>
          <t>KALMAR LÄN</t>
        </is>
      </c>
      <c r="E3200" t="inlineStr">
        <is>
          <t>OSKARSHAMN</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24016-2020</t>
        </is>
      </c>
      <c r="B3201" s="1" t="n">
        <v>43971</v>
      </c>
      <c r="C3201" s="1" t="n">
        <v>45715</v>
      </c>
      <c r="D3201" t="inlineStr">
        <is>
          <t>KALMAR LÄN</t>
        </is>
      </c>
      <c r="E3201" t="inlineStr">
        <is>
          <t>VIMMERBY</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24189-2020</t>
        </is>
      </c>
      <c r="B3202" s="1" t="n">
        <v>43973</v>
      </c>
      <c r="C3202" s="1" t="n">
        <v>45715</v>
      </c>
      <c r="D3202" t="inlineStr">
        <is>
          <t>KALMAR LÄN</t>
        </is>
      </c>
      <c r="E3202" t="inlineStr">
        <is>
          <t>NYBRO</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24366-2020</t>
        </is>
      </c>
      <c r="B3203" s="1" t="n">
        <v>43973</v>
      </c>
      <c r="C3203" s="1" t="n">
        <v>45715</v>
      </c>
      <c r="D3203" t="inlineStr">
        <is>
          <t>KALMAR LÄN</t>
        </is>
      </c>
      <c r="E3203" t="inlineStr">
        <is>
          <t>VÄSTERVIK</t>
        </is>
      </c>
      <c r="G3203" t="n">
        <v>6.9</v>
      </c>
      <c r="H3203" t="n">
        <v>0</v>
      </c>
      <c r="I3203" t="n">
        <v>0</v>
      </c>
      <c r="J3203" t="n">
        <v>0</v>
      </c>
      <c r="K3203" t="n">
        <v>0</v>
      </c>
      <c r="L3203" t="n">
        <v>0</v>
      </c>
      <c r="M3203" t="n">
        <v>0</v>
      </c>
      <c r="N3203" t="n">
        <v>0</v>
      </c>
      <c r="O3203" t="n">
        <v>0</v>
      </c>
      <c r="P3203" t="n">
        <v>0</v>
      </c>
      <c r="Q3203" t="n">
        <v>0</v>
      </c>
      <c r="R3203" s="2" t="inlineStr"/>
    </row>
    <row r="3204" ht="15" customHeight="1">
      <c r="A3204" t="inlineStr">
        <is>
          <t>A 24169-2020</t>
        </is>
      </c>
      <c r="B3204" s="1" t="n">
        <v>43975</v>
      </c>
      <c r="C3204" s="1" t="n">
        <v>45715</v>
      </c>
      <c r="D3204" t="inlineStr">
        <is>
          <t>KALMAR LÄN</t>
        </is>
      </c>
      <c r="E3204" t="inlineStr">
        <is>
          <t>NYBRO</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24168-2020</t>
        </is>
      </c>
      <c r="B3205" s="1" t="n">
        <v>43975</v>
      </c>
      <c r="C3205" s="1" t="n">
        <v>45715</v>
      </c>
      <c r="D3205" t="inlineStr">
        <is>
          <t>KALMAR LÄN</t>
        </is>
      </c>
      <c r="E3205" t="inlineStr">
        <is>
          <t>NYBRO</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24170-2020</t>
        </is>
      </c>
      <c r="B3206" s="1" t="n">
        <v>43975</v>
      </c>
      <c r="C3206" s="1" t="n">
        <v>45715</v>
      </c>
      <c r="D3206" t="inlineStr">
        <is>
          <t>KALMAR LÄN</t>
        </is>
      </c>
      <c r="E3206" t="inlineStr">
        <is>
          <t>NYBRO</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24325-2020</t>
        </is>
      </c>
      <c r="B3207" s="1" t="n">
        <v>43976</v>
      </c>
      <c r="C3207" s="1" t="n">
        <v>45715</v>
      </c>
      <c r="D3207" t="inlineStr">
        <is>
          <t>KALMAR LÄN</t>
        </is>
      </c>
      <c r="E3207" t="inlineStr">
        <is>
          <t>OSKARSHAMN</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24316-2020</t>
        </is>
      </c>
      <c r="B3208" s="1" t="n">
        <v>43976</v>
      </c>
      <c r="C3208" s="1" t="n">
        <v>45715</v>
      </c>
      <c r="D3208" t="inlineStr">
        <is>
          <t>KALMAR LÄN</t>
        </is>
      </c>
      <c r="E3208" t="inlineStr">
        <is>
          <t>OSKARSHAMN</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24324-2020</t>
        </is>
      </c>
      <c r="B3209" s="1" t="n">
        <v>43976</v>
      </c>
      <c r="C3209" s="1" t="n">
        <v>45715</v>
      </c>
      <c r="D3209" t="inlineStr">
        <is>
          <t>KALMAR LÄN</t>
        </is>
      </c>
      <c r="E3209" t="inlineStr">
        <is>
          <t>OSKARSHAMN</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24320-2020</t>
        </is>
      </c>
      <c r="B3210" s="1" t="n">
        <v>43976</v>
      </c>
      <c r="C3210" s="1" t="n">
        <v>45715</v>
      </c>
      <c r="D3210" t="inlineStr">
        <is>
          <t>KALMAR LÄN</t>
        </is>
      </c>
      <c r="E3210" t="inlineStr">
        <is>
          <t>OSKARSHAMN</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24441-2020</t>
        </is>
      </c>
      <c r="B3211" s="1" t="n">
        <v>43977</v>
      </c>
      <c r="C3211" s="1" t="n">
        <v>45715</v>
      </c>
      <c r="D3211" t="inlineStr">
        <is>
          <t>KALMAR LÄN</t>
        </is>
      </c>
      <c r="E3211" t="inlineStr">
        <is>
          <t>HULTSFRED</t>
        </is>
      </c>
      <c r="F3211" t="inlineStr">
        <is>
          <t>Sveaskog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24575-2020</t>
        </is>
      </c>
      <c r="B3212" s="1" t="n">
        <v>43977</v>
      </c>
      <c r="C3212" s="1" t="n">
        <v>45715</v>
      </c>
      <c r="D3212" t="inlineStr">
        <is>
          <t>KALMAR LÄN</t>
        </is>
      </c>
      <c r="E3212" t="inlineStr">
        <is>
          <t>VÄSTERVIK</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24576-2020</t>
        </is>
      </c>
      <c r="B3213" s="1" t="n">
        <v>43977</v>
      </c>
      <c r="C3213" s="1" t="n">
        <v>45715</v>
      </c>
      <c r="D3213" t="inlineStr">
        <is>
          <t>KALMAR LÄN</t>
        </is>
      </c>
      <c r="E3213" t="inlineStr">
        <is>
          <t>KALMAR</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24447-2020</t>
        </is>
      </c>
      <c r="B3214" s="1" t="n">
        <v>43977</v>
      </c>
      <c r="C3214" s="1" t="n">
        <v>45715</v>
      </c>
      <c r="D3214" t="inlineStr">
        <is>
          <t>KALMAR LÄN</t>
        </is>
      </c>
      <c r="E3214" t="inlineStr">
        <is>
          <t>HULTSFRED</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24570-2020</t>
        </is>
      </c>
      <c r="B3215" s="1" t="n">
        <v>43977</v>
      </c>
      <c r="C3215" s="1" t="n">
        <v>45715</v>
      </c>
      <c r="D3215" t="inlineStr">
        <is>
          <t>KALMAR LÄN</t>
        </is>
      </c>
      <c r="E3215" t="inlineStr">
        <is>
          <t>VÄSTERVIK</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24442-2020</t>
        </is>
      </c>
      <c r="B3216" s="1" t="n">
        <v>43977</v>
      </c>
      <c r="C3216" s="1" t="n">
        <v>45715</v>
      </c>
      <c r="D3216" t="inlineStr">
        <is>
          <t>KALMAR LÄN</t>
        </is>
      </c>
      <c r="E3216" t="inlineStr">
        <is>
          <t>HULTSFRED</t>
        </is>
      </c>
      <c r="F3216" t="inlineStr">
        <is>
          <t>Sveaskog</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24677-2020</t>
        </is>
      </c>
      <c r="B3217" s="1" t="n">
        <v>43978</v>
      </c>
      <c r="C3217" s="1" t="n">
        <v>45715</v>
      </c>
      <c r="D3217" t="inlineStr">
        <is>
          <t>KALMAR LÄN</t>
        </is>
      </c>
      <c r="E3217" t="inlineStr">
        <is>
          <t>VÄSTERVIK</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24770-2020</t>
        </is>
      </c>
      <c r="B3218" s="1" t="n">
        <v>43978</v>
      </c>
      <c r="C3218" s="1" t="n">
        <v>45715</v>
      </c>
      <c r="D3218" t="inlineStr">
        <is>
          <t>KALMAR LÄN</t>
        </is>
      </c>
      <c r="E3218" t="inlineStr">
        <is>
          <t>VIMMERBY</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24784-2020</t>
        </is>
      </c>
      <c r="B3219" s="1" t="n">
        <v>43978</v>
      </c>
      <c r="C3219" s="1" t="n">
        <v>45715</v>
      </c>
      <c r="D3219" t="inlineStr">
        <is>
          <t>KALMAR LÄN</t>
        </is>
      </c>
      <c r="E3219" t="inlineStr">
        <is>
          <t>VIMMERBY</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24782-2020</t>
        </is>
      </c>
      <c r="B3220" s="1" t="n">
        <v>43978</v>
      </c>
      <c r="C3220" s="1" t="n">
        <v>45715</v>
      </c>
      <c r="D3220" t="inlineStr">
        <is>
          <t>KALMAR LÄN</t>
        </is>
      </c>
      <c r="E3220" t="inlineStr">
        <is>
          <t>VIMMERBY</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25266-2020</t>
        </is>
      </c>
      <c r="B3221" s="1" t="n">
        <v>43979</v>
      </c>
      <c r="C3221" s="1" t="n">
        <v>45715</v>
      </c>
      <c r="D3221" t="inlineStr">
        <is>
          <t>KALMAR LÄN</t>
        </is>
      </c>
      <c r="E3221" t="inlineStr">
        <is>
          <t>EMMABODA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24947-2020</t>
        </is>
      </c>
      <c r="B3222" s="1" t="n">
        <v>43979</v>
      </c>
      <c r="C3222" s="1" t="n">
        <v>45715</v>
      </c>
      <c r="D3222" t="inlineStr">
        <is>
          <t>KALMAR LÄN</t>
        </is>
      </c>
      <c r="E3222" t="inlineStr">
        <is>
          <t>HÖGSBY</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25257-2020</t>
        </is>
      </c>
      <c r="B3223" s="1" t="n">
        <v>43979</v>
      </c>
      <c r="C3223" s="1" t="n">
        <v>45715</v>
      </c>
      <c r="D3223" t="inlineStr">
        <is>
          <t>KALMAR LÄN</t>
        </is>
      </c>
      <c r="E3223" t="inlineStr">
        <is>
          <t>EMMABODA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24902-2020</t>
        </is>
      </c>
      <c r="B3224" s="1" t="n">
        <v>43979</v>
      </c>
      <c r="C3224" s="1" t="n">
        <v>45715</v>
      </c>
      <c r="D3224" t="inlineStr">
        <is>
          <t>KALMAR LÄN</t>
        </is>
      </c>
      <c r="E3224" t="inlineStr">
        <is>
          <t>OSKARSHAMN</t>
        </is>
      </c>
      <c r="F3224" t="inlineStr">
        <is>
          <t>Sveaskog</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25130-2020</t>
        </is>
      </c>
      <c r="B3225" s="1" t="n">
        <v>43980</v>
      </c>
      <c r="C3225" s="1" t="n">
        <v>45715</v>
      </c>
      <c r="D3225" t="inlineStr">
        <is>
          <t>KALMAR LÄN</t>
        </is>
      </c>
      <c r="E3225" t="inlineStr">
        <is>
          <t>NYBRO</t>
        </is>
      </c>
      <c r="F3225" t="inlineStr">
        <is>
          <t>Kommuner</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25241-2020</t>
        </is>
      </c>
      <c r="B3226" s="1" t="n">
        <v>43980</v>
      </c>
      <c r="C3226" s="1" t="n">
        <v>45715</v>
      </c>
      <c r="D3226" t="inlineStr">
        <is>
          <t>KALMAR LÄN</t>
        </is>
      </c>
      <c r="E3226" t="inlineStr">
        <is>
          <t>VÄSTERVIK</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25646-2020</t>
        </is>
      </c>
      <c r="B3227" s="1" t="n">
        <v>43983</v>
      </c>
      <c r="C3227" s="1" t="n">
        <v>45715</v>
      </c>
      <c r="D3227" t="inlineStr">
        <is>
          <t>KALMAR LÄN</t>
        </is>
      </c>
      <c r="E3227" t="inlineStr">
        <is>
          <t>KALMAR</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25709-2020</t>
        </is>
      </c>
      <c r="B3228" s="1" t="n">
        <v>43984</v>
      </c>
      <c r="C3228" s="1" t="n">
        <v>45715</v>
      </c>
      <c r="D3228" t="inlineStr">
        <is>
          <t>KALMAR LÄN</t>
        </is>
      </c>
      <c r="E3228" t="inlineStr">
        <is>
          <t>EMMABODA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25730-2020</t>
        </is>
      </c>
      <c r="B3229" s="1" t="n">
        <v>43984</v>
      </c>
      <c r="C3229" s="1" t="n">
        <v>45715</v>
      </c>
      <c r="D3229" t="inlineStr">
        <is>
          <t>KALMAR LÄN</t>
        </is>
      </c>
      <c r="E3229" t="inlineStr">
        <is>
          <t>KALMAR</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25761-2020</t>
        </is>
      </c>
      <c r="B3230" s="1" t="n">
        <v>43984</v>
      </c>
      <c r="C3230" s="1" t="n">
        <v>45715</v>
      </c>
      <c r="D3230" t="inlineStr">
        <is>
          <t>KALMAR LÄN</t>
        </is>
      </c>
      <c r="E3230" t="inlineStr">
        <is>
          <t>VIMMERBY</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26226-2020</t>
        </is>
      </c>
      <c r="B3231" s="1" t="n">
        <v>43985</v>
      </c>
      <c r="C3231" s="1" t="n">
        <v>45715</v>
      </c>
      <c r="D3231" t="inlineStr">
        <is>
          <t>KALMAR LÄN</t>
        </is>
      </c>
      <c r="E3231" t="inlineStr">
        <is>
          <t>VÄSTERVIK</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25943-2020</t>
        </is>
      </c>
      <c r="B3232" s="1" t="n">
        <v>43985</v>
      </c>
      <c r="C3232" s="1" t="n">
        <v>45715</v>
      </c>
      <c r="D3232" t="inlineStr">
        <is>
          <t>KALMAR LÄN</t>
        </is>
      </c>
      <c r="E3232" t="inlineStr">
        <is>
          <t>NYBRO</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26129-2020</t>
        </is>
      </c>
      <c r="B3233" s="1" t="n">
        <v>43985</v>
      </c>
      <c r="C3233" s="1" t="n">
        <v>45715</v>
      </c>
      <c r="D3233" t="inlineStr">
        <is>
          <t>KALMAR LÄN</t>
        </is>
      </c>
      <c r="E3233" t="inlineStr">
        <is>
          <t>VÄSTERVIK</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26327-2020</t>
        </is>
      </c>
      <c r="B3234" s="1" t="n">
        <v>43986</v>
      </c>
      <c r="C3234" s="1" t="n">
        <v>45715</v>
      </c>
      <c r="D3234" t="inlineStr">
        <is>
          <t>KALMAR LÄN</t>
        </is>
      </c>
      <c r="E3234" t="inlineStr">
        <is>
          <t>HULTSFRED</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26207-2020</t>
        </is>
      </c>
      <c r="B3235" s="1" t="n">
        <v>43986</v>
      </c>
      <c r="C3235" s="1" t="n">
        <v>45715</v>
      </c>
      <c r="D3235" t="inlineStr">
        <is>
          <t>KALMAR LÄN</t>
        </is>
      </c>
      <c r="E3235" t="inlineStr">
        <is>
          <t>HULTSFRED</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26503-2020</t>
        </is>
      </c>
      <c r="B3236" s="1" t="n">
        <v>43987</v>
      </c>
      <c r="C3236" s="1" t="n">
        <v>45715</v>
      </c>
      <c r="D3236" t="inlineStr">
        <is>
          <t>KALMAR LÄN</t>
        </is>
      </c>
      <c r="E3236" t="inlineStr">
        <is>
          <t>NYBRO</t>
        </is>
      </c>
      <c r="F3236" t="inlineStr">
        <is>
          <t>Sveaskog</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26552-2020</t>
        </is>
      </c>
      <c r="B3237" s="1" t="n">
        <v>43987</v>
      </c>
      <c r="C3237" s="1" t="n">
        <v>45715</v>
      </c>
      <c r="D3237" t="inlineStr">
        <is>
          <t>KALMAR LÄN</t>
        </is>
      </c>
      <c r="E3237" t="inlineStr">
        <is>
          <t>NYBRO</t>
        </is>
      </c>
      <c r="F3237" t="inlineStr">
        <is>
          <t>Sveaskog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26418-2020</t>
        </is>
      </c>
      <c r="B3238" s="1" t="n">
        <v>43987</v>
      </c>
      <c r="C3238" s="1" t="n">
        <v>45715</v>
      </c>
      <c r="D3238" t="inlineStr">
        <is>
          <t>KALMAR LÄN</t>
        </is>
      </c>
      <c r="E3238" t="inlineStr">
        <is>
          <t>HÖGSBY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26842-2020</t>
        </is>
      </c>
      <c r="B3239" s="1" t="n">
        <v>43987</v>
      </c>
      <c r="C3239" s="1" t="n">
        <v>45715</v>
      </c>
      <c r="D3239" t="inlineStr">
        <is>
          <t>KALMAR LÄN</t>
        </is>
      </c>
      <c r="E3239" t="inlineStr">
        <is>
          <t>VÄSTERVIK</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26649-2020</t>
        </is>
      </c>
      <c r="B3240" s="1" t="n">
        <v>43988</v>
      </c>
      <c r="C3240" s="1" t="n">
        <v>45715</v>
      </c>
      <c r="D3240" t="inlineStr">
        <is>
          <t>KALMAR LÄN</t>
        </is>
      </c>
      <c r="E3240" t="inlineStr">
        <is>
          <t>TORSÅS</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26650-2020</t>
        </is>
      </c>
      <c r="B3241" s="1" t="n">
        <v>43988</v>
      </c>
      <c r="C3241" s="1" t="n">
        <v>45715</v>
      </c>
      <c r="D3241" t="inlineStr">
        <is>
          <t>KALMAR LÄN</t>
        </is>
      </c>
      <c r="E3241" t="inlineStr">
        <is>
          <t>TORSÅS</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26723-2020</t>
        </is>
      </c>
      <c r="B3242" s="1" t="n">
        <v>43990</v>
      </c>
      <c r="C3242" s="1" t="n">
        <v>45715</v>
      </c>
      <c r="D3242" t="inlineStr">
        <is>
          <t>KALMAR LÄN</t>
        </is>
      </c>
      <c r="E3242" t="inlineStr">
        <is>
          <t>VIMMERBY</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27104-2020</t>
        </is>
      </c>
      <c r="B3243" s="1" t="n">
        <v>43991</v>
      </c>
      <c r="C3243" s="1" t="n">
        <v>45715</v>
      </c>
      <c r="D3243" t="inlineStr">
        <is>
          <t>KALMAR LÄN</t>
        </is>
      </c>
      <c r="E3243" t="inlineStr">
        <is>
          <t>VIMMERBY</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27159-2020</t>
        </is>
      </c>
      <c r="B3244" s="1" t="n">
        <v>43991</v>
      </c>
      <c r="C3244" s="1" t="n">
        <v>45715</v>
      </c>
      <c r="D3244" t="inlineStr">
        <is>
          <t>KALMAR LÄN</t>
        </is>
      </c>
      <c r="E3244" t="inlineStr">
        <is>
          <t>HÖGSBY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27210-2020</t>
        </is>
      </c>
      <c r="B3245" s="1" t="n">
        <v>43991</v>
      </c>
      <c r="C3245" s="1" t="n">
        <v>45715</v>
      </c>
      <c r="D3245" t="inlineStr">
        <is>
          <t>KALMAR LÄN</t>
        </is>
      </c>
      <c r="E3245" t="inlineStr">
        <is>
          <t>NYBRO</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27211-2020</t>
        </is>
      </c>
      <c r="B3246" s="1" t="n">
        <v>43991</v>
      </c>
      <c r="C3246" s="1" t="n">
        <v>45715</v>
      </c>
      <c r="D3246" t="inlineStr">
        <is>
          <t>KALMAR LÄN</t>
        </is>
      </c>
      <c r="E3246" t="inlineStr">
        <is>
          <t>NYBRO</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27212-2020</t>
        </is>
      </c>
      <c r="B3247" s="1" t="n">
        <v>43992</v>
      </c>
      <c r="C3247" s="1" t="n">
        <v>45715</v>
      </c>
      <c r="D3247" t="inlineStr">
        <is>
          <t>KALMAR LÄN</t>
        </is>
      </c>
      <c r="E3247" t="inlineStr">
        <is>
          <t>VIMMERBY</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27316-2020</t>
        </is>
      </c>
      <c r="B3248" s="1" t="n">
        <v>43992</v>
      </c>
      <c r="C3248" s="1" t="n">
        <v>45715</v>
      </c>
      <c r="D3248" t="inlineStr">
        <is>
          <t>KALMAR LÄN</t>
        </is>
      </c>
      <c r="E3248" t="inlineStr">
        <is>
          <t>VIMMERBY</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27214-2020</t>
        </is>
      </c>
      <c r="B3249" s="1" t="n">
        <v>43992</v>
      </c>
      <c r="C3249" s="1" t="n">
        <v>45715</v>
      </c>
      <c r="D3249" t="inlineStr">
        <is>
          <t>KALMAR LÄN</t>
        </is>
      </c>
      <c r="E3249" t="inlineStr">
        <is>
          <t>VIMMERBY</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27287-2020</t>
        </is>
      </c>
      <c r="B3250" s="1" t="n">
        <v>43992</v>
      </c>
      <c r="C3250" s="1" t="n">
        <v>45715</v>
      </c>
      <c r="D3250" t="inlineStr">
        <is>
          <t>KALMAR LÄN</t>
        </is>
      </c>
      <c r="E3250" t="inlineStr">
        <is>
          <t>MÖNSTERÅS</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27213-2020</t>
        </is>
      </c>
      <c r="B3251" s="1" t="n">
        <v>43992</v>
      </c>
      <c r="C3251" s="1" t="n">
        <v>45715</v>
      </c>
      <c r="D3251" t="inlineStr">
        <is>
          <t>KALMAR LÄN</t>
        </is>
      </c>
      <c r="E3251" t="inlineStr">
        <is>
          <t>VIMMERBY</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27236-2020</t>
        </is>
      </c>
      <c r="B3252" s="1" t="n">
        <v>43992</v>
      </c>
      <c r="C3252" s="1" t="n">
        <v>45715</v>
      </c>
      <c r="D3252" t="inlineStr">
        <is>
          <t>KALMAR LÄN</t>
        </is>
      </c>
      <c r="E3252" t="inlineStr">
        <is>
          <t>VIMMERBY</t>
        </is>
      </c>
      <c r="F3252" t="inlineStr">
        <is>
          <t>Sveaskog</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27364-2020</t>
        </is>
      </c>
      <c r="B3253" s="1" t="n">
        <v>43992</v>
      </c>
      <c r="C3253" s="1" t="n">
        <v>45715</v>
      </c>
      <c r="D3253" t="inlineStr">
        <is>
          <t>KALMAR LÄN</t>
        </is>
      </c>
      <c r="E3253" t="inlineStr">
        <is>
          <t>MÖNSTERÅS</t>
        </is>
      </c>
      <c r="F3253" t="inlineStr">
        <is>
          <t>Kommuner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27541-2020</t>
        </is>
      </c>
      <c r="B3254" s="1" t="n">
        <v>43993</v>
      </c>
      <c r="C3254" s="1" t="n">
        <v>45715</v>
      </c>
      <c r="D3254" t="inlineStr">
        <is>
          <t>KALMAR LÄN</t>
        </is>
      </c>
      <c r="E3254" t="inlineStr">
        <is>
          <t>HÖGSBY</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27567-2020</t>
        </is>
      </c>
      <c r="B3255" s="1" t="n">
        <v>43993</v>
      </c>
      <c r="C3255" s="1" t="n">
        <v>45715</v>
      </c>
      <c r="D3255" t="inlineStr">
        <is>
          <t>KALMAR LÄN</t>
        </is>
      </c>
      <c r="E3255" t="inlineStr">
        <is>
          <t>NYBRO</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28015-2020</t>
        </is>
      </c>
      <c r="B3256" s="1" t="n">
        <v>43993</v>
      </c>
      <c r="C3256" s="1" t="n">
        <v>45715</v>
      </c>
      <c r="D3256" t="inlineStr">
        <is>
          <t>KALMAR LÄN</t>
        </is>
      </c>
      <c r="E3256" t="inlineStr">
        <is>
          <t>OSKARSHAMN</t>
        </is>
      </c>
      <c r="G3256" t="n">
        <v>17.7</v>
      </c>
      <c r="H3256" t="n">
        <v>0</v>
      </c>
      <c r="I3256" t="n">
        <v>0</v>
      </c>
      <c r="J3256" t="n">
        <v>0</v>
      </c>
      <c r="K3256" t="n">
        <v>0</v>
      </c>
      <c r="L3256" t="n">
        <v>0</v>
      </c>
      <c r="M3256" t="n">
        <v>0</v>
      </c>
      <c r="N3256" t="n">
        <v>0</v>
      </c>
      <c r="O3256" t="n">
        <v>0</v>
      </c>
      <c r="P3256" t="n">
        <v>0</v>
      </c>
      <c r="Q3256" t="n">
        <v>0</v>
      </c>
      <c r="R3256" s="2" t="inlineStr"/>
    </row>
    <row r="3257" ht="15" customHeight="1">
      <c r="A3257" t="inlineStr">
        <is>
          <t>A 28019-2020</t>
        </is>
      </c>
      <c r="B3257" s="1" t="n">
        <v>43993</v>
      </c>
      <c r="C3257" s="1" t="n">
        <v>45715</v>
      </c>
      <c r="D3257" t="inlineStr">
        <is>
          <t>KALMAR LÄN</t>
        </is>
      </c>
      <c r="E3257" t="inlineStr">
        <is>
          <t>OSKARSHAMN</t>
        </is>
      </c>
      <c r="G3257" t="n">
        <v>9.6</v>
      </c>
      <c r="H3257" t="n">
        <v>0</v>
      </c>
      <c r="I3257" t="n">
        <v>0</v>
      </c>
      <c r="J3257" t="n">
        <v>0</v>
      </c>
      <c r="K3257" t="n">
        <v>0</v>
      </c>
      <c r="L3257" t="n">
        <v>0</v>
      </c>
      <c r="M3257" t="n">
        <v>0</v>
      </c>
      <c r="N3257" t="n">
        <v>0</v>
      </c>
      <c r="O3257" t="n">
        <v>0</v>
      </c>
      <c r="P3257" t="n">
        <v>0</v>
      </c>
      <c r="Q3257" t="n">
        <v>0</v>
      </c>
      <c r="R3257" s="2" t="inlineStr"/>
    </row>
    <row r="3258" ht="15" customHeight="1">
      <c r="A3258" t="inlineStr">
        <is>
          <t>A 27864-2020</t>
        </is>
      </c>
      <c r="B3258" s="1" t="n">
        <v>43994</v>
      </c>
      <c r="C3258" s="1" t="n">
        <v>45715</v>
      </c>
      <c r="D3258" t="inlineStr">
        <is>
          <t>KALMAR LÄN</t>
        </is>
      </c>
      <c r="E3258" t="inlineStr">
        <is>
          <t>HÖGSBY</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27701-2020</t>
        </is>
      </c>
      <c r="B3259" s="1" t="n">
        <v>43994</v>
      </c>
      <c r="C3259" s="1" t="n">
        <v>45715</v>
      </c>
      <c r="D3259" t="inlineStr">
        <is>
          <t>KALMAR LÄN</t>
        </is>
      </c>
      <c r="E3259" t="inlineStr">
        <is>
          <t>HULTSFRED</t>
        </is>
      </c>
      <c r="F3259" t="inlineStr">
        <is>
          <t>Kyrkan</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27979-2020</t>
        </is>
      </c>
      <c r="B3260" s="1" t="n">
        <v>43997</v>
      </c>
      <c r="C3260" s="1" t="n">
        <v>45715</v>
      </c>
      <c r="D3260" t="inlineStr">
        <is>
          <t>KALMAR LÄN</t>
        </is>
      </c>
      <c r="E3260" t="inlineStr">
        <is>
          <t>EMMABODA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28592-2020</t>
        </is>
      </c>
      <c r="B3261" s="1" t="n">
        <v>43999</v>
      </c>
      <c r="C3261" s="1" t="n">
        <v>45715</v>
      </c>
      <c r="D3261" t="inlineStr">
        <is>
          <t>KALMAR LÄN</t>
        </is>
      </c>
      <c r="E3261" t="inlineStr">
        <is>
          <t>EMMABODA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28656-2020</t>
        </is>
      </c>
      <c r="B3262" s="1" t="n">
        <v>43999</v>
      </c>
      <c r="C3262" s="1" t="n">
        <v>45715</v>
      </c>
      <c r="D3262" t="inlineStr">
        <is>
          <t>KALMAR LÄN</t>
        </is>
      </c>
      <c r="E3262" t="inlineStr">
        <is>
          <t>HÖGSBY</t>
        </is>
      </c>
      <c r="F3262" t="inlineStr">
        <is>
          <t>Sveaskog</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28584-2020</t>
        </is>
      </c>
      <c r="B3263" s="1" t="n">
        <v>43999</v>
      </c>
      <c r="C3263" s="1" t="n">
        <v>45715</v>
      </c>
      <c r="D3263" t="inlineStr">
        <is>
          <t>KALMAR LÄN</t>
        </is>
      </c>
      <c r="E3263" t="inlineStr">
        <is>
          <t>BORGHOLM</t>
        </is>
      </c>
      <c r="G3263" t="n">
        <v>10.9</v>
      </c>
      <c r="H3263" t="n">
        <v>0</v>
      </c>
      <c r="I3263" t="n">
        <v>0</v>
      </c>
      <c r="J3263" t="n">
        <v>0</v>
      </c>
      <c r="K3263" t="n">
        <v>0</v>
      </c>
      <c r="L3263" t="n">
        <v>0</v>
      </c>
      <c r="M3263" t="n">
        <v>0</v>
      </c>
      <c r="N3263" t="n">
        <v>0</v>
      </c>
      <c r="O3263" t="n">
        <v>0</v>
      </c>
      <c r="P3263" t="n">
        <v>0</v>
      </c>
      <c r="Q3263" t="n">
        <v>0</v>
      </c>
      <c r="R3263" s="2" t="inlineStr"/>
    </row>
    <row r="3264" ht="15" customHeight="1">
      <c r="A3264" t="inlineStr">
        <is>
          <t>A 28722-2020</t>
        </is>
      </c>
      <c r="B3264" s="1" t="n">
        <v>43999</v>
      </c>
      <c r="C3264" s="1" t="n">
        <v>45715</v>
      </c>
      <c r="D3264" t="inlineStr">
        <is>
          <t>KALMAR LÄN</t>
        </is>
      </c>
      <c r="E3264" t="inlineStr">
        <is>
          <t>HULTSFRED</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28817-2020</t>
        </is>
      </c>
      <c r="B3265" s="1" t="n">
        <v>44000</v>
      </c>
      <c r="C3265" s="1" t="n">
        <v>45715</v>
      </c>
      <c r="D3265" t="inlineStr">
        <is>
          <t>KALMAR LÄN</t>
        </is>
      </c>
      <c r="E3265" t="inlineStr">
        <is>
          <t>MÖNSTERÅS</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28853-2020</t>
        </is>
      </c>
      <c r="B3266" s="1" t="n">
        <v>44000</v>
      </c>
      <c r="C3266" s="1" t="n">
        <v>45715</v>
      </c>
      <c r="D3266" t="inlineStr">
        <is>
          <t>KALMAR LÄN</t>
        </is>
      </c>
      <c r="E3266" t="inlineStr">
        <is>
          <t>VIMMERBY</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28811-2020</t>
        </is>
      </c>
      <c r="B3267" s="1" t="n">
        <v>44000</v>
      </c>
      <c r="C3267" s="1" t="n">
        <v>45715</v>
      </c>
      <c r="D3267" t="inlineStr">
        <is>
          <t>KALMAR LÄN</t>
        </is>
      </c>
      <c r="E3267" t="inlineStr">
        <is>
          <t>MÖNSTERÅS</t>
        </is>
      </c>
      <c r="G3267" t="n">
        <v>7.2</v>
      </c>
      <c r="H3267" t="n">
        <v>0</v>
      </c>
      <c r="I3267" t="n">
        <v>0</v>
      </c>
      <c r="J3267" t="n">
        <v>0</v>
      </c>
      <c r="K3267" t="n">
        <v>0</v>
      </c>
      <c r="L3267" t="n">
        <v>0</v>
      </c>
      <c r="M3267" t="n">
        <v>0</v>
      </c>
      <c r="N3267" t="n">
        <v>0</v>
      </c>
      <c r="O3267" t="n">
        <v>0</v>
      </c>
      <c r="P3267" t="n">
        <v>0</v>
      </c>
      <c r="Q3267" t="n">
        <v>0</v>
      </c>
      <c r="R3267" s="2" t="inlineStr"/>
    </row>
    <row r="3268" ht="15" customHeight="1">
      <c r="A3268" t="inlineStr">
        <is>
          <t>A 28885-2020</t>
        </is>
      </c>
      <c r="B3268" s="1" t="n">
        <v>44000</v>
      </c>
      <c r="C3268" s="1" t="n">
        <v>45715</v>
      </c>
      <c r="D3268" t="inlineStr">
        <is>
          <t>KALMAR LÄN</t>
        </is>
      </c>
      <c r="E3268" t="inlineStr">
        <is>
          <t>VIMMERBY</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28969-2020</t>
        </is>
      </c>
      <c r="B3269" s="1" t="n">
        <v>44000</v>
      </c>
      <c r="C3269" s="1" t="n">
        <v>45715</v>
      </c>
      <c r="D3269" t="inlineStr">
        <is>
          <t>KALMAR LÄN</t>
        </is>
      </c>
      <c r="E3269" t="inlineStr">
        <is>
          <t>VIMMERBY</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29086-2020</t>
        </is>
      </c>
      <c r="B3270" s="1" t="n">
        <v>44002</v>
      </c>
      <c r="C3270" s="1" t="n">
        <v>45715</v>
      </c>
      <c r="D3270" t="inlineStr">
        <is>
          <t>KALMAR LÄN</t>
        </is>
      </c>
      <c r="E3270" t="inlineStr">
        <is>
          <t>OSKARSHAMN</t>
        </is>
      </c>
      <c r="G3270" t="n">
        <v>7.7</v>
      </c>
      <c r="H3270" t="n">
        <v>0</v>
      </c>
      <c r="I3270" t="n">
        <v>0</v>
      </c>
      <c r="J3270" t="n">
        <v>0</v>
      </c>
      <c r="K3270" t="n">
        <v>0</v>
      </c>
      <c r="L3270" t="n">
        <v>0</v>
      </c>
      <c r="M3270" t="n">
        <v>0</v>
      </c>
      <c r="N3270" t="n">
        <v>0</v>
      </c>
      <c r="O3270" t="n">
        <v>0</v>
      </c>
      <c r="P3270" t="n">
        <v>0</v>
      </c>
      <c r="Q3270" t="n">
        <v>0</v>
      </c>
      <c r="R3270" s="2" t="inlineStr"/>
    </row>
    <row r="3271" ht="15" customHeight="1">
      <c r="A3271" t="inlineStr">
        <is>
          <t>A 29093-2020</t>
        </is>
      </c>
      <c r="B3271" s="1" t="n">
        <v>44002</v>
      </c>
      <c r="C3271" s="1" t="n">
        <v>45715</v>
      </c>
      <c r="D3271" t="inlineStr">
        <is>
          <t>KALMAR LÄN</t>
        </is>
      </c>
      <c r="E3271" t="inlineStr">
        <is>
          <t>VÄSTERVIK</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29118-2020</t>
        </is>
      </c>
      <c r="B3272" s="1" t="n">
        <v>44004</v>
      </c>
      <c r="C3272" s="1" t="n">
        <v>45715</v>
      </c>
      <c r="D3272" t="inlineStr">
        <is>
          <t>KALMAR LÄN</t>
        </is>
      </c>
      <c r="E3272" t="inlineStr">
        <is>
          <t>MÖNSTERÅS</t>
        </is>
      </c>
      <c r="G3272" t="n">
        <v>0.7</v>
      </c>
      <c r="H3272" t="n">
        <v>0</v>
      </c>
      <c r="I3272" t="n">
        <v>0</v>
      </c>
      <c r="J3272" t="n">
        <v>0</v>
      </c>
      <c r="K3272" t="n">
        <v>0</v>
      </c>
      <c r="L3272" t="n">
        <v>0</v>
      </c>
      <c r="M3272" t="n">
        <v>0</v>
      </c>
      <c r="N3272" t="n">
        <v>0</v>
      </c>
      <c r="O3272" t="n">
        <v>0</v>
      </c>
      <c r="P3272" t="n">
        <v>0</v>
      </c>
      <c r="Q3272" t="n">
        <v>0</v>
      </c>
      <c r="R3272" s="2" t="inlineStr"/>
      <c r="U3272">
        <f>HYPERLINK("https://klasma.github.io/Logging_0861/knärot/A 29118-2020 karta knärot.png", "A 29118-2020")</f>
        <v/>
      </c>
      <c r="V3272">
        <f>HYPERLINK("https://klasma.github.io/Logging_0861/klagomål/A 29118-2020 FSC-klagomål.docx", "A 29118-2020")</f>
        <v/>
      </c>
      <c r="W3272">
        <f>HYPERLINK("https://klasma.github.io/Logging_0861/klagomålsmail/A 29118-2020 FSC-klagomål mail.docx", "A 29118-2020")</f>
        <v/>
      </c>
      <c r="X3272">
        <f>HYPERLINK("https://klasma.github.io/Logging_0861/tillsyn/A 29118-2020 tillsynsbegäran.docx", "A 29118-2020")</f>
        <v/>
      </c>
      <c r="Y3272">
        <f>HYPERLINK("https://klasma.github.io/Logging_0861/tillsynsmail/A 29118-2020 tillsynsbegäran mail.docx", "A 29118-2020")</f>
        <v/>
      </c>
    </row>
    <row r="3273" ht="15" customHeight="1">
      <c r="A3273" t="inlineStr">
        <is>
          <t>A 29122-2020</t>
        </is>
      </c>
      <c r="B3273" s="1" t="n">
        <v>44004</v>
      </c>
      <c r="C3273" s="1" t="n">
        <v>45715</v>
      </c>
      <c r="D3273" t="inlineStr">
        <is>
          <t>KALMAR LÄN</t>
        </is>
      </c>
      <c r="E3273" t="inlineStr">
        <is>
          <t>HULTSFRED</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29235-2020</t>
        </is>
      </c>
      <c r="B3274" s="1" t="n">
        <v>44004</v>
      </c>
      <c r="C3274" s="1" t="n">
        <v>45715</v>
      </c>
      <c r="D3274" t="inlineStr">
        <is>
          <t>KALMAR LÄN</t>
        </is>
      </c>
      <c r="E3274" t="inlineStr">
        <is>
          <t>VIMMERBY</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29264-2020</t>
        </is>
      </c>
      <c r="B3275" s="1" t="n">
        <v>44004</v>
      </c>
      <c r="C3275" s="1" t="n">
        <v>45715</v>
      </c>
      <c r="D3275" t="inlineStr">
        <is>
          <t>KALMAR LÄN</t>
        </is>
      </c>
      <c r="E3275" t="inlineStr">
        <is>
          <t>VÄSTERVIK</t>
        </is>
      </c>
      <c r="G3275" t="n">
        <v>5.5</v>
      </c>
      <c r="H3275" t="n">
        <v>0</v>
      </c>
      <c r="I3275" t="n">
        <v>0</v>
      </c>
      <c r="J3275" t="n">
        <v>0</v>
      </c>
      <c r="K3275" t="n">
        <v>0</v>
      </c>
      <c r="L3275" t="n">
        <v>0</v>
      </c>
      <c r="M3275" t="n">
        <v>0</v>
      </c>
      <c r="N3275" t="n">
        <v>0</v>
      </c>
      <c r="O3275" t="n">
        <v>0</v>
      </c>
      <c r="P3275" t="n">
        <v>0</v>
      </c>
      <c r="Q3275" t="n">
        <v>0</v>
      </c>
      <c r="R3275" s="2" t="inlineStr"/>
    </row>
    <row r="3276" ht="15" customHeight="1">
      <c r="A3276" t="inlineStr">
        <is>
          <t>A 29397-2020</t>
        </is>
      </c>
      <c r="B3276" s="1" t="n">
        <v>44004</v>
      </c>
      <c r="C3276" s="1" t="n">
        <v>45715</v>
      </c>
      <c r="D3276" t="inlineStr">
        <is>
          <t>KALMAR LÄN</t>
        </is>
      </c>
      <c r="E3276" t="inlineStr">
        <is>
          <t>NYBRO</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29387-2020</t>
        </is>
      </c>
      <c r="B3277" s="1" t="n">
        <v>44004</v>
      </c>
      <c r="C3277" s="1" t="n">
        <v>45715</v>
      </c>
      <c r="D3277" t="inlineStr">
        <is>
          <t>KALMAR LÄN</t>
        </is>
      </c>
      <c r="E3277" t="inlineStr">
        <is>
          <t>NYBRO</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29392-2020</t>
        </is>
      </c>
      <c r="B3278" s="1" t="n">
        <v>44004</v>
      </c>
      <c r="C3278" s="1" t="n">
        <v>45715</v>
      </c>
      <c r="D3278" t="inlineStr">
        <is>
          <t>KALMAR LÄN</t>
        </is>
      </c>
      <c r="E3278" t="inlineStr">
        <is>
          <t>NYBRO</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29613-2020</t>
        </is>
      </c>
      <c r="B3279" s="1" t="n">
        <v>44004</v>
      </c>
      <c r="C3279" s="1" t="n">
        <v>45715</v>
      </c>
      <c r="D3279" t="inlineStr">
        <is>
          <t>KALMAR LÄN</t>
        </is>
      </c>
      <c r="E3279" t="inlineStr">
        <is>
          <t>MÖNSTERÅS</t>
        </is>
      </c>
      <c r="G3279" t="n">
        <v>6.3</v>
      </c>
      <c r="H3279" t="n">
        <v>0</v>
      </c>
      <c r="I3279" t="n">
        <v>0</v>
      </c>
      <c r="J3279" t="n">
        <v>0</v>
      </c>
      <c r="K3279" t="n">
        <v>0</v>
      </c>
      <c r="L3279" t="n">
        <v>0</v>
      </c>
      <c r="M3279" t="n">
        <v>0</v>
      </c>
      <c r="N3279" t="n">
        <v>0</v>
      </c>
      <c r="O3279" t="n">
        <v>0</v>
      </c>
      <c r="P3279" t="n">
        <v>0</v>
      </c>
      <c r="Q3279" t="n">
        <v>0</v>
      </c>
      <c r="R3279" s="2" t="inlineStr"/>
    </row>
    <row r="3280" ht="15" customHeight="1">
      <c r="A3280" t="inlineStr">
        <is>
          <t>A 29605-2020</t>
        </is>
      </c>
      <c r="B3280" s="1" t="n">
        <v>44004</v>
      </c>
      <c r="C3280" s="1" t="n">
        <v>45715</v>
      </c>
      <c r="D3280" t="inlineStr">
        <is>
          <t>KALMAR LÄN</t>
        </is>
      </c>
      <c r="E3280" t="inlineStr">
        <is>
          <t>MÖNSTERÅS</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29712-2020</t>
        </is>
      </c>
      <c r="B3281" s="1" t="n">
        <v>44005</v>
      </c>
      <c r="C3281" s="1" t="n">
        <v>45715</v>
      </c>
      <c r="D3281" t="inlineStr">
        <is>
          <t>KALMAR LÄN</t>
        </is>
      </c>
      <c r="E3281" t="inlineStr">
        <is>
          <t>NYBRO</t>
        </is>
      </c>
      <c r="G3281" t="n">
        <v>27.9</v>
      </c>
      <c r="H3281" t="n">
        <v>0</v>
      </c>
      <c r="I3281" t="n">
        <v>0</v>
      </c>
      <c r="J3281" t="n">
        <v>0</v>
      </c>
      <c r="K3281" t="n">
        <v>0</v>
      </c>
      <c r="L3281" t="n">
        <v>0</v>
      </c>
      <c r="M3281" t="n">
        <v>0</v>
      </c>
      <c r="N3281" t="n">
        <v>0</v>
      </c>
      <c r="O3281" t="n">
        <v>0</v>
      </c>
      <c r="P3281" t="n">
        <v>0</v>
      </c>
      <c r="Q3281" t="n">
        <v>0</v>
      </c>
      <c r="R3281" s="2" t="inlineStr"/>
    </row>
    <row r="3282" ht="15" customHeight="1">
      <c r="A3282" t="inlineStr">
        <is>
          <t>A 29767-2020</t>
        </is>
      </c>
      <c r="B3282" s="1" t="n">
        <v>44005</v>
      </c>
      <c r="C3282" s="1" t="n">
        <v>45715</v>
      </c>
      <c r="D3282" t="inlineStr">
        <is>
          <t>KALMAR LÄN</t>
        </is>
      </c>
      <c r="E3282" t="inlineStr">
        <is>
          <t>MÖNSTERÅS</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29717-2020</t>
        </is>
      </c>
      <c r="B3283" s="1" t="n">
        <v>44005</v>
      </c>
      <c r="C3283" s="1" t="n">
        <v>45715</v>
      </c>
      <c r="D3283" t="inlineStr">
        <is>
          <t>KALMAR LÄN</t>
        </is>
      </c>
      <c r="E3283" t="inlineStr">
        <is>
          <t>NYBRO</t>
        </is>
      </c>
      <c r="G3283" t="n">
        <v>23.3</v>
      </c>
      <c r="H3283" t="n">
        <v>0</v>
      </c>
      <c r="I3283" t="n">
        <v>0</v>
      </c>
      <c r="J3283" t="n">
        <v>0</v>
      </c>
      <c r="K3283" t="n">
        <v>0</v>
      </c>
      <c r="L3283" t="n">
        <v>0</v>
      </c>
      <c r="M3283" t="n">
        <v>0</v>
      </c>
      <c r="N3283" t="n">
        <v>0</v>
      </c>
      <c r="O3283" t="n">
        <v>0</v>
      </c>
      <c r="P3283" t="n">
        <v>0</v>
      </c>
      <c r="Q3283" t="n">
        <v>0</v>
      </c>
      <c r="R3283" s="2" t="inlineStr"/>
    </row>
    <row r="3284" ht="15" customHeight="1">
      <c r="A3284" t="inlineStr">
        <is>
          <t>A 29870-2020</t>
        </is>
      </c>
      <c r="B3284" s="1" t="n">
        <v>44006</v>
      </c>
      <c r="C3284" s="1" t="n">
        <v>45715</v>
      </c>
      <c r="D3284" t="inlineStr">
        <is>
          <t>KALMAR LÄN</t>
        </is>
      </c>
      <c r="E3284" t="inlineStr">
        <is>
          <t>HÖGSBY</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29913-2020</t>
        </is>
      </c>
      <c r="B3285" s="1" t="n">
        <v>44006</v>
      </c>
      <c r="C3285" s="1" t="n">
        <v>45715</v>
      </c>
      <c r="D3285" t="inlineStr">
        <is>
          <t>KALMAR LÄN</t>
        </is>
      </c>
      <c r="E3285" t="inlineStr">
        <is>
          <t>VIMMERBY</t>
        </is>
      </c>
      <c r="F3285" t="inlineStr">
        <is>
          <t>Kommuner</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29918-2020</t>
        </is>
      </c>
      <c r="B3286" s="1" t="n">
        <v>44006</v>
      </c>
      <c r="C3286" s="1" t="n">
        <v>45715</v>
      </c>
      <c r="D3286" t="inlineStr">
        <is>
          <t>KALMAR LÄN</t>
        </is>
      </c>
      <c r="E3286" t="inlineStr">
        <is>
          <t>VIMMERBY</t>
        </is>
      </c>
      <c r="F3286" t="inlineStr">
        <is>
          <t>Kommuner</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29979-2020</t>
        </is>
      </c>
      <c r="B3287" s="1" t="n">
        <v>44006</v>
      </c>
      <c r="C3287" s="1" t="n">
        <v>45715</v>
      </c>
      <c r="D3287" t="inlineStr">
        <is>
          <t>KALMAR LÄN</t>
        </is>
      </c>
      <c r="E3287" t="inlineStr">
        <is>
          <t>VIMMERBY</t>
        </is>
      </c>
      <c r="F3287" t="inlineStr">
        <is>
          <t>Kommuner</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30039-2020</t>
        </is>
      </c>
      <c r="B3288" s="1" t="n">
        <v>44006</v>
      </c>
      <c r="C3288" s="1" t="n">
        <v>45715</v>
      </c>
      <c r="D3288" t="inlineStr">
        <is>
          <t>KALMAR LÄN</t>
        </is>
      </c>
      <c r="E3288" t="inlineStr">
        <is>
          <t>NYBRO</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29935-2020</t>
        </is>
      </c>
      <c r="B3289" s="1" t="n">
        <v>44006</v>
      </c>
      <c r="C3289" s="1" t="n">
        <v>45715</v>
      </c>
      <c r="D3289" t="inlineStr">
        <is>
          <t>KALMAR LÄN</t>
        </is>
      </c>
      <c r="E3289" t="inlineStr">
        <is>
          <t>VIMMERBY</t>
        </is>
      </c>
      <c r="F3289" t="inlineStr">
        <is>
          <t>Kommuner</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30203-2020</t>
        </is>
      </c>
      <c r="B3290" s="1" t="n">
        <v>44007</v>
      </c>
      <c r="C3290" s="1" t="n">
        <v>45715</v>
      </c>
      <c r="D3290" t="inlineStr">
        <is>
          <t>KALMAR LÄN</t>
        </is>
      </c>
      <c r="E3290" t="inlineStr">
        <is>
          <t>EMMABODA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30206-2020</t>
        </is>
      </c>
      <c r="B3291" s="1" t="n">
        <v>44007</v>
      </c>
      <c r="C3291" s="1" t="n">
        <v>45715</v>
      </c>
      <c r="D3291" t="inlineStr">
        <is>
          <t>KALMAR LÄN</t>
        </is>
      </c>
      <c r="E3291" t="inlineStr">
        <is>
          <t>VIMMERBY</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30335-2020</t>
        </is>
      </c>
      <c r="B3292" s="1" t="n">
        <v>44007</v>
      </c>
      <c r="C3292" s="1" t="n">
        <v>45715</v>
      </c>
      <c r="D3292" t="inlineStr">
        <is>
          <t>KALMAR LÄN</t>
        </is>
      </c>
      <c r="E3292" t="inlineStr">
        <is>
          <t>KALMAR</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30461-2020</t>
        </is>
      </c>
      <c r="B3293" s="1" t="n">
        <v>44007</v>
      </c>
      <c r="C3293" s="1" t="n">
        <v>45715</v>
      </c>
      <c r="D3293" t="inlineStr">
        <is>
          <t>KALMAR LÄN</t>
        </is>
      </c>
      <c r="E3293" t="inlineStr">
        <is>
          <t>OSKARSHAMN</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30581-2020</t>
        </is>
      </c>
      <c r="B3294" s="1" t="n">
        <v>44008</v>
      </c>
      <c r="C3294" s="1" t="n">
        <v>45715</v>
      </c>
      <c r="D3294" t="inlineStr">
        <is>
          <t>KALMAR LÄN</t>
        </is>
      </c>
      <c r="E3294" t="inlineStr">
        <is>
          <t>VÄSTERVIK</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30578-2020</t>
        </is>
      </c>
      <c r="B3295" s="1" t="n">
        <v>44008</v>
      </c>
      <c r="C3295" s="1" t="n">
        <v>45715</v>
      </c>
      <c r="D3295" t="inlineStr">
        <is>
          <t>KALMAR LÄN</t>
        </is>
      </c>
      <c r="E3295" t="inlineStr">
        <is>
          <t>VÄSTERVIK</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30692-2020</t>
        </is>
      </c>
      <c r="B3296" s="1" t="n">
        <v>44008</v>
      </c>
      <c r="C3296" s="1" t="n">
        <v>45715</v>
      </c>
      <c r="D3296" t="inlineStr">
        <is>
          <t>KALMAR LÄN</t>
        </is>
      </c>
      <c r="E3296" t="inlineStr">
        <is>
          <t>MÖNSTERÅS</t>
        </is>
      </c>
      <c r="G3296" t="n">
        <v>12.6</v>
      </c>
      <c r="H3296" t="n">
        <v>0</v>
      </c>
      <c r="I3296" t="n">
        <v>0</v>
      </c>
      <c r="J3296" t="n">
        <v>0</v>
      </c>
      <c r="K3296" t="n">
        <v>0</v>
      </c>
      <c r="L3296" t="n">
        <v>0</v>
      </c>
      <c r="M3296" t="n">
        <v>0</v>
      </c>
      <c r="N3296" t="n">
        <v>0</v>
      </c>
      <c r="O3296" t="n">
        <v>0</v>
      </c>
      <c r="P3296" t="n">
        <v>0</v>
      </c>
      <c r="Q3296" t="n">
        <v>0</v>
      </c>
      <c r="R3296" s="2" t="inlineStr"/>
    </row>
    <row r="3297" ht="15" customHeight="1">
      <c r="A3297" t="inlineStr">
        <is>
          <t>A 30705-2020</t>
        </is>
      </c>
      <c r="B3297" s="1" t="n">
        <v>44008</v>
      </c>
      <c r="C3297" s="1" t="n">
        <v>45715</v>
      </c>
      <c r="D3297" t="inlineStr">
        <is>
          <t>KALMAR LÄN</t>
        </is>
      </c>
      <c r="E3297" t="inlineStr">
        <is>
          <t>MÖNSTERÅS</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30713-2020</t>
        </is>
      </c>
      <c r="B3298" s="1" t="n">
        <v>44008</v>
      </c>
      <c r="C3298" s="1" t="n">
        <v>45715</v>
      </c>
      <c r="D3298" t="inlineStr">
        <is>
          <t>KALMAR LÄN</t>
        </is>
      </c>
      <c r="E3298" t="inlineStr">
        <is>
          <t>MÖNSTERÅS</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30775-2020</t>
        </is>
      </c>
      <c r="B3299" s="1" t="n">
        <v>44009</v>
      </c>
      <c r="C3299" s="1" t="n">
        <v>45715</v>
      </c>
      <c r="D3299" t="inlineStr">
        <is>
          <t>KALMAR LÄN</t>
        </is>
      </c>
      <c r="E3299" t="inlineStr">
        <is>
          <t>NYBRO</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30774-2020</t>
        </is>
      </c>
      <c r="B3300" s="1" t="n">
        <v>44009</v>
      </c>
      <c r="C3300" s="1" t="n">
        <v>45715</v>
      </c>
      <c r="D3300" t="inlineStr">
        <is>
          <t>KALMAR LÄN</t>
        </is>
      </c>
      <c r="E3300" t="inlineStr">
        <is>
          <t>NYBRO</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30773-2020</t>
        </is>
      </c>
      <c r="B3301" s="1" t="n">
        <v>44009</v>
      </c>
      <c r="C3301" s="1" t="n">
        <v>45715</v>
      </c>
      <c r="D3301" t="inlineStr">
        <is>
          <t>KALMAR LÄN</t>
        </is>
      </c>
      <c r="E3301" t="inlineStr">
        <is>
          <t>NYBRO</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30833-2020</t>
        </is>
      </c>
      <c r="B3302" s="1" t="n">
        <v>44011</v>
      </c>
      <c r="C3302" s="1" t="n">
        <v>45715</v>
      </c>
      <c r="D3302" t="inlineStr">
        <is>
          <t>KALMAR LÄN</t>
        </is>
      </c>
      <c r="E3302" t="inlineStr">
        <is>
          <t>OSKARSHAMN</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31147-2020</t>
        </is>
      </c>
      <c r="B3303" s="1" t="n">
        <v>44012</v>
      </c>
      <c r="C3303" s="1" t="n">
        <v>45715</v>
      </c>
      <c r="D3303" t="inlineStr">
        <is>
          <t>KALMAR LÄN</t>
        </is>
      </c>
      <c r="E3303" t="inlineStr">
        <is>
          <t>TORSÅS</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31283-2020</t>
        </is>
      </c>
      <c r="B3304" s="1" t="n">
        <v>44012</v>
      </c>
      <c r="C3304" s="1" t="n">
        <v>45715</v>
      </c>
      <c r="D3304" t="inlineStr">
        <is>
          <t>KALMAR LÄN</t>
        </is>
      </c>
      <c r="E3304" t="inlineStr">
        <is>
          <t>EMMABODA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31259-2020</t>
        </is>
      </c>
      <c r="B3305" s="1" t="n">
        <v>44012</v>
      </c>
      <c r="C3305" s="1" t="n">
        <v>45715</v>
      </c>
      <c r="D3305" t="inlineStr">
        <is>
          <t>KALMAR LÄN</t>
        </is>
      </c>
      <c r="E3305" t="inlineStr">
        <is>
          <t>NYBRO</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31289-2020</t>
        </is>
      </c>
      <c r="B3306" s="1" t="n">
        <v>44012</v>
      </c>
      <c r="C3306" s="1" t="n">
        <v>45715</v>
      </c>
      <c r="D3306" t="inlineStr">
        <is>
          <t>KALMAR LÄN</t>
        </is>
      </c>
      <c r="E3306" t="inlineStr">
        <is>
          <t>VIMMERBY</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31285-2020</t>
        </is>
      </c>
      <c r="B3307" s="1" t="n">
        <v>44012</v>
      </c>
      <c r="C3307" s="1" t="n">
        <v>45715</v>
      </c>
      <c r="D3307" t="inlineStr">
        <is>
          <t>KALMAR LÄN</t>
        </is>
      </c>
      <c r="E3307" t="inlineStr">
        <is>
          <t>EMMABODA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31589-2020</t>
        </is>
      </c>
      <c r="B3308" s="1" t="n">
        <v>44012</v>
      </c>
      <c r="C3308" s="1" t="n">
        <v>45715</v>
      </c>
      <c r="D3308" t="inlineStr">
        <is>
          <t>KALMAR LÄN</t>
        </is>
      </c>
      <c r="E3308" t="inlineStr">
        <is>
          <t>OSKARSHAMN</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31414-2020</t>
        </is>
      </c>
      <c r="B3309" s="1" t="n">
        <v>44012</v>
      </c>
      <c r="C3309" s="1" t="n">
        <v>45715</v>
      </c>
      <c r="D3309" t="inlineStr">
        <is>
          <t>KALMAR LÄN</t>
        </is>
      </c>
      <c r="E3309" t="inlineStr">
        <is>
          <t>HULTSFRED</t>
        </is>
      </c>
      <c r="G3309" t="n">
        <v>8.199999999999999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31587-2020</t>
        </is>
      </c>
      <c r="B3310" s="1" t="n">
        <v>44012</v>
      </c>
      <c r="C3310" s="1" t="n">
        <v>45715</v>
      </c>
      <c r="D3310" t="inlineStr">
        <is>
          <t>KALMAR LÄN</t>
        </is>
      </c>
      <c r="E3310" t="inlineStr">
        <is>
          <t>VÄSTERVIK</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31500-2020</t>
        </is>
      </c>
      <c r="B3311" s="1" t="n">
        <v>44013</v>
      </c>
      <c r="C3311" s="1" t="n">
        <v>45715</v>
      </c>
      <c r="D3311" t="inlineStr">
        <is>
          <t>KALMAR LÄN</t>
        </is>
      </c>
      <c r="E3311" t="inlineStr">
        <is>
          <t>TORSÅS</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31494-2020</t>
        </is>
      </c>
      <c r="B3312" s="1" t="n">
        <v>44013</v>
      </c>
      <c r="C3312" s="1" t="n">
        <v>45715</v>
      </c>
      <c r="D3312" t="inlineStr">
        <is>
          <t>KALMAR LÄN</t>
        </is>
      </c>
      <c r="E3312" t="inlineStr">
        <is>
          <t>TORSÅS</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31669-2020</t>
        </is>
      </c>
      <c r="B3313" s="1" t="n">
        <v>44014</v>
      </c>
      <c r="C3313" s="1" t="n">
        <v>45715</v>
      </c>
      <c r="D3313" t="inlineStr">
        <is>
          <t>KALMAR LÄN</t>
        </is>
      </c>
      <c r="E3313" t="inlineStr">
        <is>
          <t>HULTSFRED</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31678-2020</t>
        </is>
      </c>
      <c r="B3314" s="1" t="n">
        <v>44014</v>
      </c>
      <c r="C3314" s="1" t="n">
        <v>45715</v>
      </c>
      <c r="D3314" t="inlineStr">
        <is>
          <t>KALMAR LÄN</t>
        </is>
      </c>
      <c r="E3314" t="inlineStr">
        <is>
          <t>OSKARSHAMN</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31687-2020</t>
        </is>
      </c>
      <c r="B3315" s="1" t="n">
        <v>44014</v>
      </c>
      <c r="C3315" s="1" t="n">
        <v>45715</v>
      </c>
      <c r="D3315" t="inlineStr">
        <is>
          <t>KALMAR LÄN</t>
        </is>
      </c>
      <c r="E3315" t="inlineStr">
        <is>
          <t>NYBRO</t>
        </is>
      </c>
      <c r="F3315" t="inlineStr">
        <is>
          <t>Sveaskog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31693-2020</t>
        </is>
      </c>
      <c r="B3316" s="1" t="n">
        <v>44014</v>
      </c>
      <c r="C3316" s="1" t="n">
        <v>45715</v>
      </c>
      <c r="D3316" t="inlineStr">
        <is>
          <t>KALMAR LÄN</t>
        </is>
      </c>
      <c r="E3316" t="inlineStr">
        <is>
          <t>OSKARSHAMN</t>
        </is>
      </c>
      <c r="G3316" t="n">
        <v>8.5</v>
      </c>
      <c r="H3316" t="n">
        <v>0</v>
      </c>
      <c r="I3316" t="n">
        <v>0</v>
      </c>
      <c r="J3316" t="n">
        <v>0</v>
      </c>
      <c r="K3316" t="n">
        <v>0</v>
      </c>
      <c r="L3316" t="n">
        <v>0</v>
      </c>
      <c r="M3316" t="n">
        <v>0</v>
      </c>
      <c r="N3316" t="n">
        <v>0</v>
      </c>
      <c r="O3316" t="n">
        <v>0</v>
      </c>
      <c r="P3316" t="n">
        <v>0</v>
      </c>
      <c r="Q3316" t="n">
        <v>0</v>
      </c>
      <c r="R3316" s="2" t="inlineStr"/>
    </row>
    <row r="3317" ht="15" customHeight="1">
      <c r="A3317" t="inlineStr">
        <is>
          <t>A 31702-2020</t>
        </is>
      </c>
      <c r="B3317" s="1" t="n">
        <v>44014</v>
      </c>
      <c r="C3317" s="1" t="n">
        <v>45715</v>
      </c>
      <c r="D3317" t="inlineStr">
        <is>
          <t>KALMAR LÄN</t>
        </is>
      </c>
      <c r="E3317" t="inlineStr">
        <is>
          <t>OSKARSHAMN</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32414-2020</t>
        </is>
      </c>
      <c r="B3318" s="1" t="n">
        <v>44018</v>
      </c>
      <c r="C3318" s="1" t="n">
        <v>45715</v>
      </c>
      <c r="D3318" t="inlineStr">
        <is>
          <t>KALMAR LÄN</t>
        </is>
      </c>
      <c r="E3318" t="inlineStr">
        <is>
          <t>HULTSFRED</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32395-2020</t>
        </is>
      </c>
      <c r="B3319" s="1" t="n">
        <v>44018</v>
      </c>
      <c r="C3319" s="1" t="n">
        <v>45715</v>
      </c>
      <c r="D3319" t="inlineStr">
        <is>
          <t>KALMAR LÄN</t>
        </is>
      </c>
      <c r="E3319" t="inlineStr">
        <is>
          <t>NYBRO</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32404-2020</t>
        </is>
      </c>
      <c r="B3320" s="1" t="n">
        <v>44018</v>
      </c>
      <c r="C3320" s="1" t="n">
        <v>45715</v>
      </c>
      <c r="D3320" t="inlineStr">
        <is>
          <t>KALMAR LÄN</t>
        </is>
      </c>
      <c r="E3320" t="inlineStr">
        <is>
          <t>HULTSFRED</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32426-2020</t>
        </is>
      </c>
      <c r="B3321" s="1" t="n">
        <v>44018</v>
      </c>
      <c r="C3321" s="1" t="n">
        <v>45715</v>
      </c>
      <c r="D3321" t="inlineStr">
        <is>
          <t>KALMAR LÄN</t>
        </is>
      </c>
      <c r="E3321" t="inlineStr">
        <is>
          <t>HULTSFRED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32487-2020</t>
        </is>
      </c>
      <c r="B3322" s="1" t="n">
        <v>44018</v>
      </c>
      <c r="C3322" s="1" t="n">
        <v>45715</v>
      </c>
      <c r="D3322" t="inlineStr">
        <is>
          <t>KALMAR LÄN</t>
        </is>
      </c>
      <c r="E3322" t="inlineStr">
        <is>
          <t>HULTSFRED</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32502-2020</t>
        </is>
      </c>
      <c r="B3323" s="1" t="n">
        <v>44018</v>
      </c>
      <c r="C3323" s="1" t="n">
        <v>45715</v>
      </c>
      <c r="D3323" t="inlineStr">
        <is>
          <t>KALMAR LÄN</t>
        </is>
      </c>
      <c r="E3323" t="inlineStr">
        <is>
          <t>NYBRO</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32807-2020</t>
        </is>
      </c>
      <c r="B3324" s="1" t="n">
        <v>44018</v>
      </c>
      <c r="C3324" s="1" t="n">
        <v>45715</v>
      </c>
      <c r="D3324" t="inlineStr">
        <is>
          <t>KALMAR LÄN</t>
        </is>
      </c>
      <c r="E3324" t="inlineStr">
        <is>
          <t>VÄSTERVIK</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32472-2020</t>
        </is>
      </c>
      <c r="B3325" s="1" t="n">
        <v>44018</v>
      </c>
      <c r="C3325" s="1" t="n">
        <v>45715</v>
      </c>
      <c r="D3325" t="inlineStr">
        <is>
          <t>KALMAR LÄN</t>
        </is>
      </c>
      <c r="E3325" t="inlineStr">
        <is>
          <t>HULTSFRED</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32588-2020</t>
        </is>
      </c>
      <c r="B3326" s="1" t="n">
        <v>44019</v>
      </c>
      <c r="C3326" s="1" t="n">
        <v>45715</v>
      </c>
      <c r="D3326" t="inlineStr">
        <is>
          <t>KALMAR LÄN</t>
        </is>
      </c>
      <c r="E3326" t="inlineStr">
        <is>
          <t>TORSÅS</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32717-2020</t>
        </is>
      </c>
      <c r="B3327" s="1" t="n">
        <v>44019</v>
      </c>
      <c r="C3327" s="1" t="n">
        <v>45715</v>
      </c>
      <c r="D3327" t="inlineStr">
        <is>
          <t>KALMAR LÄN</t>
        </is>
      </c>
      <c r="E3327" t="inlineStr">
        <is>
          <t>EMMABODA</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32725-2020</t>
        </is>
      </c>
      <c r="B3328" s="1" t="n">
        <v>44019</v>
      </c>
      <c r="C3328" s="1" t="n">
        <v>45715</v>
      </c>
      <c r="D3328" t="inlineStr">
        <is>
          <t>KALMAR LÄN</t>
        </is>
      </c>
      <c r="E3328" t="inlineStr">
        <is>
          <t>EMMABODA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32587-2020</t>
        </is>
      </c>
      <c r="B3329" s="1" t="n">
        <v>44019</v>
      </c>
      <c r="C3329" s="1" t="n">
        <v>45715</v>
      </c>
      <c r="D3329" t="inlineStr">
        <is>
          <t>KALMAR LÄN</t>
        </is>
      </c>
      <c r="E3329" t="inlineStr">
        <is>
          <t>TORSÅS</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32660-2020</t>
        </is>
      </c>
      <c r="B3330" s="1" t="n">
        <v>44019</v>
      </c>
      <c r="C3330" s="1" t="n">
        <v>45715</v>
      </c>
      <c r="D3330" t="inlineStr">
        <is>
          <t>KALMAR LÄN</t>
        </is>
      </c>
      <c r="E3330" t="inlineStr">
        <is>
          <t>TORSÅS</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32719-2020</t>
        </is>
      </c>
      <c r="B3331" s="1" t="n">
        <v>44019</v>
      </c>
      <c r="C3331" s="1" t="n">
        <v>45715</v>
      </c>
      <c r="D3331" t="inlineStr">
        <is>
          <t>KALMAR LÄN</t>
        </is>
      </c>
      <c r="E3331" t="inlineStr">
        <is>
          <t>EMMABODA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32817-2020</t>
        </is>
      </c>
      <c r="B3332" s="1" t="n">
        <v>44020</v>
      </c>
      <c r="C3332" s="1" t="n">
        <v>45715</v>
      </c>
      <c r="D3332" t="inlineStr">
        <is>
          <t>KALMAR LÄN</t>
        </is>
      </c>
      <c r="E3332" t="inlineStr">
        <is>
          <t>KALMAR</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32828-2020</t>
        </is>
      </c>
      <c r="B3333" s="1" t="n">
        <v>44020</v>
      </c>
      <c r="C3333" s="1" t="n">
        <v>45715</v>
      </c>
      <c r="D3333" t="inlineStr">
        <is>
          <t>KALMAR LÄN</t>
        </is>
      </c>
      <c r="E3333" t="inlineStr">
        <is>
          <t>NYBRO</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32888-2020</t>
        </is>
      </c>
      <c r="B3334" s="1" t="n">
        <v>44020</v>
      </c>
      <c r="C3334" s="1" t="n">
        <v>45715</v>
      </c>
      <c r="D3334" t="inlineStr">
        <is>
          <t>KALMAR LÄN</t>
        </is>
      </c>
      <c r="E3334" t="inlineStr">
        <is>
          <t>HULTSFRED</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33122-2020</t>
        </is>
      </c>
      <c r="B3335" s="1" t="n">
        <v>44021</v>
      </c>
      <c r="C3335" s="1" t="n">
        <v>45715</v>
      </c>
      <c r="D3335" t="inlineStr">
        <is>
          <t>KALMAR LÄN</t>
        </is>
      </c>
      <c r="E3335" t="inlineStr">
        <is>
          <t>NYBRO</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33137-2020</t>
        </is>
      </c>
      <c r="B3336" s="1" t="n">
        <v>44021</v>
      </c>
      <c r="C3336" s="1" t="n">
        <v>45715</v>
      </c>
      <c r="D3336" t="inlineStr">
        <is>
          <t>KALMAR LÄN</t>
        </is>
      </c>
      <c r="E3336" t="inlineStr">
        <is>
          <t>VÄSTERVIK</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33107-2020</t>
        </is>
      </c>
      <c r="B3337" s="1" t="n">
        <v>44021</v>
      </c>
      <c r="C3337" s="1" t="n">
        <v>45715</v>
      </c>
      <c r="D3337" t="inlineStr">
        <is>
          <t>KALMAR LÄN</t>
        </is>
      </c>
      <c r="E3337" t="inlineStr">
        <is>
          <t>EMMABODA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33159-2020</t>
        </is>
      </c>
      <c r="B3338" s="1" t="n">
        <v>44021</v>
      </c>
      <c r="C3338" s="1" t="n">
        <v>45715</v>
      </c>
      <c r="D3338" t="inlineStr">
        <is>
          <t>KALMAR LÄN</t>
        </is>
      </c>
      <c r="E3338" t="inlineStr">
        <is>
          <t>VIMMERBY</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33036-2020</t>
        </is>
      </c>
      <c r="B3339" s="1" t="n">
        <v>44021</v>
      </c>
      <c r="C3339" s="1" t="n">
        <v>45715</v>
      </c>
      <c r="D3339" t="inlineStr">
        <is>
          <t>KALMAR LÄN</t>
        </is>
      </c>
      <c r="E3339" t="inlineStr">
        <is>
          <t>HULTSFRED</t>
        </is>
      </c>
      <c r="G3339" t="n">
        <v>9.5</v>
      </c>
      <c r="H3339" t="n">
        <v>0</v>
      </c>
      <c r="I3339" t="n">
        <v>0</v>
      </c>
      <c r="J3339" t="n">
        <v>0</v>
      </c>
      <c r="K3339" t="n">
        <v>0</v>
      </c>
      <c r="L3339" t="n">
        <v>0</v>
      </c>
      <c r="M3339" t="n">
        <v>0</v>
      </c>
      <c r="N3339" t="n">
        <v>0</v>
      </c>
      <c r="O3339" t="n">
        <v>0</v>
      </c>
      <c r="P3339" t="n">
        <v>0</v>
      </c>
      <c r="Q3339" t="n">
        <v>0</v>
      </c>
      <c r="R3339" s="2" t="inlineStr"/>
    </row>
    <row r="3340" ht="15" customHeight="1">
      <c r="A3340" t="inlineStr">
        <is>
          <t>A 33121-2020</t>
        </is>
      </c>
      <c r="B3340" s="1" t="n">
        <v>44021</v>
      </c>
      <c r="C3340" s="1" t="n">
        <v>45715</v>
      </c>
      <c r="D3340" t="inlineStr">
        <is>
          <t>KALMAR LÄN</t>
        </is>
      </c>
      <c r="E3340" t="inlineStr">
        <is>
          <t>NYBRO</t>
        </is>
      </c>
      <c r="G3340" t="n">
        <v>5.8</v>
      </c>
      <c r="H3340" t="n">
        <v>0</v>
      </c>
      <c r="I3340" t="n">
        <v>0</v>
      </c>
      <c r="J3340" t="n">
        <v>0</v>
      </c>
      <c r="K3340" t="n">
        <v>0</v>
      </c>
      <c r="L3340" t="n">
        <v>0</v>
      </c>
      <c r="M3340" t="n">
        <v>0</v>
      </c>
      <c r="N3340" t="n">
        <v>0</v>
      </c>
      <c r="O3340" t="n">
        <v>0</v>
      </c>
      <c r="P3340" t="n">
        <v>0</v>
      </c>
      <c r="Q3340" t="n">
        <v>0</v>
      </c>
      <c r="R3340" s="2" t="inlineStr"/>
    </row>
    <row r="3341" ht="15" customHeight="1">
      <c r="A3341" t="inlineStr">
        <is>
          <t>A 33365-2020</t>
        </is>
      </c>
      <c r="B3341" s="1" t="n">
        <v>44021</v>
      </c>
      <c r="C3341" s="1" t="n">
        <v>45715</v>
      </c>
      <c r="D3341" t="inlineStr">
        <is>
          <t>KALMAR LÄN</t>
        </is>
      </c>
      <c r="E3341" t="inlineStr">
        <is>
          <t>HÖGSBY</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33354-2020</t>
        </is>
      </c>
      <c r="B3342" s="1" t="n">
        <v>44021</v>
      </c>
      <c r="C3342" s="1" t="n">
        <v>45715</v>
      </c>
      <c r="D3342" t="inlineStr">
        <is>
          <t>KALMAR LÄN</t>
        </is>
      </c>
      <c r="E3342" t="inlineStr">
        <is>
          <t>MÖNSTERÅS</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33279-2020</t>
        </is>
      </c>
      <c r="B3343" s="1" t="n">
        <v>44022</v>
      </c>
      <c r="C3343" s="1" t="n">
        <v>45715</v>
      </c>
      <c r="D3343" t="inlineStr">
        <is>
          <t>KALMAR LÄN</t>
        </is>
      </c>
      <c r="E3343" t="inlineStr">
        <is>
          <t>VIMMERBY</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33335-2020</t>
        </is>
      </c>
      <c r="B3344" s="1" t="n">
        <v>44022</v>
      </c>
      <c r="C3344" s="1" t="n">
        <v>45715</v>
      </c>
      <c r="D3344" t="inlineStr">
        <is>
          <t>KALMAR LÄN</t>
        </is>
      </c>
      <c r="E3344" t="inlineStr">
        <is>
          <t>HULTSFRED</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33258-2020</t>
        </is>
      </c>
      <c r="B3345" s="1" t="n">
        <v>44022</v>
      </c>
      <c r="C3345" s="1" t="n">
        <v>45715</v>
      </c>
      <c r="D3345" t="inlineStr">
        <is>
          <t>KALMAR LÄN</t>
        </is>
      </c>
      <c r="E3345" t="inlineStr">
        <is>
          <t>HULTSFRED</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33499-2020</t>
        </is>
      </c>
      <c r="B3346" s="1" t="n">
        <v>44025</v>
      </c>
      <c r="C3346" s="1" t="n">
        <v>45715</v>
      </c>
      <c r="D3346" t="inlineStr">
        <is>
          <t>KALMAR LÄN</t>
        </is>
      </c>
      <c r="E3346" t="inlineStr">
        <is>
          <t>TORSÅS</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33584-2020</t>
        </is>
      </c>
      <c r="B3347" s="1" t="n">
        <v>44025</v>
      </c>
      <c r="C3347" s="1" t="n">
        <v>45715</v>
      </c>
      <c r="D3347" t="inlineStr">
        <is>
          <t>KALMAR LÄN</t>
        </is>
      </c>
      <c r="E3347" t="inlineStr">
        <is>
          <t>MÖNSTERÅS</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33608-2020</t>
        </is>
      </c>
      <c r="B3348" s="1" t="n">
        <v>44025</v>
      </c>
      <c r="C3348" s="1" t="n">
        <v>45715</v>
      </c>
      <c r="D3348" t="inlineStr">
        <is>
          <t>KALMAR LÄN</t>
        </is>
      </c>
      <c r="E3348" t="inlineStr">
        <is>
          <t>NYBRO</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33497-2020</t>
        </is>
      </c>
      <c r="B3349" s="1" t="n">
        <v>44025</v>
      </c>
      <c r="C3349" s="1" t="n">
        <v>45715</v>
      </c>
      <c r="D3349" t="inlineStr">
        <is>
          <t>KALMAR LÄN</t>
        </is>
      </c>
      <c r="E3349" t="inlineStr">
        <is>
          <t>TORSÅS</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33702-2020</t>
        </is>
      </c>
      <c r="B3350" s="1" t="n">
        <v>44026</v>
      </c>
      <c r="C3350" s="1" t="n">
        <v>45715</v>
      </c>
      <c r="D3350" t="inlineStr">
        <is>
          <t>KALMAR LÄN</t>
        </is>
      </c>
      <c r="E3350" t="inlineStr">
        <is>
          <t>HULTSFRED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33675-2020</t>
        </is>
      </c>
      <c r="B3351" s="1" t="n">
        <v>44026</v>
      </c>
      <c r="C3351" s="1" t="n">
        <v>45715</v>
      </c>
      <c r="D3351" t="inlineStr">
        <is>
          <t>KALMAR LÄN</t>
        </is>
      </c>
      <c r="E3351" t="inlineStr">
        <is>
          <t>MÖRBYLÅNGA</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33957-2020</t>
        </is>
      </c>
      <c r="B3352" s="1" t="n">
        <v>44026</v>
      </c>
      <c r="C3352" s="1" t="n">
        <v>45715</v>
      </c>
      <c r="D3352" t="inlineStr">
        <is>
          <t>KALMAR LÄN</t>
        </is>
      </c>
      <c r="E3352" t="inlineStr">
        <is>
          <t>HÖGSBY</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33962-2020</t>
        </is>
      </c>
      <c r="B3353" s="1" t="n">
        <v>44026</v>
      </c>
      <c r="C3353" s="1" t="n">
        <v>45715</v>
      </c>
      <c r="D3353" t="inlineStr">
        <is>
          <t>KALMAR LÄN</t>
        </is>
      </c>
      <c r="E3353" t="inlineStr">
        <is>
          <t>NYBRO</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33856-2020</t>
        </is>
      </c>
      <c r="B3354" s="1" t="n">
        <v>44027</v>
      </c>
      <c r="C3354" s="1" t="n">
        <v>45715</v>
      </c>
      <c r="D3354" t="inlineStr">
        <is>
          <t>KALMAR LÄN</t>
        </is>
      </c>
      <c r="E3354" t="inlineStr">
        <is>
          <t>VIMMERBY</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33912-2020</t>
        </is>
      </c>
      <c r="B3355" s="1" t="n">
        <v>44027</v>
      </c>
      <c r="C3355" s="1" t="n">
        <v>45715</v>
      </c>
      <c r="D3355" t="inlineStr">
        <is>
          <t>KALMAR LÄN</t>
        </is>
      </c>
      <c r="E3355" t="inlineStr">
        <is>
          <t>HULTSFRED</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34022-2020</t>
        </is>
      </c>
      <c r="B3356" s="1" t="n">
        <v>44028</v>
      </c>
      <c r="C3356" s="1" t="n">
        <v>45715</v>
      </c>
      <c r="D3356" t="inlineStr">
        <is>
          <t>KALMAR LÄN</t>
        </is>
      </c>
      <c r="E3356" t="inlineStr">
        <is>
          <t>OSKARSHAMN</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34343-2020</t>
        </is>
      </c>
      <c r="B3357" s="1" t="n">
        <v>44028</v>
      </c>
      <c r="C3357" s="1" t="n">
        <v>45715</v>
      </c>
      <c r="D3357" t="inlineStr">
        <is>
          <t>KALMAR LÄN</t>
        </is>
      </c>
      <c r="E3357" t="inlineStr">
        <is>
          <t>HULTSFRED</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34350-2020</t>
        </is>
      </c>
      <c r="B3358" s="1" t="n">
        <v>44028</v>
      </c>
      <c r="C3358" s="1" t="n">
        <v>45715</v>
      </c>
      <c r="D3358" t="inlineStr">
        <is>
          <t>KALMAR LÄN</t>
        </is>
      </c>
      <c r="E3358" t="inlineStr">
        <is>
          <t>VIMMERBY</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34345-2020</t>
        </is>
      </c>
      <c r="B3359" s="1" t="n">
        <v>44028</v>
      </c>
      <c r="C3359" s="1" t="n">
        <v>45715</v>
      </c>
      <c r="D3359" t="inlineStr">
        <is>
          <t>KALMAR LÄN</t>
        </is>
      </c>
      <c r="E3359" t="inlineStr">
        <is>
          <t>VIMMERBY</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34396-2020</t>
        </is>
      </c>
      <c r="B3360" s="1" t="n">
        <v>44032</v>
      </c>
      <c r="C3360" s="1" t="n">
        <v>45715</v>
      </c>
      <c r="D3360" t="inlineStr">
        <is>
          <t>KALMAR LÄN</t>
        </is>
      </c>
      <c r="E3360" t="inlineStr">
        <is>
          <t>EMMABODA</t>
        </is>
      </c>
      <c r="G3360" t="n">
        <v>10.7</v>
      </c>
      <c r="H3360" t="n">
        <v>0</v>
      </c>
      <c r="I3360" t="n">
        <v>0</v>
      </c>
      <c r="J3360" t="n">
        <v>0</v>
      </c>
      <c r="K3360" t="n">
        <v>0</v>
      </c>
      <c r="L3360" t="n">
        <v>0</v>
      </c>
      <c r="M3360" t="n">
        <v>0</v>
      </c>
      <c r="N3360" t="n">
        <v>0</v>
      </c>
      <c r="O3360" t="n">
        <v>0</v>
      </c>
      <c r="P3360" t="n">
        <v>0</v>
      </c>
      <c r="Q3360" t="n">
        <v>0</v>
      </c>
      <c r="R3360" s="2" t="inlineStr"/>
    </row>
    <row r="3361" ht="15" customHeight="1">
      <c r="A3361" t="inlineStr">
        <is>
          <t>A 34397-2020</t>
        </is>
      </c>
      <c r="B3361" s="1" t="n">
        <v>44032</v>
      </c>
      <c r="C3361" s="1" t="n">
        <v>45715</v>
      </c>
      <c r="D3361" t="inlineStr">
        <is>
          <t>KALMAR LÄN</t>
        </is>
      </c>
      <c r="E3361" t="inlineStr">
        <is>
          <t>KALMAR</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34564-2020</t>
        </is>
      </c>
      <c r="B3362" s="1" t="n">
        <v>44033</v>
      </c>
      <c r="C3362" s="1" t="n">
        <v>45715</v>
      </c>
      <c r="D3362" t="inlineStr">
        <is>
          <t>KALMAR LÄN</t>
        </is>
      </c>
      <c r="E3362" t="inlineStr">
        <is>
          <t>HULTSFRED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34603-2020</t>
        </is>
      </c>
      <c r="B3363" s="1" t="n">
        <v>44034</v>
      </c>
      <c r="C3363" s="1" t="n">
        <v>45715</v>
      </c>
      <c r="D3363" t="inlineStr">
        <is>
          <t>KALMAR LÄN</t>
        </is>
      </c>
      <c r="E3363" t="inlineStr">
        <is>
          <t>MÖNSTERÅS</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34601-2020</t>
        </is>
      </c>
      <c r="B3364" s="1" t="n">
        <v>44034</v>
      </c>
      <c r="C3364" s="1" t="n">
        <v>45715</v>
      </c>
      <c r="D3364" t="inlineStr">
        <is>
          <t>KALMAR LÄN</t>
        </is>
      </c>
      <c r="E3364" t="inlineStr">
        <is>
          <t>HULTSFRED</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34606-2020</t>
        </is>
      </c>
      <c r="B3365" s="1" t="n">
        <v>44034</v>
      </c>
      <c r="C3365" s="1" t="n">
        <v>45715</v>
      </c>
      <c r="D3365" t="inlineStr">
        <is>
          <t>KALMAR LÄN</t>
        </is>
      </c>
      <c r="E3365" t="inlineStr">
        <is>
          <t>MÖNSTERÅS</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34679-2020</t>
        </is>
      </c>
      <c r="B3366" s="1" t="n">
        <v>44035</v>
      </c>
      <c r="C3366" s="1" t="n">
        <v>45715</v>
      </c>
      <c r="D3366" t="inlineStr">
        <is>
          <t>KALMAR LÄN</t>
        </is>
      </c>
      <c r="E3366" t="inlineStr">
        <is>
          <t>TORSÅS</t>
        </is>
      </c>
      <c r="F3366" t="inlineStr">
        <is>
          <t>Övriga Aktiebolag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34674-2020</t>
        </is>
      </c>
      <c r="B3367" s="1" t="n">
        <v>44035</v>
      </c>
      <c r="C3367" s="1" t="n">
        <v>45715</v>
      </c>
      <c r="D3367" t="inlineStr">
        <is>
          <t>KALMAR LÄN</t>
        </is>
      </c>
      <c r="E3367" t="inlineStr">
        <is>
          <t>EMMABODA</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34719-2020</t>
        </is>
      </c>
      <c r="B3368" s="1" t="n">
        <v>44035</v>
      </c>
      <c r="C3368" s="1" t="n">
        <v>45715</v>
      </c>
      <c r="D3368" t="inlineStr">
        <is>
          <t>KALMAR LÄN</t>
        </is>
      </c>
      <c r="E3368" t="inlineStr">
        <is>
          <t>VIMMERBY</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34775-2020</t>
        </is>
      </c>
      <c r="B3369" s="1" t="n">
        <v>44035</v>
      </c>
      <c r="C3369" s="1" t="n">
        <v>45715</v>
      </c>
      <c r="D3369" t="inlineStr">
        <is>
          <t>KALMAR LÄN</t>
        </is>
      </c>
      <c r="E3369" t="inlineStr">
        <is>
          <t>VÄSTERVIK</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34773-2020</t>
        </is>
      </c>
      <c r="B3370" s="1" t="n">
        <v>44035</v>
      </c>
      <c r="C3370" s="1" t="n">
        <v>45715</v>
      </c>
      <c r="D3370" t="inlineStr">
        <is>
          <t>KALMAR LÄN</t>
        </is>
      </c>
      <c r="E3370" t="inlineStr">
        <is>
          <t>NYBRO</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34808-2020</t>
        </is>
      </c>
      <c r="B3371" s="1" t="n">
        <v>44035</v>
      </c>
      <c r="C3371" s="1" t="n">
        <v>45715</v>
      </c>
      <c r="D3371" t="inlineStr">
        <is>
          <t>KALMAR LÄN</t>
        </is>
      </c>
      <c r="E3371" t="inlineStr">
        <is>
          <t>HÖGSBY</t>
        </is>
      </c>
      <c r="G3371" t="n">
        <v>9</v>
      </c>
      <c r="H3371" t="n">
        <v>0</v>
      </c>
      <c r="I3371" t="n">
        <v>0</v>
      </c>
      <c r="J3371" t="n">
        <v>0</v>
      </c>
      <c r="K3371" t="n">
        <v>0</v>
      </c>
      <c r="L3371" t="n">
        <v>0</v>
      </c>
      <c r="M3371" t="n">
        <v>0</v>
      </c>
      <c r="N3371" t="n">
        <v>0</v>
      </c>
      <c r="O3371" t="n">
        <v>0</v>
      </c>
      <c r="P3371" t="n">
        <v>0</v>
      </c>
      <c r="Q3371" t="n">
        <v>0</v>
      </c>
      <c r="R3371" s="2" t="inlineStr"/>
    </row>
    <row r="3372" ht="15" customHeight="1">
      <c r="A3372" t="inlineStr">
        <is>
          <t>A 34865-2020</t>
        </is>
      </c>
      <c r="B3372" s="1" t="n">
        <v>44036</v>
      </c>
      <c r="C3372" s="1" t="n">
        <v>45715</v>
      </c>
      <c r="D3372" t="inlineStr">
        <is>
          <t>KALMAR LÄN</t>
        </is>
      </c>
      <c r="E3372" t="inlineStr">
        <is>
          <t>HÖGSBY</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34881-2020</t>
        </is>
      </c>
      <c r="B3373" s="1" t="n">
        <v>44036</v>
      </c>
      <c r="C3373" s="1" t="n">
        <v>45715</v>
      </c>
      <c r="D3373" t="inlineStr">
        <is>
          <t>KALMAR LÄN</t>
        </is>
      </c>
      <c r="E3373" t="inlineStr">
        <is>
          <t>HULTSFRED</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34907-2020</t>
        </is>
      </c>
      <c r="B3374" s="1" t="n">
        <v>44036</v>
      </c>
      <c r="C3374" s="1" t="n">
        <v>45715</v>
      </c>
      <c r="D3374" t="inlineStr">
        <is>
          <t>KALMAR LÄN</t>
        </is>
      </c>
      <c r="E3374" t="inlineStr">
        <is>
          <t>VIMMERBY</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34875-2020</t>
        </is>
      </c>
      <c r="B3375" s="1" t="n">
        <v>44036</v>
      </c>
      <c r="C3375" s="1" t="n">
        <v>45715</v>
      </c>
      <c r="D3375" t="inlineStr">
        <is>
          <t>KALMAR LÄN</t>
        </is>
      </c>
      <c r="E3375" t="inlineStr">
        <is>
          <t>MÖNSTERÅS</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35037-2020</t>
        </is>
      </c>
      <c r="B3376" s="1" t="n">
        <v>44039</v>
      </c>
      <c r="C3376" s="1" t="n">
        <v>45715</v>
      </c>
      <c r="D3376" t="inlineStr">
        <is>
          <t>KALMAR LÄN</t>
        </is>
      </c>
      <c r="E3376" t="inlineStr">
        <is>
          <t>EMMABODA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35140-2020</t>
        </is>
      </c>
      <c r="B3377" s="1" t="n">
        <v>44040</v>
      </c>
      <c r="C3377" s="1" t="n">
        <v>45715</v>
      </c>
      <c r="D3377" t="inlineStr">
        <is>
          <t>KALMAR LÄN</t>
        </is>
      </c>
      <c r="E3377" t="inlineStr">
        <is>
          <t>MÖNSTERÅS</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35150-2020</t>
        </is>
      </c>
      <c r="B3378" s="1" t="n">
        <v>44040</v>
      </c>
      <c r="C3378" s="1" t="n">
        <v>45715</v>
      </c>
      <c r="D3378" t="inlineStr">
        <is>
          <t>KALMAR LÄN</t>
        </is>
      </c>
      <c r="E3378" t="inlineStr">
        <is>
          <t>VÄSTERVIK</t>
        </is>
      </c>
      <c r="F3378" t="inlineStr">
        <is>
          <t>Sveaskog</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35129-2020</t>
        </is>
      </c>
      <c r="B3379" s="1" t="n">
        <v>44040</v>
      </c>
      <c r="C3379" s="1" t="n">
        <v>45715</v>
      </c>
      <c r="D3379" t="inlineStr">
        <is>
          <t>KALMAR LÄN</t>
        </is>
      </c>
      <c r="E3379" t="inlineStr">
        <is>
          <t>EMMABODA</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35204-2020</t>
        </is>
      </c>
      <c r="B3380" s="1" t="n">
        <v>44040</v>
      </c>
      <c r="C3380" s="1" t="n">
        <v>45715</v>
      </c>
      <c r="D3380" t="inlineStr">
        <is>
          <t>KALMAR LÄN</t>
        </is>
      </c>
      <c r="E3380" t="inlineStr">
        <is>
          <t>HULTSFRED</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35225-2020</t>
        </is>
      </c>
      <c r="B3381" s="1" t="n">
        <v>44041</v>
      </c>
      <c r="C3381" s="1" t="n">
        <v>45715</v>
      </c>
      <c r="D3381" t="inlineStr">
        <is>
          <t>KALMAR LÄN</t>
        </is>
      </c>
      <c r="E3381" t="inlineStr">
        <is>
          <t>KALMAR</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35286-2020</t>
        </is>
      </c>
      <c r="B3382" s="1" t="n">
        <v>44041</v>
      </c>
      <c r="C3382" s="1" t="n">
        <v>45715</v>
      </c>
      <c r="D3382" t="inlineStr">
        <is>
          <t>KALMAR LÄN</t>
        </is>
      </c>
      <c r="E3382" t="inlineStr">
        <is>
          <t>KALMAR</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35244-2020</t>
        </is>
      </c>
      <c r="B3383" s="1" t="n">
        <v>44041</v>
      </c>
      <c r="C3383" s="1" t="n">
        <v>45715</v>
      </c>
      <c r="D3383" t="inlineStr">
        <is>
          <t>KALMAR LÄN</t>
        </is>
      </c>
      <c r="E3383" t="inlineStr">
        <is>
          <t>HÖGSBY</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35353-2020</t>
        </is>
      </c>
      <c r="B3384" s="1" t="n">
        <v>44041</v>
      </c>
      <c r="C3384" s="1" t="n">
        <v>45715</v>
      </c>
      <c r="D3384" t="inlineStr">
        <is>
          <t>KALMAR LÄN</t>
        </is>
      </c>
      <c r="E3384" t="inlineStr">
        <is>
          <t>TORSÅS</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35350-2020</t>
        </is>
      </c>
      <c r="B3385" s="1" t="n">
        <v>44041</v>
      </c>
      <c r="C3385" s="1" t="n">
        <v>45715</v>
      </c>
      <c r="D3385" t="inlineStr">
        <is>
          <t>KALMAR LÄN</t>
        </is>
      </c>
      <c r="E3385" t="inlineStr">
        <is>
          <t>VIMMERBY</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35462-2020</t>
        </is>
      </c>
      <c r="B3386" s="1" t="n">
        <v>44042</v>
      </c>
      <c r="C3386" s="1" t="n">
        <v>45715</v>
      </c>
      <c r="D3386" t="inlineStr">
        <is>
          <t>KALMAR LÄN</t>
        </is>
      </c>
      <c r="E3386" t="inlineStr">
        <is>
          <t>VIMMERBY</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35386-2020</t>
        </is>
      </c>
      <c r="B3387" s="1" t="n">
        <v>44042</v>
      </c>
      <c r="C3387" s="1" t="n">
        <v>45715</v>
      </c>
      <c r="D3387" t="inlineStr">
        <is>
          <t>KALMAR LÄN</t>
        </is>
      </c>
      <c r="E3387" t="inlineStr">
        <is>
          <t>HULTSFRED</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35655-2020</t>
        </is>
      </c>
      <c r="B3388" s="1" t="n">
        <v>44046</v>
      </c>
      <c r="C3388" s="1" t="n">
        <v>45715</v>
      </c>
      <c r="D3388" t="inlineStr">
        <is>
          <t>KALMAR LÄN</t>
        </is>
      </c>
      <c r="E3388" t="inlineStr">
        <is>
          <t>VÄSTERVIK</t>
        </is>
      </c>
      <c r="F3388" t="inlineStr">
        <is>
          <t>Övriga Aktiebolag</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35689-2020</t>
        </is>
      </c>
      <c r="B3389" s="1" t="n">
        <v>44046</v>
      </c>
      <c r="C3389" s="1" t="n">
        <v>45715</v>
      </c>
      <c r="D3389" t="inlineStr">
        <is>
          <t>KALMAR LÄN</t>
        </is>
      </c>
      <c r="E3389" t="inlineStr">
        <is>
          <t>VÄSTERVIK</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35654-2020</t>
        </is>
      </c>
      <c r="B3390" s="1" t="n">
        <v>44046</v>
      </c>
      <c r="C3390" s="1" t="n">
        <v>45715</v>
      </c>
      <c r="D3390" t="inlineStr">
        <is>
          <t>KALMAR LÄN</t>
        </is>
      </c>
      <c r="E3390" t="inlineStr">
        <is>
          <t>TORSÅS</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35709-2020</t>
        </is>
      </c>
      <c r="B3391" s="1" t="n">
        <v>44046</v>
      </c>
      <c r="C3391" s="1" t="n">
        <v>45715</v>
      </c>
      <c r="D3391" t="inlineStr">
        <is>
          <t>KALMAR LÄN</t>
        </is>
      </c>
      <c r="E3391" t="inlineStr">
        <is>
          <t>NYBRO</t>
        </is>
      </c>
      <c r="F3391" t="inlineStr">
        <is>
          <t>Kommuner</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35822-2020</t>
        </is>
      </c>
      <c r="B3392" s="1" t="n">
        <v>44047</v>
      </c>
      <c r="C3392" s="1" t="n">
        <v>45715</v>
      </c>
      <c r="D3392" t="inlineStr">
        <is>
          <t>KALMAR LÄN</t>
        </is>
      </c>
      <c r="E3392" t="inlineStr">
        <is>
          <t>HULTSFRED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35868-2020</t>
        </is>
      </c>
      <c r="B3393" s="1" t="n">
        <v>44047</v>
      </c>
      <c r="C3393" s="1" t="n">
        <v>45715</v>
      </c>
      <c r="D3393" t="inlineStr">
        <is>
          <t>KALMAR LÄN</t>
        </is>
      </c>
      <c r="E3393" t="inlineStr">
        <is>
          <t>VÄSTERVIK</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35884-2020</t>
        </is>
      </c>
      <c r="B3394" s="1" t="n">
        <v>44047</v>
      </c>
      <c r="C3394" s="1" t="n">
        <v>45715</v>
      </c>
      <c r="D3394" t="inlineStr">
        <is>
          <t>KALMAR LÄN</t>
        </is>
      </c>
      <c r="E3394" t="inlineStr">
        <is>
          <t>KALMAR</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35844-2020</t>
        </is>
      </c>
      <c r="B3395" s="1" t="n">
        <v>44047</v>
      </c>
      <c r="C3395" s="1" t="n">
        <v>45715</v>
      </c>
      <c r="D3395" t="inlineStr">
        <is>
          <t>KALMAR LÄN</t>
        </is>
      </c>
      <c r="E3395" t="inlineStr">
        <is>
          <t>HULTSFRED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35880-2020</t>
        </is>
      </c>
      <c r="B3396" s="1" t="n">
        <v>44047</v>
      </c>
      <c r="C3396" s="1" t="n">
        <v>45715</v>
      </c>
      <c r="D3396" t="inlineStr">
        <is>
          <t>KALMAR LÄN</t>
        </is>
      </c>
      <c r="E3396" t="inlineStr">
        <is>
          <t>KALMAR</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35862-2020</t>
        </is>
      </c>
      <c r="B3397" s="1" t="n">
        <v>44047</v>
      </c>
      <c r="C3397" s="1" t="n">
        <v>45715</v>
      </c>
      <c r="D3397" t="inlineStr">
        <is>
          <t>KALMAR LÄN</t>
        </is>
      </c>
      <c r="E3397" t="inlineStr">
        <is>
          <t>HULTSFRED</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35886-2020</t>
        </is>
      </c>
      <c r="B3398" s="1" t="n">
        <v>44047</v>
      </c>
      <c r="C3398" s="1" t="n">
        <v>45715</v>
      </c>
      <c r="D3398" t="inlineStr">
        <is>
          <t>KALMAR LÄN</t>
        </is>
      </c>
      <c r="E3398" t="inlineStr">
        <is>
          <t>VIMMERBY</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35865-2020</t>
        </is>
      </c>
      <c r="B3399" s="1" t="n">
        <v>44047</v>
      </c>
      <c r="C3399" s="1" t="n">
        <v>45715</v>
      </c>
      <c r="D3399" t="inlineStr">
        <is>
          <t>KALMAR LÄN</t>
        </is>
      </c>
      <c r="E3399" t="inlineStr">
        <is>
          <t>KALMAR</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35959-2020</t>
        </is>
      </c>
      <c r="B3400" s="1" t="n">
        <v>44047</v>
      </c>
      <c r="C3400" s="1" t="n">
        <v>45715</v>
      </c>
      <c r="D3400" t="inlineStr">
        <is>
          <t>KALMAR LÄN</t>
        </is>
      </c>
      <c r="E3400" t="inlineStr">
        <is>
          <t>MÖNSTERÅS</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36055-2020</t>
        </is>
      </c>
      <c r="B3401" s="1" t="n">
        <v>44048</v>
      </c>
      <c r="C3401" s="1" t="n">
        <v>45715</v>
      </c>
      <c r="D3401" t="inlineStr">
        <is>
          <t>KALMAR LÄN</t>
        </is>
      </c>
      <c r="E3401" t="inlineStr">
        <is>
          <t>KALMAR</t>
        </is>
      </c>
      <c r="G3401" t="n">
        <v>9.199999999999999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36168-2020</t>
        </is>
      </c>
      <c r="B3402" s="1" t="n">
        <v>44048</v>
      </c>
      <c r="C3402" s="1" t="n">
        <v>45715</v>
      </c>
      <c r="D3402" t="inlineStr">
        <is>
          <t>KALMAR LÄN</t>
        </is>
      </c>
      <c r="E3402" t="inlineStr">
        <is>
          <t>MÖNSTERÅS</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36186-2020</t>
        </is>
      </c>
      <c r="B3403" s="1" t="n">
        <v>44048</v>
      </c>
      <c r="C3403" s="1" t="n">
        <v>45715</v>
      </c>
      <c r="D3403" t="inlineStr">
        <is>
          <t>KALMAR LÄN</t>
        </is>
      </c>
      <c r="E3403" t="inlineStr">
        <is>
          <t>EMMABODA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36050-2020</t>
        </is>
      </c>
      <c r="B3404" s="1" t="n">
        <v>44048</v>
      </c>
      <c r="C3404" s="1" t="n">
        <v>45715</v>
      </c>
      <c r="D3404" t="inlineStr">
        <is>
          <t>KALMAR LÄN</t>
        </is>
      </c>
      <c r="E3404" t="inlineStr">
        <is>
          <t>HÖGSBY</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36215-2020</t>
        </is>
      </c>
      <c r="B3405" s="1" t="n">
        <v>44048</v>
      </c>
      <c r="C3405" s="1" t="n">
        <v>45715</v>
      </c>
      <c r="D3405" t="inlineStr">
        <is>
          <t>KALMAR LÄN</t>
        </is>
      </c>
      <c r="E3405" t="inlineStr">
        <is>
          <t>HULTSFRED</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36053-2020</t>
        </is>
      </c>
      <c r="B3406" s="1" t="n">
        <v>44048</v>
      </c>
      <c r="C3406" s="1" t="n">
        <v>45715</v>
      </c>
      <c r="D3406" t="inlineStr">
        <is>
          <t>KALMAR LÄN</t>
        </is>
      </c>
      <c r="E3406" t="inlineStr">
        <is>
          <t>HÖGSBY</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36085-2020</t>
        </is>
      </c>
      <c r="B3407" s="1" t="n">
        <v>44048</v>
      </c>
      <c r="C3407" s="1" t="n">
        <v>45715</v>
      </c>
      <c r="D3407" t="inlineStr">
        <is>
          <t>KALMAR LÄN</t>
        </is>
      </c>
      <c r="E3407" t="inlineStr">
        <is>
          <t>VIMMERBY</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36161-2020</t>
        </is>
      </c>
      <c r="B3408" s="1" t="n">
        <v>44048</v>
      </c>
      <c r="C3408" s="1" t="n">
        <v>45715</v>
      </c>
      <c r="D3408" t="inlineStr">
        <is>
          <t>KALMAR LÄN</t>
        </is>
      </c>
      <c r="E3408" t="inlineStr">
        <is>
          <t>VIMMERBY</t>
        </is>
      </c>
      <c r="G3408" t="n">
        <v>12.5</v>
      </c>
      <c r="H3408" t="n">
        <v>0</v>
      </c>
      <c r="I3408" t="n">
        <v>0</v>
      </c>
      <c r="J3408" t="n">
        <v>0</v>
      </c>
      <c r="K3408" t="n">
        <v>0</v>
      </c>
      <c r="L3408" t="n">
        <v>0</v>
      </c>
      <c r="M3408" t="n">
        <v>0</v>
      </c>
      <c r="N3408" t="n">
        <v>0</v>
      </c>
      <c r="O3408" t="n">
        <v>0</v>
      </c>
      <c r="P3408" t="n">
        <v>0</v>
      </c>
      <c r="Q3408" t="n">
        <v>0</v>
      </c>
      <c r="R3408" s="2" t="inlineStr"/>
    </row>
    <row r="3409" ht="15" customHeight="1">
      <c r="A3409" t="inlineStr">
        <is>
          <t>A 36342-2020</t>
        </is>
      </c>
      <c r="B3409" s="1" t="n">
        <v>44049</v>
      </c>
      <c r="C3409" s="1" t="n">
        <v>45715</v>
      </c>
      <c r="D3409" t="inlineStr">
        <is>
          <t>KALMAR LÄN</t>
        </is>
      </c>
      <c r="E3409" t="inlineStr">
        <is>
          <t>HÖGSBY</t>
        </is>
      </c>
      <c r="G3409" t="n">
        <v>30.4</v>
      </c>
      <c r="H3409" t="n">
        <v>0</v>
      </c>
      <c r="I3409" t="n">
        <v>0</v>
      </c>
      <c r="J3409" t="n">
        <v>0</v>
      </c>
      <c r="K3409" t="n">
        <v>0</v>
      </c>
      <c r="L3409" t="n">
        <v>0</v>
      </c>
      <c r="M3409" t="n">
        <v>0</v>
      </c>
      <c r="N3409" t="n">
        <v>0</v>
      </c>
      <c r="O3409" t="n">
        <v>0</v>
      </c>
      <c r="P3409" t="n">
        <v>0</v>
      </c>
      <c r="Q3409" t="n">
        <v>0</v>
      </c>
      <c r="R3409" s="2" t="inlineStr"/>
    </row>
    <row r="3410" ht="15" customHeight="1">
      <c r="A3410" t="inlineStr">
        <is>
          <t>A 36422-2020</t>
        </is>
      </c>
      <c r="B3410" s="1" t="n">
        <v>44049</v>
      </c>
      <c r="C3410" s="1" t="n">
        <v>45715</v>
      </c>
      <c r="D3410" t="inlineStr">
        <is>
          <t>KALMAR LÄN</t>
        </is>
      </c>
      <c r="E3410" t="inlineStr">
        <is>
          <t>HÖGSBY</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36508-2020</t>
        </is>
      </c>
      <c r="B3411" s="1" t="n">
        <v>44050</v>
      </c>
      <c r="C3411" s="1" t="n">
        <v>45715</v>
      </c>
      <c r="D3411" t="inlineStr">
        <is>
          <t>KALMAR LÄN</t>
        </is>
      </c>
      <c r="E3411" t="inlineStr">
        <is>
          <t>HULTSFRED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36559-2020</t>
        </is>
      </c>
      <c r="B3412" s="1" t="n">
        <v>44050</v>
      </c>
      <c r="C3412" s="1" t="n">
        <v>45715</v>
      </c>
      <c r="D3412" t="inlineStr">
        <is>
          <t>KALMAR LÄN</t>
        </is>
      </c>
      <c r="E3412" t="inlineStr">
        <is>
          <t>NYBRO</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36558-2020</t>
        </is>
      </c>
      <c r="B3413" s="1" t="n">
        <v>44050</v>
      </c>
      <c r="C3413" s="1" t="n">
        <v>45715</v>
      </c>
      <c r="D3413" t="inlineStr">
        <is>
          <t>KALMAR LÄN</t>
        </is>
      </c>
      <c r="E3413" t="inlineStr">
        <is>
          <t>NYBRO</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36641-2020</t>
        </is>
      </c>
      <c r="B3414" s="1" t="n">
        <v>44050</v>
      </c>
      <c r="C3414" s="1" t="n">
        <v>45715</v>
      </c>
      <c r="D3414" t="inlineStr">
        <is>
          <t>KALMAR LÄN</t>
        </is>
      </c>
      <c r="E3414" t="inlineStr">
        <is>
          <t>HÖGSBY</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36726-2020</t>
        </is>
      </c>
      <c r="B3415" s="1" t="n">
        <v>44053</v>
      </c>
      <c r="C3415" s="1" t="n">
        <v>45715</v>
      </c>
      <c r="D3415" t="inlineStr">
        <is>
          <t>KALMAR LÄN</t>
        </is>
      </c>
      <c r="E3415" t="inlineStr">
        <is>
          <t>HULTSFRED</t>
        </is>
      </c>
      <c r="F3415" t="inlineStr">
        <is>
          <t>Kyrkan</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36813-2020</t>
        </is>
      </c>
      <c r="B3416" s="1" t="n">
        <v>44053</v>
      </c>
      <c r="C3416" s="1" t="n">
        <v>45715</v>
      </c>
      <c r="D3416" t="inlineStr">
        <is>
          <t>KALMAR LÄN</t>
        </is>
      </c>
      <c r="E3416" t="inlineStr">
        <is>
          <t>MÖNSTERÅS</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36719-2020</t>
        </is>
      </c>
      <c r="B3417" s="1" t="n">
        <v>44053</v>
      </c>
      <c r="C3417" s="1" t="n">
        <v>45715</v>
      </c>
      <c r="D3417" t="inlineStr">
        <is>
          <t>KALMAR LÄN</t>
        </is>
      </c>
      <c r="E3417" t="inlineStr">
        <is>
          <t>HULTSFRED</t>
        </is>
      </c>
      <c r="F3417" t="inlineStr">
        <is>
          <t>Kyrkan</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36745-2020</t>
        </is>
      </c>
      <c r="B3418" s="1" t="n">
        <v>44053</v>
      </c>
      <c r="C3418" s="1" t="n">
        <v>45715</v>
      </c>
      <c r="D3418" t="inlineStr">
        <is>
          <t>KALMAR LÄN</t>
        </is>
      </c>
      <c r="E3418" t="inlineStr">
        <is>
          <t>NYBRO</t>
        </is>
      </c>
      <c r="F3418" t="inlineStr">
        <is>
          <t>Sveaskog</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36816-2020</t>
        </is>
      </c>
      <c r="B3419" s="1" t="n">
        <v>44053</v>
      </c>
      <c r="C3419" s="1" t="n">
        <v>45715</v>
      </c>
      <c r="D3419" t="inlineStr">
        <is>
          <t>KALMAR LÄN</t>
        </is>
      </c>
      <c r="E3419" t="inlineStr">
        <is>
          <t>HÖGSBY</t>
        </is>
      </c>
      <c r="F3419" t="inlineStr">
        <is>
          <t>Sveaskog</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36837-2020</t>
        </is>
      </c>
      <c r="B3420" s="1" t="n">
        <v>44053</v>
      </c>
      <c r="C3420" s="1" t="n">
        <v>45715</v>
      </c>
      <c r="D3420" t="inlineStr">
        <is>
          <t>KALMAR LÄN</t>
        </is>
      </c>
      <c r="E3420" t="inlineStr">
        <is>
          <t>HULTSFRED</t>
        </is>
      </c>
      <c r="F3420" t="inlineStr">
        <is>
          <t>Kyrkan</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36759-2020</t>
        </is>
      </c>
      <c r="B3421" s="1" t="n">
        <v>44053</v>
      </c>
      <c r="C3421" s="1" t="n">
        <v>45715</v>
      </c>
      <c r="D3421" t="inlineStr">
        <is>
          <t>KALMAR LÄN</t>
        </is>
      </c>
      <c r="E3421" t="inlineStr">
        <is>
          <t>KALMAR</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36860-2020</t>
        </is>
      </c>
      <c r="B3422" s="1" t="n">
        <v>44053</v>
      </c>
      <c r="C3422" s="1" t="n">
        <v>45715</v>
      </c>
      <c r="D3422" t="inlineStr">
        <is>
          <t>KALMAR LÄN</t>
        </is>
      </c>
      <c r="E3422" t="inlineStr">
        <is>
          <t>HÖGSBY</t>
        </is>
      </c>
      <c r="F3422" t="inlineStr">
        <is>
          <t>Sveaskog</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36743-2020</t>
        </is>
      </c>
      <c r="B3423" s="1" t="n">
        <v>44053</v>
      </c>
      <c r="C3423" s="1" t="n">
        <v>45715</v>
      </c>
      <c r="D3423" t="inlineStr">
        <is>
          <t>KALMAR LÄN</t>
        </is>
      </c>
      <c r="E3423" t="inlineStr">
        <is>
          <t>HULTSFRED</t>
        </is>
      </c>
      <c r="F3423" t="inlineStr">
        <is>
          <t>Kyrkan</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36815-2020</t>
        </is>
      </c>
      <c r="B3424" s="1" t="n">
        <v>44053</v>
      </c>
      <c r="C3424" s="1" t="n">
        <v>45715</v>
      </c>
      <c r="D3424" t="inlineStr">
        <is>
          <t>KALMAR LÄN</t>
        </is>
      </c>
      <c r="E3424" t="inlineStr">
        <is>
          <t>OSKARSHAMN</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36824-2020</t>
        </is>
      </c>
      <c r="B3425" s="1" t="n">
        <v>44053</v>
      </c>
      <c r="C3425" s="1" t="n">
        <v>45715</v>
      </c>
      <c r="D3425" t="inlineStr">
        <is>
          <t>KALMAR LÄN</t>
        </is>
      </c>
      <c r="E3425" t="inlineStr">
        <is>
          <t>KALMAR</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36931-2020</t>
        </is>
      </c>
      <c r="B3426" s="1" t="n">
        <v>44053</v>
      </c>
      <c r="C3426" s="1" t="n">
        <v>45715</v>
      </c>
      <c r="D3426" t="inlineStr">
        <is>
          <t>KALMAR LÄN</t>
        </is>
      </c>
      <c r="E3426" t="inlineStr">
        <is>
          <t>HULTSFRED</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37026-2020</t>
        </is>
      </c>
      <c r="B3427" s="1" t="n">
        <v>44053</v>
      </c>
      <c r="C3427" s="1" t="n">
        <v>45715</v>
      </c>
      <c r="D3427" t="inlineStr">
        <is>
          <t>KALMAR LÄN</t>
        </is>
      </c>
      <c r="E3427" t="inlineStr">
        <is>
          <t>KALMAR</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36930-2020</t>
        </is>
      </c>
      <c r="B3428" s="1" t="n">
        <v>44053</v>
      </c>
      <c r="C3428" s="1" t="n">
        <v>45715</v>
      </c>
      <c r="D3428" t="inlineStr">
        <is>
          <t>KALMAR LÄN</t>
        </is>
      </c>
      <c r="E3428" t="inlineStr">
        <is>
          <t>HULTSFRED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36862-2020</t>
        </is>
      </c>
      <c r="B3429" s="1" t="n">
        <v>44053</v>
      </c>
      <c r="C3429" s="1" t="n">
        <v>45715</v>
      </c>
      <c r="D3429" t="inlineStr">
        <is>
          <t>KALMAR LÄN</t>
        </is>
      </c>
      <c r="E3429" t="inlineStr">
        <is>
          <t>HÖGSBY</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36927-2020</t>
        </is>
      </c>
      <c r="B3430" s="1" t="n">
        <v>44053</v>
      </c>
      <c r="C3430" s="1" t="n">
        <v>45715</v>
      </c>
      <c r="D3430" t="inlineStr">
        <is>
          <t>KALMAR LÄN</t>
        </is>
      </c>
      <c r="E3430" t="inlineStr">
        <is>
          <t>HULTSFRED</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36841-2020</t>
        </is>
      </c>
      <c r="B3431" s="1" t="n">
        <v>44053</v>
      </c>
      <c r="C3431" s="1" t="n">
        <v>45715</v>
      </c>
      <c r="D3431" t="inlineStr">
        <is>
          <t>KALMAR LÄN</t>
        </is>
      </c>
      <c r="E3431" t="inlineStr">
        <is>
          <t>HULTSFRED</t>
        </is>
      </c>
      <c r="F3431" t="inlineStr">
        <is>
          <t>Kyrkan</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37104-2020</t>
        </is>
      </c>
      <c r="B3432" s="1" t="n">
        <v>44054</v>
      </c>
      <c r="C3432" s="1" t="n">
        <v>45715</v>
      </c>
      <c r="D3432" t="inlineStr">
        <is>
          <t>KALMAR LÄN</t>
        </is>
      </c>
      <c r="E3432" t="inlineStr">
        <is>
          <t>VIMMERBY</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37146-2020</t>
        </is>
      </c>
      <c r="B3433" s="1" t="n">
        <v>44054</v>
      </c>
      <c r="C3433" s="1" t="n">
        <v>45715</v>
      </c>
      <c r="D3433" t="inlineStr">
        <is>
          <t>KALMAR LÄN</t>
        </is>
      </c>
      <c r="E3433" t="inlineStr">
        <is>
          <t>VÄSTERVIK</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37156-2020</t>
        </is>
      </c>
      <c r="B3434" s="1" t="n">
        <v>44054</v>
      </c>
      <c r="C3434" s="1" t="n">
        <v>45715</v>
      </c>
      <c r="D3434" t="inlineStr">
        <is>
          <t>KALMAR LÄN</t>
        </is>
      </c>
      <c r="E3434" t="inlineStr">
        <is>
          <t>VÄSTERVIK</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37163-2020</t>
        </is>
      </c>
      <c r="B3435" s="1" t="n">
        <v>44054</v>
      </c>
      <c r="C3435" s="1" t="n">
        <v>45715</v>
      </c>
      <c r="D3435" t="inlineStr">
        <is>
          <t>KALMAR LÄN</t>
        </is>
      </c>
      <c r="E3435" t="inlineStr">
        <is>
          <t>VÄSTERVIK</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36987-2020</t>
        </is>
      </c>
      <c r="B3436" s="1" t="n">
        <v>44054</v>
      </c>
      <c r="C3436" s="1" t="n">
        <v>45715</v>
      </c>
      <c r="D3436" t="inlineStr">
        <is>
          <t>KALMAR LÄN</t>
        </is>
      </c>
      <c r="E3436" t="inlineStr">
        <is>
          <t>EMMABODA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37162-2020</t>
        </is>
      </c>
      <c r="B3437" s="1" t="n">
        <v>44054</v>
      </c>
      <c r="C3437" s="1" t="n">
        <v>45715</v>
      </c>
      <c r="D3437" t="inlineStr">
        <is>
          <t>KALMAR LÄN</t>
        </is>
      </c>
      <c r="E3437" t="inlineStr">
        <is>
          <t>VÄSTERVIK</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37201-2020</t>
        </is>
      </c>
      <c r="B3438" s="1" t="n">
        <v>44054</v>
      </c>
      <c r="C3438" s="1" t="n">
        <v>45715</v>
      </c>
      <c r="D3438" t="inlineStr">
        <is>
          <t>KALMAR LÄN</t>
        </is>
      </c>
      <c r="E3438" t="inlineStr">
        <is>
          <t>VIMMERBY</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37113-2020</t>
        </is>
      </c>
      <c r="B3439" s="1" t="n">
        <v>44054</v>
      </c>
      <c r="C3439" s="1" t="n">
        <v>45715</v>
      </c>
      <c r="D3439" t="inlineStr">
        <is>
          <t>KALMAR LÄN</t>
        </is>
      </c>
      <c r="E3439" t="inlineStr">
        <is>
          <t>VÄSTERVIK</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37122-2020</t>
        </is>
      </c>
      <c r="B3440" s="1" t="n">
        <v>44054</v>
      </c>
      <c r="C3440" s="1" t="n">
        <v>45715</v>
      </c>
      <c r="D3440" t="inlineStr">
        <is>
          <t>KALMAR LÄN</t>
        </is>
      </c>
      <c r="E3440" t="inlineStr">
        <is>
          <t>VÄSTERVIK</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37149-2020</t>
        </is>
      </c>
      <c r="B3441" s="1" t="n">
        <v>44054</v>
      </c>
      <c r="C3441" s="1" t="n">
        <v>45715</v>
      </c>
      <c r="D3441" t="inlineStr">
        <is>
          <t>KALMAR LÄN</t>
        </is>
      </c>
      <c r="E3441" t="inlineStr">
        <is>
          <t>VÄSTERVIK</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37166-2020</t>
        </is>
      </c>
      <c r="B3442" s="1" t="n">
        <v>44054</v>
      </c>
      <c r="C3442" s="1" t="n">
        <v>45715</v>
      </c>
      <c r="D3442" t="inlineStr">
        <is>
          <t>KALMAR LÄN</t>
        </is>
      </c>
      <c r="E3442" t="inlineStr">
        <is>
          <t>VÄSTERVIK</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37078-2020</t>
        </is>
      </c>
      <c r="B3443" s="1" t="n">
        <v>44054</v>
      </c>
      <c r="C3443" s="1" t="n">
        <v>45715</v>
      </c>
      <c r="D3443" t="inlineStr">
        <is>
          <t>KALMAR LÄN</t>
        </is>
      </c>
      <c r="E3443" t="inlineStr">
        <is>
          <t>VIMMERBY</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37114-2020</t>
        </is>
      </c>
      <c r="B3444" s="1" t="n">
        <v>44054</v>
      </c>
      <c r="C3444" s="1" t="n">
        <v>45715</v>
      </c>
      <c r="D3444" t="inlineStr">
        <is>
          <t>KALMAR LÄN</t>
        </is>
      </c>
      <c r="E3444" t="inlineStr">
        <is>
          <t>VÄSTERVIK</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37130-2020</t>
        </is>
      </c>
      <c r="B3445" s="1" t="n">
        <v>44054</v>
      </c>
      <c r="C3445" s="1" t="n">
        <v>45715</v>
      </c>
      <c r="D3445" t="inlineStr">
        <is>
          <t>KALMAR LÄN</t>
        </is>
      </c>
      <c r="E3445" t="inlineStr">
        <is>
          <t>NYBRO</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37324-2020</t>
        </is>
      </c>
      <c r="B3446" s="1" t="n">
        <v>44055</v>
      </c>
      <c r="C3446" s="1" t="n">
        <v>45715</v>
      </c>
      <c r="D3446" t="inlineStr">
        <is>
          <t>KALMAR LÄN</t>
        </is>
      </c>
      <c r="E3446" t="inlineStr">
        <is>
          <t>KALMAR</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37340-2020</t>
        </is>
      </c>
      <c r="B3447" s="1" t="n">
        <v>44055</v>
      </c>
      <c r="C3447" s="1" t="n">
        <v>45715</v>
      </c>
      <c r="D3447" t="inlineStr">
        <is>
          <t>KALMAR LÄN</t>
        </is>
      </c>
      <c r="E3447" t="inlineStr">
        <is>
          <t>TORSÅS</t>
        </is>
      </c>
      <c r="G3447" t="n">
        <v>8</v>
      </c>
      <c r="H3447" t="n">
        <v>0</v>
      </c>
      <c r="I3447" t="n">
        <v>0</v>
      </c>
      <c r="J3447" t="n">
        <v>0</v>
      </c>
      <c r="K3447" t="n">
        <v>0</v>
      </c>
      <c r="L3447" t="n">
        <v>0</v>
      </c>
      <c r="M3447" t="n">
        <v>0</v>
      </c>
      <c r="N3447" t="n">
        <v>0</v>
      </c>
      <c r="O3447" t="n">
        <v>0</v>
      </c>
      <c r="P3447" t="n">
        <v>0</v>
      </c>
      <c r="Q3447" t="n">
        <v>0</v>
      </c>
      <c r="R3447" s="2" t="inlineStr"/>
    </row>
    <row r="3448" ht="15" customHeight="1">
      <c r="A3448" t="inlineStr">
        <is>
          <t>A 37362-2020</t>
        </is>
      </c>
      <c r="B3448" s="1" t="n">
        <v>44055</v>
      </c>
      <c r="C3448" s="1" t="n">
        <v>45715</v>
      </c>
      <c r="D3448" t="inlineStr">
        <is>
          <t>KALMAR LÄN</t>
        </is>
      </c>
      <c r="E3448" t="inlineStr">
        <is>
          <t>VIMMERBY</t>
        </is>
      </c>
      <c r="F3448" t="inlineStr">
        <is>
          <t>Övriga Aktiebolag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37338-2020</t>
        </is>
      </c>
      <c r="B3449" s="1" t="n">
        <v>44055</v>
      </c>
      <c r="C3449" s="1" t="n">
        <v>45715</v>
      </c>
      <c r="D3449" t="inlineStr">
        <is>
          <t>KALMAR LÄN</t>
        </is>
      </c>
      <c r="E3449" t="inlineStr">
        <is>
          <t>MÖNSTERÅS</t>
        </is>
      </c>
      <c r="G3449" t="n">
        <v>13.7</v>
      </c>
      <c r="H3449" t="n">
        <v>0</v>
      </c>
      <c r="I3449" t="n">
        <v>0</v>
      </c>
      <c r="J3449" t="n">
        <v>0</v>
      </c>
      <c r="K3449" t="n">
        <v>0</v>
      </c>
      <c r="L3449" t="n">
        <v>0</v>
      </c>
      <c r="M3449" t="n">
        <v>0</v>
      </c>
      <c r="N3449" t="n">
        <v>0</v>
      </c>
      <c r="O3449" t="n">
        <v>0</v>
      </c>
      <c r="P3449" t="n">
        <v>0</v>
      </c>
      <c r="Q3449" t="n">
        <v>0</v>
      </c>
      <c r="R3449" s="2" t="inlineStr"/>
    </row>
    <row r="3450" ht="15" customHeight="1">
      <c r="A3450" t="inlineStr">
        <is>
          <t>A 37350-2020</t>
        </is>
      </c>
      <c r="B3450" s="1" t="n">
        <v>44055</v>
      </c>
      <c r="C3450" s="1" t="n">
        <v>45715</v>
      </c>
      <c r="D3450" t="inlineStr">
        <is>
          <t>KALMAR LÄN</t>
        </is>
      </c>
      <c r="E3450" t="inlineStr">
        <is>
          <t>TORSÅS</t>
        </is>
      </c>
      <c r="G3450" t="n">
        <v>11</v>
      </c>
      <c r="H3450" t="n">
        <v>0</v>
      </c>
      <c r="I3450" t="n">
        <v>0</v>
      </c>
      <c r="J3450" t="n">
        <v>0</v>
      </c>
      <c r="K3450" t="n">
        <v>0</v>
      </c>
      <c r="L3450" t="n">
        <v>0</v>
      </c>
      <c r="M3450" t="n">
        <v>0</v>
      </c>
      <c r="N3450" t="n">
        <v>0</v>
      </c>
      <c r="O3450" t="n">
        <v>0</v>
      </c>
      <c r="P3450" t="n">
        <v>0</v>
      </c>
      <c r="Q3450" t="n">
        <v>0</v>
      </c>
      <c r="R3450" s="2" t="inlineStr"/>
      <c r="U3450">
        <f>HYPERLINK("https://klasma.github.io/Logging_0834/knärot/A 37350-2020 karta knärot.png", "A 37350-2020")</f>
        <v/>
      </c>
      <c r="V3450">
        <f>HYPERLINK("https://klasma.github.io/Logging_0834/klagomål/A 37350-2020 FSC-klagomål.docx", "A 37350-2020")</f>
        <v/>
      </c>
      <c r="W3450">
        <f>HYPERLINK("https://klasma.github.io/Logging_0834/klagomålsmail/A 37350-2020 FSC-klagomål mail.docx", "A 37350-2020")</f>
        <v/>
      </c>
      <c r="X3450">
        <f>HYPERLINK("https://klasma.github.io/Logging_0834/tillsyn/A 37350-2020 tillsynsbegäran.docx", "A 37350-2020")</f>
        <v/>
      </c>
      <c r="Y3450">
        <f>HYPERLINK("https://klasma.github.io/Logging_0834/tillsynsmail/A 37350-2020 tillsynsbegäran mail.docx", "A 37350-2020")</f>
        <v/>
      </c>
    </row>
    <row r="3451" ht="15" customHeight="1">
      <c r="A3451" t="inlineStr">
        <is>
          <t>A 37361-2020</t>
        </is>
      </c>
      <c r="B3451" s="1" t="n">
        <v>44055</v>
      </c>
      <c r="C3451" s="1" t="n">
        <v>45715</v>
      </c>
      <c r="D3451" t="inlineStr">
        <is>
          <t>KALMAR LÄN</t>
        </is>
      </c>
      <c r="E3451" t="inlineStr">
        <is>
          <t>TORSÅS</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37318-2020</t>
        </is>
      </c>
      <c r="B3452" s="1" t="n">
        <v>44055</v>
      </c>
      <c r="C3452" s="1" t="n">
        <v>45715</v>
      </c>
      <c r="D3452" t="inlineStr">
        <is>
          <t>KALMAR LÄN</t>
        </is>
      </c>
      <c r="E3452" t="inlineStr">
        <is>
          <t>KALMAR</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37357-2020</t>
        </is>
      </c>
      <c r="B3453" s="1" t="n">
        <v>44055</v>
      </c>
      <c r="C3453" s="1" t="n">
        <v>45715</v>
      </c>
      <c r="D3453" t="inlineStr">
        <is>
          <t>KALMAR LÄN</t>
        </is>
      </c>
      <c r="E3453" t="inlineStr">
        <is>
          <t>TORSÅS</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37321-2020</t>
        </is>
      </c>
      <c r="B3454" s="1" t="n">
        <v>44055</v>
      </c>
      <c r="C3454" s="1" t="n">
        <v>45715</v>
      </c>
      <c r="D3454" t="inlineStr">
        <is>
          <t>KALMAR LÄN</t>
        </is>
      </c>
      <c r="E3454" t="inlineStr">
        <is>
          <t>KALMAR</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37299-2020</t>
        </is>
      </c>
      <c r="B3455" s="1" t="n">
        <v>44055</v>
      </c>
      <c r="C3455" s="1" t="n">
        <v>45715</v>
      </c>
      <c r="D3455" t="inlineStr">
        <is>
          <t>KALMAR LÄN</t>
        </is>
      </c>
      <c r="E3455" t="inlineStr">
        <is>
          <t>KALMAR</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37558-2020</t>
        </is>
      </c>
      <c r="B3456" s="1" t="n">
        <v>44056</v>
      </c>
      <c r="C3456" s="1" t="n">
        <v>45715</v>
      </c>
      <c r="D3456" t="inlineStr">
        <is>
          <t>KALMAR LÄN</t>
        </is>
      </c>
      <c r="E3456" t="inlineStr">
        <is>
          <t>HÖGSBY</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37621-2020</t>
        </is>
      </c>
      <c r="B3457" s="1" t="n">
        <v>44056</v>
      </c>
      <c r="C3457" s="1" t="n">
        <v>45715</v>
      </c>
      <c r="D3457" t="inlineStr">
        <is>
          <t>KALMAR LÄN</t>
        </is>
      </c>
      <c r="E3457" t="inlineStr">
        <is>
          <t>EMMABODA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37745-2020</t>
        </is>
      </c>
      <c r="B3458" s="1" t="n">
        <v>44056</v>
      </c>
      <c r="C3458" s="1" t="n">
        <v>45715</v>
      </c>
      <c r="D3458" t="inlineStr">
        <is>
          <t>KALMAR LÄN</t>
        </is>
      </c>
      <c r="E3458" t="inlineStr">
        <is>
          <t>NYBRO</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37552-2020</t>
        </is>
      </c>
      <c r="B3459" s="1" t="n">
        <v>44056</v>
      </c>
      <c r="C3459" s="1" t="n">
        <v>45715</v>
      </c>
      <c r="D3459" t="inlineStr">
        <is>
          <t>KALMAR LÄN</t>
        </is>
      </c>
      <c r="E3459" t="inlineStr">
        <is>
          <t>HÖGSBY</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37651-2020</t>
        </is>
      </c>
      <c r="B3460" s="1" t="n">
        <v>44056</v>
      </c>
      <c r="C3460" s="1" t="n">
        <v>45715</v>
      </c>
      <c r="D3460" t="inlineStr">
        <is>
          <t>KALMAR LÄN</t>
        </is>
      </c>
      <c r="E3460" t="inlineStr">
        <is>
          <t>NYBRO</t>
        </is>
      </c>
      <c r="G3460" t="n">
        <v>8.5</v>
      </c>
      <c r="H3460" t="n">
        <v>0</v>
      </c>
      <c r="I3460" t="n">
        <v>0</v>
      </c>
      <c r="J3460" t="n">
        <v>0</v>
      </c>
      <c r="K3460" t="n">
        <v>0</v>
      </c>
      <c r="L3460" t="n">
        <v>0</v>
      </c>
      <c r="M3460" t="n">
        <v>0</v>
      </c>
      <c r="N3460" t="n">
        <v>0</v>
      </c>
      <c r="O3460" t="n">
        <v>0</v>
      </c>
      <c r="P3460" t="n">
        <v>0</v>
      </c>
      <c r="Q3460" t="n">
        <v>0</v>
      </c>
      <c r="R3460" s="2" t="inlineStr"/>
    </row>
    <row r="3461" ht="15" customHeight="1">
      <c r="A3461" t="inlineStr">
        <is>
          <t>A 37753-2020</t>
        </is>
      </c>
      <c r="B3461" s="1" t="n">
        <v>44056</v>
      </c>
      <c r="C3461" s="1" t="n">
        <v>45715</v>
      </c>
      <c r="D3461" t="inlineStr">
        <is>
          <t>KALMAR LÄN</t>
        </is>
      </c>
      <c r="E3461" t="inlineStr">
        <is>
          <t>HÖGSBY</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37919-2020</t>
        </is>
      </c>
      <c r="B3462" s="1" t="n">
        <v>44057</v>
      </c>
      <c r="C3462" s="1" t="n">
        <v>45715</v>
      </c>
      <c r="D3462" t="inlineStr">
        <is>
          <t>KALMAR LÄN</t>
        </is>
      </c>
      <c r="E3462" t="inlineStr">
        <is>
          <t>EMMABODA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37925-2020</t>
        </is>
      </c>
      <c r="B3463" s="1" t="n">
        <v>44057</v>
      </c>
      <c r="C3463" s="1" t="n">
        <v>45715</v>
      </c>
      <c r="D3463" t="inlineStr">
        <is>
          <t>KALMAR LÄN</t>
        </is>
      </c>
      <c r="E3463" t="inlineStr">
        <is>
          <t>TORSÅS</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37931-2020</t>
        </is>
      </c>
      <c r="B3464" s="1" t="n">
        <v>44057</v>
      </c>
      <c r="C3464" s="1" t="n">
        <v>45715</v>
      </c>
      <c r="D3464" t="inlineStr">
        <is>
          <t>KALMAR LÄN</t>
        </is>
      </c>
      <c r="E3464" t="inlineStr">
        <is>
          <t>TORSÅS</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37813-2020</t>
        </is>
      </c>
      <c r="B3465" s="1" t="n">
        <v>44057</v>
      </c>
      <c r="C3465" s="1" t="n">
        <v>45715</v>
      </c>
      <c r="D3465" t="inlineStr">
        <is>
          <t>KALMAR LÄN</t>
        </is>
      </c>
      <c r="E3465" t="inlineStr">
        <is>
          <t>VIMMERBY</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37924-2020</t>
        </is>
      </c>
      <c r="B3466" s="1" t="n">
        <v>44057</v>
      </c>
      <c r="C3466" s="1" t="n">
        <v>45715</v>
      </c>
      <c r="D3466" t="inlineStr">
        <is>
          <t>KALMAR LÄN</t>
        </is>
      </c>
      <c r="E3466" t="inlineStr">
        <is>
          <t>TORSÅS</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37908-2020</t>
        </is>
      </c>
      <c r="B3467" s="1" t="n">
        <v>44057</v>
      </c>
      <c r="C3467" s="1" t="n">
        <v>45715</v>
      </c>
      <c r="D3467" t="inlineStr">
        <is>
          <t>KALMAR LÄN</t>
        </is>
      </c>
      <c r="E3467" t="inlineStr">
        <is>
          <t>HÖGSBY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37926-2020</t>
        </is>
      </c>
      <c r="B3468" s="1" t="n">
        <v>44057</v>
      </c>
      <c r="C3468" s="1" t="n">
        <v>45715</v>
      </c>
      <c r="D3468" t="inlineStr">
        <is>
          <t>KALMAR LÄN</t>
        </is>
      </c>
      <c r="E3468" t="inlineStr">
        <is>
          <t>TORSÅS</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37911-2020</t>
        </is>
      </c>
      <c r="B3469" s="1" t="n">
        <v>44057</v>
      </c>
      <c r="C3469" s="1" t="n">
        <v>45715</v>
      </c>
      <c r="D3469" t="inlineStr">
        <is>
          <t>KALMAR LÄN</t>
        </is>
      </c>
      <c r="E3469" t="inlineStr">
        <is>
          <t>HÖGSBY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37922-2020</t>
        </is>
      </c>
      <c r="B3470" s="1" t="n">
        <v>44057</v>
      </c>
      <c r="C3470" s="1" t="n">
        <v>45715</v>
      </c>
      <c r="D3470" t="inlineStr">
        <is>
          <t>KALMAR LÄN</t>
        </is>
      </c>
      <c r="E3470" t="inlineStr">
        <is>
          <t>TORSÅS</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37927-2020</t>
        </is>
      </c>
      <c r="B3471" s="1" t="n">
        <v>44057</v>
      </c>
      <c r="C3471" s="1" t="n">
        <v>45715</v>
      </c>
      <c r="D3471" t="inlineStr">
        <is>
          <t>KALMAR LÄN</t>
        </is>
      </c>
      <c r="E3471" t="inlineStr">
        <is>
          <t>TORSÅS</t>
        </is>
      </c>
      <c r="G3471" t="n">
        <v>10</v>
      </c>
      <c r="H3471" t="n">
        <v>0</v>
      </c>
      <c r="I3471" t="n">
        <v>0</v>
      </c>
      <c r="J3471" t="n">
        <v>0</v>
      </c>
      <c r="K3471" t="n">
        <v>0</v>
      </c>
      <c r="L3471" t="n">
        <v>0</v>
      </c>
      <c r="M3471" t="n">
        <v>0</v>
      </c>
      <c r="N3471" t="n">
        <v>0</v>
      </c>
      <c r="O3471" t="n">
        <v>0</v>
      </c>
      <c r="P3471" t="n">
        <v>0</v>
      </c>
      <c r="Q3471" t="n">
        <v>0</v>
      </c>
      <c r="R3471" s="2" t="inlineStr"/>
    </row>
    <row r="3472" ht="15" customHeight="1">
      <c r="A3472" t="inlineStr">
        <is>
          <t>A 37939-2020</t>
        </is>
      </c>
      <c r="B3472" s="1" t="n">
        <v>44057</v>
      </c>
      <c r="C3472" s="1" t="n">
        <v>45715</v>
      </c>
      <c r="D3472" t="inlineStr">
        <is>
          <t>KALMAR LÄN</t>
        </is>
      </c>
      <c r="E3472" t="inlineStr">
        <is>
          <t>NYBRO</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37973-2020</t>
        </is>
      </c>
      <c r="B3473" s="1" t="n">
        <v>44057</v>
      </c>
      <c r="C3473" s="1" t="n">
        <v>45715</v>
      </c>
      <c r="D3473" t="inlineStr">
        <is>
          <t>KALMAR LÄN</t>
        </is>
      </c>
      <c r="E3473" t="inlineStr">
        <is>
          <t>VIMMERBY</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38052-2020</t>
        </is>
      </c>
      <c r="B3474" s="1" t="n">
        <v>44057</v>
      </c>
      <c r="C3474" s="1" t="n">
        <v>45715</v>
      </c>
      <c r="D3474" t="inlineStr">
        <is>
          <t>KALMAR LÄN</t>
        </is>
      </c>
      <c r="E3474" t="inlineStr">
        <is>
          <t>TORSÅS</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38051-2020</t>
        </is>
      </c>
      <c r="B3475" s="1" t="n">
        <v>44057</v>
      </c>
      <c r="C3475" s="1" t="n">
        <v>45715</v>
      </c>
      <c r="D3475" t="inlineStr">
        <is>
          <t>KALMAR LÄN</t>
        </is>
      </c>
      <c r="E3475" t="inlineStr">
        <is>
          <t>TORSÅS</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38134-2020</t>
        </is>
      </c>
      <c r="B3476" s="1" t="n">
        <v>44059</v>
      </c>
      <c r="C3476" s="1" t="n">
        <v>45715</v>
      </c>
      <c r="D3476" t="inlineStr">
        <is>
          <t>KALMAR LÄN</t>
        </is>
      </c>
      <c r="E3476" t="inlineStr">
        <is>
          <t>NYBRO</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38248-2020</t>
        </is>
      </c>
      <c r="B3477" s="1" t="n">
        <v>44060</v>
      </c>
      <c r="C3477" s="1" t="n">
        <v>45715</v>
      </c>
      <c r="D3477" t="inlineStr">
        <is>
          <t>KALMAR LÄN</t>
        </is>
      </c>
      <c r="E3477" t="inlineStr">
        <is>
          <t>HULTSFRED</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38150-2020</t>
        </is>
      </c>
      <c r="B3478" s="1" t="n">
        <v>44060</v>
      </c>
      <c r="C3478" s="1" t="n">
        <v>45715</v>
      </c>
      <c r="D3478" t="inlineStr">
        <is>
          <t>KALMAR LÄN</t>
        </is>
      </c>
      <c r="E3478" t="inlineStr">
        <is>
          <t>KALMAR</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38210-2020</t>
        </is>
      </c>
      <c r="B3479" s="1" t="n">
        <v>44060</v>
      </c>
      <c r="C3479" s="1" t="n">
        <v>45715</v>
      </c>
      <c r="D3479" t="inlineStr">
        <is>
          <t>KALMAR LÄN</t>
        </is>
      </c>
      <c r="E3479" t="inlineStr">
        <is>
          <t>NYBRO</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38153-2020</t>
        </is>
      </c>
      <c r="B3480" s="1" t="n">
        <v>44060</v>
      </c>
      <c r="C3480" s="1" t="n">
        <v>45715</v>
      </c>
      <c r="D3480" t="inlineStr">
        <is>
          <t>KALMAR LÄN</t>
        </is>
      </c>
      <c r="E3480" t="inlineStr">
        <is>
          <t>VIMMERBY</t>
        </is>
      </c>
      <c r="G3480" t="n">
        <v>6</v>
      </c>
      <c r="H3480" t="n">
        <v>0</v>
      </c>
      <c r="I3480" t="n">
        <v>0</v>
      </c>
      <c r="J3480" t="n">
        <v>0</v>
      </c>
      <c r="K3480" t="n">
        <v>0</v>
      </c>
      <c r="L3480" t="n">
        <v>0</v>
      </c>
      <c r="M3480" t="n">
        <v>0</v>
      </c>
      <c r="N3480" t="n">
        <v>0</v>
      </c>
      <c r="O3480" t="n">
        <v>0</v>
      </c>
      <c r="P3480" t="n">
        <v>0</v>
      </c>
      <c r="Q3480" t="n">
        <v>0</v>
      </c>
      <c r="R3480" s="2" t="inlineStr"/>
    </row>
    <row r="3481" ht="15" customHeight="1">
      <c r="A3481" t="inlineStr">
        <is>
          <t>A 38333-2020</t>
        </is>
      </c>
      <c r="B3481" s="1" t="n">
        <v>44060</v>
      </c>
      <c r="C3481" s="1" t="n">
        <v>45715</v>
      </c>
      <c r="D3481" t="inlineStr">
        <is>
          <t>KALMAR LÄN</t>
        </is>
      </c>
      <c r="E3481" t="inlineStr">
        <is>
          <t>MÖNSTERÅS</t>
        </is>
      </c>
      <c r="G3481" t="n">
        <v>9.699999999999999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38222-2020</t>
        </is>
      </c>
      <c r="B3482" s="1" t="n">
        <v>44060</v>
      </c>
      <c r="C3482" s="1" t="n">
        <v>45715</v>
      </c>
      <c r="D3482" t="inlineStr">
        <is>
          <t>KALMAR LÄN</t>
        </is>
      </c>
      <c r="E3482" t="inlineStr">
        <is>
          <t>NYBRO</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38237-2020</t>
        </is>
      </c>
      <c r="B3483" s="1" t="n">
        <v>44060</v>
      </c>
      <c r="C3483" s="1" t="n">
        <v>45715</v>
      </c>
      <c r="D3483" t="inlineStr">
        <is>
          <t>KALMAR LÄN</t>
        </is>
      </c>
      <c r="E3483" t="inlineStr">
        <is>
          <t>KALMAR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38397-2020</t>
        </is>
      </c>
      <c r="B3484" s="1" t="n">
        <v>44060</v>
      </c>
      <c r="C3484" s="1" t="n">
        <v>45715</v>
      </c>
      <c r="D3484" t="inlineStr">
        <is>
          <t>KALMAR LÄN</t>
        </is>
      </c>
      <c r="E3484" t="inlineStr">
        <is>
          <t>VIMMERBY</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38530-2020</t>
        </is>
      </c>
      <c r="B3485" s="1" t="n">
        <v>44061</v>
      </c>
      <c r="C3485" s="1" t="n">
        <v>45715</v>
      </c>
      <c r="D3485" t="inlineStr">
        <is>
          <t>KALMAR LÄN</t>
        </is>
      </c>
      <c r="E3485" t="inlineStr">
        <is>
          <t>VIMMERBY</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38563-2020</t>
        </is>
      </c>
      <c r="B3486" s="1" t="n">
        <v>44061</v>
      </c>
      <c r="C3486" s="1" t="n">
        <v>45715</v>
      </c>
      <c r="D3486" t="inlineStr">
        <is>
          <t>KALMAR LÄN</t>
        </is>
      </c>
      <c r="E3486" t="inlineStr">
        <is>
          <t>HÖGSBY</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38540-2020</t>
        </is>
      </c>
      <c r="B3487" s="1" t="n">
        <v>44061</v>
      </c>
      <c r="C3487" s="1" t="n">
        <v>45715</v>
      </c>
      <c r="D3487" t="inlineStr">
        <is>
          <t>KALMAR LÄN</t>
        </is>
      </c>
      <c r="E3487" t="inlineStr">
        <is>
          <t>HÖGSBY</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38639-2020</t>
        </is>
      </c>
      <c r="B3488" s="1" t="n">
        <v>44061</v>
      </c>
      <c r="C3488" s="1" t="n">
        <v>45715</v>
      </c>
      <c r="D3488" t="inlineStr">
        <is>
          <t>KALMAR LÄN</t>
        </is>
      </c>
      <c r="E3488" t="inlineStr">
        <is>
          <t>HULTSFRED</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38763-2020</t>
        </is>
      </c>
      <c r="B3489" s="1" t="n">
        <v>44061</v>
      </c>
      <c r="C3489" s="1" t="n">
        <v>45715</v>
      </c>
      <c r="D3489" t="inlineStr">
        <is>
          <t>KALMAR LÄN</t>
        </is>
      </c>
      <c r="E3489" t="inlineStr">
        <is>
          <t>HULTSFRED</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38769-2020</t>
        </is>
      </c>
      <c r="B3490" s="1" t="n">
        <v>44061</v>
      </c>
      <c r="C3490" s="1" t="n">
        <v>45715</v>
      </c>
      <c r="D3490" t="inlineStr">
        <is>
          <t>KALMAR LÄN</t>
        </is>
      </c>
      <c r="E3490" t="inlineStr">
        <is>
          <t>KALMAR</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38721-2020</t>
        </is>
      </c>
      <c r="B3491" s="1" t="n">
        <v>44061</v>
      </c>
      <c r="C3491" s="1" t="n">
        <v>45715</v>
      </c>
      <c r="D3491" t="inlineStr">
        <is>
          <t>KALMAR LÄN</t>
        </is>
      </c>
      <c r="E3491" t="inlineStr">
        <is>
          <t>MÖNSTERÅS</t>
        </is>
      </c>
      <c r="G3491" t="n">
        <v>7.9</v>
      </c>
      <c r="H3491" t="n">
        <v>0</v>
      </c>
      <c r="I3491" t="n">
        <v>0</v>
      </c>
      <c r="J3491" t="n">
        <v>0</v>
      </c>
      <c r="K3491" t="n">
        <v>0</v>
      </c>
      <c r="L3491" t="n">
        <v>0</v>
      </c>
      <c r="M3491" t="n">
        <v>0</v>
      </c>
      <c r="N3491" t="n">
        <v>0</v>
      </c>
      <c r="O3491" t="n">
        <v>0</v>
      </c>
      <c r="P3491" t="n">
        <v>0</v>
      </c>
      <c r="Q3491" t="n">
        <v>0</v>
      </c>
      <c r="R3491" s="2" t="inlineStr"/>
    </row>
    <row r="3492" ht="15" customHeight="1">
      <c r="A3492" t="inlineStr">
        <is>
          <t>A 38765-2020</t>
        </is>
      </c>
      <c r="B3492" s="1" t="n">
        <v>44061</v>
      </c>
      <c r="C3492" s="1" t="n">
        <v>45715</v>
      </c>
      <c r="D3492" t="inlineStr">
        <is>
          <t>KALMAR LÄN</t>
        </is>
      </c>
      <c r="E3492" t="inlineStr">
        <is>
          <t>KALMAR</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38710-2020</t>
        </is>
      </c>
      <c r="B3493" s="1" t="n">
        <v>44061</v>
      </c>
      <c r="C3493" s="1" t="n">
        <v>45715</v>
      </c>
      <c r="D3493" t="inlineStr">
        <is>
          <t>KALMAR LÄN</t>
        </is>
      </c>
      <c r="E3493" t="inlineStr">
        <is>
          <t>VIMMERBY</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38764-2020</t>
        </is>
      </c>
      <c r="B3494" s="1" t="n">
        <v>44061</v>
      </c>
      <c r="C3494" s="1" t="n">
        <v>45715</v>
      </c>
      <c r="D3494" t="inlineStr">
        <is>
          <t>KALMAR LÄN</t>
        </is>
      </c>
      <c r="E3494" t="inlineStr">
        <is>
          <t>HULTSFRED</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38766-2020</t>
        </is>
      </c>
      <c r="B3495" s="1" t="n">
        <v>44061</v>
      </c>
      <c r="C3495" s="1" t="n">
        <v>45715</v>
      </c>
      <c r="D3495" t="inlineStr">
        <is>
          <t>KALMAR LÄN</t>
        </is>
      </c>
      <c r="E3495" t="inlineStr">
        <is>
          <t>KALMAR</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38803-2020</t>
        </is>
      </c>
      <c r="B3496" s="1" t="n">
        <v>44062</v>
      </c>
      <c r="C3496" s="1" t="n">
        <v>45715</v>
      </c>
      <c r="D3496" t="inlineStr">
        <is>
          <t>KALMAR LÄN</t>
        </is>
      </c>
      <c r="E3496" t="inlineStr">
        <is>
          <t>KALMAR</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38844-2020</t>
        </is>
      </c>
      <c r="B3497" s="1" t="n">
        <v>44062</v>
      </c>
      <c r="C3497" s="1" t="n">
        <v>45715</v>
      </c>
      <c r="D3497" t="inlineStr">
        <is>
          <t>KALMAR LÄN</t>
        </is>
      </c>
      <c r="E3497" t="inlineStr">
        <is>
          <t>VIMMERBY</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38937-2020</t>
        </is>
      </c>
      <c r="B3498" s="1" t="n">
        <v>44062</v>
      </c>
      <c r="C3498" s="1" t="n">
        <v>45715</v>
      </c>
      <c r="D3498" t="inlineStr">
        <is>
          <t>KALMAR LÄN</t>
        </is>
      </c>
      <c r="E3498" t="inlineStr">
        <is>
          <t>HULTSFRED</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38872-2020</t>
        </is>
      </c>
      <c r="B3499" s="1" t="n">
        <v>44062</v>
      </c>
      <c r="C3499" s="1" t="n">
        <v>45715</v>
      </c>
      <c r="D3499" t="inlineStr">
        <is>
          <t>KALMAR LÄN</t>
        </is>
      </c>
      <c r="E3499" t="inlineStr">
        <is>
          <t>EMMABODA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38967-2020</t>
        </is>
      </c>
      <c r="B3500" s="1" t="n">
        <v>44062</v>
      </c>
      <c r="C3500" s="1" t="n">
        <v>45715</v>
      </c>
      <c r="D3500" t="inlineStr">
        <is>
          <t>KALMAR LÄN</t>
        </is>
      </c>
      <c r="E3500" t="inlineStr">
        <is>
          <t>MÖNSTERÅS</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39155-2020</t>
        </is>
      </c>
      <c r="B3501" s="1" t="n">
        <v>44062</v>
      </c>
      <c r="C3501" s="1" t="n">
        <v>45715</v>
      </c>
      <c r="D3501" t="inlineStr">
        <is>
          <t>KALMAR LÄN</t>
        </is>
      </c>
      <c r="E3501" t="inlineStr">
        <is>
          <t>MÖNSTERÅS</t>
        </is>
      </c>
      <c r="F3501" t="inlineStr">
        <is>
          <t>Kyrkan</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39029-2020</t>
        </is>
      </c>
      <c r="B3502" s="1" t="n">
        <v>44062</v>
      </c>
      <c r="C3502" s="1" t="n">
        <v>45715</v>
      </c>
      <c r="D3502" t="inlineStr">
        <is>
          <t>KALMAR LÄN</t>
        </is>
      </c>
      <c r="E3502" t="inlineStr">
        <is>
          <t>KALMAR</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39191-2020</t>
        </is>
      </c>
      <c r="B3503" s="1" t="n">
        <v>44063</v>
      </c>
      <c r="C3503" s="1" t="n">
        <v>45715</v>
      </c>
      <c r="D3503" t="inlineStr">
        <is>
          <t>KALMAR LÄN</t>
        </is>
      </c>
      <c r="E3503" t="inlineStr">
        <is>
          <t>VIMMERBY</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39251-2020</t>
        </is>
      </c>
      <c r="B3504" s="1" t="n">
        <v>44063</v>
      </c>
      <c r="C3504" s="1" t="n">
        <v>45715</v>
      </c>
      <c r="D3504" t="inlineStr">
        <is>
          <t>KALMAR LÄN</t>
        </is>
      </c>
      <c r="E3504" t="inlineStr">
        <is>
          <t>VIMMERBY</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39125-2020</t>
        </is>
      </c>
      <c r="B3505" s="1" t="n">
        <v>44063</v>
      </c>
      <c r="C3505" s="1" t="n">
        <v>45715</v>
      </c>
      <c r="D3505" t="inlineStr">
        <is>
          <t>KALMAR LÄN</t>
        </is>
      </c>
      <c r="E3505" t="inlineStr">
        <is>
          <t>VIMMERBY</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39153-2020</t>
        </is>
      </c>
      <c r="B3506" s="1" t="n">
        <v>44063</v>
      </c>
      <c r="C3506" s="1" t="n">
        <v>45715</v>
      </c>
      <c r="D3506" t="inlineStr">
        <is>
          <t>KALMAR LÄN</t>
        </is>
      </c>
      <c r="E3506" t="inlineStr">
        <is>
          <t>VÄSTERVIK</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39195-2020</t>
        </is>
      </c>
      <c r="B3507" s="1" t="n">
        <v>44063</v>
      </c>
      <c r="C3507" s="1" t="n">
        <v>45715</v>
      </c>
      <c r="D3507" t="inlineStr">
        <is>
          <t>KALMAR LÄN</t>
        </is>
      </c>
      <c r="E3507" t="inlineStr">
        <is>
          <t>MÖNSTERÅS</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39300-2020</t>
        </is>
      </c>
      <c r="B3508" s="1" t="n">
        <v>44063</v>
      </c>
      <c r="C3508" s="1" t="n">
        <v>45715</v>
      </c>
      <c r="D3508" t="inlineStr">
        <is>
          <t>KALMAR LÄN</t>
        </is>
      </c>
      <c r="E3508" t="inlineStr">
        <is>
          <t>VIMMERBY</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39255-2020</t>
        </is>
      </c>
      <c r="B3509" s="1" t="n">
        <v>44063</v>
      </c>
      <c r="C3509" s="1" t="n">
        <v>45715</v>
      </c>
      <c r="D3509" t="inlineStr">
        <is>
          <t>KALMAR LÄN</t>
        </is>
      </c>
      <c r="E3509" t="inlineStr">
        <is>
          <t>HÖGSBY</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39288-2020</t>
        </is>
      </c>
      <c r="B3510" s="1" t="n">
        <v>44063</v>
      </c>
      <c r="C3510" s="1" t="n">
        <v>45715</v>
      </c>
      <c r="D3510" t="inlineStr">
        <is>
          <t>KALMAR LÄN</t>
        </is>
      </c>
      <c r="E3510" t="inlineStr">
        <is>
          <t>VIMMERBY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39313-2020</t>
        </is>
      </c>
      <c r="B3511" s="1" t="n">
        <v>44063</v>
      </c>
      <c r="C3511" s="1" t="n">
        <v>45715</v>
      </c>
      <c r="D3511" t="inlineStr">
        <is>
          <t>KALMAR LÄN</t>
        </is>
      </c>
      <c r="E3511" t="inlineStr">
        <is>
          <t>HULTSFRED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39108-2020</t>
        </is>
      </c>
      <c r="B3512" s="1" t="n">
        <v>44063</v>
      </c>
      <c r="C3512" s="1" t="n">
        <v>45715</v>
      </c>
      <c r="D3512" t="inlineStr">
        <is>
          <t>KALMAR LÄN</t>
        </is>
      </c>
      <c r="E3512" t="inlineStr">
        <is>
          <t>TORSÅS</t>
        </is>
      </c>
      <c r="F3512" t="inlineStr">
        <is>
          <t>Övriga Aktiebolag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39865-2020</t>
        </is>
      </c>
      <c r="B3513" s="1" t="n">
        <v>44063</v>
      </c>
      <c r="C3513" s="1" t="n">
        <v>45715</v>
      </c>
      <c r="D3513" t="inlineStr">
        <is>
          <t>KALMAR LÄN</t>
        </is>
      </c>
      <c r="E3513" t="inlineStr">
        <is>
          <t>HULTSFRED</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39508-2020</t>
        </is>
      </c>
      <c r="B3514" s="1" t="n">
        <v>44064</v>
      </c>
      <c r="C3514" s="1" t="n">
        <v>45715</v>
      </c>
      <c r="D3514" t="inlineStr">
        <is>
          <t>KALMAR LÄN</t>
        </is>
      </c>
      <c r="E3514" t="inlineStr">
        <is>
          <t>VIMMERBY</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39395-2020</t>
        </is>
      </c>
      <c r="B3515" s="1" t="n">
        <v>44064</v>
      </c>
      <c r="C3515" s="1" t="n">
        <v>45715</v>
      </c>
      <c r="D3515" t="inlineStr">
        <is>
          <t>KALMAR LÄN</t>
        </is>
      </c>
      <c r="E3515" t="inlineStr">
        <is>
          <t>NYBRO</t>
        </is>
      </c>
      <c r="G3515" t="n">
        <v>19.3</v>
      </c>
      <c r="H3515" t="n">
        <v>0</v>
      </c>
      <c r="I3515" t="n">
        <v>0</v>
      </c>
      <c r="J3515" t="n">
        <v>0</v>
      </c>
      <c r="K3515" t="n">
        <v>0</v>
      </c>
      <c r="L3515" t="n">
        <v>0</v>
      </c>
      <c r="M3515" t="n">
        <v>0</v>
      </c>
      <c r="N3515" t="n">
        <v>0</v>
      </c>
      <c r="O3515" t="n">
        <v>0</v>
      </c>
      <c r="P3515" t="n">
        <v>0</v>
      </c>
      <c r="Q3515" t="n">
        <v>0</v>
      </c>
      <c r="R3515" s="2" t="inlineStr"/>
    </row>
    <row r="3516" ht="15" customHeight="1">
      <c r="A3516" t="inlineStr">
        <is>
          <t>A 39465-2020</t>
        </is>
      </c>
      <c r="B3516" s="1" t="n">
        <v>44064</v>
      </c>
      <c r="C3516" s="1" t="n">
        <v>45715</v>
      </c>
      <c r="D3516" t="inlineStr">
        <is>
          <t>KALMAR LÄN</t>
        </is>
      </c>
      <c r="E3516" t="inlineStr">
        <is>
          <t>HÖGSBY</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39596-2020</t>
        </is>
      </c>
      <c r="B3517" s="1" t="n">
        <v>44064</v>
      </c>
      <c r="C3517" s="1" t="n">
        <v>45715</v>
      </c>
      <c r="D3517" t="inlineStr">
        <is>
          <t>KALMAR LÄN</t>
        </is>
      </c>
      <c r="E3517" t="inlineStr">
        <is>
          <t>HULTSFRED</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39779-2020</t>
        </is>
      </c>
      <c r="B3518" s="1" t="n">
        <v>44064</v>
      </c>
      <c r="C3518" s="1" t="n">
        <v>45715</v>
      </c>
      <c r="D3518" t="inlineStr">
        <is>
          <t>KALMAR LÄN</t>
        </is>
      </c>
      <c r="E3518" t="inlineStr">
        <is>
          <t>VÄSTERVIK</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39859-2020</t>
        </is>
      </c>
      <c r="B3519" s="1" t="n">
        <v>44064</v>
      </c>
      <c r="C3519" s="1" t="n">
        <v>45715</v>
      </c>
      <c r="D3519" t="inlineStr">
        <is>
          <t>KALMAR LÄN</t>
        </is>
      </c>
      <c r="E3519" t="inlineStr">
        <is>
          <t>VÄSTERVIK</t>
        </is>
      </c>
      <c r="G3519" t="n">
        <v>29.6</v>
      </c>
      <c r="H3519" t="n">
        <v>0</v>
      </c>
      <c r="I3519" t="n">
        <v>0</v>
      </c>
      <c r="J3519" t="n">
        <v>0</v>
      </c>
      <c r="K3519" t="n">
        <v>0</v>
      </c>
      <c r="L3519" t="n">
        <v>0</v>
      </c>
      <c r="M3519" t="n">
        <v>0</v>
      </c>
      <c r="N3519" t="n">
        <v>0</v>
      </c>
      <c r="O3519" t="n">
        <v>0</v>
      </c>
      <c r="P3519" t="n">
        <v>0</v>
      </c>
      <c r="Q3519" t="n">
        <v>0</v>
      </c>
      <c r="R3519" s="2" t="inlineStr"/>
    </row>
    <row r="3520" ht="15" customHeight="1">
      <c r="A3520" t="inlineStr">
        <is>
          <t>A 39769-2020</t>
        </is>
      </c>
      <c r="B3520" s="1" t="n">
        <v>44064</v>
      </c>
      <c r="C3520" s="1" t="n">
        <v>45715</v>
      </c>
      <c r="D3520" t="inlineStr">
        <is>
          <t>KALMAR LÄN</t>
        </is>
      </c>
      <c r="E3520" t="inlineStr">
        <is>
          <t>VIMMERBY</t>
        </is>
      </c>
      <c r="G3520" t="n">
        <v>24.6</v>
      </c>
      <c r="H3520" t="n">
        <v>0</v>
      </c>
      <c r="I3520" t="n">
        <v>0</v>
      </c>
      <c r="J3520" t="n">
        <v>0</v>
      </c>
      <c r="K3520" t="n">
        <v>0</v>
      </c>
      <c r="L3520" t="n">
        <v>0</v>
      </c>
      <c r="M3520" t="n">
        <v>0</v>
      </c>
      <c r="N3520" t="n">
        <v>0</v>
      </c>
      <c r="O3520" t="n">
        <v>0</v>
      </c>
      <c r="P3520" t="n">
        <v>0</v>
      </c>
      <c r="Q3520" t="n">
        <v>0</v>
      </c>
      <c r="R3520" s="2" t="inlineStr"/>
    </row>
    <row r="3521" ht="15" customHeight="1">
      <c r="A3521" t="inlineStr">
        <is>
          <t>A 39857-2020</t>
        </is>
      </c>
      <c r="B3521" s="1" t="n">
        <v>44064</v>
      </c>
      <c r="C3521" s="1" t="n">
        <v>45715</v>
      </c>
      <c r="D3521" t="inlineStr">
        <is>
          <t>KALMAR LÄN</t>
        </is>
      </c>
      <c r="E3521" t="inlineStr">
        <is>
          <t>VÄSTERVIK</t>
        </is>
      </c>
      <c r="G3521" t="n">
        <v>7.6</v>
      </c>
      <c r="H3521" t="n">
        <v>0</v>
      </c>
      <c r="I3521" t="n">
        <v>0</v>
      </c>
      <c r="J3521" t="n">
        <v>0</v>
      </c>
      <c r="K3521" t="n">
        <v>0</v>
      </c>
      <c r="L3521" t="n">
        <v>0</v>
      </c>
      <c r="M3521" t="n">
        <v>0</v>
      </c>
      <c r="N3521" t="n">
        <v>0</v>
      </c>
      <c r="O3521" t="n">
        <v>0</v>
      </c>
      <c r="P3521" t="n">
        <v>0</v>
      </c>
      <c r="Q3521" t="n">
        <v>0</v>
      </c>
      <c r="R3521" s="2" t="inlineStr"/>
    </row>
    <row r="3522" ht="15" customHeight="1">
      <c r="A3522" t="inlineStr">
        <is>
          <t>A 39760-2020</t>
        </is>
      </c>
      <c r="B3522" s="1" t="n">
        <v>44067</v>
      </c>
      <c r="C3522" s="1" t="n">
        <v>45715</v>
      </c>
      <c r="D3522" t="inlineStr">
        <is>
          <t>KALMAR LÄN</t>
        </is>
      </c>
      <c r="E3522" t="inlineStr">
        <is>
          <t>HULTSFRED</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40095-2020</t>
        </is>
      </c>
      <c r="B3523" s="1" t="n">
        <v>44068</v>
      </c>
      <c r="C3523" s="1" t="n">
        <v>45715</v>
      </c>
      <c r="D3523" t="inlineStr">
        <is>
          <t>KALMAR LÄN</t>
        </is>
      </c>
      <c r="E3523" t="inlineStr">
        <is>
          <t>HULTSFRED</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40118-2020</t>
        </is>
      </c>
      <c r="B3524" s="1" t="n">
        <v>44068</v>
      </c>
      <c r="C3524" s="1" t="n">
        <v>45715</v>
      </c>
      <c r="D3524" t="inlineStr">
        <is>
          <t>KALMAR LÄN</t>
        </is>
      </c>
      <c r="E3524" t="inlineStr">
        <is>
          <t>HULTSFRED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40349-2020</t>
        </is>
      </c>
      <c r="B3525" s="1" t="n">
        <v>44068</v>
      </c>
      <c r="C3525" s="1" t="n">
        <v>45715</v>
      </c>
      <c r="D3525" t="inlineStr">
        <is>
          <t>KALMAR LÄN</t>
        </is>
      </c>
      <c r="E3525" t="inlineStr">
        <is>
          <t>HÖGSBY</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40239-2020</t>
        </is>
      </c>
      <c r="B3526" s="1" t="n">
        <v>44068</v>
      </c>
      <c r="C3526" s="1" t="n">
        <v>45715</v>
      </c>
      <c r="D3526" t="inlineStr">
        <is>
          <t>KALMAR LÄN</t>
        </is>
      </c>
      <c r="E3526" t="inlineStr">
        <is>
          <t>VIMMERBY</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40366-2020</t>
        </is>
      </c>
      <c r="B3527" s="1" t="n">
        <v>44068</v>
      </c>
      <c r="C3527" s="1" t="n">
        <v>45715</v>
      </c>
      <c r="D3527" t="inlineStr">
        <is>
          <t>KALMAR LÄN</t>
        </is>
      </c>
      <c r="E3527" t="inlineStr">
        <is>
          <t>HULTSFRED</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40367-2020</t>
        </is>
      </c>
      <c r="B3528" s="1" t="n">
        <v>44068</v>
      </c>
      <c r="C3528" s="1" t="n">
        <v>45715</v>
      </c>
      <c r="D3528" t="inlineStr">
        <is>
          <t>KALMAR LÄN</t>
        </is>
      </c>
      <c r="E3528" t="inlineStr">
        <is>
          <t>HÖGSBY</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40915-2020</t>
        </is>
      </c>
      <c r="B3529" s="1" t="n">
        <v>44068</v>
      </c>
      <c r="C3529" s="1" t="n">
        <v>45715</v>
      </c>
      <c r="D3529" t="inlineStr">
        <is>
          <t>KALMAR LÄN</t>
        </is>
      </c>
      <c r="E3529" t="inlineStr">
        <is>
          <t>TORSÅS</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40571-2020</t>
        </is>
      </c>
      <c r="B3530" s="1" t="n">
        <v>44069</v>
      </c>
      <c r="C3530" s="1" t="n">
        <v>45715</v>
      </c>
      <c r="D3530" t="inlineStr">
        <is>
          <t>KALMAR LÄN</t>
        </is>
      </c>
      <c r="E3530" t="inlineStr">
        <is>
          <t>OSKARSHAMN</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40645-2020</t>
        </is>
      </c>
      <c r="B3531" s="1" t="n">
        <v>44069</v>
      </c>
      <c r="C3531" s="1" t="n">
        <v>45715</v>
      </c>
      <c r="D3531" t="inlineStr">
        <is>
          <t>KALMAR LÄN</t>
        </is>
      </c>
      <c r="E3531" t="inlineStr">
        <is>
          <t>MÖNSTERÅS</t>
        </is>
      </c>
      <c r="F3531" t="inlineStr">
        <is>
          <t>Övriga Aktiebolag</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40733-2020</t>
        </is>
      </c>
      <c r="B3532" s="1" t="n">
        <v>44069</v>
      </c>
      <c r="C3532" s="1" t="n">
        <v>45715</v>
      </c>
      <c r="D3532" t="inlineStr">
        <is>
          <t>KALMAR LÄN</t>
        </is>
      </c>
      <c r="E3532" t="inlineStr">
        <is>
          <t>OSKARSHAMN</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40630-2020</t>
        </is>
      </c>
      <c r="B3533" s="1" t="n">
        <v>44069</v>
      </c>
      <c r="C3533" s="1" t="n">
        <v>45715</v>
      </c>
      <c r="D3533" t="inlineStr">
        <is>
          <t>KALMAR LÄN</t>
        </is>
      </c>
      <c r="E3533" t="inlineStr">
        <is>
          <t>HULTSFRED</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40766-2020</t>
        </is>
      </c>
      <c r="B3534" s="1" t="n">
        <v>44070</v>
      </c>
      <c r="C3534" s="1" t="n">
        <v>45715</v>
      </c>
      <c r="D3534" t="inlineStr">
        <is>
          <t>KALMAR LÄN</t>
        </is>
      </c>
      <c r="E3534" t="inlineStr">
        <is>
          <t>VIMMERBY</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40802-2020</t>
        </is>
      </c>
      <c r="B3535" s="1" t="n">
        <v>44070</v>
      </c>
      <c r="C3535" s="1" t="n">
        <v>45715</v>
      </c>
      <c r="D3535" t="inlineStr">
        <is>
          <t>KALMAR LÄN</t>
        </is>
      </c>
      <c r="E3535" t="inlineStr">
        <is>
          <t>EMMABODA</t>
        </is>
      </c>
      <c r="F3535" t="inlineStr">
        <is>
          <t>Övriga Aktiebolag</t>
        </is>
      </c>
      <c r="G3535" t="n">
        <v>11.9</v>
      </c>
      <c r="H3535" t="n">
        <v>0</v>
      </c>
      <c r="I3535" t="n">
        <v>0</v>
      </c>
      <c r="J3535" t="n">
        <v>0</v>
      </c>
      <c r="K3535" t="n">
        <v>0</v>
      </c>
      <c r="L3535" t="n">
        <v>0</v>
      </c>
      <c r="M3535" t="n">
        <v>0</v>
      </c>
      <c r="N3535" t="n">
        <v>0</v>
      </c>
      <c r="O3535" t="n">
        <v>0</v>
      </c>
      <c r="P3535" t="n">
        <v>0</v>
      </c>
      <c r="Q3535" t="n">
        <v>0</v>
      </c>
      <c r="R3535" s="2" t="inlineStr"/>
    </row>
    <row r="3536" ht="15" customHeight="1">
      <c r="A3536" t="inlineStr">
        <is>
          <t>A 40890-2020</t>
        </is>
      </c>
      <c r="B3536" s="1" t="n">
        <v>44070</v>
      </c>
      <c r="C3536" s="1" t="n">
        <v>45715</v>
      </c>
      <c r="D3536" t="inlineStr">
        <is>
          <t>KALMAR LÄN</t>
        </is>
      </c>
      <c r="E3536" t="inlineStr">
        <is>
          <t>VIMMERBY</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40812-2020</t>
        </is>
      </c>
      <c r="B3537" s="1" t="n">
        <v>44070</v>
      </c>
      <c r="C3537" s="1" t="n">
        <v>45715</v>
      </c>
      <c r="D3537" t="inlineStr">
        <is>
          <t>KALMAR LÄN</t>
        </is>
      </c>
      <c r="E3537" t="inlineStr">
        <is>
          <t>VIMMERBY</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40889-2020</t>
        </is>
      </c>
      <c r="B3538" s="1" t="n">
        <v>44070</v>
      </c>
      <c r="C3538" s="1" t="n">
        <v>45715</v>
      </c>
      <c r="D3538" t="inlineStr">
        <is>
          <t>KALMAR LÄN</t>
        </is>
      </c>
      <c r="E3538" t="inlineStr">
        <is>
          <t>VIMMERBY</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40818-2020</t>
        </is>
      </c>
      <c r="B3539" s="1" t="n">
        <v>44070</v>
      </c>
      <c r="C3539" s="1" t="n">
        <v>45715</v>
      </c>
      <c r="D3539" t="inlineStr">
        <is>
          <t>KALMAR LÄN</t>
        </is>
      </c>
      <c r="E3539" t="inlineStr">
        <is>
          <t>VIMMERBY</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40884-2020</t>
        </is>
      </c>
      <c r="B3540" s="1" t="n">
        <v>44070</v>
      </c>
      <c r="C3540" s="1" t="n">
        <v>45715</v>
      </c>
      <c r="D3540" t="inlineStr">
        <is>
          <t>KALMAR LÄN</t>
        </is>
      </c>
      <c r="E3540" t="inlineStr">
        <is>
          <t>BORGHOLM</t>
        </is>
      </c>
      <c r="G3540" t="n">
        <v>7.3</v>
      </c>
      <c r="H3540" t="n">
        <v>0</v>
      </c>
      <c r="I3540" t="n">
        <v>0</v>
      </c>
      <c r="J3540" t="n">
        <v>0</v>
      </c>
      <c r="K3540" t="n">
        <v>0</v>
      </c>
      <c r="L3540" t="n">
        <v>0</v>
      </c>
      <c r="M3540" t="n">
        <v>0</v>
      </c>
      <c r="N3540" t="n">
        <v>0</v>
      </c>
      <c r="O3540" t="n">
        <v>0</v>
      </c>
      <c r="P3540" t="n">
        <v>0</v>
      </c>
      <c r="Q3540" t="n">
        <v>0</v>
      </c>
      <c r="R3540" s="2" t="inlineStr"/>
    </row>
    <row r="3541" ht="15" customHeight="1">
      <c r="A3541" t="inlineStr">
        <is>
          <t>A 40808-2020</t>
        </is>
      </c>
      <c r="B3541" s="1" t="n">
        <v>44070</v>
      </c>
      <c r="C3541" s="1" t="n">
        <v>45715</v>
      </c>
      <c r="D3541" t="inlineStr">
        <is>
          <t>KALMAR LÄN</t>
        </is>
      </c>
      <c r="E3541" t="inlineStr">
        <is>
          <t>VIMMERBY</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41209-2020</t>
        </is>
      </c>
      <c r="B3542" s="1" t="n">
        <v>44071</v>
      </c>
      <c r="C3542" s="1" t="n">
        <v>45715</v>
      </c>
      <c r="D3542" t="inlineStr">
        <is>
          <t>KALMAR LÄN</t>
        </is>
      </c>
      <c r="E3542" t="inlineStr">
        <is>
          <t>EMMABODA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41238-2020</t>
        </is>
      </c>
      <c r="B3543" s="1" t="n">
        <v>44071</v>
      </c>
      <c r="C3543" s="1" t="n">
        <v>45715</v>
      </c>
      <c r="D3543" t="inlineStr">
        <is>
          <t>KALMAR LÄN</t>
        </is>
      </c>
      <c r="E3543" t="inlineStr">
        <is>
          <t>HULTSFRED</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41082-2020</t>
        </is>
      </c>
      <c r="B3544" s="1" t="n">
        <v>44071</v>
      </c>
      <c r="C3544" s="1" t="n">
        <v>45715</v>
      </c>
      <c r="D3544" t="inlineStr">
        <is>
          <t>KALMAR LÄN</t>
        </is>
      </c>
      <c r="E3544" t="inlineStr">
        <is>
          <t>EMMABODA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41062-2020</t>
        </is>
      </c>
      <c r="B3545" s="1" t="n">
        <v>44071</v>
      </c>
      <c r="C3545" s="1" t="n">
        <v>45715</v>
      </c>
      <c r="D3545" t="inlineStr">
        <is>
          <t>KALMAR LÄN</t>
        </is>
      </c>
      <c r="E3545" t="inlineStr">
        <is>
          <t>NYBRO</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41099-2020</t>
        </is>
      </c>
      <c r="B3546" s="1" t="n">
        <v>44071</v>
      </c>
      <c r="C3546" s="1" t="n">
        <v>45715</v>
      </c>
      <c r="D3546" t="inlineStr">
        <is>
          <t>KALMAR LÄN</t>
        </is>
      </c>
      <c r="E3546" t="inlineStr">
        <is>
          <t>EMMABODA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41151-2020</t>
        </is>
      </c>
      <c r="B3547" s="1" t="n">
        <v>44071</v>
      </c>
      <c r="C3547" s="1" t="n">
        <v>45715</v>
      </c>
      <c r="D3547" t="inlineStr">
        <is>
          <t>KALMAR LÄN</t>
        </is>
      </c>
      <c r="E3547" t="inlineStr">
        <is>
          <t>OSKARSHAMN</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42113-2020</t>
        </is>
      </c>
      <c r="B3548" s="1" t="n">
        <v>44071</v>
      </c>
      <c r="C3548" s="1" t="n">
        <v>45715</v>
      </c>
      <c r="D3548" t="inlineStr">
        <is>
          <t>KALMAR LÄN</t>
        </is>
      </c>
      <c r="E3548" t="inlineStr">
        <is>
          <t>VÄSTERVIK</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41284-2020</t>
        </is>
      </c>
      <c r="B3549" s="1" t="n">
        <v>44071</v>
      </c>
      <c r="C3549" s="1" t="n">
        <v>45715</v>
      </c>
      <c r="D3549" t="inlineStr">
        <is>
          <t>KALMAR LÄN</t>
        </is>
      </c>
      <c r="E3549" t="inlineStr">
        <is>
          <t>HULTSFRED</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41379-2020</t>
        </is>
      </c>
      <c r="B3550" s="1" t="n">
        <v>44072</v>
      </c>
      <c r="C3550" s="1" t="n">
        <v>45715</v>
      </c>
      <c r="D3550" t="inlineStr">
        <is>
          <t>KALMAR LÄN</t>
        </is>
      </c>
      <c r="E3550" t="inlineStr">
        <is>
          <t>HÖGSBY</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41426-2020</t>
        </is>
      </c>
      <c r="B3551" s="1" t="n">
        <v>44073</v>
      </c>
      <c r="C3551" s="1" t="n">
        <v>45715</v>
      </c>
      <c r="D3551" t="inlineStr">
        <is>
          <t>KALMAR LÄN</t>
        </is>
      </c>
      <c r="E3551" t="inlineStr">
        <is>
          <t>NYBRO</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41427-2020</t>
        </is>
      </c>
      <c r="B3552" s="1" t="n">
        <v>44073</v>
      </c>
      <c r="C3552" s="1" t="n">
        <v>45715</v>
      </c>
      <c r="D3552" t="inlineStr">
        <is>
          <t>KALMAR LÄN</t>
        </is>
      </c>
      <c r="E3552" t="inlineStr">
        <is>
          <t>NYBRO</t>
        </is>
      </c>
      <c r="G3552" t="n">
        <v>11.4</v>
      </c>
      <c r="H3552" t="n">
        <v>0</v>
      </c>
      <c r="I3552" t="n">
        <v>0</v>
      </c>
      <c r="J3552" t="n">
        <v>0</v>
      </c>
      <c r="K3552" t="n">
        <v>0</v>
      </c>
      <c r="L3552" t="n">
        <v>0</v>
      </c>
      <c r="M3552" t="n">
        <v>0</v>
      </c>
      <c r="N3552" t="n">
        <v>0</v>
      </c>
      <c r="O3552" t="n">
        <v>0</v>
      </c>
      <c r="P3552" t="n">
        <v>0</v>
      </c>
      <c r="Q3552" t="n">
        <v>0</v>
      </c>
      <c r="R3552" s="2" t="inlineStr"/>
    </row>
    <row r="3553" ht="15" customHeight="1">
      <c r="A3553" t="inlineStr">
        <is>
          <t>A 41425-2020</t>
        </is>
      </c>
      <c r="B3553" s="1" t="n">
        <v>44073</v>
      </c>
      <c r="C3553" s="1" t="n">
        <v>45715</v>
      </c>
      <c r="D3553" t="inlineStr">
        <is>
          <t>KALMAR LÄN</t>
        </is>
      </c>
      <c r="E3553" t="inlineStr">
        <is>
          <t>NYBRO</t>
        </is>
      </c>
      <c r="G3553" t="n">
        <v>7.6</v>
      </c>
      <c r="H3553" t="n">
        <v>0</v>
      </c>
      <c r="I3553" t="n">
        <v>0</v>
      </c>
      <c r="J3553" t="n">
        <v>0</v>
      </c>
      <c r="K3553" t="n">
        <v>0</v>
      </c>
      <c r="L3553" t="n">
        <v>0</v>
      </c>
      <c r="M3553" t="n">
        <v>0</v>
      </c>
      <c r="N3553" t="n">
        <v>0</v>
      </c>
      <c r="O3553" t="n">
        <v>0</v>
      </c>
      <c r="P3553" t="n">
        <v>0</v>
      </c>
      <c r="Q3553" t="n">
        <v>0</v>
      </c>
      <c r="R3553" s="2" t="inlineStr"/>
    </row>
    <row r="3554" ht="15" customHeight="1">
      <c r="A3554" t="inlineStr">
        <is>
          <t>A 41467-2020</t>
        </is>
      </c>
      <c r="B3554" s="1" t="n">
        <v>44074</v>
      </c>
      <c r="C3554" s="1" t="n">
        <v>45715</v>
      </c>
      <c r="D3554" t="inlineStr">
        <is>
          <t>KALMAR LÄN</t>
        </is>
      </c>
      <c r="E3554" t="inlineStr">
        <is>
          <t>KALMAR</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41726-2020</t>
        </is>
      </c>
      <c r="B3555" s="1" t="n">
        <v>44074</v>
      </c>
      <c r="C3555" s="1" t="n">
        <v>45715</v>
      </c>
      <c r="D3555" t="inlineStr">
        <is>
          <t>KALMAR LÄN</t>
        </is>
      </c>
      <c r="E3555" t="inlineStr">
        <is>
          <t>EMMABODA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41731-2020</t>
        </is>
      </c>
      <c r="B3556" s="1" t="n">
        <v>44074</v>
      </c>
      <c r="C3556" s="1" t="n">
        <v>45715</v>
      </c>
      <c r="D3556" t="inlineStr">
        <is>
          <t>KALMAR LÄN</t>
        </is>
      </c>
      <c r="E3556" t="inlineStr">
        <is>
          <t>MÖNSTERÅS</t>
        </is>
      </c>
      <c r="F3556" t="inlineStr">
        <is>
          <t>Kommuner</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41658-2020</t>
        </is>
      </c>
      <c r="B3557" s="1" t="n">
        <v>44074</v>
      </c>
      <c r="C3557" s="1" t="n">
        <v>45715</v>
      </c>
      <c r="D3557" t="inlineStr">
        <is>
          <t>KALMAR LÄN</t>
        </is>
      </c>
      <c r="E3557" t="inlineStr">
        <is>
          <t>KALMAR</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41705-2020</t>
        </is>
      </c>
      <c r="B3558" s="1" t="n">
        <v>44074</v>
      </c>
      <c r="C3558" s="1" t="n">
        <v>45715</v>
      </c>
      <c r="D3558" t="inlineStr">
        <is>
          <t>KALMAR LÄN</t>
        </is>
      </c>
      <c r="E3558" t="inlineStr">
        <is>
          <t>KALMAR</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41729-2020</t>
        </is>
      </c>
      <c r="B3559" s="1" t="n">
        <v>44074</v>
      </c>
      <c r="C3559" s="1" t="n">
        <v>45715</v>
      </c>
      <c r="D3559" t="inlineStr">
        <is>
          <t>KALMAR LÄN</t>
        </is>
      </c>
      <c r="E3559" t="inlineStr">
        <is>
          <t>MÖNSTERÅS</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41844-2020</t>
        </is>
      </c>
      <c r="B3560" s="1" t="n">
        <v>44074</v>
      </c>
      <c r="C3560" s="1" t="n">
        <v>45715</v>
      </c>
      <c r="D3560" t="inlineStr">
        <is>
          <t>KALMAR LÄN</t>
        </is>
      </c>
      <c r="E3560" t="inlineStr">
        <is>
          <t>TORSÅS</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41863-2020</t>
        </is>
      </c>
      <c r="B3561" s="1" t="n">
        <v>44074</v>
      </c>
      <c r="C3561" s="1" t="n">
        <v>45715</v>
      </c>
      <c r="D3561" t="inlineStr">
        <is>
          <t>KALMAR LÄN</t>
        </is>
      </c>
      <c r="E3561" t="inlineStr">
        <is>
          <t>EMMABODA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42090-2020</t>
        </is>
      </c>
      <c r="B3562" s="1" t="n">
        <v>44074</v>
      </c>
      <c r="C3562" s="1" t="n">
        <v>45715</v>
      </c>
      <c r="D3562" t="inlineStr">
        <is>
          <t>KALMAR LÄN</t>
        </is>
      </c>
      <c r="E3562" t="inlineStr">
        <is>
          <t>NYBRO</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42069-2020</t>
        </is>
      </c>
      <c r="B3563" s="1" t="n">
        <v>44075</v>
      </c>
      <c r="C3563" s="1" t="n">
        <v>45715</v>
      </c>
      <c r="D3563" t="inlineStr">
        <is>
          <t>KALMAR LÄN</t>
        </is>
      </c>
      <c r="E3563" t="inlineStr">
        <is>
          <t>HULTSFRED</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41959-2020</t>
        </is>
      </c>
      <c r="B3564" s="1" t="n">
        <v>44075</v>
      </c>
      <c r="C3564" s="1" t="n">
        <v>45715</v>
      </c>
      <c r="D3564" t="inlineStr">
        <is>
          <t>KALMAR LÄN</t>
        </is>
      </c>
      <c r="E3564" t="inlineStr">
        <is>
          <t>NYBRO</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42067-2020</t>
        </is>
      </c>
      <c r="B3565" s="1" t="n">
        <v>44075</v>
      </c>
      <c r="C3565" s="1" t="n">
        <v>45715</v>
      </c>
      <c r="D3565" t="inlineStr">
        <is>
          <t>KALMAR LÄN</t>
        </is>
      </c>
      <c r="E3565" t="inlineStr">
        <is>
          <t>VIMMERBY</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42073-2020</t>
        </is>
      </c>
      <c r="B3566" s="1" t="n">
        <v>44075</v>
      </c>
      <c r="C3566" s="1" t="n">
        <v>45715</v>
      </c>
      <c r="D3566" t="inlineStr">
        <is>
          <t>KALMAR LÄN</t>
        </is>
      </c>
      <c r="E3566" t="inlineStr">
        <is>
          <t>HULTSFRED</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41942-2020</t>
        </is>
      </c>
      <c r="B3567" s="1" t="n">
        <v>44075</v>
      </c>
      <c r="C3567" s="1" t="n">
        <v>45715</v>
      </c>
      <c r="D3567" t="inlineStr">
        <is>
          <t>KALMAR LÄN</t>
        </is>
      </c>
      <c r="E3567" t="inlineStr">
        <is>
          <t>EMMABODA</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42056-2020</t>
        </is>
      </c>
      <c r="B3568" s="1" t="n">
        <v>44075</v>
      </c>
      <c r="C3568" s="1" t="n">
        <v>45715</v>
      </c>
      <c r="D3568" t="inlineStr">
        <is>
          <t>KALMAR LÄN</t>
        </is>
      </c>
      <c r="E3568" t="inlineStr">
        <is>
          <t>KALMAR</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42114-2020</t>
        </is>
      </c>
      <c r="B3569" s="1" t="n">
        <v>44075</v>
      </c>
      <c r="C3569" s="1" t="n">
        <v>45715</v>
      </c>
      <c r="D3569" t="inlineStr">
        <is>
          <t>KALMAR LÄN</t>
        </is>
      </c>
      <c r="E3569" t="inlineStr">
        <is>
          <t>NYBRO</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42163-2020</t>
        </is>
      </c>
      <c r="B3570" s="1" t="n">
        <v>44075</v>
      </c>
      <c r="C3570" s="1" t="n">
        <v>45715</v>
      </c>
      <c r="D3570" t="inlineStr">
        <is>
          <t>KALMAR LÄN</t>
        </is>
      </c>
      <c r="E3570" t="inlineStr">
        <is>
          <t>KALMAR</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42255-2020</t>
        </is>
      </c>
      <c r="B3571" s="1" t="n">
        <v>44076</v>
      </c>
      <c r="C3571" s="1" t="n">
        <v>45715</v>
      </c>
      <c r="D3571" t="inlineStr">
        <is>
          <t>KALMAR LÄN</t>
        </is>
      </c>
      <c r="E3571" t="inlineStr">
        <is>
          <t>HULTSFRED</t>
        </is>
      </c>
      <c r="F3571" t="inlineStr">
        <is>
          <t>Sveaskog</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42355-2020</t>
        </is>
      </c>
      <c r="B3572" s="1" t="n">
        <v>44076</v>
      </c>
      <c r="C3572" s="1" t="n">
        <v>45715</v>
      </c>
      <c r="D3572" t="inlineStr">
        <is>
          <t>KALMAR LÄN</t>
        </is>
      </c>
      <c r="E3572" t="inlineStr">
        <is>
          <t>HÖGSBY</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42240-2020</t>
        </is>
      </c>
      <c r="B3573" s="1" t="n">
        <v>44076</v>
      </c>
      <c r="C3573" s="1" t="n">
        <v>45715</v>
      </c>
      <c r="D3573" t="inlineStr">
        <is>
          <t>KALMAR LÄN</t>
        </is>
      </c>
      <c r="E3573" t="inlineStr">
        <is>
          <t>NYBRO</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42259-2020</t>
        </is>
      </c>
      <c r="B3574" s="1" t="n">
        <v>44076</v>
      </c>
      <c r="C3574" s="1" t="n">
        <v>45715</v>
      </c>
      <c r="D3574" t="inlineStr">
        <is>
          <t>KALMAR LÄN</t>
        </is>
      </c>
      <c r="E3574" t="inlineStr">
        <is>
          <t>HULTSFRED</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42381-2020</t>
        </is>
      </c>
      <c r="B3575" s="1" t="n">
        <v>44076</v>
      </c>
      <c r="C3575" s="1" t="n">
        <v>45715</v>
      </c>
      <c r="D3575" t="inlineStr">
        <is>
          <t>KALMAR LÄN</t>
        </is>
      </c>
      <c r="E3575" t="inlineStr">
        <is>
          <t>EMMABODA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42604-2020</t>
        </is>
      </c>
      <c r="B3576" s="1" t="n">
        <v>44077</v>
      </c>
      <c r="C3576" s="1" t="n">
        <v>45715</v>
      </c>
      <c r="D3576" t="inlineStr">
        <is>
          <t>KALMAR LÄN</t>
        </is>
      </c>
      <c r="E3576" t="inlineStr">
        <is>
          <t>NYBRO</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42733-2020</t>
        </is>
      </c>
      <c r="B3577" s="1" t="n">
        <v>44077</v>
      </c>
      <c r="C3577" s="1" t="n">
        <v>45715</v>
      </c>
      <c r="D3577" t="inlineStr">
        <is>
          <t>KALMAR LÄN</t>
        </is>
      </c>
      <c r="E3577" t="inlineStr">
        <is>
          <t>TORSÅS</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42540-2020</t>
        </is>
      </c>
      <c r="B3578" s="1" t="n">
        <v>44077</v>
      </c>
      <c r="C3578" s="1" t="n">
        <v>45715</v>
      </c>
      <c r="D3578" t="inlineStr">
        <is>
          <t>KALMAR LÄN</t>
        </is>
      </c>
      <c r="E3578" t="inlineStr">
        <is>
          <t>HÖGSBY</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42725-2020</t>
        </is>
      </c>
      <c r="B3579" s="1" t="n">
        <v>44077</v>
      </c>
      <c r="C3579" s="1" t="n">
        <v>45715</v>
      </c>
      <c r="D3579" t="inlineStr">
        <is>
          <t>KALMAR LÄN</t>
        </is>
      </c>
      <c r="E3579" t="inlineStr">
        <is>
          <t>KALMAR</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42494-2020</t>
        </is>
      </c>
      <c r="B3580" s="1" t="n">
        <v>44077</v>
      </c>
      <c r="C3580" s="1" t="n">
        <v>45715</v>
      </c>
      <c r="D3580" t="inlineStr">
        <is>
          <t>KALMAR LÄN</t>
        </is>
      </c>
      <c r="E3580" t="inlineStr">
        <is>
          <t>VIMMERBY</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42906-2020</t>
        </is>
      </c>
      <c r="B3581" s="1" t="n">
        <v>44078</v>
      </c>
      <c r="C3581" s="1" t="n">
        <v>45715</v>
      </c>
      <c r="D3581" t="inlineStr">
        <is>
          <t>KALMAR LÄN</t>
        </is>
      </c>
      <c r="E3581" t="inlineStr">
        <is>
          <t>EMMABODA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42804-2020</t>
        </is>
      </c>
      <c r="B3582" s="1" t="n">
        <v>44078</v>
      </c>
      <c r="C3582" s="1" t="n">
        <v>45715</v>
      </c>
      <c r="D3582" t="inlineStr">
        <is>
          <t>KALMAR LÄN</t>
        </is>
      </c>
      <c r="E3582" t="inlineStr">
        <is>
          <t>NYBRO</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42958-2020</t>
        </is>
      </c>
      <c r="B3583" s="1" t="n">
        <v>44078</v>
      </c>
      <c r="C3583" s="1" t="n">
        <v>45715</v>
      </c>
      <c r="D3583" t="inlineStr">
        <is>
          <t>KALMAR LÄN</t>
        </is>
      </c>
      <c r="E3583" t="inlineStr">
        <is>
          <t>HÖGSBY</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43204-2020</t>
        </is>
      </c>
      <c r="B3584" s="1" t="n">
        <v>44078</v>
      </c>
      <c r="C3584" s="1" t="n">
        <v>45715</v>
      </c>
      <c r="D3584" t="inlineStr">
        <is>
          <t>KALMAR LÄN</t>
        </is>
      </c>
      <c r="E3584" t="inlineStr">
        <is>
          <t>TORSÅS</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43206-2020</t>
        </is>
      </c>
      <c r="B3585" s="1" t="n">
        <v>44078</v>
      </c>
      <c r="C3585" s="1" t="n">
        <v>45715</v>
      </c>
      <c r="D3585" t="inlineStr">
        <is>
          <t>KALMAR LÄN</t>
        </is>
      </c>
      <c r="E3585" t="inlineStr">
        <is>
          <t>TORSÅS</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43684-2020</t>
        </is>
      </c>
      <c r="B3586" s="1" t="n">
        <v>44078</v>
      </c>
      <c r="C3586" s="1" t="n">
        <v>45715</v>
      </c>
      <c r="D3586" t="inlineStr">
        <is>
          <t>KALMAR LÄN</t>
        </is>
      </c>
      <c r="E3586" t="inlineStr">
        <is>
          <t>HÖGSBY</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43168-2020</t>
        </is>
      </c>
      <c r="B3587" s="1" t="n">
        <v>44081</v>
      </c>
      <c r="C3587" s="1" t="n">
        <v>45715</v>
      </c>
      <c r="D3587" t="inlineStr">
        <is>
          <t>KALMAR LÄN</t>
        </is>
      </c>
      <c r="E3587" t="inlineStr">
        <is>
          <t>OSKARSHAMN</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43382-2020</t>
        </is>
      </c>
      <c r="B3588" s="1" t="n">
        <v>44081</v>
      </c>
      <c r="C3588" s="1" t="n">
        <v>45715</v>
      </c>
      <c r="D3588" t="inlineStr">
        <is>
          <t>KALMAR LÄN</t>
        </is>
      </c>
      <c r="E3588" t="inlineStr">
        <is>
          <t>HULTSFRED</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43425-2020</t>
        </is>
      </c>
      <c r="B3589" s="1" t="n">
        <v>44081</v>
      </c>
      <c r="C3589" s="1" t="n">
        <v>45715</v>
      </c>
      <c r="D3589" t="inlineStr">
        <is>
          <t>KALMAR LÄN</t>
        </is>
      </c>
      <c r="E3589" t="inlineStr">
        <is>
          <t>HÖGSBY</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43346-2020</t>
        </is>
      </c>
      <c r="B3590" s="1" t="n">
        <v>44081</v>
      </c>
      <c r="C3590" s="1" t="n">
        <v>45715</v>
      </c>
      <c r="D3590" t="inlineStr">
        <is>
          <t>KALMAR LÄN</t>
        </is>
      </c>
      <c r="E3590" t="inlineStr">
        <is>
          <t>OSKARSHAMN</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43598-2020</t>
        </is>
      </c>
      <c r="B3591" s="1" t="n">
        <v>44082</v>
      </c>
      <c r="C3591" s="1" t="n">
        <v>45715</v>
      </c>
      <c r="D3591" t="inlineStr">
        <is>
          <t>KALMAR LÄN</t>
        </is>
      </c>
      <c r="E3591" t="inlineStr">
        <is>
          <t>EMMABODA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43730-2020</t>
        </is>
      </c>
      <c r="B3592" s="1" t="n">
        <v>44082</v>
      </c>
      <c r="C3592" s="1" t="n">
        <v>45715</v>
      </c>
      <c r="D3592" t="inlineStr">
        <is>
          <t>KALMAR LÄN</t>
        </is>
      </c>
      <c r="E3592" t="inlineStr">
        <is>
          <t>VÄSTERVIK</t>
        </is>
      </c>
      <c r="G3592" t="n">
        <v>0.1</v>
      </c>
      <c r="H3592" t="n">
        <v>0</v>
      </c>
      <c r="I3592" t="n">
        <v>0</v>
      </c>
      <c r="J3592" t="n">
        <v>0</v>
      </c>
      <c r="K3592" t="n">
        <v>0</v>
      </c>
      <c r="L3592" t="n">
        <v>0</v>
      </c>
      <c r="M3592" t="n">
        <v>0</v>
      </c>
      <c r="N3592" t="n">
        <v>0</v>
      </c>
      <c r="O3592" t="n">
        <v>0</v>
      </c>
      <c r="P3592" t="n">
        <v>0</v>
      </c>
      <c r="Q3592" t="n">
        <v>0</v>
      </c>
      <c r="R3592" s="2" t="inlineStr"/>
    </row>
    <row r="3593" ht="15" customHeight="1">
      <c r="A3593" t="inlineStr">
        <is>
          <t>A 43472-2020</t>
        </is>
      </c>
      <c r="B3593" s="1" t="n">
        <v>44082</v>
      </c>
      <c r="C3593" s="1" t="n">
        <v>45715</v>
      </c>
      <c r="D3593" t="inlineStr">
        <is>
          <t>KALMAR LÄN</t>
        </is>
      </c>
      <c r="E3593" t="inlineStr">
        <is>
          <t>OSKARSHAMN</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43555-2020</t>
        </is>
      </c>
      <c r="B3594" s="1" t="n">
        <v>44082</v>
      </c>
      <c r="C3594" s="1" t="n">
        <v>45715</v>
      </c>
      <c r="D3594" t="inlineStr">
        <is>
          <t>KALMAR LÄN</t>
        </is>
      </c>
      <c r="E3594" t="inlineStr">
        <is>
          <t>KALMAR</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43797-2020</t>
        </is>
      </c>
      <c r="B3595" s="1" t="n">
        <v>44082</v>
      </c>
      <c r="C3595" s="1" t="n">
        <v>45715</v>
      </c>
      <c r="D3595" t="inlineStr">
        <is>
          <t>KALMAR LÄN</t>
        </is>
      </c>
      <c r="E3595" t="inlineStr">
        <is>
          <t>EMMABODA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44140-2020</t>
        </is>
      </c>
      <c r="B3596" s="1" t="n">
        <v>44082</v>
      </c>
      <c r="C3596" s="1" t="n">
        <v>45715</v>
      </c>
      <c r="D3596" t="inlineStr">
        <is>
          <t>KALMAR LÄN</t>
        </is>
      </c>
      <c r="E3596" t="inlineStr">
        <is>
          <t>KALMAR</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43903-2020</t>
        </is>
      </c>
      <c r="B3597" s="1" t="n">
        <v>44083</v>
      </c>
      <c r="C3597" s="1" t="n">
        <v>45715</v>
      </c>
      <c r="D3597" t="inlineStr">
        <is>
          <t>KALMAR LÄN</t>
        </is>
      </c>
      <c r="E3597" t="inlineStr">
        <is>
          <t>EMMABODA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44000-2020</t>
        </is>
      </c>
      <c r="B3598" s="1" t="n">
        <v>44083</v>
      </c>
      <c r="C3598" s="1" t="n">
        <v>45715</v>
      </c>
      <c r="D3598" t="inlineStr">
        <is>
          <t>KALMAR LÄN</t>
        </is>
      </c>
      <c r="E3598" t="inlineStr">
        <is>
          <t>VIMMERBY</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43918-2020</t>
        </is>
      </c>
      <c r="B3599" s="1" t="n">
        <v>44083</v>
      </c>
      <c r="C3599" s="1" t="n">
        <v>45715</v>
      </c>
      <c r="D3599" t="inlineStr">
        <is>
          <t>KALMAR LÄN</t>
        </is>
      </c>
      <c r="E3599" t="inlineStr">
        <is>
          <t>HULTSFRED</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44048-2020</t>
        </is>
      </c>
      <c r="B3600" s="1" t="n">
        <v>44083</v>
      </c>
      <c r="C3600" s="1" t="n">
        <v>45715</v>
      </c>
      <c r="D3600" t="inlineStr">
        <is>
          <t>KALMAR LÄN</t>
        </is>
      </c>
      <c r="E3600" t="inlineStr">
        <is>
          <t>NYBRO</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44084-2020</t>
        </is>
      </c>
      <c r="B3601" s="1" t="n">
        <v>44083</v>
      </c>
      <c r="C3601" s="1" t="n">
        <v>45715</v>
      </c>
      <c r="D3601" t="inlineStr">
        <is>
          <t>KALMAR LÄN</t>
        </is>
      </c>
      <c r="E3601" t="inlineStr">
        <is>
          <t>HÖGSBY</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43998-2020</t>
        </is>
      </c>
      <c r="B3602" s="1" t="n">
        <v>44083</v>
      </c>
      <c r="C3602" s="1" t="n">
        <v>45715</v>
      </c>
      <c r="D3602" t="inlineStr">
        <is>
          <t>KALMAR LÄN</t>
        </is>
      </c>
      <c r="E3602" t="inlineStr">
        <is>
          <t>VIMMERBY</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44038-2020</t>
        </is>
      </c>
      <c r="B3603" s="1" t="n">
        <v>44083</v>
      </c>
      <c r="C3603" s="1" t="n">
        <v>45715</v>
      </c>
      <c r="D3603" t="inlineStr">
        <is>
          <t>KALMAR LÄN</t>
        </is>
      </c>
      <c r="E3603" t="inlineStr">
        <is>
          <t>NYBRO</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44174-2020</t>
        </is>
      </c>
      <c r="B3604" s="1" t="n">
        <v>44083</v>
      </c>
      <c r="C3604" s="1" t="n">
        <v>45715</v>
      </c>
      <c r="D3604" t="inlineStr">
        <is>
          <t>KALMAR LÄN</t>
        </is>
      </c>
      <c r="E3604" t="inlineStr">
        <is>
          <t>NYBRO</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44184-2020</t>
        </is>
      </c>
      <c r="B3605" s="1" t="n">
        <v>44083</v>
      </c>
      <c r="C3605" s="1" t="n">
        <v>45715</v>
      </c>
      <c r="D3605" t="inlineStr">
        <is>
          <t>KALMAR LÄN</t>
        </is>
      </c>
      <c r="E3605" t="inlineStr">
        <is>
          <t>OSKARSHAMN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44182-2020</t>
        </is>
      </c>
      <c r="B3606" s="1" t="n">
        <v>44083</v>
      </c>
      <c r="C3606" s="1" t="n">
        <v>45715</v>
      </c>
      <c r="D3606" t="inlineStr">
        <is>
          <t>KALMAR LÄN</t>
        </is>
      </c>
      <c r="E3606" t="inlineStr">
        <is>
          <t>OSKARSHAMN</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45103-2020</t>
        </is>
      </c>
      <c r="B3607" s="1" t="n">
        <v>44083</v>
      </c>
      <c r="C3607" s="1" t="n">
        <v>45715</v>
      </c>
      <c r="D3607" t="inlineStr">
        <is>
          <t>KALMAR LÄN</t>
        </is>
      </c>
      <c r="E3607" t="inlineStr">
        <is>
          <t>EMMABODA</t>
        </is>
      </c>
      <c r="F3607" t="inlineStr">
        <is>
          <t>Kyrkan</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45115-2020</t>
        </is>
      </c>
      <c r="B3608" s="1" t="n">
        <v>44083</v>
      </c>
      <c r="C3608" s="1" t="n">
        <v>45715</v>
      </c>
      <c r="D3608" t="inlineStr">
        <is>
          <t>KALMAR LÄN</t>
        </is>
      </c>
      <c r="E3608" t="inlineStr">
        <is>
          <t>NYBRO</t>
        </is>
      </c>
      <c r="F3608" t="inlineStr">
        <is>
          <t>Kyrkan</t>
        </is>
      </c>
      <c r="G3608" t="n">
        <v>6.4</v>
      </c>
      <c r="H3608" t="n">
        <v>0</v>
      </c>
      <c r="I3608" t="n">
        <v>0</v>
      </c>
      <c r="J3608" t="n">
        <v>0</v>
      </c>
      <c r="K3608" t="n">
        <v>0</v>
      </c>
      <c r="L3608" t="n">
        <v>0</v>
      </c>
      <c r="M3608" t="n">
        <v>0</v>
      </c>
      <c r="N3608" t="n">
        <v>0</v>
      </c>
      <c r="O3608" t="n">
        <v>0</v>
      </c>
      <c r="P3608" t="n">
        <v>0</v>
      </c>
      <c r="Q3608" t="n">
        <v>0</v>
      </c>
      <c r="R3608" s="2" t="inlineStr"/>
    </row>
    <row r="3609" ht="15" customHeight="1">
      <c r="A3609" t="inlineStr">
        <is>
          <t>A 44300-2020</t>
        </is>
      </c>
      <c r="B3609" s="1" t="n">
        <v>44084</v>
      </c>
      <c r="C3609" s="1" t="n">
        <v>45715</v>
      </c>
      <c r="D3609" t="inlineStr">
        <is>
          <t>KALMAR LÄN</t>
        </is>
      </c>
      <c r="E3609" t="inlineStr">
        <is>
          <t>KALMAR</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44413-2020</t>
        </is>
      </c>
      <c r="B3610" s="1" t="n">
        <v>44084</v>
      </c>
      <c r="C3610" s="1" t="n">
        <v>45715</v>
      </c>
      <c r="D3610" t="inlineStr">
        <is>
          <t>KALMAR LÄN</t>
        </is>
      </c>
      <c r="E3610" t="inlineStr">
        <is>
          <t>HULTSFRED</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44444-2020</t>
        </is>
      </c>
      <c r="B3611" s="1" t="n">
        <v>44084</v>
      </c>
      <c r="C3611" s="1" t="n">
        <v>45715</v>
      </c>
      <c r="D3611" t="inlineStr">
        <is>
          <t>KALMAR LÄN</t>
        </is>
      </c>
      <c r="E3611" t="inlineStr">
        <is>
          <t>NYBRO</t>
        </is>
      </c>
      <c r="G3611" t="n">
        <v>9.800000000000001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44285-2020</t>
        </is>
      </c>
      <c r="B3612" s="1" t="n">
        <v>44084</v>
      </c>
      <c r="C3612" s="1" t="n">
        <v>45715</v>
      </c>
      <c r="D3612" t="inlineStr">
        <is>
          <t>KALMAR LÄN</t>
        </is>
      </c>
      <c r="E3612" t="inlineStr">
        <is>
          <t>HULTSFRED</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44438-2020</t>
        </is>
      </c>
      <c r="B3613" s="1" t="n">
        <v>44084</v>
      </c>
      <c r="C3613" s="1" t="n">
        <v>45715</v>
      </c>
      <c r="D3613" t="inlineStr">
        <is>
          <t>KALMAR LÄN</t>
        </is>
      </c>
      <c r="E3613" t="inlineStr">
        <is>
          <t>NYBRO</t>
        </is>
      </c>
      <c r="G3613" t="n">
        <v>7.8</v>
      </c>
      <c r="H3613" t="n">
        <v>0</v>
      </c>
      <c r="I3613" t="n">
        <v>0</v>
      </c>
      <c r="J3613" t="n">
        <v>0</v>
      </c>
      <c r="K3613" t="n">
        <v>0</v>
      </c>
      <c r="L3613" t="n">
        <v>0</v>
      </c>
      <c r="M3613" t="n">
        <v>0</v>
      </c>
      <c r="N3613" t="n">
        <v>0</v>
      </c>
      <c r="O3613" t="n">
        <v>0</v>
      </c>
      <c r="P3613" t="n">
        <v>0</v>
      </c>
      <c r="Q3613" t="n">
        <v>0</v>
      </c>
      <c r="R3613" s="2" t="inlineStr"/>
    </row>
    <row r="3614" ht="15" customHeight="1">
      <c r="A3614" t="inlineStr">
        <is>
          <t>A 44466-2020</t>
        </is>
      </c>
      <c r="B3614" s="1" t="n">
        <v>44084</v>
      </c>
      <c r="C3614" s="1" t="n">
        <v>45715</v>
      </c>
      <c r="D3614" t="inlineStr">
        <is>
          <t>KALMAR LÄN</t>
        </is>
      </c>
      <c r="E3614" t="inlineStr">
        <is>
          <t>VÄSTERVIK</t>
        </is>
      </c>
      <c r="G3614" t="n">
        <v>0.8</v>
      </c>
      <c r="H3614" t="n">
        <v>0</v>
      </c>
      <c r="I3614" t="n">
        <v>0</v>
      </c>
      <c r="J3614" t="n">
        <v>0</v>
      </c>
      <c r="K3614" t="n">
        <v>0</v>
      </c>
      <c r="L3614" t="n">
        <v>0</v>
      </c>
      <c r="M3614" t="n">
        <v>0</v>
      </c>
      <c r="N3614" t="n">
        <v>0</v>
      </c>
      <c r="O3614" t="n">
        <v>0</v>
      </c>
      <c r="P3614" t="n">
        <v>0</v>
      </c>
      <c r="Q3614" t="n">
        <v>0</v>
      </c>
      <c r="R3614" s="2" t="inlineStr"/>
      <c r="U3614">
        <f>HYPERLINK("https://klasma.github.io/Logging_0883/knärot/A 44466-2020 karta knärot.png", "A 44466-2020")</f>
        <v/>
      </c>
      <c r="V3614">
        <f>HYPERLINK("https://klasma.github.io/Logging_0883/klagomål/A 44466-2020 FSC-klagomål.docx", "A 44466-2020")</f>
        <v/>
      </c>
      <c r="W3614">
        <f>HYPERLINK("https://klasma.github.io/Logging_0883/klagomålsmail/A 44466-2020 FSC-klagomål mail.docx", "A 44466-2020")</f>
        <v/>
      </c>
      <c r="X3614">
        <f>HYPERLINK("https://klasma.github.io/Logging_0883/tillsyn/A 44466-2020 tillsynsbegäran.docx", "A 44466-2020")</f>
        <v/>
      </c>
      <c r="Y3614">
        <f>HYPERLINK("https://klasma.github.io/Logging_0883/tillsynsmail/A 44466-2020 tillsynsbegäran mail.docx", "A 44466-2020")</f>
        <v/>
      </c>
    </row>
    <row r="3615" ht="15" customHeight="1">
      <c r="A3615" t="inlineStr">
        <is>
          <t>A 44445-2020</t>
        </is>
      </c>
      <c r="B3615" s="1" t="n">
        <v>44084</v>
      </c>
      <c r="C3615" s="1" t="n">
        <v>45715</v>
      </c>
      <c r="D3615" t="inlineStr">
        <is>
          <t>KALMAR LÄN</t>
        </is>
      </c>
      <c r="E3615" t="inlineStr">
        <is>
          <t>NYBRO</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44441-2020</t>
        </is>
      </c>
      <c r="B3616" s="1" t="n">
        <v>44084</v>
      </c>
      <c r="C3616" s="1" t="n">
        <v>45715</v>
      </c>
      <c r="D3616" t="inlineStr">
        <is>
          <t>KALMAR LÄN</t>
        </is>
      </c>
      <c r="E3616" t="inlineStr">
        <is>
          <t>NYBRO</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44277-2020</t>
        </is>
      </c>
      <c r="B3617" s="1" t="n">
        <v>44084</v>
      </c>
      <c r="C3617" s="1" t="n">
        <v>45715</v>
      </c>
      <c r="D3617" t="inlineStr">
        <is>
          <t>KALMAR LÄN</t>
        </is>
      </c>
      <c r="E3617" t="inlineStr">
        <is>
          <t>HULTSFRED</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44605-2020</t>
        </is>
      </c>
      <c r="B3618" s="1" t="n">
        <v>44085</v>
      </c>
      <c r="C3618" s="1" t="n">
        <v>45715</v>
      </c>
      <c r="D3618" t="inlineStr">
        <is>
          <t>KALMAR LÄN</t>
        </is>
      </c>
      <c r="E3618" t="inlineStr">
        <is>
          <t>VIMMERBY</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45578-2020</t>
        </is>
      </c>
      <c r="B3619" s="1" t="n">
        <v>44086</v>
      </c>
      <c r="C3619" s="1" t="n">
        <v>45715</v>
      </c>
      <c r="D3619" t="inlineStr">
        <is>
          <t>KALMAR LÄN</t>
        </is>
      </c>
      <c r="E3619" t="inlineStr">
        <is>
          <t>MÖNSTERÅS</t>
        </is>
      </c>
      <c r="G3619" t="n">
        <v>19.6</v>
      </c>
      <c r="H3619" t="n">
        <v>0</v>
      </c>
      <c r="I3619" t="n">
        <v>0</v>
      </c>
      <c r="J3619" t="n">
        <v>0</v>
      </c>
      <c r="K3619" t="n">
        <v>0</v>
      </c>
      <c r="L3619" t="n">
        <v>0</v>
      </c>
      <c r="M3619" t="n">
        <v>0</v>
      </c>
      <c r="N3619" t="n">
        <v>0</v>
      </c>
      <c r="O3619" t="n">
        <v>0</v>
      </c>
      <c r="P3619" t="n">
        <v>0</v>
      </c>
      <c r="Q3619" t="n">
        <v>0</v>
      </c>
      <c r="R3619" s="2" t="inlineStr"/>
    </row>
    <row r="3620" ht="15" customHeight="1">
      <c r="A3620" t="inlineStr">
        <is>
          <t>A 44865-2020</t>
        </is>
      </c>
      <c r="B3620" s="1" t="n">
        <v>44087</v>
      </c>
      <c r="C3620" s="1" t="n">
        <v>45715</v>
      </c>
      <c r="D3620" t="inlineStr">
        <is>
          <t>KALMAR LÄN</t>
        </is>
      </c>
      <c r="E3620" t="inlineStr">
        <is>
          <t>HULTSFRED</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44868-2020</t>
        </is>
      </c>
      <c r="B3621" s="1" t="n">
        <v>44087</v>
      </c>
      <c r="C3621" s="1" t="n">
        <v>45715</v>
      </c>
      <c r="D3621" t="inlineStr">
        <is>
          <t>KALMAR LÄN</t>
        </is>
      </c>
      <c r="E3621" t="inlineStr">
        <is>
          <t>HULTSFRED</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45050-2020</t>
        </is>
      </c>
      <c r="B3622" s="1" t="n">
        <v>44088</v>
      </c>
      <c r="C3622" s="1" t="n">
        <v>45715</v>
      </c>
      <c r="D3622" t="inlineStr">
        <is>
          <t>KALMAR LÄN</t>
        </is>
      </c>
      <c r="E3622" t="inlineStr">
        <is>
          <t>VIMMERBY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45077-2020</t>
        </is>
      </c>
      <c r="B3623" s="1" t="n">
        <v>44088</v>
      </c>
      <c r="C3623" s="1" t="n">
        <v>45715</v>
      </c>
      <c r="D3623" t="inlineStr">
        <is>
          <t>KALMAR LÄN</t>
        </is>
      </c>
      <c r="E3623" t="inlineStr">
        <is>
          <t>NYBRO</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44923-2020</t>
        </is>
      </c>
      <c r="B3624" s="1" t="n">
        <v>44088</v>
      </c>
      <c r="C3624" s="1" t="n">
        <v>45715</v>
      </c>
      <c r="D3624" t="inlineStr">
        <is>
          <t>KALMAR LÄN</t>
        </is>
      </c>
      <c r="E3624" t="inlineStr">
        <is>
          <t>EMMABODA</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45054-2020</t>
        </is>
      </c>
      <c r="B3625" s="1" t="n">
        <v>44088</v>
      </c>
      <c r="C3625" s="1" t="n">
        <v>45715</v>
      </c>
      <c r="D3625" t="inlineStr">
        <is>
          <t>KALMAR LÄN</t>
        </is>
      </c>
      <c r="E3625" t="inlineStr">
        <is>
          <t>VIMMERBY</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46106-2020</t>
        </is>
      </c>
      <c r="B3626" s="1" t="n">
        <v>44088</v>
      </c>
      <c r="C3626" s="1" t="n">
        <v>45715</v>
      </c>
      <c r="D3626" t="inlineStr">
        <is>
          <t>KALMAR LÄN</t>
        </is>
      </c>
      <c r="E3626" t="inlineStr">
        <is>
          <t>NYBRO</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45276-2020</t>
        </is>
      </c>
      <c r="B3627" s="1" t="n">
        <v>44089</v>
      </c>
      <c r="C3627" s="1" t="n">
        <v>45715</v>
      </c>
      <c r="D3627" t="inlineStr">
        <is>
          <t>KALMAR LÄN</t>
        </is>
      </c>
      <c r="E3627" t="inlineStr">
        <is>
          <t>NYBRO</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45369-2020</t>
        </is>
      </c>
      <c r="B3628" s="1" t="n">
        <v>44089</v>
      </c>
      <c r="C3628" s="1" t="n">
        <v>45715</v>
      </c>
      <c r="D3628" t="inlineStr">
        <is>
          <t>KALMAR LÄN</t>
        </is>
      </c>
      <c r="E3628" t="inlineStr">
        <is>
          <t>KALMAR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45253-2020</t>
        </is>
      </c>
      <c r="B3629" s="1" t="n">
        <v>44089</v>
      </c>
      <c r="C3629" s="1" t="n">
        <v>45715</v>
      </c>
      <c r="D3629" t="inlineStr">
        <is>
          <t>KALMAR LÄN</t>
        </is>
      </c>
      <c r="E3629" t="inlineStr">
        <is>
          <t>HÖGSBY</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45375-2020</t>
        </is>
      </c>
      <c r="B3630" s="1" t="n">
        <v>44089</v>
      </c>
      <c r="C3630" s="1" t="n">
        <v>45715</v>
      </c>
      <c r="D3630" t="inlineStr">
        <is>
          <t>KALMAR LÄN</t>
        </is>
      </c>
      <c r="E3630" t="inlineStr">
        <is>
          <t>KALMAR</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45427-2020</t>
        </is>
      </c>
      <c r="B3631" s="1" t="n">
        <v>44089</v>
      </c>
      <c r="C3631" s="1" t="n">
        <v>45715</v>
      </c>
      <c r="D3631" t="inlineStr">
        <is>
          <t>KALMAR LÄN</t>
        </is>
      </c>
      <c r="E3631" t="inlineStr">
        <is>
          <t>EMMABODA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45537-2020</t>
        </is>
      </c>
      <c r="B3632" s="1" t="n">
        <v>44089</v>
      </c>
      <c r="C3632" s="1" t="n">
        <v>45715</v>
      </c>
      <c r="D3632" t="inlineStr">
        <is>
          <t>KALMAR LÄN</t>
        </is>
      </c>
      <c r="E3632" t="inlineStr">
        <is>
          <t>VÄSTERVIK</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45429-2020</t>
        </is>
      </c>
      <c r="B3633" s="1" t="n">
        <v>44089</v>
      </c>
      <c r="C3633" s="1" t="n">
        <v>45715</v>
      </c>
      <c r="D3633" t="inlineStr">
        <is>
          <t>KALMAR LÄN</t>
        </is>
      </c>
      <c r="E3633" t="inlineStr">
        <is>
          <t>HÖGSBY</t>
        </is>
      </c>
      <c r="F3633" t="inlineStr">
        <is>
          <t>Sveaskog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45528-2020</t>
        </is>
      </c>
      <c r="B3634" s="1" t="n">
        <v>44089</v>
      </c>
      <c r="C3634" s="1" t="n">
        <v>45715</v>
      </c>
      <c r="D3634" t="inlineStr">
        <is>
          <t>KALMAR LÄN</t>
        </is>
      </c>
      <c r="E3634" t="inlineStr">
        <is>
          <t>VIMMERBY</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46678-2020</t>
        </is>
      </c>
      <c r="B3635" s="1" t="n">
        <v>44089</v>
      </c>
      <c r="C3635" s="1" t="n">
        <v>45715</v>
      </c>
      <c r="D3635" t="inlineStr">
        <is>
          <t>KALMAR LÄN</t>
        </is>
      </c>
      <c r="E3635" t="inlineStr">
        <is>
          <t>NYBRO</t>
        </is>
      </c>
      <c r="G3635" t="n">
        <v>9</v>
      </c>
      <c r="H3635" t="n">
        <v>0</v>
      </c>
      <c r="I3635" t="n">
        <v>0</v>
      </c>
      <c r="J3635" t="n">
        <v>0</v>
      </c>
      <c r="K3635" t="n">
        <v>0</v>
      </c>
      <c r="L3635" t="n">
        <v>0</v>
      </c>
      <c r="M3635" t="n">
        <v>0</v>
      </c>
      <c r="N3635" t="n">
        <v>0</v>
      </c>
      <c r="O3635" t="n">
        <v>0</v>
      </c>
      <c r="P3635" t="n">
        <v>0</v>
      </c>
      <c r="Q3635" t="n">
        <v>0</v>
      </c>
      <c r="R3635" s="2" t="inlineStr"/>
    </row>
    <row r="3636" ht="15" customHeight="1">
      <c r="A3636" t="inlineStr">
        <is>
          <t>A 45371-2020</t>
        </is>
      </c>
      <c r="B3636" s="1" t="n">
        <v>44089</v>
      </c>
      <c r="C3636" s="1" t="n">
        <v>45715</v>
      </c>
      <c r="D3636" t="inlineStr">
        <is>
          <t>KALMAR LÄN</t>
        </is>
      </c>
      <c r="E3636" t="inlineStr">
        <is>
          <t>KALMAR</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46665-2020</t>
        </is>
      </c>
      <c r="B3637" s="1" t="n">
        <v>44089</v>
      </c>
      <c r="C3637" s="1" t="n">
        <v>45715</v>
      </c>
      <c r="D3637" t="inlineStr">
        <is>
          <t>KALMAR LÄN</t>
        </is>
      </c>
      <c r="E3637" t="inlineStr">
        <is>
          <t>KALMAR</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45569-2020</t>
        </is>
      </c>
      <c r="B3638" s="1" t="n">
        <v>44090</v>
      </c>
      <c r="C3638" s="1" t="n">
        <v>45715</v>
      </c>
      <c r="D3638" t="inlineStr">
        <is>
          <t>KALMAR LÄN</t>
        </is>
      </c>
      <c r="E3638" t="inlineStr">
        <is>
          <t>KALMAR</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45678-2020</t>
        </is>
      </c>
      <c r="B3639" s="1" t="n">
        <v>44090</v>
      </c>
      <c r="C3639" s="1" t="n">
        <v>45715</v>
      </c>
      <c r="D3639" t="inlineStr">
        <is>
          <t>KALMAR LÄN</t>
        </is>
      </c>
      <c r="E3639" t="inlineStr">
        <is>
          <t>VIMMERBY</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45692-2020</t>
        </is>
      </c>
      <c r="B3640" s="1" t="n">
        <v>44090</v>
      </c>
      <c r="C3640" s="1" t="n">
        <v>45715</v>
      </c>
      <c r="D3640" t="inlineStr">
        <is>
          <t>KALMAR LÄN</t>
        </is>
      </c>
      <c r="E3640" t="inlineStr">
        <is>
          <t>HULTSFRED</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45672-2020</t>
        </is>
      </c>
      <c r="B3641" s="1" t="n">
        <v>44090</v>
      </c>
      <c r="C3641" s="1" t="n">
        <v>45715</v>
      </c>
      <c r="D3641" t="inlineStr">
        <is>
          <t>KALMAR LÄN</t>
        </is>
      </c>
      <c r="E3641" t="inlineStr">
        <is>
          <t>HULTSFRED</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45934-2020</t>
        </is>
      </c>
      <c r="B3642" s="1" t="n">
        <v>44091</v>
      </c>
      <c r="C3642" s="1" t="n">
        <v>45715</v>
      </c>
      <c r="D3642" t="inlineStr">
        <is>
          <t>KALMAR LÄN</t>
        </is>
      </c>
      <c r="E3642" t="inlineStr">
        <is>
          <t>HULTSFRED</t>
        </is>
      </c>
      <c r="G3642" t="n">
        <v>8.1</v>
      </c>
      <c r="H3642" t="n">
        <v>0</v>
      </c>
      <c r="I3642" t="n">
        <v>0</v>
      </c>
      <c r="J3642" t="n">
        <v>0</v>
      </c>
      <c r="K3642" t="n">
        <v>0</v>
      </c>
      <c r="L3642" t="n">
        <v>0</v>
      </c>
      <c r="M3642" t="n">
        <v>0</v>
      </c>
      <c r="N3642" t="n">
        <v>0</v>
      </c>
      <c r="O3642" t="n">
        <v>0</v>
      </c>
      <c r="P3642" t="n">
        <v>0</v>
      </c>
      <c r="Q3642" t="n">
        <v>0</v>
      </c>
      <c r="R3642" s="2" t="inlineStr"/>
    </row>
    <row r="3643" ht="15" customHeight="1">
      <c r="A3643" t="inlineStr">
        <is>
          <t>A 45966-2020</t>
        </is>
      </c>
      <c r="B3643" s="1" t="n">
        <v>44091</v>
      </c>
      <c r="C3643" s="1" t="n">
        <v>45715</v>
      </c>
      <c r="D3643" t="inlineStr">
        <is>
          <t>KALMAR LÄN</t>
        </is>
      </c>
      <c r="E3643" t="inlineStr">
        <is>
          <t>EMMABODA</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45877-2020</t>
        </is>
      </c>
      <c r="B3644" s="1" t="n">
        <v>44091</v>
      </c>
      <c r="C3644" s="1" t="n">
        <v>45715</v>
      </c>
      <c r="D3644" t="inlineStr">
        <is>
          <t>KALMAR LÄN</t>
        </is>
      </c>
      <c r="E3644" t="inlineStr">
        <is>
          <t>VÄSTERVIK</t>
        </is>
      </c>
      <c r="F3644" t="inlineStr">
        <is>
          <t>Sveaskog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46085-2020</t>
        </is>
      </c>
      <c r="B3645" s="1" t="n">
        <v>44091</v>
      </c>
      <c r="C3645" s="1" t="n">
        <v>45715</v>
      </c>
      <c r="D3645" t="inlineStr">
        <is>
          <t>KALMAR LÄN</t>
        </is>
      </c>
      <c r="E3645" t="inlineStr">
        <is>
          <t>VIMMERBY</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46173-2020</t>
        </is>
      </c>
      <c r="B3646" s="1" t="n">
        <v>44092</v>
      </c>
      <c r="C3646" s="1" t="n">
        <v>45715</v>
      </c>
      <c r="D3646" t="inlineStr">
        <is>
          <t>KALMAR LÄN</t>
        </is>
      </c>
      <c r="E3646" t="inlineStr">
        <is>
          <t>NYBRO</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47273-2020</t>
        </is>
      </c>
      <c r="B3647" s="1" t="n">
        <v>44092</v>
      </c>
      <c r="C3647" s="1" t="n">
        <v>45715</v>
      </c>
      <c r="D3647" t="inlineStr">
        <is>
          <t>KALMAR LÄN</t>
        </is>
      </c>
      <c r="E3647" t="inlineStr">
        <is>
          <t>HULTSFRED</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46461-2020</t>
        </is>
      </c>
      <c r="B3648" s="1" t="n">
        <v>44092</v>
      </c>
      <c r="C3648" s="1" t="n">
        <v>45715</v>
      </c>
      <c r="D3648" t="inlineStr">
        <is>
          <t>KALMAR LÄN</t>
        </is>
      </c>
      <c r="E3648" t="inlineStr">
        <is>
          <t>VIMMERBY</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46214-2020</t>
        </is>
      </c>
      <c r="B3649" s="1" t="n">
        <v>44092</v>
      </c>
      <c r="C3649" s="1" t="n">
        <v>45715</v>
      </c>
      <c r="D3649" t="inlineStr">
        <is>
          <t>KALMAR LÄN</t>
        </is>
      </c>
      <c r="E3649" t="inlineStr">
        <is>
          <t>VÄSTERVIK</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46474-2020</t>
        </is>
      </c>
      <c r="B3650" s="1" t="n">
        <v>44095</v>
      </c>
      <c r="C3650" s="1" t="n">
        <v>45715</v>
      </c>
      <c r="D3650" t="inlineStr">
        <is>
          <t>KALMAR LÄN</t>
        </is>
      </c>
      <c r="E3650" t="inlineStr">
        <is>
          <t>KALMAR</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46438-2020</t>
        </is>
      </c>
      <c r="B3651" s="1" t="n">
        <v>44095</v>
      </c>
      <c r="C3651" s="1" t="n">
        <v>45715</v>
      </c>
      <c r="D3651" t="inlineStr">
        <is>
          <t>KALMAR LÄN</t>
        </is>
      </c>
      <c r="E3651" t="inlineStr">
        <is>
          <t>TORSÅS</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46467-2020</t>
        </is>
      </c>
      <c r="B3652" s="1" t="n">
        <v>44095</v>
      </c>
      <c r="C3652" s="1" t="n">
        <v>45715</v>
      </c>
      <c r="D3652" t="inlineStr">
        <is>
          <t>KALMAR LÄN</t>
        </is>
      </c>
      <c r="E3652" t="inlineStr">
        <is>
          <t>KALMAR</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46527-2020</t>
        </is>
      </c>
      <c r="B3653" s="1" t="n">
        <v>44095</v>
      </c>
      <c r="C3653" s="1" t="n">
        <v>45715</v>
      </c>
      <c r="D3653" t="inlineStr">
        <is>
          <t>KALMAR LÄN</t>
        </is>
      </c>
      <c r="E3653" t="inlineStr">
        <is>
          <t>VIMMERBY</t>
        </is>
      </c>
      <c r="F3653" t="inlineStr">
        <is>
          <t>Sveaskog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46558-2020</t>
        </is>
      </c>
      <c r="B3654" s="1" t="n">
        <v>44095</v>
      </c>
      <c r="C3654" s="1" t="n">
        <v>45715</v>
      </c>
      <c r="D3654" t="inlineStr">
        <is>
          <t>KALMAR LÄN</t>
        </is>
      </c>
      <c r="E3654" t="inlineStr">
        <is>
          <t>EMMABODA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46481-2020</t>
        </is>
      </c>
      <c r="B3655" s="1" t="n">
        <v>44095</v>
      </c>
      <c r="C3655" s="1" t="n">
        <v>45715</v>
      </c>
      <c r="D3655" t="inlineStr">
        <is>
          <t>KALMAR LÄN</t>
        </is>
      </c>
      <c r="E3655" t="inlineStr">
        <is>
          <t>KALMAR</t>
        </is>
      </c>
      <c r="G3655" t="n">
        <v>6.3</v>
      </c>
      <c r="H3655" t="n">
        <v>0</v>
      </c>
      <c r="I3655" t="n">
        <v>0</v>
      </c>
      <c r="J3655" t="n">
        <v>0</v>
      </c>
      <c r="K3655" t="n">
        <v>0</v>
      </c>
      <c r="L3655" t="n">
        <v>0</v>
      </c>
      <c r="M3655" t="n">
        <v>0</v>
      </c>
      <c r="N3655" t="n">
        <v>0</v>
      </c>
      <c r="O3655" t="n">
        <v>0</v>
      </c>
      <c r="P3655" t="n">
        <v>0</v>
      </c>
      <c r="Q3655" t="n">
        <v>0</v>
      </c>
      <c r="R3655" s="2" t="inlineStr"/>
    </row>
    <row r="3656" ht="15" customHeight="1">
      <c r="A3656" t="inlineStr">
        <is>
          <t>A 46553-2020</t>
        </is>
      </c>
      <c r="B3656" s="1" t="n">
        <v>44095</v>
      </c>
      <c r="C3656" s="1" t="n">
        <v>45715</v>
      </c>
      <c r="D3656" t="inlineStr">
        <is>
          <t>KALMAR LÄN</t>
        </is>
      </c>
      <c r="E3656" t="inlineStr">
        <is>
          <t>TORSÅS</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46822-2020</t>
        </is>
      </c>
      <c r="B3657" s="1" t="n">
        <v>44096</v>
      </c>
      <c r="C3657" s="1" t="n">
        <v>45715</v>
      </c>
      <c r="D3657" t="inlineStr">
        <is>
          <t>KALMAR LÄN</t>
        </is>
      </c>
      <c r="E3657" t="inlineStr">
        <is>
          <t>VÄSTERVIK</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47077-2020</t>
        </is>
      </c>
      <c r="B3658" s="1" t="n">
        <v>44096</v>
      </c>
      <c r="C3658" s="1" t="n">
        <v>45715</v>
      </c>
      <c r="D3658" t="inlineStr">
        <is>
          <t>KALMAR LÄN</t>
        </is>
      </c>
      <c r="E3658" t="inlineStr">
        <is>
          <t>MÖNSTERÅS</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47081-2020</t>
        </is>
      </c>
      <c r="B3659" s="1" t="n">
        <v>44096</v>
      </c>
      <c r="C3659" s="1" t="n">
        <v>45715</v>
      </c>
      <c r="D3659" t="inlineStr">
        <is>
          <t>KALMAR LÄN</t>
        </is>
      </c>
      <c r="E3659" t="inlineStr">
        <is>
          <t>MÖNSTERÅS</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46946-2020</t>
        </is>
      </c>
      <c r="B3660" s="1" t="n">
        <v>44096</v>
      </c>
      <c r="C3660" s="1" t="n">
        <v>45715</v>
      </c>
      <c r="D3660" t="inlineStr">
        <is>
          <t>KALMAR LÄN</t>
        </is>
      </c>
      <c r="E3660" t="inlineStr">
        <is>
          <t>EMMABODA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47096-2020</t>
        </is>
      </c>
      <c r="B3661" s="1" t="n">
        <v>44096</v>
      </c>
      <c r="C3661" s="1" t="n">
        <v>45715</v>
      </c>
      <c r="D3661" t="inlineStr">
        <is>
          <t>KALMAR LÄN</t>
        </is>
      </c>
      <c r="E3661" t="inlineStr">
        <is>
          <t>TORSÅS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47339-2020</t>
        </is>
      </c>
      <c r="B3662" s="1" t="n">
        <v>44097</v>
      </c>
      <c r="C3662" s="1" t="n">
        <v>45715</v>
      </c>
      <c r="D3662" t="inlineStr">
        <is>
          <t>KALMAR LÄN</t>
        </is>
      </c>
      <c r="E3662" t="inlineStr">
        <is>
          <t>HULTSFRED</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47295-2020</t>
        </is>
      </c>
      <c r="B3663" s="1" t="n">
        <v>44097</v>
      </c>
      <c r="C3663" s="1" t="n">
        <v>45715</v>
      </c>
      <c r="D3663" t="inlineStr">
        <is>
          <t>KALMAR LÄN</t>
        </is>
      </c>
      <c r="E3663" t="inlineStr">
        <is>
          <t>VIMMERBY</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47352-2020</t>
        </is>
      </c>
      <c r="B3664" s="1" t="n">
        <v>44097</v>
      </c>
      <c r="C3664" s="1" t="n">
        <v>45715</v>
      </c>
      <c r="D3664" t="inlineStr">
        <is>
          <t>KALMAR LÄN</t>
        </is>
      </c>
      <c r="E3664" t="inlineStr">
        <is>
          <t>EMMABODA</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47445-2020</t>
        </is>
      </c>
      <c r="B3665" s="1" t="n">
        <v>44097</v>
      </c>
      <c r="C3665" s="1" t="n">
        <v>45715</v>
      </c>
      <c r="D3665" t="inlineStr">
        <is>
          <t>KALMAR LÄN</t>
        </is>
      </c>
      <c r="E3665" t="inlineStr">
        <is>
          <t>HULTSFRED</t>
        </is>
      </c>
      <c r="F3665" t="inlineStr">
        <is>
          <t>Sveaskog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47347-2020</t>
        </is>
      </c>
      <c r="B3666" s="1" t="n">
        <v>44097</v>
      </c>
      <c r="C3666" s="1" t="n">
        <v>45715</v>
      </c>
      <c r="D3666" t="inlineStr">
        <is>
          <t>KALMAR LÄN</t>
        </is>
      </c>
      <c r="E3666" t="inlineStr">
        <is>
          <t>HULTSFRED</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47486-2020</t>
        </is>
      </c>
      <c r="B3667" s="1" t="n">
        <v>44098</v>
      </c>
      <c r="C3667" s="1" t="n">
        <v>45715</v>
      </c>
      <c r="D3667" t="inlineStr">
        <is>
          <t>KALMAR LÄN</t>
        </is>
      </c>
      <c r="E3667" t="inlineStr">
        <is>
          <t>MÖNSTERÅS</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47485-2020</t>
        </is>
      </c>
      <c r="B3668" s="1" t="n">
        <v>44098</v>
      </c>
      <c r="C3668" s="1" t="n">
        <v>45715</v>
      </c>
      <c r="D3668" t="inlineStr">
        <is>
          <t>KALMAR LÄN</t>
        </is>
      </c>
      <c r="E3668" t="inlineStr">
        <is>
          <t>MÖNSTERÅS</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47535-2020</t>
        </is>
      </c>
      <c r="B3669" s="1" t="n">
        <v>44098</v>
      </c>
      <c r="C3669" s="1" t="n">
        <v>45715</v>
      </c>
      <c r="D3669" t="inlineStr">
        <is>
          <t>KALMAR LÄN</t>
        </is>
      </c>
      <c r="E3669" t="inlineStr">
        <is>
          <t>TORSÅS</t>
        </is>
      </c>
      <c r="G3669" t="n">
        <v>10.5</v>
      </c>
      <c r="H3669" t="n">
        <v>0</v>
      </c>
      <c r="I3669" t="n">
        <v>0</v>
      </c>
      <c r="J3669" t="n">
        <v>0</v>
      </c>
      <c r="K3669" t="n">
        <v>0</v>
      </c>
      <c r="L3669" t="n">
        <v>0</v>
      </c>
      <c r="M3669" t="n">
        <v>0</v>
      </c>
      <c r="N3669" t="n">
        <v>0</v>
      </c>
      <c r="O3669" t="n">
        <v>0</v>
      </c>
      <c r="P3669" t="n">
        <v>0</v>
      </c>
      <c r="Q3669" t="n">
        <v>0</v>
      </c>
      <c r="R3669" s="2" t="inlineStr"/>
    </row>
    <row r="3670" ht="15" customHeight="1">
      <c r="A3670" t="inlineStr">
        <is>
          <t>A 47620-2020</t>
        </is>
      </c>
      <c r="B3670" s="1" t="n">
        <v>44098</v>
      </c>
      <c r="C3670" s="1" t="n">
        <v>45715</v>
      </c>
      <c r="D3670" t="inlineStr">
        <is>
          <t>KALMAR LÄN</t>
        </is>
      </c>
      <c r="E3670" t="inlineStr">
        <is>
          <t>KALMAR</t>
        </is>
      </c>
      <c r="G3670" t="n">
        <v>7.5</v>
      </c>
      <c r="H3670" t="n">
        <v>0</v>
      </c>
      <c r="I3670" t="n">
        <v>0</v>
      </c>
      <c r="J3670" t="n">
        <v>0</v>
      </c>
      <c r="K3670" t="n">
        <v>0</v>
      </c>
      <c r="L3670" t="n">
        <v>0</v>
      </c>
      <c r="M3670" t="n">
        <v>0</v>
      </c>
      <c r="N3670" t="n">
        <v>0</v>
      </c>
      <c r="O3670" t="n">
        <v>0</v>
      </c>
      <c r="P3670" t="n">
        <v>0</v>
      </c>
      <c r="Q3670" t="n">
        <v>0</v>
      </c>
      <c r="R3670" s="2" t="inlineStr"/>
    </row>
    <row r="3671" ht="15" customHeight="1">
      <c r="A3671" t="inlineStr">
        <is>
          <t>A 47640-2020</t>
        </is>
      </c>
      <c r="B3671" s="1" t="n">
        <v>44098</v>
      </c>
      <c r="C3671" s="1" t="n">
        <v>45715</v>
      </c>
      <c r="D3671" t="inlineStr">
        <is>
          <t>KALMAR LÄN</t>
        </is>
      </c>
      <c r="E3671" t="inlineStr">
        <is>
          <t>KALMAR</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47746-2020</t>
        </is>
      </c>
      <c r="B3672" s="1" t="n">
        <v>44098</v>
      </c>
      <c r="C3672" s="1" t="n">
        <v>45715</v>
      </c>
      <c r="D3672" t="inlineStr">
        <is>
          <t>KALMAR LÄN</t>
        </is>
      </c>
      <c r="E3672" t="inlineStr">
        <is>
          <t>OSKARSHAMN</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47703-2020</t>
        </is>
      </c>
      <c r="B3673" s="1" t="n">
        <v>44098</v>
      </c>
      <c r="C3673" s="1" t="n">
        <v>45715</v>
      </c>
      <c r="D3673" t="inlineStr">
        <is>
          <t>KALMAR LÄN</t>
        </is>
      </c>
      <c r="E3673" t="inlineStr">
        <is>
          <t>OSKARSHAMN</t>
        </is>
      </c>
      <c r="F3673" t="inlineStr">
        <is>
          <t>Kyrkan</t>
        </is>
      </c>
      <c r="G3673" t="n">
        <v>1.8</v>
      </c>
      <c r="H3673" t="n">
        <v>0</v>
      </c>
      <c r="I3673" t="n">
        <v>0</v>
      </c>
      <c r="J3673" t="n">
        <v>0</v>
      </c>
      <c r="K3673" t="n">
        <v>0</v>
      </c>
      <c r="L3673" t="n">
        <v>0</v>
      </c>
      <c r="M3673" t="n">
        <v>0</v>
      </c>
      <c r="N3673" t="n">
        <v>0</v>
      </c>
      <c r="O3673" t="n">
        <v>0</v>
      </c>
      <c r="P3673" t="n">
        <v>0</v>
      </c>
      <c r="Q3673" t="n">
        <v>0</v>
      </c>
      <c r="R3673" s="2" t="inlineStr"/>
      <c r="U3673">
        <f>HYPERLINK("https://klasma.github.io/Logging_0882/knärot/A 47703-2020 karta knärot.png", "A 47703-2020")</f>
        <v/>
      </c>
      <c r="V3673">
        <f>HYPERLINK("https://klasma.github.io/Logging_0882/klagomål/A 47703-2020 FSC-klagomål.docx", "A 47703-2020")</f>
        <v/>
      </c>
      <c r="W3673">
        <f>HYPERLINK("https://klasma.github.io/Logging_0882/klagomålsmail/A 47703-2020 FSC-klagomål mail.docx", "A 47703-2020")</f>
        <v/>
      </c>
      <c r="X3673">
        <f>HYPERLINK("https://klasma.github.io/Logging_0882/tillsyn/A 47703-2020 tillsynsbegäran.docx", "A 47703-2020")</f>
        <v/>
      </c>
      <c r="Y3673">
        <f>HYPERLINK("https://klasma.github.io/Logging_0882/tillsynsmail/A 47703-2020 tillsynsbegäran mail.docx", "A 47703-2020")</f>
        <v/>
      </c>
    </row>
    <row r="3674" ht="15" customHeight="1">
      <c r="A3674" t="inlineStr">
        <is>
          <t>A 47508-2020</t>
        </is>
      </c>
      <c r="B3674" s="1" t="n">
        <v>44099</v>
      </c>
      <c r="C3674" s="1" t="n">
        <v>45715</v>
      </c>
      <c r="D3674" t="inlineStr">
        <is>
          <t>KALMAR LÄN</t>
        </is>
      </c>
      <c r="E3674" t="inlineStr">
        <is>
          <t>OSKARSHAMN</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47907-2020</t>
        </is>
      </c>
      <c r="B3675" s="1" t="n">
        <v>44099</v>
      </c>
      <c r="C3675" s="1" t="n">
        <v>45715</v>
      </c>
      <c r="D3675" t="inlineStr">
        <is>
          <t>KALMAR LÄN</t>
        </is>
      </c>
      <c r="E3675" t="inlineStr">
        <is>
          <t>VÄSTERVIK</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48135-2020</t>
        </is>
      </c>
      <c r="B3676" s="1" t="n">
        <v>44099</v>
      </c>
      <c r="C3676" s="1" t="n">
        <v>45715</v>
      </c>
      <c r="D3676" t="inlineStr">
        <is>
          <t>KALMAR LÄN</t>
        </is>
      </c>
      <c r="E3676" t="inlineStr">
        <is>
          <t>VÄSTERVIK</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48038-2020</t>
        </is>
      </c>
      <c r="B3677" s="1" t="n">
        <v>44099</v>
      </c>
      <c r="C3677" s="1" t="n">
        <v>45715</v>
      </c>
      <c r="D3677" t="inlineStr">
        <is>
          <t>KALMAR LÄN</t>
        </is>
      </c>
      <c r="E3677" t="inlineStr">
        <is>
          <t>OSKARSHAMN</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48046-2020</t>
        </is>
      </c>
      <c r="B3678" s="1" t="n">
        <v>44099</v>
      </c>
      <c r="C3678" s="1" t="n">
        <v>45715</v>
      </c>
      <c r="D3678" t="inlineStr">
        <is>
          <t>KALMAR LÄN</t>
        </is>
      </c>
      <c r="E3678" t="inlineStr">
        <is>
          <t>HULTSFRED</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48119-2020</t>
        </is>
      </c>
      <c r="B3679" s="1" t="n">
        <v>44102</v>
      </c>
      <c r="C3679" s="1" t="n">
        <v>45715</v>
      </c>
      <c r="D3679" t="inlineStr">
        <is>
          <t>KALMAR LÄN</t>
        </is>
      </c>
      <c r="E3679" t="inlineStr">
        <is>
          <t>NYBRO</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48130-2020</t>
        </is>
      </c>
      <c r="B3680" s="1" t="n">
        <v>44102</v>
      </c>
      <c r="C3680" s="1" t="n">
        <v>45715</v>
      </c>
      <c r="D3680" t="inlineStr">
        <is>
          <t>KALMAR LÄN</t>
        </is>
      </c>
      <c r="E3680" t="inlineStr">
        <is>
          <t>TORSÅS</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48242-2020</t>
        </is>
      </c>
      <c r="B3681" s="1" t="n">
        <v>44102</v>
      </c>
      <c r="C3681" s="1" t="n">
        <v>45715</v>
      </c>
      <c r="D3681" t="inlineStr">
        <is>
          <t>KALMAR LÄN</t>
        </is>
      </c>
      <c r="E3681" t="inlineStr">
        <is>
          <t>EMMABODA</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48278-2020</t>
        </is>
      </c>
      <c r="B3682" s="1" t="n">
        <v>44102</v>
      </c>
      <c r="C3682" s="1" t="n">
        <v>45715</v>
      </c>
      <c r="D3682" t="inlineStr">
        <is>
          <t>KALMAR LÄN</t>
        </is>
      </c>
      <c r="E3682" t="inlineStr">
        <is>
          <t>MÖNSTERÅS</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48437-2020</t>
        </is>
      </c>
      <c r="B3683" s="1" t="n">
        <v>44102</v>
      </c>
      <c r="C3683" s="1" t="n">
        <v>45715</v>
      </c>
      <c r="D3683" t="inlineStr">
        <is>
          <t>KALMAR LÄN</t>
        </is>
      </c>
      <c r="E3683" t="inlineStr">
        <is>
          <t>OSKARSHAMN</t>
        </is>
      </c>
      <c r="G3683" t="n">
        <v>7.4</v>
      </c>
      <c r="H3683" t="n">
        <v>0</v>
      </c>
      <c r="I3683" t="n">
        <v>0</v>
      </c>
      <c r="J3683" t="n">
        <v>0</v>
      </c>
      <c r="K3683" t="n">
        <v>0</v>
      </c>
      <c r="L3683" t="n">
        <v>0</v>
      </c>
      <c r="M3683" t="n">
        <v>0</v>
      </c>
      <c r="N3683" t="n">
        <v>0</v>
      </c>
      <c r="O3683" t="n">
        <v>0</v>
      </c>
      <c r="P3683" t="n">
        <v>0</v>
      </c>
      <c r="Q3683" t="n">
        <v>0</v>
      </c>
      <c r="R3683" s="2" t="inlineStr"/>
    </row>
    <row r="3684" ht="15" customHeight="1">
      <c r="A3684" t="inlineStr">
        <is>
          <t>A 48899-2020</t>
        </is>
      </c>
      <c r="B3684" s="1" t="n">
        <v>44102</v>
      </c>
      <c r="C3684" s="1" t="n">
        <v>45715</v>
      </c>
      <c r="D3684" t="inlineStr">
        <is>
          <t>KALMAR LÄN</t>
        </is>
      </c>
      <c r="E3684" t="inlineStr">
        <is>
          <t>OSKARSHAMN</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49059-2020</t>
        </is>
      </c>
      <c r="B3685" s="1" t="n">
        <v>44102</v>
      </c>
      <c r="C3685" s="1" t="n">
        <v>45715</v>
      </c>
      <c r="D3685" t="inlineStr">
        <is>
          <t>KALMAR LÄN</t>
        </is>
      </c>
      <c r="E3685" t="inlineStr">
        <is>
          <t>VIMMERBY</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48949-2020</t>
        </is>
      </c>
      <c r="B3686" s="1" t="n">
        <v>44102</v>
      </c>
      <c r="C3686" s="1" t="n">
        <v>45715</v>
      </c>
      <c r="D3686" t="inlineStr">
        <is>
          <t>KALMAR LÄN</t>
        </is>
      </c>
      <c r="E3686" t="inlineStr">
        <is>
          <t>VIMMERBY</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48534-2020</t>
        </is>
      </c>
      <c r="B3687" s="1" t="n">
        <v>44103</v>
      </c>
      <c r="C3687" s="1" t="n">
        <v>45715</v>
      </c>
      <c r="D3687" t="inlineStr">
        <is>
          <t>KALMAR LÄN</t>
        </is>
      </c>
      <c r="E3687" t="inlineStr">
        <is>
          <t>OSKARSHAMN</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48523-2020</t>
        </is>
      </c>
      <c r="B3688" s="1" t="n">
        <v>44103</v>
      </c>
      <c r="C3688" s="1" t="n">
        <v>45715</v>
      </c>
      <c r="D3688" t="inlineStr">
        <is>
          <t>KALMAR LÄN</t>
        </is>
      </c>
      <c r="E3688" t="inlineStr">
        <is>
          <t>OSKARSHAMN</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48864-2020</t>
        </is>
      </c>
      <c r="B3689" s="1" t="n">
        <v>44104</v>
      </c>
      <c r="C3689" s="1" t="n">
        <v>45715</v>
      </c>
      <c r="D3689" t="inlineStr">
        <is>
          <t>KALMAR LÄN</t>
        </is>
      </c>
      <c r="E3689" t="inlineStr">
        <is>
          <t>KALMAR</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48876-2020</t>
        </is>
      </c>
      <c r="B3690" s="1" t="n">
        <v>44104</v>
      </c>
      <c r="C3690" s="1" t="n">
        <v>45715</v>
      </c>
      <c r="D3690" t="inlineStr">
        <is>
          <t>KALMAR LÄN</t>
        </is>
      </c>
      <c r="E3690" t="inlineStr">
        <is>
          <t>TORSÅS</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48977-2020</t>
        </is>
      </c>
      <c r="B3691" s="1" t="n">
        <v>44104</v>
      </c>
      <c r="C3691" s="1" t="n">
        <v>45715</v>
      </c>
      <c r="D3691" t="inlineStr">
        <is>
          <t>KALMAR LÄN</t>
        </is>
      </c>
      <c r="E3691" t="inlineStr">
        <is>
          <t>OSKARSHAMN</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49021-2020</t>
        </is>
      </c>
      <c r="B3692" s="1" t="n">
        <v>44104</v>
      </c>
      <c r="C3692" s="1" t="n">
        <v>45715</v>
      </c>
      <c r="D3692" t="inlineStr">
        <is>
          <t>KALMAR LÄN</t>
        </is>
      </c>
      <c r="E3692" t="inlineStr">
        <is>
          <t>NYBRO</t>
        </is>
      </c>
      <c r="F3692" t="inlineStr">
        <is>
          <t>Sveaskog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48868-2020</t>
        </is>
      </c>
      <c r="B3693" s="1" t="n">
        <v>44104</v>
      </c>
      <c r="C3693" s="1" t="n">
        <v>45715</v>
      </c>
      <c r="D3693" t="inlineStr">
        <is>
          <t>KALMAR LÄN</t>
        </is>
      </c>
      <c r="E3693" t="inlineStr">
        <is>
          <t>KALMAR</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49186-2020</t>
        </is>
      </c>
      <c r="B3694" s="1" t="n">
        <v>44105</v>
      </c>
      <c r="C3694" s="1" t="n">
        <v>45715</v>
      </c>
      <c r="D3694" t="inlineStr">
        <is>
          <t>KALMAR LÄN</t>
        </is>
      </c>
      <c r="E3694" t="inlineStr">
        <is>
          <t>VIMMERBY</t>
        </is>
      </c>
      <c r="F3694" t="inlineStr">
        <is>
          <t>Sveaskog</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49314-2020</t>
        </is>
      </c>
      <c r="B3695" s="1" t="n">
        <v>44105</v>
      </c>
      <c r="C3695" s="1" t="n">
        <v>45715</v>
      </c>
      <c r="D3695" t="inlineStr">
        <is>
          <t>KALMAR LÄN</t>
        </is>
      </c>
      <c r="E3695" t="inlineStr">
        <is>
          <t>EMMABODA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49245-2020</t>
        </is>
      </c>
      <c r="B3696" s="1" t="n">
        <v>44105</v>
      </c>
      <c r="C3696" s="1" t="n">
        <v>45715</v>
      </c>
      <c r="D3696" t="inlineStr">
        <is>
          <t>KALMAR LÄN</t>
        </is>
      </c>
      <c r="E3696" t="inlineStr">
        <is>
          <t>OSKARSHAMN</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49294-2020</t>
        </is>
      </c>
      <c r="B3697" s="1" t="n">
        <v>44105</v>
      </c>
      <c r="C3697" s="1" t="n">
        <v>45715</v>
      </c>
      <c r="D3697" t="inlineStr">
        <is>
          <t>KALMAR LÄN</t>
        </is>
      </c>
      <c r="E3697" t="inlineStr">
        <is>
          <t>KALMAR</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49426-2020</t>
        </is>
      </c>
      <c r="B3698" s="1" t="n">
        <v>44105</v>
      </c>
      <c r="C3698" s="1" t="n">
        <v>45715</v>
      </c>
      <c r="D3698" t="inlineStr">
        <is>
          <t>KALMAR LÄN</t>
        </is>
      </c>
      <c r="E3698" t="inlineStr">
        <is>
          <t>HULTSFRED</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49288-2020</t>
        </is>
      </c>
      <c r="B3699" s="1" t="n">
        <v>44105</v>
      </c>
      <c r="C3699" s="1" t="n">
        <v>45715</v>
      </c>
      <c r="D3699" t="inlineStr">
        <is>
          <t>KALMAR LÄN</t>
        </is>
      </c>
      <c r="E3699" t="inlineStr">
        <is>
          <t>KALMAR</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49602-2020</t>
        </is>
      </c>
      <c r="B3700" s="1" t="n">
        <v>44106</v>
      </c>
      <c r="C3700" s="1" t="n">
        <v>45715</v>
      </c>
      <c r="D3700" t="inlineStr">
        <is>
          <t>KALMAR LÄN</t>
        </is>
      </c>
      <c r="E3700" t="inlineStr">
        <is>
          <t>EMMABODA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49759-2020</t>
        </is>
      </c>
      <c r="B3701" s="1" t="n">
        <v>44106</v>
      </c>
      <c r="C3701" s="1" t="n">
        <v>45715</v>
      </c>
      <c r="D3701" t="inlineStr">
        <is>
          <t>KALMAR LÄN</t>
        </is>
      </c>
      <c r="E3701" t="inlineStr">
        <is>
          <t>MÖNSTERÅS</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49603-2020</t>
        </is>
      </c>
      <c r="B3702" s="1" t="n">
        <v>44106</v>
      </c>
      <c r="C3702" s="1" t="n">
        <v>45715</v>
      </c>
      <c r="D3702" t="inlineStr">
        <is>
          <t>KALMAR LÄN</t>
        </is>
      </c>
      <c r="E3702" t="inlineStr">
        <is>
          <t>HULTSFRED</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49631-2020</t>
        </is>
      </c>
      <c r="B3703" s="1" t="n">
        <v>44106</v>
      </c>
      <c r="C3703" s="1" t="n">
        <v>45715</v>
      </c>
      <c r="D3703" t="inlineStr">
        <is>
          <t>KALMAR LÄN</t>
        </is>
      </c>
      <c r="E3703" t="inlineStr">
        <is>
          <t>HÖGSBY</t>
        </is>
      </c>
      <c r="F3703" t="inlineStr">
        <is>
          <t>Sveaskog</t>
        </is>
      </c>
      <c r="G3703" t="n">
        <v>7.5</v>
      </c>
      <c r="H3703" t="n">
        <v>0</v>
      </c>
      <c r="I3703" t="n">
        <v>0</v>
      </c>
      <c r="J3703" t="n">
        <v>0</v>
      </c>
      <c r="K3703" t="n">
        <v>0</v>
      </c>
      <c r="L3703" t="n">
        <v>0</v>
      </c>
      <c r="M3703" t="n">
        <v>0</v>
      </c>
      <c r="N3703" t="n">
        <v>0</v>
      </c>
      <c r="O3703" t="n">
        <v>0</v>
      </c>
      <c r="P3703" t="n">
        <v>0</v>
      </c>
      <c r="Q3703" t="n">
        <v>0</v>
      </c>
      <c r="R3703" s="2" t="inlineStr"/>
    </row>
    <row r="3704" ht="15" customHeight="1">
      <c r="A3704" t="inlineStr">
        <is>
          <t>A 49599-2020</t>
        </is>
      </c>
      <c r="B3704" s="1" t="n">
        <v>44106</v>
      </c>
      <c r="C3704" s="1" t="n">
        <v>45715</v>
      </c>
      <c r="D3704" t="inlineStr">
        <is>
          <t>KALMAR LÄN</t>
        </is>
      </c>
      <c r="E3704" t="inlineStr">
        <is>
          <t>OSKARSHAMN</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49763-2020</t>
        </is>
      </c>
      <c r="B3705" s="1" t="n">
        <v>44106</v>
      </c>
      <c r="C3705" s="1" t="n">
        <v>45715</v>
      </c>
      <c r="D3705" t="inlineStr">
        <is>
          <t>KALMAR LÄN</t>
        </is>
      </c>
      <c r="E3705" t="inlineStr">
        <is>
          <t>OSKARSHAMN</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49766-2020</t>
        </is>
      </c>
      <c r="B3706" s="1" t="n">
        <v>44106</v>
      </c>
      <c r="C3706" s="1" t="n">
        <v>45715</v>
      </c>
      <c r="D3706" t="inlineStr">
        <is>
          <t>KALMAR LÄN</t>
        </is>
      </c>
      <c r="E3706" t="inlineStr">
        <is>
          <t>HULTSFRED</t>
        </is>
      </c>
      <c r="F3706" t="inlineStr">
        <is>
          <t>Övriga Aktiebolag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49871-2020</t>
        </is>
      </c>
      <c r="B3707" s="1" t="n">
        <v>44107</v>
      </c>
      <c r="C3707" s="1" t="n">
        <v>45715</v>
      </c>
      <c r="D3707" t="inlineStr">
        <is>
          <t>KALMAR LÄN</t>
        </is>
      </c>
      <c r="E3707" t="inlineStr">
        <is>
          <t>TORSÅS</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49869-2020</t>
        </is>
      </c>
      <c r="B3708" s="1" t="n">
        <v>44107</v>
      </c>
      <c r="C3708" s="1" t="n">
        <v>45715</v>
      </c>
      <c r="D3708" t="inlineStr">
        <is>
          <t>KALMAR LÄN</t>
        </is>
      </c>
      <c r="E3708" t="inlineStr">
        <is>
          <t>TORSÅS</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50004-2020</t>
        </is>
      </c>
      <c r="B3709" s="1" t="n">
        <v>44109</v>
      </c>
      <c r="C3709" s="1" t="n">
        <v>45715</v>
      </c>
      <c r="D3709" t="inlineStr">
        <is>
          <t>KALMAR LÄN</t>
        </is>
      </c>
      <c r="E3709" t="inlineStr">
        <is>
          <t>TORSÅS</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50056-2020</t>
        </is>
      </c>
      <c r="B3710" s="1" t="n">
        <v>44109</v>
      </c>
      <c r="C3710" s="1" t="n">
        <v>45715</v>
      </c>
      <c r="D3710" t="inlineStr">
        <is>
          <t>KALMAR LÄN</t>
        </is>
      </c>
      <c r="E3710" t="inlineStr">
        <is>
          <t>EMMABODA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51571-2020</t>
        </is>
      </c>
      <c r="B3711" s="1" t="n">
        <v>44109</v>
      </c>
      <c r="C3711" s="1" t="n">
        <v>45715</v>
      </c>
      <c r="D3711" t="inlineStr">
        <is>
          <t>KALMAR LÄN</t>
        </is>
      </c>
      <c r="E3711" t="inlineStr">
        <is>
          <t>VIMMERBY</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51569-2020</t>
        </is>
      </c>
      <c r="B3712" s="1" t="n">
        <v>44109</v>
      </c>
      <c r="C3712" s="1" t="n">
        <v>45715</v>
      </c>
      <c r="D3712" t="inlineStr">
        <is>
          <t>KALMAR LÄN</t>
        </is>
      </c>
      <c r="E3712" t="inlineStr">
        <is>
          <t>VIMMERBY</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51593-2020</t>
        </is>
      </c>
      <c r="B3713" s="1" t="n">
        <v>44109</v>
      </c>
      <c r="C3713" s="1" t="n">
        <v>45715</v>
      </c>
      <c r="D3713" t="inlineStr">
        <is>
          <t>KALMAR LÄN</t>
        </is>
      </c>
      <c r="E3713" t="inlineStr">
        <is>
          <t>HÖGSBY</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51568-2020</t>
        </is>
      </c>
      <c r="B3714" s="1" t="n">
        <v>44109</v>
      </c>
      <c r="C3714" s="1" t="n">
        <v>45715</v>
      </c>
      <c r="D3714" t="inlineStr">
        <is>
          <t>KALMAR LÄN</t>
        </is>
      </c>
      <c r="E3714" t="inlineStr">
        <is>
          <t>OSKARSHAMN</t>
        </is>
      </c>
      <c r="G3714" t="n">
        <v>16.3</v>
      </c>
      <c r="H3714" t="n">
        <v>0</v>
      </c>
      <c r="I3714" t="n">
        <v>0</v>
      </c>
      <c r="J3714" t="n">
        <v>0</v>
      </c>
      <c r="K3714" t="n">
        <v>0</v>
      </c>
      <c r="L3714" t="n">
        <v>0</v>
      </c>
      <c r="M3714" t="n">
        <v>0</v>
      </c>
      <c r="N3714" t="n">
        <v>0</v>
      </c>
      <c r="O3714" t="n">
        <v>0</v>
      </c>
      <c r="P3714" t="n">
        <v>0</v>
      </c>
      <c r="Q3714" t="n">
        <v>0</v>
      </c>
      <c r="R3714" s="2" t="inlineStr"/>
    </row>
    <row r="3715" ht="15" customHeight="1">
      <c r="A3715" t="inlineStr">
        <is>
          <t>A 51581-2020</t>
        </is>
      </c>
      <c r="B3715" s="1" t="n">
        <v>44109</v>
      </c>
      <c r="C3715" s="1" t="n">
        <v>45715</v>
      </c>
      <c r="D3715" t="inlineStr">
        <is>
          <t>KALMAR LÄN</t>
        </is>
      </c>
      <c r="E3715" t="inlineStr">
        <is>
          <t>HÖGSBY</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50003-2020</t>
        </is>
      </c>
      <c r="B3716" s="1" t="n">
        <v>44109</v>
      </c>
      <c r="C3716" s="1" t="n">
        <v>45715</v>
      </c>
      <c r="D3716" t="inlineStr">
        <is>
          <t>KALMAR LÄN</t>
        </is>
      </c>
      <c r="E3716" t="inlineStr">
        <is>
          <t>OSKARSHAMN</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49998-2020</t>
        </is>
      </c>
      <c r="B3717" s="1" t="n">
        <v>44109</v>
      </c>
      <c r="C3717" s="1" t="n">
        <v>45715</v>
      </c>
      <c r="D3717" t="inlineStr">
        <is>
          <t>KALMAR LÄN</t>
        </is>
      </c>
      <c r="E3717" t="inlineStr">
        <is>
          <t>KALMAR</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50363-2020</t>
        </is>
      </c>
      <c r="B3718" s="1" t="n">
        <v>44110</v>
      </c>
      <c r="C3718" s="1" t="n">
        <v>45715</v>
      </c>
      <c r="D3718" t="inlineStr">
        <is>
          <t>KALMAR LÄN</t>
        </is>
      </c>
      <c r="E3718" t="inlineStr">
        <is>
          <t>KALMAR</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50451-2020</t>
        </is>
      </c>
      <c r="B3719" s="1" t="n">
        <v>44110</v>
      </c>
      <c r="C3719" s="1" t="n">
        <v>45715</v>
      </c>
      <c r="D3719" t="inlineStr">
        <is>
          <t>KALMAR LÄN</t>
        </is>
      </c>
      <c r="E3719" t="inlineStr">
        <is>
          <t>HULTSFRED</t>
        </is>
      </c>
      <c r="F3719" t="inlineStr">
        <is>
          <t>Sveaskog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50535-2020</t>
        </is>
      </c>
      <c r="B3720" s="1" t="n">
        <v>44110</v>
      </c>
      <c r="C3720" s="1" t="n">
        <v>45715</v>
      </c>
      <c r="D3720" t="inlineStr">
        <is>
          <t>KALMAR LÄN</t>
        </is>
      </c>
      <c r="E3720" t="inlineStr">
        <is>
          <t>EMMABODA</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50447-2020</t>
        </is>
      </c>
      <c r="B3721" s="1" t="n">
        <v>44110</v>
      </c>
      <c r="C3721" s="1" t="n">
        <v>45715</v>
      </c>
      <c r="D3721" t="inlineStr">
        <is>
          <t>KALMAR LÄN</t>
        </is>
      </c>
      <c r="E3721" t="inlineStr">
        <is>
          <t>TORSÅS</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50355-2020</t>
        </is>
      </c>
      <c r="B3722" s="1" t="n">
        <v>44110</v>
      </c>
      <c r="C3722" s="1" t="n">
        <v>45715</v>
      </c>
      <c r="D3722" t="inlineStr">
        <is>
          <t>KALMAR LÄN</t>
        </is>
      </c>
      <c r="E3722" t="inlineStr">
        <is>
          <t>NYBRO</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50509-2020</t>
        </is>
      </c>
      <c r="B3723" s="1" t="n">
        <v>44110</v>
      </c>
      <c r="C3723" s="1" t="n">
        <v>45715</v>
      </c>
      <c r="D3723" t="inlineStr">
        <is>
          <t>KALMAR LÄN</t>
        </is>
      </c>
      <c r="E3723" t="inlineStr">
        <is>
          <t>HULTSFRED</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50538-2020</t>
        </is>
      </c>
      <c r="B3724" s="1" t="n">
        <v>44110</v>
      </c>
      <c r="C3724" s="1" t="n">
        <v>45715</v>
      </c>
      <c r="D3724" t="inlineStr">
        <is>
          <t>KALMAR LÄN</t>
        </is>
      </c>
      <c r="E3724" t="inlineStr">
        <is>
          <t>EMMABODA</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50679-2020</t>
        </is>
      </c>
      <c r="B3725" s="1" t="n">
        <v>44110</v>
      </c>
      <c r="C3725" s="1" t="n">
        <v>45715</v>
      </c>
      <c r="D3725" t="inlineStr">
        <is>
          <t>KALMAR LÄN</t>
        </is>
      </c>
      <c r="E3725" t="inlineStr">
        <is>
          <t>OSKARSHAMN</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50552-2020</t>
        </is>
      </c>
      <c r="B3726" s="1" t="n">
        <v>44110</v>
      </c>
      <c r="C3726" s="1" t="n">
        <v>45715</v>
      </c>
      <c r="D3726" t="inlineStr">
        <is>
          <t>KALMAR LÄN</t>
        </is>
      </c>
      <c r="E3726" t="inlineStr">
        <is>
          <t>TORSÅS</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50417-2020</t>
        </is>
      </c>
      <c r="B3727" s="1" t="n">
        <v>44110</v>
      </c>
      <c r="C3727" s="1" t="n">
        <v>45715</v>
      </c>
      <c r="D3727" t="inlineStr">
        <is>
          <t>KALMAR LÄN</t>
        </is>
      </c>
      <c r="E3727" t="inlineStr">
        <is>
          <t>KALMAR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52013-2020</t>
        </is>
      </c>
      <c r="B3728" s="1" t="n">
        <v>44110</v>
      </c>
      <c r="C3728" s="1" t="n">
        <v>45715</v>
      </c>
      <c r="D3728" t="inlineStr">
        <is>
          <t>KALMAR LÄN</t>
        </is>
      </c>
      <c r="E3728" t="inlineStr">
        <is>
          <t>EMMABODA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50310-2020</t>
        </is>
      </c>
      <c r="B3729" s="1" t="n">
        <v>44110</v>
      </c>
      <c r="C3729" s="1" t="n">
        <v>45715</v>
      </c>
      <c r="D3729" t="inlineStr">
        <is>
          <t>KALMAR LÄN</t>
        </is>
      </c>
      <c r="E3729" t="inlineStr">
        <is>
          <t>TORSÅS</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50658-2020</t>
        </is>
      </c>
      <c r="B3730" s="1" t="n">
        <v>44111</v>
      </c>
      <c r="C3730" s="1" t="n">
        <v>45715</v>
      </c>
      <c r="D3730" t="inlineStr">
        <is>
          <t>KALMAR LÄN</t>
        </is>
      </c>
      <c r="E3730" t="inlineStr">
        <is>
          <t>KALMAR</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50711-2020</t>
        </is>
      </c>
      <c r="B3731" s="1" t="n">
        <v>44111</v>
      </c>
      <c r="C3731" s="1" t="n">
        <v>45715</v>
      </c>
      <c r="D3731" t="inlineStr">
        <is>
          <t>KALMAR LÄN</t>
        </is>
      </c>
      <c r="E3731" t="inlineStr">
        <is>
          <t>TORSÅS</t>
        </is>
      </c>
      <c r="G3731" t="n">
        <v>10.9</v>
      </c>
      <c r="H3731" t="n">
        <v>0</v>
      </c>
      <c r="I3731" t="n">
        <v>0</v>
      </c>
      <c r="J3731" t="n">
        <v>0</v>
      </c>
      <c r="K3731" t="n">
        <v>0</v>
      </c>
      <c r="L3731" t="n">
        <v>0</v>
      </c>
      <c r="M3731" t="n">
        <v>0</v>
      </c>
      <c r="N3731" t="n">
        <v>0</v>
      </c>
      <c r="O3731" t="n">
        <v>0</v>
      </c>
      <c r="P3731" t="n">
        <v>0</v>
      </c>
      <c r="Q3731" t="n">
        <v>0</v>
      </c>
      <c r="R3731" s="2" t="inlineStr"/>
    </row>
    <row r="3732" ht="15" customHeight="1">
      <c r="A3732" t="inlineStr">
        <is>
          <t>A 50718-2020</t>
        </is>
      </c>
      <c r="B3732" s="1" t="n">
        <v>44111</v>
      </c>
      <c r="C3732" s="1" t="n">
        <v>45715</v>
      </c>
      <c r="D3732" t="inlineStr">
        <is>
          <t>KALMAR LÄN</t>
        </is>
      </c>
      <c r="E3732" t="inlineStr">
        <is>
          <t>TORSÅS</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50821-2020</t>
        </is>
      </c>
      <c r="B3733" s="1" t="n">
        <v>44111</v>
      </c>
      <c r="C3733" s="1" t="n">
        <v>45715</v>
      </c>
      <c r="D3733" t="inlineStr">
        <is>
          <t>KALMAR LÄN</t>
        </is>
      </c>
      <c r="E3733" t="inlineStr">
        <is>
          <t>VÄSTERVIK</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50727-2020</t>
        </is>
      </c>
      <c r="B3734" s="1" t="n">
        <v>44111</v>
      </c>
      <c r="C3734" s="1" t="n">
        <v>45715</v>
      </c>
      <c r="D3734" t="inlineStr">
        <is>
          <t>KALMAR LÄN</t>
        </is>
      </c>
      <c r="E3734" t="inlineStr">
        <is>
          <t>TORSÅS</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50764-2020</t>
        </is>
      </c>
      <c r="B3735" s="1" t="n">
        <v>44111</v>
      </c>
      <c r="C3735" s="1" t="n">
        <v>45715</v>
      </c>
      <c r="D3735" t="inlineStr">
        <is>
          <t>KALMAR LÄN</t>
        </is>
      </c>
      <c r="E3735" t="inlineStr">
        <is>
          <t>VIMMERBY</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50800-2020</t>
        </is>
      </c>
      <c r="B3736" s="1" t="n">
        <v>44111</v>
      </c>
      <c r="C3736" s="1" t="n">
        <v>45715</v>
      </c>
      <c r="D3736" t="inlineStr">
        <is>
          <t>KALMAR LÄN</t>
        </is>
      </c>
      <c r="E3736" t="inlineStr">
        <is>
          <t>VÄSTERVIK</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50967-2020</t>
        </is>
      </c>
      <c r="B3737" s="1" t="n">
        <v>44111</v>
      </c>
      <c r="C3737" s="1" t="n">
        <v>45715</v>
      </c>
      <c r="D3737" t="inlineStr">
        <is>
          <t>KALMAR LÄN</t>
        </is>
      </c>
      <c r="E3737" t="inlineStr">
        <is>
          <t>HULTSFRED</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51196-2020</t>
        </is>
      </c>
      <c r="B3738" s="1" t="n">
        <v>44112</v>
      </c>
      <c r="C3738" s="1" t="n">
        <v>45715</v>
      </c>
      <c r="D3738" t="inlineStr">
        <is>
          <t>KALMAR LÄN</t>
        </is>
      </c>
      <c r="E3738" t="inlineStr">
        <is>
          <t>EMMABODA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51166-2020</t>
        </is>
      </c>
      <c r="B3739" s="1" t="n">
        <v>44112</v>
      </c>
      <c r="C3739" s="1" t="n">
        <v>45715</v>
      </c>
      <c r="D3739" t="inlineStr">
        <is>
          <t>KALMAR LÄN</t>
        </is>
      </c>
      <c r="E3739" t="inlineStr">
        <is>
          <t>EMMABODA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51264-2020</t>
        </is>
      </c>
      <c r="B3740" s="1" t="n">
        <v>44112</v>
      </c>
      <c r="C3740" s="1" t="n">
        <v>45715</v>
      </c>
      <c r="D3740" t="inlineStr">
        <is>
          <t>KALMAR LÄN</t>
        </is>
      </c>
      <c r="E3740" t="inlineStr">
        <is>
          <t>VÄSTERVIK</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52382-2020</t>
        </is>
      </c>
      <c r="B3741" s="1" t="n">
        <v>44112</v>
      </c>
      <c r="C3741" s="1" t="n">
        <v>45715</v>
      </c>
      <c r="D3741" t="inlineStr">
        <is>
          <t>KALMAR LÄN</t>
        </is>
      </c>
      <c r="E3741" t="inlineStr">
        <is>
          <t>KALMAR</t>
        </is>
      </c>
      <c r="G3741" t="n">
        <v>9.1</v>
      </c>
      <c r="H3741" t="n">
        <v>0</v>
      </c>
      <c r="I3741" t="n">
        <v>0</v>
      </c>
      <c r="J3741" t="n">
        <v>0</v>
      </c>
      <c r="K3741" t="n">
        <v>0</v>
      </c>
      <c r="L3741" t="n">
        <v>0</v>
      </c>
      <c r="M3741" t="n">
        <v>0</v>
      </c>
      <c r="N3741" t="n">
        <v>0</v>
      </c>
      <c r="O3741" t="n">
        <v>0</v>
      </c>
      <c r="P3741" t="n">
        <v>0</v>
      </c>
      <c r="Q3741" t="n">
        <v>0</v>
      </c>
      <c r="R3741" s="2" t="inlineStr"/>
    </row>
    <row r="3742" ht="15" customHeight="1">
      <c r="A3742" t="inlineStr">
        <is>
          <t>A 52387-2020</t>
        </is>
      </c>
      <c r="B3742" s="1" t="n">
        <v>44112</v>
      </c>
      <c r="C3742" s="1" t="n">
        <v>45715</v>
      </c>
      <c r="D3742" t="inlineStr">
        <is>
          <t>KALMAR LÄN</t>
        </is>
      </c>
      <c r="E3742" t="inlineStr">
        <is>
          <t>NYBRO</t>
        </is>
      </c>
      <c r="G3742" t="n">
        <v>13.3</v>
      </c>
      <c r="H3742" t="n">
        <v>0</v>
      </c>
      <c r="I3742" t="n">
        <v>0</v>
      </c>
      <c r="J3742" t="n">
        <v>0</v>
      </c>
      <c r="K3742" t="n">
        <v>0</v>
      </c>
      <c r="L3742" t="n">
        <v>0</v>
      </c>
      <c r="M3742" t="n">
        <v>0</v>
      </c>
      <c r="N3742" t="n">
        <v>0</v>
      </c>
      <c r="O3742" t="n">
        <v>0</v>
      </c>
      <c r="P3742" t="n">
        <v>0</v>
      </c>
      <c r="Q3742" t="n">
        <v>0</v>
      </c>
      <c r="R3742" s="2" t="inlineStr"/>
    </row>
    <row r="3743" ht="15" customHeight="1">
      <c r="A3743" t="inlineStr">
        <is>
          <t>A 51110-2020</t>
        </is>
      </c>
      <c r="B3743" s="1" t="n">
        <v>44112</v>
      </c>
      <c r="C3743" s="1" t="n">
        <v>45715</v>
      </c>
      <c r="D3743" t="inlineStr">
        <is>
          <t>KALMAR LÄN</t>
        </is>
      </c>
      <c r="E3743" t="inlineStr">
        <is>
          <t>KALMAR</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51548-2020</t>
        </is>
      </c>
      <c r="B3744" s="1" t="n">
        <v>44113</v>
      </c>
      <c r="C3744" s="1" t="n">
        <v>45715</v>
      </c>
      <c r="D3744" t="inlineStr">
        <is>
          <t>KALMAR LÄN</t>
        </is>
      </c>
      <c r="E3744" t="inlineStr">
        <is>
          <t>HULTSFRED</t>
        </is>
      </c>
      <c r="F3744" t="inlineStr">
        <is>
          <t>Övriga Aktiebolag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51388-2020</t>
        </is>
      </c>
      <c r="B3745" s="1" t="n">
        <v>44113</v>
      </c>
      <c r="C3745" s="1" t="n">
        <v>45715</v>
      </c>
      <c r="D3745" t="inlineStr">
        <is>
          <t>KALMAR LÄN</t>
        </is>
      </c>
      <c r="E3745" t="inlineStr">
        <is>
          <t>EMMABODA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52394-2020</t>
        </is>
      </c>
      <c r="B3746" s="1" t="n">
        <v>44113</v>
      </c>
      <c r="C3746" s="1" t="n">
        <v>45715</v>
      </c>
      <c r="D3746" t="inlineStr">
        <is>
          <t>KALMAR LÄN</t>
        </is>
      </c>
      <c r="E3746" t="inlineStr">
        <is>
          <t>EMMABODA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51824-2020</t>
        </is>
      </c>
      <c r="B3747" s="1" t="n">
        <v>44116</v>
      </c>
      <c r="C3747" s="1" t="n">
        <v>45715</v>
      </c>
      <c r="D3747" t="inlineStr">
        <is>
          <t>KALMAR LÄN</t>
        </is>
      </c>
      <c r="E3747" t="inlineStr">
        <is>
          <t>EMMABODA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51977-2020</t>
        </is>
      </c>
      <c r="B3748" s="1" t="n">
        <v>44116</v>
      </c>
      <c r="C3748" s="1" t="n">
        <v>45715</v>
      </c>
      <c r="D3748" t="inlineStr">
        <is>
          <t>KALMAR LÄN</t>
        </is>
      </c>
      <c r="E3748" t="inlineStr">
        <is>
          <t>VIMMERBY</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52073-2020</t>
        </is>
      </c>
      <c r="B3749" s="1" t="n">
        <v>44117</v>
      </c>
      <c r="C3749" s="1" t="n">
        <v>45715</v>
      </c>
      <c r="D3749" t="inlineStr">
        <is>
          <t>KALMAR LÄN</t>
        </is>
      </c>
      <c r="E3749" t="inlineStr">
        <is>
          <t>VIMMERBY</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52297-2020</t>
        </is>
      </c>
      <c r="B3750" s="1" t="n">
        <v>44117</v>
      </c>
      <c r="C3750" s="1" t="n">
        <v>45715</v>
      </c>
      <c r="D3750" t="inlineStr">
        <is>
          <t>KALMAR LÄN</t>
        </is>
      </c>
      <c r="E3750" t="inlineStr">
        <is>
          <t>EMMABODA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52518-2020</t>
        </is>
      </c>
      <c r="B3751" s="1" t="n">
        <v>44118</v>
      </c>
      <c r="C3751" s="1" t="n">
        <v>45715</v>
      </c>
      <c r="D3751" t="inlineStr">
        <is>
          <t>KALMAR LÄN</t>
        </is>
      </c>
      <c r="E3751" t="inlineStr">
        <is>
          <t>HULTSFRED</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52611-2020</t>
        </is>
      </c>
      <c r="B3752" s="1" t="n">
        <v>44118</v>
      </c>
      <c r="C3752" s="1" t="n">
        <v>45715</v>
      </c>
      <c r="D3752" t="inlineStr">
        <is>
          <t>KALMAR LÄN</t>
        </is>
      </c>
      <c r="E3752" t="inlineStr">
        <is>
          <t>OSKARSHAMN</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52614-2020</t>
        </is>
      </c>
      <c r="B3753" s="1" t="n">
        <v>44118</v>
      </c>
      <c r="C3753" s="1" t="n">
        <v>45715</v>
      </c>
      <c r="D3753" t="inlineStr">
        <is>
          <t>KALMAR LÄN</t>
        </is>
      </c>
      <c r="E3753" t="inlineStr">
        <is>
          <t>TORSÅS</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52613-2020</t>
        </is>
      </c>
      <c r="B3754" s="1" t="n">
        <v>44118</v>
      </c>
      <c r="C3754" s="1" t="n">
        <v>45715</v>
      </c>
      <c r="D3754" t="inlineStr">
        <is>
          <t>KALMAR LÄN</t>
        </is>
      </c>
      <c r="E3754" t="inlineStr">
        <is>
          <t>TORSÅS</t>
        </is>
      </c>
      <c r="G3754" t="n">
        <v>8.5</v>
      </c>
      <c r="H3754" t="n">
        <v>0</v>
      </c>
      <c r="I3754" t="n">
        <v>0</v>
      </c>
      <c r="J3754" t="n">
        <v>0</v>
      </c>
      <c r="K3754" t="n">
        <v>0</v>
      </c>
      <c r="L3754" t="n">
        <v>0</v>
      </c>
      <c r="M3754" t="n">
        <v>0</v>
      </c>
      <c r="N3754" t="n">
        <v>0</v>
      </c>
      <c r="O3754" t="n">
        <v>0</v>
      </c>
      <c r="P3754" t="n">
        <v>0</v>
      </c>
      <c r="Q3754" t="n">
        <v>0</v>
      </c>
      <c r="R3754" s="2" t="inlineStr"/>
    </row>
    <row r="3755" ht="15" customHeight="1">
      <c r="A3755" t="inlineStr">
        <is>
          <t>A 52615-2020</t>
        </is>
      </c>
      <c r="B3755" s="1" t="n">
        <v>44118</v>
      </c>
      <c r="C3755" s="1" t="n">
        <v>45715</v>
      </c>
      <c r="D3755" t="inlineStr">
        <is>
          <t>KALMAR LÄN</t>
        </is>
      </c>
      <c r="E3755" t="inlineStr">
        <is>
          <t>EMMABODA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52994-2020</t>
        </is>
      </c>
      <c r="B3756" s="1" t="n">
        <v>44119</v>
      </c>
      <c r="C3756" s="1" t="n">
        <v>45715</v>
      </c>
      <c r="D3756" t="inlineStr">
        <is>
          <t>KALMAR LÄN</t>
        </is>
      </c>
      <c r="E3756" t="inlineStr">
        <is>
          <t>KALMAR</t>
        </is>
      </c>
      <c r="G3756" t="n">
        <v>12.4</v>
      </c>
      <c r="H3756" t="n">
        <v>0</v>
      </c>
      <c r="I3756" t="n">
        <v>0</v>
      </c>
      <c r="J3756" t="n">
        <v>0</v>
      </c>
      <c r="K3756" t="n">
        <v>0</v>
      </c>
      <c r="L3756" t="n">
        <v>0</v>
      </c>
      <c r="M3756" t="n">
        <v>0</v>
      </c>
      <c r="N3756" t="n">
        <v>0</v>
      </c>
      <c r="O3756" t="n">
        <v>0</v>
      </c>
      <c r="P3756" t="n">
        <v>0</v>
      </c>
      <c r="Q3756" t="n">
        <v>0</v>
      </c>
      <c r="R3756" s="2" t="inlineStr"/>
    </row>
    <row r="3757" ht="15" customHeight="1">
      <c r="A3757" t="inlineStr">
        <is>
          <t>A 52928-2020</t>
        </is>
      </c>
      <c r="B3757" s="1" t="n">
        <v>44120</v>
      </c>
      <c r="C3757" s="1" t="n">
        <v>45715</v>
      </c>
      <c r="D3757" t="inlineStr">
        <is>
          <t>KALMAR LÄN</t>
        </is>
      </c>
      <c r="E3757" t="inlineStr">
        <is>
          <t>KALMAR</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52949-2020</t>
        </is>
      </c>
      <c r="B3758" s="1" t="n">
        <v>44120</v>
      </c>
      <c r="C3758" s="1" t="n">
        <v>45715</v>
      </c>
      <c r="D3758" t="inlineStr">
        <is>
          <t>KALMAR LÄN</t>
        </is>
      </c>
      <c r="E3758" t="inlineStr">
        <is>
          <t>EMMABODA</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52964-2020</t>
        </is>
      </c>
      <c r="B3759" s="1" t="n">
        <v>44120</v>
      </c>
      <c r="C3759" s="1" t="n">
        <v>45715</v>
      </c>
      <c r="D3759" t="inlineStr">
        <is>
          <t>KALMAR LÄN</t>
        </is>
      </c>
      <c r="E3759" t="inlineStr">
        <is>
          <t>EMMABODA</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52952-2020</t>
        </is>
      </c>
      <c r="B3760" s="1" t="n">
        <v>44120</v>
      </c>
      <c r="C3760" s="1" t="n">
        <v>45715</v>
      </c>
      <c r="D3760" t="inlineStr">
        <is>
          <t>KALMAR LÄN</t>
        </is>
      </c>
      <c r="E3760" t="inlineStr">
        <is>
          <t>EMMABODA</t>
        </is>
      </c>
      <c r="F3760" t="inlineStr">
        <is>
          <t>Sveaskog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52963-2020</t>
        </is>
      </c>
      <c r="B3761" s="1" t="n">
        <v>44120</v>
      </c>
      <c r="C3761" s="1" t="n">
        <v>45715</v>
      </c>
      <c r="D3761" t="inlineStr">
        <is>
          <t>KALMAR LÄN</t>
        </is>
      </c>
      <c r="E3761" t="inlineStr">
        <is>
          <t>EMMABODA</t>
        </is>
      </c>
      <c r="F3761" t="inlineStr">
        <is>
          <t>Sveaskog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52958-2020</t>
        </is>
      </c>
      <c r="B3762" s="1" t="n">
        <v>44120</v>
      </c>
      <c r="C3762" s="1" t="n">
        <v>45715</v>
      </c>
      <c r="D3762" t="inlineStr">
        <is>
          <t>KALMAR LÄN</t>
        </is>
      </c>
      <c r="E3762" t="inlineStr">
        <is>
          <t>EMMABODA</t>
        </is>
      </c>
      <c r="F3762" t="inlineStr">
        <is>
          <t>Sveaskog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53043-2020</t>
        </is>
      </c>
      <c r="B3763" s="1" t="n">
        <v>44120</v>
      </c>
      <c r="C3763" s="1" t="n">
        <v>45715</v>
      </c>
      <c r="D3763" t="inlineStr">
        <is>
          <t>KALMAR LÄN</t>
        </is>
      </c>
      <c r="E3763" t="inlineStr">
        <is>
          <t>NYBRO</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53089-2020</t>
        </is>
      </c>
      <c r="B3764" s="1" t="n">
        <v>44120</v>
      </c>
      <c r="C3764" s="1" t="n">
        <v>45715</v>
      </c>
      <c r="D3764" t="inlineStr">
        <is>
          <t>KALMAR LÄN</t>
        </is>
      </c>
      <c r="E3764" t="inlineStr">
        <is>
          <t>NYBRO</t>
        </is>
      </c>
      <c r="G3764" t="n">
        <v>13.1</v>
      </c>
      <c r="H3764" t="n">
        <v>0</v>
      </c>
      <c r="I3764" t="n">
        <v>0</v>
      </c>
      <c r="J3764" t="n">
        <v>0</v>
      </c>
      <c r="K3764" t="n">
        <v>0</v>
      </c>
      <c r="L3764" t="n">
        <v>0</v>
      </c>
      <c r="M3764" t="n">
        <v>0</v>
      </c>
      <c r="N3764" t="n">
        <v>0</v>
      </c>
      <c r="O3764" t="n">
        <v>0</v>
      </c>
      <c r="P3764" t="n">
        <v>0</v>
      </c>
      <c r="Q3764" t="n">
        <v>0</v>
      </c>
      <c r="R3764" s="2" t="inlineStr"/>
    </row>
    <row r="3765" ht="15" customHeight="1">
      <c r="A3765" t="inlineStr">
        <is>
          <t>A 53100-2020</t>
        </is>
      </c>
      <c r="B3765" s="1" t="n">
        <v>44120</v>
      </c>
      <c r="C3765" s="1" t="n">
        <v>45715</v>
      </c>
      <c r="D3765" t="inlineStr">
        <is>
          <t>KALMAR LÄN</t>
        </is>
      </c>
      <c r="E3765" t="inlineStr">
        <is>
          <t>VIMMERBY</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53132-2020</t>
        </is>
      </c>
      <c r="B3766" s="1" t="n">
        <v>44120</v>
      </c>
      <c r="C3766" s="1" t="n">
        <v>45715</v>
      </c>
      <c r="D3766" t="inlineStr">
        <is>
          <t>KALMAR LÄN</t>
        </is>
      </c>
      <c r="E3766" t="inlineStr">
        <is>
          <t>MÖNSTERÅS</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53158-2020</t>
        </is>
      </c>
      <c r="B3767" s="1" t="n">
        <v>44120</v>
      </c>
      <c r="C3767" s="1" t="n">
        <v>45715</v>
      </c>
      <c r="D3767" t="inlineStr">
        <is>
          <t>KALMAR LÄN</t>
        </is>
      </c>
      <c r="E3767" t="inlineStr">
        <is>
          <t>NYBRO</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53135-2020</t>
        </is>
      </c>
      <c r="B3768" s="1" t="n">
        <v>44120</v>
      </c>
      <c r="C3768" s="1" t="n">
        <v>45715</v>
      </c>
      <c r="D3768" t="inlineStr">
        <is>
          <t>KALMAR LÄN</t>
        </is>
      </c>
      <c r="E3768" t="inlineStr">
        <is>
          <t>MÖNSTERÅS</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53160-2020</t>
        </is>
      </c>
      <c r="B3769" s="1" t="n">
        <v>44120</v>
      </c>
      <c r="C3769" s="1" t="n">
        <v>45715</v>
      </c>
      <c r="D3769" t="inlineStr">
        <is>
          <t>KALMAR LÄN</t>
        </is>
      </c>
      <c r="E3769" t="inlineStr">
        <is>
          <t>NYBRO</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53222-2020</t>
        </is>
      </c>
      <c r="B3770" s="1" t="n">
        <v>44123</v>
      </c>
      <c r="C3770" s="1" t="n">
        <v>45715</v>
      </c>
      <c r="D3770" t="inlineStr">
        <is>
          <t>KALMAR LÄN</t>
        </is>
      </c>
      <c r="E3770" t="inlineStr">
        <is>
          <t>NYBRO</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53387-2020</t>
        </is>
      </c>
      <c r="B3771" s="1" t="n">
        <v>44123</v>
      </c>
      <c r="C3771" s="1" t="n">
        <v>45715</v>
      </c>
      <c r="D3771" t="inlineStr">
        <is>
          <t>KALMAR LÄN</t>
        </is>
      </c>
      <c r="E3771" t="inlineStr">
        <is>
          <t>VIMMERBY</t>
        </is>
      </c>
      <c r="G3771" t="n">
        <v>7.2</v>
      </c>
      <c r="H3771" t="n">
        <v>0</v>
      </c>
      <c r="I3771" t="n">
        <v>0</v>
      </c>
      <c r="J3771" t="n">
        <v>0</v>
      </c>
      <c r="K3771" t="n">
        <v>0</v>
      </c>
      <c r="L3771" t="n">
        <v>0</v>
      </c>
      <c r="M3771" t="n">
        <v>0</v>
      </c>
      <c r="N3771" t="n">
        <v>0</v>
      </c>
      <c r="O3771" t="n">
        <v>0</v>
      </c>
      <c r="P3771" t="n">
        <v>0</v>
      </c>
      <c r="Q3771" t="n">
        <v>0</v>
      </c>
      <c r="R3771" s="2" t="inlineStr"/>
    </row>
    <row r="3772" ht="15" customHeight="1">
      <c r="A3772" t="inlineStr">
        <is>
          <t>A 53701-2020</t>
        </is>
      </c>
      <c r="B3772" s="1" t="n">
        <v>44124</v>
      </c>
      <c r="C3772" s="1" t="n">
        <v>45715</v>
      </c>
      <c r="D3772" t="inlineStr">
        <is>
          <t>KALMAR LÄN</t>
        </is>
      </c>
      <c r="E3772" t="inlineStr">
        <is>
          <t>HULTSFRED</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53711-2020</t>
        </is>
      </c>
      <c r="B3773" s="1" t="n">
        <v>44124</v>
      </c>
      <c r="C3773" s="1" t="n">
        <v>45715</v>
      </c>
      <c r="D3773" t="inlineStr">
        <is>
          <t>KALMAR LÄN</t>
        </is>
      </c>
      <c r="E3773" t="inlineStr">
        <is>
          <t>VIMMERBY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53784-2020</t>
        </is>
      </c>
      <c r="B3774" s="1" t="n">
        <v>44124</v>
      </c>
      <c r="C3774" s="1" t="n">
        <v>45715</v>
      </c>
      <c r="D3774" t="inlineStr">
        <is>
          <t>KALMAR LÄN</t>
        </is>
      </c>
      <c r="E3774" t="inlineStr">
        <is>
          <t>HÖGSBY</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54001-2020</t>
        </is>
      </c>
      <c r="B3775" s="1" t="n">
        <v>44125</v>
      </c>
      <c r="C3775" s="1" t="n">
        <v>45715</v>
      </c>
      <c r="D3775" t="inlineStr">
        <is>
          <t>KALMAR LÄN</t>
        </is>
      </c>
      <c r="E3775" t="inlineStr">
        <is>
          <t>NYBRO</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54164-2020</t>
        </is>
      </c>
      <c r="B3776" s="1" t="n">
        <v>44125</v>
      </c>
      <c r="C3776" s="1" t="n">
        <v>45715</v>
      </c>
      <c r="D3776" t="inlineStr">
        <is>
          <t>KALMAR LÄN</t>
        </is>
      </c>
      <c r="E3776" t="inlineStr">
        <is>
          <t>VÄSTERVIK</t>
        </is>
      </c>
      <c r="F3776" t="inlineStr">
        <is>
          <t>Sveaskog</t>
        </is>
      </c>
      <c r="G3776" t="n">
        <v>9.800000000000001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54369-2020</t>
        </is>
      </c>
      <c r="B3777" s="1" t="n">
        <v>44125</v>
      </c>
      <c r="C3777" s="1" t="n">
        <v>45715</v>
      </c>
      <c r="D3777" t="inlineStr">
        <is>
          <t>KALMAR LÄN</t>
        </is>
      </c>
      <c r="E3777" t="inlineStr">
        <is>
          <t>HÖGSBY</t>
        </is>
      </c>
      <c r="G3777" t="n">
        <v>13.1</v>
      </c>
      <c r="H3777" t="n">
        <v>0</v>
      </c>
      <c r="I3777" t="n">
        <v>0</v>
      </c>
      <c r="J3777" t="n">
        <v>0</v>
      </c>
      <c r="K3777" t="n">
        <v>0</v>
      </c>
      <c r="L3777" t="n">
        <v>0</v>
      </c>
      <c r="M3777" t="n">
        <v>0</v>
      </c>
      <c r="N3777" t="n">
        <v>0</v>
      </c>
      <c r="O3777" t="n">
        <v>0</v>
      </c>
      <c r="P3777" t="n">
        <v>0</v>
      </c>
      <c r="Q3777" t="n">
        <v>0</v>
      </c>
      <c r="R3777" s="2" t="inlineStr"/>
    </row>
    <row r="3778" ht="15" customHeight="1">
      <c r="A3778" t="inlineStr">
        <is>
          <t>A 54361-2020</t>
        </is>
      </c>
      <c r="B3778" s="1" t="n">
        <v>44125</v>
      </c>
      <c r="C3778" s="1" t="n">
        <v>45715</v>
      </c>
      <c r="D3778" t="inlineStr">
        <is>
          <t>KALMAR LÄN</t>
        </is>
      </c>
      <c r="E3778" t="inlineStr">
        <is>
          <t>HÖGSBY</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53924-2020</t>
        </is>
      </c>
      <c r="B3779" s="1" t="n">
        <v>44125</v>
      </c>
      <c r="C3779" s="1" t="n">
        <v>45715</v>
      </c>
      <c r="D3779" t="inlineStr">
        <is>
          <t>KALMAR LÄN</t>
        </is>
      </c>
      <c r="E3779" t="inlineStr">
        <is>
          <t>NYBRO</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54286-2020</t>
        </is>
      </c>
      <c r="B3780" s="1" t="n">
        <v>44126</v>
      </c>
      <c r="C3780" s="1" t="n">
        <v>45715</v>
      </c>
      <c r="D3780" t="inlineStr">
        <is>
          <t>KALMAR LÄN</t>
        </is>
      </c>
      <c r="E3780" t="inlineStr">
        <is>
          <t>KALMAR</t>
        </is>
      </c>
      <c r="G3780" t="n">
        <v>6.6</v>
      </c>
      <c r="H3780" t="n">
        <v>0</v>
      </c>
      <c r="I3780" t="n">
        <v>0</v>
      </c>
      <c r="J3780" t="n">
        <v>0</v>
      </c>
      <c r="K3780" t="n">
        <v>0</v>
      </c>
      <c r="L3780" t="n">
        <v>0</v>
      </c>
      <c r="M3780" t="n">
        <v>0</v>
      </c>
      <c r="N3780" t="n">
        <v>0</v>
      </c>
      <c r="O3780" t="n">
        <v>0</v>
      </c>
      <c r="P3780" t="n">
        <v>0</v>
      </c>
      <c r="Q3780" t="n">
        <v>0</v>
      </c>
      <c r="R3780" s="2" t="inlineStr"/>
    </row>
    <row r="3781" ht="15" customHeight="1">
      <c r="A3781" t="inlineStr">
        <is>
          <t>A 54525-2020</t>
        </is>
      </c>
      <c r="B3781" s="1" t="n">
        <v>44126</v>
      </c>
      <c r="C3781" s="1" t="n">
        <v>45715</v>
      </c>
      <c r="D3781" t="inlineStr">
        <is>
          <t>KALMAR LÄN</t>
        </is>
      </c>
      <c r="E3781" t="inlineStr">
        <is>
          <t>HULTSFRED</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54529-2020</t>
        </is>
      </c>
      <c r="B3782" s="1" t="n">
        <v>44126</v>
      </c>
      <c r="C3782" s="1" t="n">
        <v>45715</v>
      </c>
      <c r="D3782" t="inlineStr">
        <is>
          <t>KALMAR LÄN</t>
        </is>
      </c>
      <c r="E3782" t="inlineStr">
        <is>
          <t>HULTSFRED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54489-2020</t>
        </is>
      </c>
      <c r="B3783" s="1" t="n">
        <v>44126</v>
      </c>
      <c r="C3783" s="1" t="n">
        <v>45715</v>
      </c>
      <c r="D3783" t="inlineStr">
        <is>
          <t>KALMAR LÄN</t>
        </is>
      </c>
      <c r="E3783" t="inlineStr">
        <is>
          <t>HULTSFRED</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54518-2020</t>
        </is>
      </c>
      <c r="B3784" s="1" t="n">
        <v>44126</v>
      </c>
      <c r="C3784" s="1" t="n">
        <v>45715</v>
      </c>
      <c r="D3784" t="inlineStr">
        <is>
          <t>KALMAR LÄN</t>
        </is>
      </c>
      <c r="E3784" t="inlineStr">
        <is>
          <t>EMMABODA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54669-2020</t>
        </is>
      </c>
      <c r="B3785" s="1" t="n">
        <v>44127</v>
      </c>
      <c r="C3785" s="1" t="n">
        <v>45715</v>
      </c>
      <c r="D3785" t="inlineStr">
        <is>
          <t>KALMAR LÄN</t>
        </is>
      </c>
      <c r="E3785" t="inlineStr">
        <is>
          <t>EMMABODA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54917-2020</t>
        </is>
      </c>
      <c r="B3786" s="1" t="n">
        <v>44127</v>
      </c>
      <c r="C3786" s="1" t="n">
        <v>45715</v>
      </c>
      <c r="D3786" t="inlineStr">
        <is>
          <t>KALMAR LÄN</t>
        </is>
      </c>
      <c r="E3786" t="inlineStr">
        <is>
          <t>VIMMERBY</t>
        </is>
      </c>
      <c r="G3786" t="n">
        <v>9.5</v>
      </c>
      <c r="H3786" t="n">
        <v>0</v>
      </c>
      <c r="I3786" t="n">
        <v>0</v>
      </c>
      <c r="J3786" t="n">
        <v>0</v>
      </c>
      <c r="K3786" t="n">
        <v>0</v>
      </c>
      <c r="L3786" t="n">
        <v>0</v>
      </c>
      <c r="M3786" t="n">
        <v>0</v>
      </c>
      <c r="N3786" t="n">
        <v>0</v>
      </c>
      <c r="O3786" t="n">
        <v>0</v>
      </c>
      <c r="P3786" t="n">
        <v>0</v>
      </c>
      <c r="Q3786" t="n">
        <v>0</v>
      </c>
      <c r="R3786" s="2" t="inlineStr"/>
    </row>
    <row r="3787" ht="15" customHeight="1">
      <c r="A3787" t="inlineStr">
        <is>
          <t>A 54776-2020</t>
        </is>
      </c>
      <c r="B3787" s="1" t="n">
        <v>44127</v>
      </c>
      <c r="C3787" s="1" t="n">
        <v>45715</v>
      </c>
      <c r="D3787" t="inlineStr">
        <is>
          <t>KALMAR LÄN</t>
        </is>
      </c>
      <c r="E3787" t="inlineStr">
        <is>
          <t>OSKARSHAMN</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54793-2020</t>
        </is>
      </c>
      <c r="B3788" s="1" t="n">
        <v>44127</v>
      </c>
      <c r="C3788" s="1" t="n">
        <v>45715</v>
      </c>
      <c r="D3788" t="inlineStr">
        <is>
          <t>KALMAR LÄN</t>
        </is>
      </c>
      <c r="E3788" t="inlineStr">
        <is>
          <t>OSKARSHAMN</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54746-2020</t>
        </is>
      </c>
      <c r="B3789" s="1" t="n">
        <v>44127</v>
      </c>
      <c r="C3789" s="1" t="n">
        <v>45715</v>
      </c>
      <c r="D3789" t="inlineStr">
        <is>
          <t>KALMAR LÄN</t>
        </is>
      </c>
      <c r="E3789" t="inlineStr">
        <is>
          <t>MÖNSTERÅS</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54788-2020</t>
        </is>
      </c>
      <c r="B3790" s="1" t="n">
        <v>44127</v>
      </c>
      <c r="C3790" s="1" t="n">
        <v>45715</v>
      </c>
      <c r="D3790" t="inlineStr">
        <is>
          <t>KALMAR LÄN</t>
        </is>
      </c>
      <c r="E3790" t="inlineStr">
        <is>
          <t>OSKARSHAMN</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55011-2020</t>
        </is>
      </c>
      <c r="B3791" s="1" t="n">
        <v>44130</v>
      </c>
      <c r="C3791" s="1" t="n">
        <v>45715</v>
      </c>
      <c r="D3791" t="inlineStr">
        <is>
          <t>KALMAR LÄN</t>
        </is>
      </c>
      <c r="E3791" t="inlineStr">
        <is>
          <t>HULTSFRED</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55046-2020</t>
        </is>
      </c>
      <c r="B3792" s="1" t="n">
        <v>44130</v>
      </c>
      <c r="C3792" s="1" t="n">
        <v>45715</v>
      </c>
      <c r="D3792" t="inlineStr">
        <is>
          <t>KALMAR LÄN</t>
        </is>
      </c>
      <c r="E3792" t="inlineStr">
        <is>
          <t>NYBRO</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55053-2020</t>
        </is>
      </c>
      <c r="B3793" s="1" t="n">
        <v>44130</v>
      </c>
      <c r="C3793" s="1" t="n">
        <v>45715</v>
      </c>
      <c r="D3793" t="inlineStr">
        <is>
          <t>KALMAR LÄN</t>
        </is>
      </c>
      <c r="E3793" t="inlineStr">
        <is>
          <t>VIMMERBY</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55042-2020</t>
        </is>
      </c>
      <c r="B3794" s="1" t="n">
        <v>44130</v>
      </c>
      <c r="C3794" s="1" t="n">
        <v>45715</v>
      </c>
      <c r="D3794" t="inlineStr">
        <is>
          <t>KALMAR LÄN</t>
        </is>
      </c>
      <c r="E3794" t="inlineStr">
        <is>
          <t>NYBRO</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55191-2020</t>
        </is>
      </c>
      <c r="B3795" s="1" t="n">
        <v>44130</v>
      </c>
      <c r="C3795" s="1" t="n">
        <v>45715</v>
      </c>
      <c r="D3795" t="inlineStr">
        <is>
          <t>KALMAR LÄN</t>
        </is>
      </c>
      <c r="E3795" t="inlineStr">
        <is>
          <t>OSKARSHAMN</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55240-2020</t>
        </is>
      </c>
      <c r="B3796" s="1" t="n">
        <v>44130</v>
      </c>
      <c r="C3796" s="1" t="n">
        <v>45715</v>
      </c>
      <c r="D3796" t="inlineStr">
        <is>
          <t>KALMAR LÄN</t>
        </is>
      </c>
      <c r="E3796" t="inlineStr">
        <is>
          <t>VÄSTERVIK</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55170-2020</t>
        </is>
      </c>
      <c r="B3797" s="1" t="n">
        <v>44130</v>
      </c>
      <c r="C3797" s="1" t="n">
        <v>45715</v>
      </c>
      <c r="D3797" t="inlineStr">
        <is>
          <t>KALMAR LÄN</t>
        </is>
      </c>
      <c r="E3797" t="inlineStr">
        <is>
          <t>HÖGSBY</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55239-2020</t>
        </is>
      </c>
      <c r="B3798" s="1" t="n">
        <v>44130</v>
      </c>
      <c r="C3798" s="1" t="n">
        <v>45715</v>
      </c>
      <c r="D3798" t="inlineStr">
        <is>
          <t>KALMAR LÄN</t>
        </is>
      </c>
      <c r="E3798" t="inlineStr">
        <is>
          <t>KALMAR</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55368-2020</t>
        </is>
      </c>
      <c r="B3799" s="1" t="n">
        <v>44130</v>
      </c>
      <c r="C3799" s="1" t="n">
        <v>45715</v>
      </c>
      <c r="D3799" t="inlineStr">
        <is>
          <t>KALMAR LÄN</t>
        </is>
      </c>
      <c r="E3799" t="inlineStr">
        <is>
          <t>MÖNSTERÅS</t>
        </is>
      </c>
      <c r="F3799" t="inlineStr">
        <is>
          <t>Övriga Aktiebolag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55177-2020</t>
        </is>
      </c>
      <c r="B3800" s="1" t="n">
        <v>44130</v>
      </c>
      <c r="C3800" s="1" t="n">
        <v>45715</v>
      </c>
      <c r="D3800" t="inlineStr">
        <is>
          <t>KALMAR LÄN</t>
        </is>
      </c>
      <c r="E3800" t="inlineStr">
        <is>
          <t>TORSÅS</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55386-2020</t>
        </is>
      </c>
      <c r="B3801" s="1" t="n">
        <v>44131</v>
      </c>
      <c r="C3801" s="1" t="n">
        <v>45715</v>
      </c>
      <c r="D3801" t="inlineStr">
        <is>
          <t>KALMAR LÄN</t>
        </is>
      </c>
      <c r="E3801" t="inlineStr">
        <is>
          <t>KALMAR</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55455-2020</t>
        </is>
      </c>
      <c r="B3802" s="1" t="n">
        <v>44131</v>
      </c>
      <c r="C3802" s="1" t="n">
        <v>45715</v>
      </c>
      <c r="D3802" t="inlineStr">
        <is>
          <t>KALMAR LÄN</t>
        </is>
      </c>
      <c r="E3802" t="inlineStr">
        <is>
          <t>NYBRO</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55537-2020</t>
        </is>
      </c>
      <c r="B3803" s="1" t="n">
        <v>44131</v>
      </c>
      <c r="C3803" s="1" t="n">
        <v>45715</v>
      </c>
      <c r="D3803" t="inlineStr">
        <is>
          <t>KALMAR LÄN</t>
        </is>
      </c>
      <c r="E3803" t="inlineStr">
        <is>
          <t>TORSÅS</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55369-2020</t>
        </is>
      </c>
      <c r="B3804" s="1" t="n">
        <v>44131</v>
      </c>
      <c r="C3804" s="1" t="n">
        <v>45715</v>
      </c>
      <c r="D3804" t="inlineStr">
        <is>
          <t>KALMAR LÄN</t>
        </is>
      </c>
      <c r="E3804" t="inlineStr">
        <is>
          <t>MÖNSTERÅS</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55590-2020</t>
        </is>
      </c>
      <c r="B3805" s="1" t="n">
        <v>44131</v>
      </c>
      <c r="C3805" s="1" t="n">
        <v>45715</v>
      </c>
      <c r="D3805" t="inlineStr">
        <is>
          <t>KALMAR LÄN</t>
        </is>
      </c>
      <c r="E3805" t="inlineStr">
        <is>
          <t>MÖNSTERÅS</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55748-2020</t>
        </is>
      </c>
      <c r="B3806" s="1" t="n">
        <v>44132</v>
      </c>
      <c r="C3806" s="1" t="n">
        <v>45715</v>
      </c>
      <c r="D3806" t="inlineStr">
        <is>
          <t>KALMAR LÄN</t>
        </is>
      </c>
      <c r="E3806" t="inlineStr">
        <is>
          <t>HULTSFRED</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56127-2020</t>
        </is>
      </c>
      <c r="B3807" s="1" t="n">
        <v>44132</v>
      </c>
      <c r="C3807" s="1" t="n">
        <v>45715</v>
      </c>
      <c r="D3807" t="inlineStr">
        <is>
          <t>KALMAR LÄN</t>
        </is>
      </c>
      <c r="E3807" t="inlineStr">
        <is>
          <t>VÄSTERVIK</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55974-2020</t>
        </is>
      </c>
      <c r="B3808" s="1" t="n">
        <v>44133</v>
      </c>
      <c r="C3808" s="1" t="n">
        <v>45715</v>
      </c>
      <c r="D3808" t="inlineStr">
        <is>
          <t>KALMAR LÄN</t>
        </is>
      </c>
      <c r="E3808" t="inlineStr">
        <is>
          <t>OSKARSHAMN</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56309-2020</t>
        </is>
      </c>
      <c r="B3809" s="1" t="n">
        <v>44134</v>
      </c>
      <c r="C3809" s="1" t="n">
        <v>45715</v>
      </c>
      <c r="D3809" t="inlineStr">
        <is>
          <t>KALMAR LÄN</t>
        </is>
      </c>
      <c r="E3809" t="inlineStr">
        <is>
          <t>TORSÅS</t>
        </is>
      </c>
      <c r="G3809" t="n">
        <v>10.3</v>
      </c>
      <c r="H3809" t="n">
        <v>0</v>
      </c>
      <c r="I3809" t="n">
        <v>0</v>
      </c>
      <c r="J3809" t="n">
        <v>0</v>
      </c>
      <c r="K3809" t="n">
        <v>0</v>
      </c>
      <c r="L3809" t="n">
        <v>0</v>
      </c>
      <c r="M3809" t="n">
        <v>0</v>
      </c>
      <c r="N3809" t="n">
        <v>0</v>
      </c>
      <c r="O3809" t="n">
        <v>0</v>
      </c>
      <c r="P3809" t="n">
        <v>0</v>
      </c>
      <c r="Q3809" t="n">
        <v>0</v>
      </c>
      <c r="R3809" s="2" t="inlineStr"/>
    </row>
    <row r="3810" ht="15" customHeight="1">
      <c r="A3810" t="inlineStr">
        <is>
          <t>A 56321-2020</t>
        </is>
      </c>
      <c r="B3810" s="1" t="n">
        <v>44134</v>
      </c>
      <c r="C3810" s="1" t="n">
        <v>45715</v>
      </c>
      <c r="D3810" t="inlineStr">
        <is>
          <t>KALMAR LÄN</t>
        </is>
      </c>
      <c r="E3810" t="inlineStr">
        <is>
          <t>HULTSFRED</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56307-2020</t>
        </is>
      </c>
      <c r="B3811" s="1" t="n">
        <v>44134</v>
      </c>
      <c r="C3811" s="1" t="n">
        <v>45715</v>
      </c>
      <c r="D3811" t="inlineStr">
        <is>
          <t>KALMAR LÄN</t>
        </is>
      </c>
      <c r="E3811" t="inlineStr">
        <is>
          <t>TORSÅS</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56308-2020</t>
        </is>
      </c>
      <c r="B3812" s="1" t="n">
        <v>44134</v>
      </c>
      <c r="C3812" s="1" t="n">
        <v>45715</v>
      </c>
      <c r="D3812" t="inlineStr">
        <is>
          <t>KALMAR LÄN</t>
        </is>
      </c>
      <c r="E3812" t="inlineStr">
        <is>
          <t>TORSÅS</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56385-2020</t>
        </is>
      </c>
      <c r="B3813" s="1" t="n">
        <v>44136</v>
      </c>
      <c r="C3813" s="1" t="n">
        <v>45715</v>
      </c>
      <c r="D3813" t="inlineStr">
        <is>
          <t>KALMAR LÄN</t>
        </is>
      </c>
      <c r="E3813" t="inlineStr">
        <is>
          <t>NYBRO</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56949-2020</t>
        </is>
      </c>
      <c r="B3814" s="1" t="n">
        <v>44136</v>
      </c>
      <c r="C3814" s="1" t="n">
        <v>45715</v>
      </c>
      <c r="D3814" t="inlineStr">
        <is>
          <t>KALMAR LÄN</t>
        </is>
      </c>
      <c r="E3814" t="inlineStr">
        <is>
          <t>KALMAR</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56479-2020</t>
        </is>
      </c>
      <c r="B3815" s="1" t="n">
        <v>44137</v>
      </c>
      <c r="C3815" s="1" t="n">
        <v>45715</v>
      </c>
      <c r="D3815" t="inlineStr">
        <is>
          <t>KALMAR LÄN</t>
        </is>
      </c>
      <c r="E3815" t="inlineStr">
        <is>
          <t>BORGHOLM</t>
        </is>
      </c>
      <c r="F3815" t="inlineStr">
        <is>
          <t>Sveaskog</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56492-2020</t>
        </is>
      </c>
      <c r="B3816" s="1" t="n">
        <v>44137</v>
      </c>
      <c r="C3816" s="1" t="n">
        <v>45715</v>
      </c>
      <c r="D3816" t="inlineStr">
        <is>
          <t>KALMAR LÄN</t>
        </is>
      </c>
      <c r="E3816" t="inlineStr">
        <is>
          <t>BORGHOLM</t>
        </is>
      </c>
      <c r="F3816" t="inlineStr">
        <is>
          <t>Sveaskog</t>
        </is>
      </c>
      <c r="G3816" t="n">
        <v>10.9</v>
      </c>
      <c r="H3816" t="n">
        <v>0</v>
      </c>
      <c r="I3816" t="n">
        <v>0</v>
      </c>
      <c r="J3816" t="n">
        <v>0</v>
      </c>
      <c r="K3816" t="n">
        <v>0</v>
      </c>
      <c r="L3816" t="n">
        <v>0</v>
      </c>
      <c r="M3816" t="n">
        <v>0</v>
      </c>
      <c r="N3816" t="n">
        <v>0</v>
      </c>
      <c r="O3816" t="n">
        <v>0</v>
      </c>
      <c r="P3816" t="n">
        <v>0</v>
      </c>
      <c r="Q3816" t="n">
        <v>0</v>
      </c>
      <c r="R3816" s="2" t="inlineStr"/>
    </row>
    <row r="3817" ht="15" customHeight="1">
      <c r="A3817" t="inlineStr">
        <is>
          <t>A 56475-2020</t>
        </is>
      </c>
      <c r="B3817" s="1" t="n">
        <v>44137</v>
      </c>
      <c r="C3817" s="1" t="n">
        <v>45715</v>
      </c>
      <c r="D3817" t="inlineStr">
        <is>
          <t>KALMAR LÄN</t>
        </is>
      </c>
      <c r="E3817" t="inlineStr">
        <is>
          <t>BORGHOLM</t>
        </is>
      </c>
      <c r="F3817" t="inlineStr">
        <is>
          <t>Sveaskog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56488-2020</t>
        </is>
      </c>
      <c r="B3818" s="1" t="n">
        <v>44137</v>
      </c>
      <c r="C3818" s="1" t="n">
        <v>45715</v>
      </c>
      <c r="D3818" t="inlineStr">
        <is>
          <t>KALMAR LÄN</t>
        </is>
      </c>
      <c r="E3818" t="inlineStr">
        <is>
          <t>BORGHOLM</t>
        </is>
      </c>
      <c r="F3818" t="inlineStr">
        <is>
          <t>Sveaskog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56499-2020</t>
        </is>
      </c>
      <c r="B3819" s="1" t="n">
        <v>44137</v>
      </c>
      <c r="C3819" s="1" t="n">
        <v>45715</v>
      </c>
      <c r="D3819" t="inlineStr">
        <is>
          <t>KALMAR LÄN</t>
        </is>
      </c>
      <c r="E3819" t="inlineStr">
        <is>
          <t>BORGHOLM</t>
        </is>
      </c>
      <c r="F3819" t="inlineStr">
        <is>
          <t>Sveaskog</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56421-2020</t>
        </is>
      </c>
      <c r="B3820" s="1" t="n">
        <v>44137</v>
      </c>
      <c r="C3820" s="1" t="n">
        <v>45715</v>
      </c>
      <c r="D3820" t="inlineStr">
        <is>
          <t>KALMAR LÄN</t>
        </is>
      </c>
      <c r="E3820" t="inlineStr">
        <is>
          <t>BORGHOLM</t>
        </is>
      </c>
      <c r="F3820" t="inlineStr">
        <is>
          <t>Sveaskog</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56495-2020</t>
        </is>
      </c>
      <c r="B3821" s="1" t="n">
        <v>44137</v>
      </c>
      <c r="C3821" s="1" t="n">
        <v>45715</v>
      </c>
      <c r="D3821" t="inlineStr">
        <is>
          <t>KALMAR LÄN</t>
        </is>
      </c>
      <c r="E3821" t="inlineStr">
        <is>
          <t>BORGHOLM</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56506-2020</t>
        </is>
      </c>
      <c r="B3822" s="1" t="n">
        <v>44137</v>
      </c>
      <c r="C3822" s="1" t="n">
        <v>45715</v>
      </c>
      <c r="D3822" t="inlineStr">
        <is>
          <t>KALMAR LÄN</t>
        </is>
      </c>
      <c r="E3822" t="inlineStr">
        <is>
          <t>BORGHOLM</t>
        </is>
      </c>
      <c r="F3822" t="inlineStr">
        <is>
          <t>Sveaskog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56571-2020</t>
        </is>
      </c>
      <c r="B3823" s="1" t="n">
        <v>44137</v>
      </c>
      <c r="C3823" s="1" t="n">
        <v>45715</v>
      </c>
      <c r="D3823" t="inlineStr">
        <is>
          <t>KALMAR LÄN</t>
        </is>
      </c>
      <c r="E3823" t="inlineStr">
        <is>
          <t>HULTSFRED</t>
        </is>
      </c>
      <c r="F3823" t="inlineStr">
        <is>
          <t>Sveaskog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56434-2020</t>
        </is>
      </c>
      <c r="B3824" s="1" t="n">
        <v>44137</v>
      </c>
      <c r="C3824" s="1" t="n">
        <v>45715</v>
      </c>
      <c r="D3824" t="inlineStr">
        <is>
          <t>KALMAR LÄN</t>
        </is>
      </c>
      <c r="E3824" t="inlineStr">
        <is>
          <t>BORGHOLM</t>
        </is>
      </c>
      <c r="F3824" t="inlineStr">
        <is>
          <t>Sveaskog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56551-2020</t>
        </is>
      </c>
      <c r="B3825" s="1" t="n">
        <v>44137</v>
      </c>
      <c r="C3825" s="1" t="n">
        <v>45715</v>
      </c>
      <c r="D3825" t="inlineStr">
        <is>
          <t>KALMAR LÄN</t>
        </is>
      </c>
      <c r="E3825" t="inlineStr">
        <is>
          <t>NYBRO</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56632-2020</t>
        </is>
      </c>
      <c r="B3826" s="1" t="n">
        <v>44137</v>
      </c>
      <c r="C3826" s="1" t="n">
        <v>45715</v>
      </c>
      <c r="D3826" t="inlineStr">
        <is>
          <t>KALMAR LÄN</t>
        </is>
      </c>
      <c r="E3826" t="inlineStr">
        <is>
          <t>EMMABODA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56714-2020</t>
        </is>
      </c>
      <c r="B3827" s="1" t="n">
        <v>44137</v>
      </c>
      <c r="C3827" s="1" t="n">
        <v>45715</v>
      </c>
      <c r="D3827" t="inlineStr">
        <is>
          <t>KALMAR LÄN</t>
        </is>
      </c>
      <c r="E3827" t="inlineStr">
        <is>
          <t>NYBRO</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56987-2020</t>
        </is>
      </c>
      <c r="B3828" s="1" t="n">
        <v>44137</v>
      </c>
      <c r="C3828" s="1" t="n">
        <v>45715</v>
      </c>
      <c r="D3828" t="inlineStr">
        <is>
          <t>KALMAR LÄN</t>
        </is>
      </c>
      <c r="E3828" t="inlineStr">
        <is>
          <t>NYBRO</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56989-2020</t>
        </is>
      </c>
      <c r="B3829" s="1" t="n">
        <v>44137</v>
      </c>
      <c r="C3829" s="1" t="n">
        <v>45715</v>
      </c>
      <c r="D3829" t="inlineStr">
        <is>
          <t>KALMAR LÄN</t>
        </is>
      </c>
      <c r="E3829" t="inlineStr">
        <is>
          <t>NYBRO</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57009-2020</t>
        </is>
      </c>
      <c r="B3830" s="1" t="n">
        <v>44138</v>
      </c>
      <c r="C3830" s="1" t="n">
        <v>45715</v>
      </c>
      <c r="D3830" t="inlineStr">
        <is>
          <t>KALMAR LÄN</t>
        </is>
      </c>
      <c r="E3830" t="inlineStr">
        <is>
          <t>VÄSTERVIK</t>
        </is>
      </c>
      <c r="F3830" t="inlineStr">
        <is>
          <t>Holmen skog AB</t>
        </is>
      </c>
      <c r="G3830" t="n">
        <v>1.7</v>
      </c>
      <c r="H3830" t="n">
        <v>0</v>
      </c>
      <c r="I3830" t="n">
        <v>0</v>
      </c>
      <c r="J3830" t="n">
        <v>0</v>
      </c>
      <c r="K3830" t="n">
        <v>0</v>
      </c>
      <c r="L3830" t="n">
        <v>0</v>
      </c>
      <c r="M3830" t="n">
        <v>0</v>
      </c>
      <c r="N3830" t="n">
        <v>0</v>
      </c>
      <c r="O3830" t="n">
        <v>0</v>
      </c>
      <c r="P3830" t="n">
        <v>0</v>
      </c>
      <c r="Q3830" t="n">
        <v>0</v>
      </c>
      <c r="R3830" s="2" t="inlineStr"/>
      <c r="U3830">
        <f>HYPERLINK("https://klasma.github.io/Logging_0883/knärot/A 57009-2020 karta knärot.png", "A 57009-2020")</f>
        <v/>
      </c>
      <c r="V3830">
        <f>HYPERLINK("https://klasma.github.io/Logging_0883/klagomål/A 57009-2020 FSC-klagomål.docx", "A 57009-2020")</f>
        <v/>
      </c>
      <c r="W3830">
        <f>HYPERLINK("https://klasma.github.io/Logging_0883/klagomålsmail/A 57009-2020 FSC-klagomål mail.docx", "A 57009-2020")</f>
        <v/>
      </c>
      <c r="X3830">
        <f>HYPERLINK("https://klasma.github.io/Logging_0883/tillsyn/A 57009-2020 tillsynsbegäran.docx", "A 57009-2020")</f>
        <v/>
      </c>
      <c r="Y3830">
        <f>HYPERLINK("https://klasma.github.io/Logging_0883/tillsynsmail/A 57009-2020 tillsynsbegäran mail.docx", "A 57009-2020")</f>
        <v/>
      </c>
    </row>
    <row r="3831" ht="15" customHeight="1">
      <c r="A3831" t="inlineStr">
        <is>
          <t>A 56831-2020</t>
        </is>
      </c>
      <c r="B3831" s="1" t="n">
        <v>44138</v>
      </c>
      <c r="C3831" s="1" t="n">
        <v>45715</v>
      </c>
      <c r="D3831" t="inlineStr">
        <is>
          <t>KALMAR LÄN</t>
        </is>
      </c>
      <c r="E3831" t="inlineStr">
        <is>
          <t>TORSÅS</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57021-2020</t>
        </is>
      </c>
      <c r="B3832" s="1" t="n">
        <v>44138</v>
      </c>
      <c r="C3832" s="1" t="n">
        <v>45715</v>
      </c>
      <c r="D3832" t="inlineStr">
        <is>
          <t>KALMAR LÄN</t>
        </is>
      </c>
      <c r="E3832" t="inlineStr">
        <is>
          <t>TORSÅS</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56841-2020</t>
        </is>
      </c>
      <c r="B3833" s="1" t="n">
        <v>44138</v>
      </c>
      <c r="C3833" s="1" t="n">
        <v>45715</v>
      </c>
      <c r="D3833" t="inlineStr">
        <is>
          <t>KALMAR LÄN</t>
        </is>
      </c>
      <c r="E3833" t="inlineStr">
        <is>
          <t>NYBRO</t>
        </is>
      </c>
      <c r="G3833" t="n">
        <v>7.9</v>
      </c>
      <c r="H3833" t="n">
        <v>0</v>
      </c>
      <c r="I3833" t="n">
        <v>0</v>
      </c>
      <c r="J3833" t="n">
        <v>0</v>
      </c>
      <c r="K3833" t="n">
        <v>0</v>
      </c>
      <c r="L3833" t="n">
        <v>0</v>
      </c>
      <c r="M3833" t="n">
        <v>0</v>
      </c>
      <c r="N3833" t="n">
        <v>0</v>
      </c>
      <c r="O3833" t="n">
        <v>0</v>
      </c>
      <c r="P3833" t="n">
        <v>0</v>
      </c>
      <c r="Q3833" t="n">
        <v>0</v>
      </c>
      <c r="R3833" s="2" t="inlineStr"/>
    </row>
    <row r="3834" ht="15" customHeight="1">
      <c r="A3834" t="inlineStr">
        <is>
          <t>A 57065-2020</t>
        </is>
      </c>
      <c r="B3834" s="1" t="n">
        <v>44138</v>
      </c>
      <c r="C3834" s="1" t="n">
        <v>45715</v>
      </c>
      <c r="D3834" t="inlineStr">
        <is>
          <t>KALMAR LÄN</t>
        </is>
      </c>
      <c r="E3834" t="inlineStr">
        <is>
          <t>VÄSTERVIK</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56794-2020</t>
        </is>
      </c>
      <c r="B3835" s="1" t="n">
        <v>44138</v>
      </c>
      <c r="C3835" s="1" t="n">
        <v>45715</v>
      </c>
      <c r="D3835" t="inlineStr">
        <is>
          <t>KALMAR LÄN</t>
        </is>
      </c>
      <c r="E3835" t="inlineStr">
        <is>
          <t>KALMAR</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57177-2020</t>
        </is>
      </c>
      <c r="B3836" s="1" t="n">
        <v>44139</v>
      </c>
      <c r="C3836" s="1" t="n">
        <v>45715</v>
      </c>
      <c r="D3836" t="inlineStr">
        <is>
          <t>KALMAR LÄN</t>
        </is>
      </c>
      <c r="E3836" t="inlineStr">
        <is>
          <t>KALMAR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57199-2020</t>
        </is>
      </c>
      <c r="B3837" s="1" t="n">
        <v>44139</v>
      </c>
      <c r="C3837" s="1" t="n">
        <v>45715</v>
      </c>
      <c r="D3837" t="inlineStr">
        <is>
          <t>KALMAR LÄN</t>
        </is>
      </c>
      <c r="E3837" t="inlineStr">
        <is>
          <t>MÖNSTERÅS</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57335-2020</t>
        </is>
      </c>
      <c r="B3838" s="1" t="n">
        <v>44139</v>
      </c>
      <c r="C3838" s="1" t="n">
        <v>45715</v>
      </c>
      <c r="D3838" t="inlineStr">
        <is>
          <t>KALMAR LÄN</t>
        </is>
      </c>
      <c r="E3838" t="inlineStr">
        <is>
          <t>MÖNSTERÅS</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57309-2020</t>
        </is>
      </c>
      <c r="B3839" s="1" t="n">
        <v>44139</v>
      </c>
      <c r="C3839" s="1" t="n">
        <v>45715</v>
      </c>
      <c r="D3839" t="inlineStr">
        <is>
          <t>KALMAR LÄN</t>
        </is>
      </c>
      <c r="E3839" t="inlineStr">
        <is>
          <t>OSKARSHAMN</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57439-2020</t>
        </is>
      </c>
      <c r="B3840" s="1" t="n">
        <v>44140</v>
      </c>
      <c r="C3840" s="1" t="n">
        <v>45715</v>
      </c>
      <c r="D3840" t="inlineStr">
        <is>
          <t>KALMAR LÄN</t>
        </is>
      </c>
      <c r="E3840" t="inlineStr">
        <is>
          <t>MÖNSTERÅS</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57488-2020</t>
        </is>
      </c>
      <c r="B3841" s="1" t="n">
        <v>44140</v>
      </c>
      <c r="C3841" s="1" t="n">
        <v>45715</v>
      </c>
      <c r="D3841" t="inlineStr">
        <is>
          <t>KALMAR LÄN</t>
        </is>
      </c>
      <c r="E3841" t="inlineStr">
        <is>
          <t>TORSÅS</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57471-2020</t>
        </is>
      </c>
      <c r="B3842" s="1" t="n">
        <v>44140</v>
      </c>
      <c r="C3842" s="1" t="n">
        <v>45715</v>
      </c>
      <c r="D3842" t="inlineStr">
        <is>
          <t>KALMAR LÄN</t>
        </is>
      </c>
      <c r="E3842" t="inlineStr">
        <is>
          <t>KALMAR</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57683-2020</t>
        </is>
      </c>
      <c r="B3843" s="1" t="n">
        <v>44140</v>
      </c>
      <c r="C3843" s="1" t="n">
        <v>45715</v>
      </c>
      <c r="D3843" t="inlineStr">
        <is>
          <t>KALMAR LÄN</t>
        </is>
      </c>
      <c r="E3843" t="inlineStr">
        <is>
          <t>HÖGSBY</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57920-2020</t>
        </is>
      </c>
      <c r="B3844" s="1" t="n">
        <v>44140</v>
      </c>
      <c r="C3844" s="1" t="n">
        <v>45715</v>
      </c>
      <c r="D3844" t="inlineStr">
        <is>
          <t>KALMAR LÄN</t>
        </is>
      </c>
      <c r="E3844" t="inlineStr">
        <is>
          <t>EMMABODA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57680-2020</t>
        </is>
      </c>
      <c r="B3845" s="1" t="n">
        <v>44140</v>
      </c>
      <c r="C3845" s="1" t="n">
        <v>45715</v>
      </c>
      <c r="D3845" t="inlineStr">
        <is>
          <t>KALMAR LÄN</t>
        </is>
      </c>
      <c r="E3845" t="inlineStr">
        <is>
          <t>HÖGSBY</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58041-2020</t>
        </is>
      </c>
      <c r="B3846" s="1" t="n">
        <v>44140</v>
      </c>
      <c r="C3846" s="1" t="n">
        <v>45715</v>
      </c>
      <c r="D3846" t="inlineStr">
        <is>
          <t>KALMAR LÄN</t>
        </is>
      </c>
      <c r="E3846" t="inlineStr">
        <is>
          <t>VÄSTERVIK</t>
        </is>
      </c>
      <c r="F3846" t="inlineStr">
        <is>
          <t>Övriga Aktiebolag</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57922-2020</t>
        </is>
      </c>
      <c r="B3847" s="1" t="n">
        <v>44141</v>
      </c>
      <c r="C3847" s="1" t="n">
        <v>45715</v>
      </c>
      <c r="D3847" t="inlineStr">
        <is>
          <t>KALMAR LÄN</t>
        </is>
      </c>
      <c r="E3847" t="inlineStr">
        <is>
          <t>VÄSTERVIK</t>
        </is>
      </c>
      <c r="F3847" t="inlineStr">
        <is>
          <t>Holmen skog AB</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58474-2020</t>
        </is>
      </c>
      <c r="B3848" s="1" t="n">
        <v>44141</v>
      </c>
      <c r="C3848" s="1" t="n">
        <v>45715</v>
      </c>
      <c r="D3848" t="inlineStr">
        <is>
          <t>KALMAR LÄN</t>
        </is>
      </c>
      <c r="E3848" t="inlineStr">
        <is>
          <t>KALMAR</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57948-2020</t>
        </is>
      </c>
      <c r="B3849" s="1" t="n">
        <v>44142</v>
      </c>
      <c r="C3849" s="1" t="n">
        <v>45715</v>
      </c>
      <c r="D3849" t="inlineStr">
        <is>
          <t>KALMAR LÄN</t>
        </is>
      </c>
      <c r="E3849" t="inlineStr">
        <is>
          <t>VIMMERBY</t>
        </is>
      </c>
      <c r="G3849" t="n">
        <v>7.1</v>
      </c>
      <c r="H3849" t="n">
        <v>0</v>
      </c>
      <c r="I3849" t="n">
        <v>0</v>
      </c>
      <c r="J3849" t="n">
        <v>0</v>
      </c>
      <c r="K3849" t="n">
        <v>0</v>
      </c>
      <c r="L3849" t="n">
        <v>0</v>
      </c>
      <c r="M3849" t="n">
        <v>0</v>
      </c>
      <c r="N3849" t="n">
        <v>0</v>
      </c>
      <c r="O3849" t="n">
        <v>0</v>
      </c>
      <c r="P3849" t="n">
        <v>0</v>
      </c>
      <c r="Q3849" t="n">
        <v>0</v>
      </c>
      <c r="R3849" s="2" t="inlineStr"/>
    </row>
    <row r="3850" ht="15" customHeight="1">
      <c r="A3850" t="inlineStr">
        <is>
          <t>A 57973-2020</t>
        </is>
      </c>
      <c r="B3850" s="1" t="n">
        <v>44143</v>
      </c>
      <c r="C3850" s="1" t="n">
        <v>45715</v>
      </c>
      <c r="D3850" t="inlineStr">
        <is>
          <t>KALMAR LÄN</t>
        </is>
      </c>
      <c r="E3850" t="inlineStr">
        <is>
          <t>EMMABODA</t>
        </is>
      </c>
      <c r="F3850" t="inlineStr">
        <is>
          <t>Sveaskog</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58026-2020</t>
        </is>
      </c>
      <c r="B3851" s="1" t="n">
        <v>44144</v>
      </c>
      <c r="C3851" s="1" t="n">
        <v>45715</v>
      </c>
      <c r="D3851" t="inlineStr">
        <is>
          <t>KALMAR LÄN</t>
        </is>
      </c>
      <c r="E3851" t="inlineStr">
        <is>
          <t>VIMMERBY</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58113-2020</t>
        </is>
      </c>
      <c r="B3852" s="1" t="n">
        <v>44144</v>
      </c>
      <c r="C3852" s="1" t="n">
        <v>45715</v>
      </c>
      <c r="D3852" t="inlineStr">
        <is>
          <t>KALMAR LÄN</t>
        </is>
      </c>
      <c r="E3852" t="inlineStr">
        <is>
          <t>BORGHOLM</t>
        </is>
      </c>
      <c r="F3852" t="inlineStr">
        <is>
          <t>Sveaskog</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58145-2020</t>
        </is>
      </c>
      <c r="B3853" s="1" t="n">
        <v>44144</v>
      </c>
      <c r="C3853" s="1" t="n">
        <v>45715</v>
      </c>
      <c r="D3853" t="inlineStr">
        <is>
          <t>KALMAR LÄN</t>
        </is>
      </c>
      <c r="E3853" t="inlineStr">
        <is>
          <t>VIMMERBY</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58002-2020</t>
        </is>
      </c>
      <c r="B3854" s="1" t="n">
        <v>44144</v>
      </c>
      <c r="C3854" s="1" t="n">
        <v>45715</v>
      </c>
      <c r="D3854" t="inlineStr">
        <is>
          <t>KALMAR LÄN</t>
        </is>
      </c>
      <c r="E3854" t="inlineStr">
        <is>
          <t>KALMAR</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58235-2020</t>
        </is>
      </c>
      <c r="B3855" s="1" t="n">
        <v>44144</v>
      </c>
      <c r="C3855" s="1" t="n">
        <v>45715</v>
      </c>
      <c r="D3855" t="inlineStr">
        <is>
          <t>KALMAR LÄN</t>
        </is>
      </c>
      <c r="E3855" t="inlineStr">
        <is>
          <t>TORSÅS</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58266-2020</t>
        </is>
      </c>
      <c r="B3856" s="1" t="n">
        <v>44144</v>
      </c>
      <c r="C3856" s="1" t="n">
        <v>45715</v>
      </c>
      <c r="D3856" t="inlineStr">
        <is>
          <t>KALMAR LÄN</t>
        </is>
      </c>
      <c r="E3856" t="inlineStr">
        <is>
          <t>OSKARSHAMN</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58253-2020</t>
        </is>
      </c>
      <c r="B3857" s="1" t="n">
        <v>44144</v>
      </c>
      <c r="C3857" s="1" t="n">
        <v>45715</v>
      </c>
      <c r="D3857" t="inlineStr">
        <is>
          <t>KALMAR LÄN</t>
        </is>
      </c>
      <c r="E3857" t="inlineStr">
        <is>
          <t>BORGHOLM</t>
        </is>
      </c>
      <c r="F3857" t="inlineStr">
        <is>
          <t>Sveaskog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58394-2020</t>
        </is>
      </c>
      <c r="B3858" s="1" t="n">
        <v>44145</v>
      </c>
      <c r="C3858" s="1" t="n">
        <v>45715</v>
      </c>
      <c r="D3858" t="inlineStr">
        <is>
          <t>KALMAR LÄN</t>
        </is>
      </c>
      <c r="E3858" t="inlineStr">
        <is>
          <t>BORGHOLM</t>
        </is>
      </c>
      <c r="F3858" t="inlineStr">
        <is>
          <t>Sveaskog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58483-2020</t>
        </is>
      </c>
      <c r="B3859" s="1" t="n">
        <v>44145</v>
      </c>
      <c r="C3859" s="1" t="n">
        <v>45715</v>
      </c>
      <c r="D3859" t="inlineStr">
        <is>
          <t>KALMAR LÄN</t>
        </is>
      </c>
      <c r="E3859" t="inlineStr">
        <is>
          <t>OSKARSHAMN</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58568-2020</t>
        </is>
      </c>
      <c r="B3860" s="1" t="n">
        <v>44145</v>
      </c>
      <c r="C3860" s="1" t="n">
        <v>45715</v>
      </c>
      <c r="D3860" t="inlineStr">
        <is>
          <t>KALMAR LÄN</t>
        </is>
      </c>
      <c r="E3860" t="inlineStr">
        <is>
          <t>MÖNSTERÅS</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58670-2020</t>
        </is>
      </c>
      <c r="B3861" s="1" t="n">
        <v>44145</v>
      </c>
      <c r="C3861" s="1" t="n">
        <v>45715</v>
      </c>
      <c r="D3861" t="inlineStr">
        <is>
          <t>KALMAR LÄN</t>
        </is>
      </c>
      <c r="E3861" t="inlineStr">
        <is>
          <t>KALMAR</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58675-2020</t>
        </is>
      </c>
      <c r="B3862" s="1" t="n">
        <v>44145</v>
      </c>
      <c r="C3862" s="1" t="n">
        <v>45715</v>
      </c>
      <c r="D3862" t="inlineStr">
        <is>
          <t>KALMAR LÄN</t>
        </is>
      </c>
      <c r="E3862" t="inlineStr">
        <is>
          <t>EMMABODA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58454-2020</t>
        </is>
      </c>
      <c r="B3863" s="1" t="n">
        <v>44145</v>
      </c>
      <c r="C3863" s="1" t="n">
        <v>45715</v>
      </c>
      <c r="D3863" t="inlineStr">
        <is>
          <t>KALMAR LÄN</t>
        </is>
      </c>
      <c r="E3863" t="inlineStr">
        <is>
          <t>KALMAR</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58800-2020</t>
        </is>
      </c>
      <c r="B3864" s="1" t="n">
        <v>44146</v>
      </c>
      <c r="C3864" s="1" t="n">
        <v>45715</v>
      </c>
      <c r="D3864" t="inlineStr">
        <is>
          <t>KALMAR LÄN</t>
        </is>
      </c>
      <c r="E3864" t="inlineStr">
        <is>
          <t>VÄSTERVIK</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58708-2020</t>
        </is>
      </c>
      <c r="B3865" s="1" t="n">
        <v>44146</v>
      </c>
      <c r="C3865" s="1" t="n">
        <v>45715</v>
      </c>
      <c r="D3865" t="inlineStr">
        <is>
          <t>KALMAR LÄN</t>
        </is>
      </c>
      <c r="E3865" t="inlineStr">
        <is>
          <t>TORSÅS</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58771-2020</t>
        </is>
      </c>
      <c r="B3866" s="1" t="n">
        <v>44146</v>
      </c>
      <c r="C3866" s="1" t="n">
        <v>45715</v>
      </c>
      <c r="D3866" t="inlineStr">
        <is>
          <t>KALMAR LÄN</t>
        </is>
      </c>
      <c r="E3866" t="inlineStr">
        <is>
          <t>EMMABODA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58938-2020</t>
        </is>
      </c>
      <c r="B3867" s="1" t="n">
        <v>44146</v>
      </c>
      <c r="C3867" s="1" t="n">
        <v>45715</v>
      </c>
      <c r="D3867" t="inlineStr">
        <is>
          <t>KALMAR LÄN</t>
        </is>
      </c>
      <c r="E3867" t="inlineStr">
        <is>
          <t>HULTSFRED</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58941-2020</t>
        </is>
      </c>
      <c r="B3868" s="1" t="n">
        <v>44146</v>
      </c>
      <c r="C3868" s="1" t="n">
        <v>45715</v>
      </c>
      <c r="D3868" t="inlineStr">
        <is>
          <t>KALMAR LÄN</t>
        </is>
      </c>
      <c r="E3868" t="inlineStr">
        <is>
          <t>TORSÅS</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58954-2020</t>
        </is>
      </c>
      <c r="B3869" s="1" t="n">
        <v>44146</v>
      </c>
      <c r="C3869" s="1" t="n">
        <v>45715</v>
      </c>
      <c r="D3869" t="inlineStr">
        <is>
          <t>KALMAR LÄN</t>
        </is>
      </c>
      <c r="E3869" t="inlineStr">
        <is>
          <t>TORSÅS</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58982-2020</t>
        </is>
      </c>
      <c r="B3870" s="1" t="n">
        <v>44146</v>
      </c>
      <c r="C3870" s="1" t="n">
        <v>45715</v>
      </c>
      <c r="D3870" t="inlineStr">
        <is>
          <t>KALMAR LÄN</t>
        </is>
      </c>
      <c r="E3870" t="inlineStr">
        <is>
          <t>HÖGSBY</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58836-2020</t>
        </is>
      </c>
      <c r="B3871" s="1" t="n">
        <v>44146</v>
      </c>
      <c r="C3871" s="1" t="n">
        <v>45715</v>
      </c>
      <c r="D3871" t="inlineStr">
        <is>
          <t>KALMAR LÄN</t>
        </is>
      </c>
      <c r="E3871" t="inlineStr">
        <is>
          <t>HULTSFRED</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59173-2020</t>
        </is>
      </c>
      <c r="B3872" s="1" t="n">
        <v>44147</v>
      </c>
      <c r="C3872" s="1" t="n">
        <v>45715</v>
      </c>
      <c r="D3872" t="inlineStr">
        <is>
          <t>KALMAR LÄN</t>
        </is>
      </c>
      <c r="E3872" t="inlineStr">
        <is>
          <t>EMMABODA</t>
        </is>
      </c>
      <c r="F3872" t="inlineStr">
        <is>
          <t>Övriga Aktiebolag</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59262-2020</t>
        </is>
      </c>
      <c r="B3873" s="1" t="n">
        <v>44147</v>
      </c>
      <c r="C3873" s="1" t="n">
        <v>45715</v>
      </c>
      <c r="D3873" t="inlineStr">
        <is>
          <t>KALMAR LÄN</t>
        </is>
      </c>
      <c r="E3873" t="inlineStr">
        <is>
          <t>KALMAR</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59113-2020</t>
        </is>
      </c>
      <c r="B3874" s="1" t="n">
        <v>44147</v>
      </c>
      <c r="C3874" s="1" t="n">
        <v>45715</v>
      </c>
      <c r="D3874" t="inlineStr">
        <is>
          <t>KALMAR LÄN</t>
        </is>
      </c>
      <c r="E3874" t="inlineStr">
        <is>
          <t>HÖGSBY</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59389-2020</t>
        </is>
      </c>
      <c r="B3875" s="1" t="n">
        <v>44148</v>
      </c>
      <c r="C3875" s="1" t="n">
        <v>45715</v>
      </c>
      <c r="D3875" t="inlineStr">
        <is>
          <t>KALMAR LÄN</t>
        </is>
      </c>
      <c r="E3875" t="inlineStr">
        <is>
          <t>EMMABODA</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59435-2020</t>
        </is>
      </c>
      <c r="B3876" s="1" t="n">
        <v>44148</v>
      </c>
      <c r="C3876" s="1" t="n">
        <v>45715</v>
      </c>
      <c r="D3876" t="inlineStr">
        <is>
          <t>KALMAR LÄN</t>
        </is>
      </c>
      <c r="E3876" t="inlineStr">
        <is>
          <t>EMMABODA</t>
        </is>
      </c>
      <c r="F3876" t="inlineStr">
        <is>
          <t>Övriga Aktiebolag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59421-2020</t>
        </is>
      </c>
      <c r="B3877" s="1" t="n">
        <v>44148</v>
      </c>
      <c r="C3877" s="1" t="n">
        <v>45715</v>
      </c>
      <c r="D3877" t="inlineStr">
        <is>
          <t>KALMAR LÄN</t>
        </is>
      </c>
      <c r="E3877" t="inlineStr">
        <is>
          <t>VÄSTERVIK</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59431-2020</t>
        </is>
      </c>
      <c r="B3878" s="1" t="n">
        <v>44148</v>
      </c>
      <c r="C3878" s="1" t="n">
        <v>45715</v>
      </c>
      <c r="D3878" t="inlineStr">
        <is>
          <t>KALMAR LÄN</t>
        </is>
      </c>
      <c r="E3878" t="inlineStr">
        <is>
          <t>EMMABODA</t>
        </is>
      </c>
      <c r="F3878" t="inlineStr">
        <is>
          <t>Övriga Aktiebolag</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59434-2020</t>
        </is>
      </c>
      <c r="B3879" s="1" t="n">
        <v>44148</v>
      </c>
      <c r="C3879" s="1" t="n">
        <v>45715</v>
      </c>
      <c r="D3879" t="inlineStr">
        <is>
          <t>KALMAR LÄN</t>
        </is>
      </c>
      <c r="E3879" t="inlineStr">
        <is>
          <t>EMMABODA</t>
        </is>
      </c>
      <c r="F3879" t="inlineStr">
        <is>
          <t>Övriga Aktiebolag</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59566-2020</t>
        </is>
      </c>
      <c r="B3880" s="1" t="n">
        <v>44148</v>
      </c>
      <c r="C3880" s="1" t="n">
        <v>45715</v>
      </c>
      <c r="D3880" t="inlineStr">
        <is>
          <t>KALMAR LÄN</t>
        </is>
      </c>
      <c r="E3880" t="inlineStr">
        <is>
          <t>TORSÅS</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59634-2020</t>
        </is>
      </c>
      <c r="B3881" s="1" t="n">
        <v>44150</v>
      </c>
      <c r="C3881" s="1" t="n">
        <v>45715</v>
      </c>
      <c r="D3881" t="inlineStr">
        <is>
          <t>KALMAR LÄN</t>
        </is>
      </c>
      <c r="E3881" t="inlineStr">
        <is>
          <t>VÄSTERVIK</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59648-2020</t>
        </is>
      </c>
      <c r="B3882" s="1" t="n">
        <v>44150</v>
      </c>
      <c r="C3882" s="1" t="n">
        <v>45715</v>
      </c>
      <c r="D3882" t="inlineStr">
        <is>
          <t>KALMAR LÄN</t>
        </is>
      </c>
      <c r="E3882" t="inlineStr">
        <is>
          <t>TORSÅS</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59831-2020</t>
        </is>
      </c>
      <c r="B3883" s="1" t="n">
        <v>44151</v>
      </c>
      <c r="C3883" s="1" t="n">
        <v>45715</v>
      </c>
      <c r="D3883" t="inlineStr">
        <is>
          <t>KALMAR LÄN</t>
        </is>
      </c>
      <c r="E3883" t="inlineStr">
        <is>
          <t>KALMAR</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59666-2020</t>
        </is>
      </c>
      <c r="B3884" s="1" t="n">
        <v>44151</v>
      </c>
      <c r="C3884" s="1" t="n">
        <v>45715</v>
      </c>
      <c r="D3884" t="inlineStr">
        <is>
          <t>KALMAR LÄN</t>
        </is>
      </c>
      <c r="E3884" t="inlineStr">
        <is>
          <t>EMMABODA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59836-2020</t>
        </is>
      </c>
      <c r="B3885" s="1" t="n">
        <v>44151</v>
      </c>
      <c r="C3885" s="1" t="n">
        <v>45715</v>
      </c>
      <c r="D3885" t="inlineStr">
        <is>
          <t>KALMAR LÄN</t>
        </is>
      </c>
      <c r="E3885" t="inlineStr">
        <is>
          <t>KALMAR</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59898-2020</t>
        </is>
      </c>
      <c r="B3886" s="1" t="n">
        <v>44151</v>
      </c>
      <c r="C3886" s="1" t="n">
        <v>45715</v>
      </c>
      <c r="D3886" t="inlineStr">
        <is>
          <t>KALMAR LÄN</t>
        </is>
      </c>
      <c r="E3886" t="inlineStr">
        <is>
          <t>KALMAR</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59750-2020</t>
        </is>
      </c>
      <c r="B3887" s="1" t="n">
        <v>44151</v>
      </c>
      <c r="C3887" s="1" t="n">
        <v>45715</v>
      </c>
      <c r="D3887" t="inlineStr">
        <is>
          <t>KALMAR LÄN</t>
        </is>
      </c>
      <c r="E3887" t="inlineStr">
        <is>
          <t>KALMAR</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59757-2020</t>
        </is>
      </c>
      <c r="B3888" s="1" t="n">
        <v>44151</v>
      </c>
      <c r="C3888" s="1" t="n">
        <v>45715</v>
      </c>
      <c r="D3888" t="inlineStr">
        <is>
          <t>KALMAR LÄN</t>
        </is>
      </c>
      <c r="E3888" t="inlineStr">
        <is>
          <t>HULTSFRED</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59772-2020</t>
        </is>
      </c>
      <c r="B3889" s="1" t="n">
        <v>44151</v>
      </c>
      <c r="C3889" s="1" t="n">
        <v>45715</v>
      </c>
      <c r="D3889" t="inlineStr">
        <is>
          <t>KALMAR LÄN</t>
        </is>
      </c>
      <c r="E3889" t="inlineStr">
        <is>
          <t>KALMAR</t>
        </is>
      </c>
      <c r="F3889" t="inlineStr">
        <is>
          <t>Sveaskog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59839-2020</t>
        </is>
      </c>
      <c r="B3890" s="1" t="n">
        <v>44151</v>
      </c>
      <c r="C3890" s="1" t="n">
        <v>45715</v>
      </c>
      <c r="D3890" t="inlineStr">
        <is>
          <t>KALMAR LÄN</t>
        </is>
      </c>
      <c r="E3890" t="inlineStr">
        <is>
          <t>KALMAR</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60124-2020</t>
        </is>
      </c>
      <c r="B3891" s="1" t="n">
        <v>44151</v>
      </c>
      <c r="C3891" s="1" t="n">
        <v>45715</v>
      </c>
      <c r="D3891" t="inlineStr">
        <is>
          <t>KALMAR LÄN</t>
        </is>
      </c>
      <c r="E3891" t="inlineStr">
        <is>
          <t>HULTSFRED</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60188-2020</t>
        </is>
      </c>
      <c r="B3892" s="1" t="n">
        <v>44151</v>
      </c>
      <c r="C3892" s="1" t="n">
        <v>45715</v>
      </c>
      <c r="D3892" t="inlineStr">
        <is>
          <t>KALMAR LÄN</t>
        </is>
      </c>
      <c r="E3892" t="inlineStr">
        <is>
          <t>HULTSFRED</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60199-2020</t>
        </is>
      </c>
      <c r="B3893" s="1" t="n">
        <v>44152</v>
      </c>
      <c r="C3893" s="1" t="n">
        <v>45715</v>
      </c>
      <c r="D3893" t="inlineStr">
        <is>
          <t>KALMAR LÄN</t>
        </is>
      </c>
      <c r="E3893" t="inlineStr">
        <is>
          <t>KALMAR</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60381-2020</t>
        </is>
      </c>
      <c r="B3894" s="1" t="n">
        <v>44152</v>
      </c>
      <c r="C3894" s="1" t="n">
        <v>45715</v>
      </c>
      <c r="D3894" t="inlineStr">
        <is>
          <t>KALMAR LÄN</t>
        </is>
      </c>
      <c r="E3894" t="inlineStr">
        <is>
          <t>NYBRO</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60366-2020</t>
        </is>
      </c>
      <c r="B3895" s="1" t="n">
        <v>44152</v>
      </c>
      <c r="C3895" s="1" t="n">
        <v>45715</v>
      </c>
      <c r="D3895" t="inlineStr">
        <is>
          <t>KALMAR LÄN</t>
        </is>
      </c>
      <c r="E3895" t="inlineStr">
        <is>
          <t>TORSÅS</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60566-2020</t>
        </is>
      </c>
      <c r="B3896" s="1" t="n">
        <v>44153</v>
      </c>
      <c r="C3896" s="1" t="n">
        <v>45715</v>
      </c>
      <c r="D3896" t="inlineStr">
        <is>
          <t>KALMAR LÄN</t>
        </is>
      </c>
      <c r="E3896" t="inlineStr">
        <is>
          <t>OSKARSHAMN</t>
        </is>
      </c>
      <c r="F3896" t="inlineStr">
        <is>
          <t>Sveaskog</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60567-2020</t>
        </is>
      </c>
      <c r="B3897" s="1" t="n">
        <v>44153</v>
      </c>
      <c r="C3897" s="1" t="n">
        <v>45715</v>
      </c>
      <c r="D3897" t="inlineStr">
        <is>
          <t>KALMAR LÄN</t>
        </is>
      </c>
      <c r="E3897" t="inlineStr">
        <is>
          <t>OSKARSHAMN</t>
        </is>
      </c>
      <c r="F3897" t="inlineStr">
        <is>
          <t>Sveaskog</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60678-2020</t>
        </is>
      </c>
      <c r="B3898" s="1" t="n">
        <v>44153</v>
      </c>
      <c r="C3898" s="1" t="n">
        <v>45715</v>
      </c>
      <c r="D3898" t="inlineStr">
        <is>
          <t>KALMAR LÄN</t>
        </is>
      </c>
      <c r="E3898" t="inlineStr">
        <is>
          <t>OSKARSHAMN</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60735-2020</t>
        </is>
      </c>
      <c r="B3899" s="1" t="n">
        <v>44153</v>
      </c>
      <c r="C3899" s="1" t="n">
        <v>45715</v>
      </c>
      <c r="D3899" t="inlineStr">
        <is>
          <t>KALMAR LÄN</t>
        </is>
      </c>
      <c r="E3899" t="inlineStr">
        <is>
          <t>BORGHOLM</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60738-2020</t>
        </is>
      </c>
      <c r="B3900" s="1" t="n">
        <v>44153</v>
      </c>
      <c r="C3900" s="1" t="n">
        <v>45715</v>
      </c>
      <c r="D3900" t="inlineStr">
        <is>
          <t>KALMAR LÄN</t>
        </is>
      </c>
      <c r="E3900" t="inlineStr">
        <is>
          <t>MÖNSTERÅS</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60573-2020</t>
        </is>
      </c>
      <c r="B3901" s="1" t="n">
        <v>44153</v>
      </c>
      <c r="C3901" s="1" t="n">
        <v>45715</v>
      </c>
      <c r="D3901" t="inlineStr">
        <is>
          <t>KALMAR LÄN</t>
        </is>
      </c>
      <c r="E3901" t="inlineStr">
        <is>
          <t>OSKARSHAMN</t>
        </is>
      </c>
      <c r="F3901" t="inlineStr">
        <is>
          <t>Sveaskog</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60796-2020</t>
        </is>
      </c>
      <c r="B3902" s="1" t="n">
        <v>44154</v>
      </c>
      <c r="C3902" s="1" t="n">
        <v>45715</v>
      </c>
      <c r="D3902" t="inlineStr">
        <is>
          <t>KALMAR LÄN</t>
        </is>
      </c>
      <c r="E3902" t="inlineStr">
        <is>
          <t>KALMAR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60810-2020</t>
        </is>
      </c>
      <c r="B3903" s="1" t="n">
        <v>44154</v>
      </c>
      <c r="C3903" s="1" t="n">
        <v>45715</v>
      </c>
      <c r="D3903" t="inlineStr">
        <is>
          <t>KALMAR LÄN</t>
        </is>
      </c>
      <c r="E3903" t="inlineStr">
        <is>
          <t>VIMMERBY</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61022-2020</t>
        </is>
      </c>
      <c r="B3904" s="1" t="n">
        <v>44154</v>
      </c>
      <c r="C3904" s="1" t="n">
        <v>45715</v>
      </c>
      <c r="D3904" t="inlineStr">
        <is>
          <t>KALMAR LÄN</t>
        </is>
      </c>
      <c r="E3904" t="inlineStr">
        <is>
          <t>OSKARSHAMN</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61104-2020</t>
        </is>
      </c>
      <c r="B3905" s="1" t="n">
        <v>44154</v>
      </c>
      <c r="C3905" s="1" t="n">
        <v>45715</v>
      </c>
      <c r="D3905" t="inlineStr">
        <is>
          <t>KALMAR LÄN</t>
        </is>
      </c>
      <c r="E3905" t="inlineStr">
        <is>
          <t>HULTSFRED</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61682-2020</t>
        </is>
      </c>
      <c r="B3906" s="1" t="n">
        <v>44154</v>
      </c>
      <c r="C3906" s="1" t="n">
        <v>45715</v>
      </c>
      <c r="D3906" t="inlineStr">
        <is>
          <t>KALMAR LÄN</t>
        </is>
      </c>
      <c r="E3906" t="inlineStr">
        <is>
          <t>VÄSTERVIK</t>
        </is>
      </c>
      <c r="F3906" t="inlineStr">
        <is>
          <t>Övriga Aktiebolag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61111-2020</t>
        </is>
      </c>
      <c r="B3907" s="1" t="n">
        <v>44154</v>
      </c>
      <c r="C3907" s="1" t="n">
        <v>45715</v>
      </c>
      <c r="D3907" t="inlineStr">
        <is>
          <t>KALMAR LÄN</t>
        </is>
      </c>
      <c r="E3907" t="inlineStr">
        <is>
          <t>OSKARSHAMN</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61257-2020</t>
        </is>
      </c>
      <c r="B3908" s="1" t="n">
        <v>44155</v>
      </c>
      <c r="C3908" s="1" t="n">
        <v>45715</v>
      </c>
      <c r="D3908" t="inlineStr">
        <is>
          <t>KALMAR LÄN</t>
        </is>
      </c>
      <c r="E3908" t="inlineStr">
        <is>
          <t>TORSÅS</t>
        </is>
      </c>
      <c r="F3908" t="inlineStr">
        <is>
          <t>Övriga Aktiebolag</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61372-2020</t>
        </is>
      </c>
      <c r="B3909" s="1" t="n">
        <v>44155</v>
      </c>
      <c r="C3909" s="1" t="n">
        <v>45715</v>
      </c>
      <c r="D3909" t="inlineStr">
        <is>
          <t>KALMAR LÄN</t>
        </is>
      </c>
      <c r="E3909" t="inlineStr">
        <is>
          <t>TORSÅS</t>
        </is>
      </c>
      <c r="F3909" t="inlineStr">
        <is>
          <t>Övriga Aktiebolag</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61865-2020</t>
        </is>
      </c>
      <c r="B3910" s="1" t="n">
        <v>44155</v>
      </c>
      <c r="C3910" s="1" t="n">
        <v>45715</v>
      </c>
      <c r="D3910" t="inlineStr">
        <is>
          <t>KALMAR LÄN</t>
        </is>
      </c>
      <c r="E3910" t="inlineStr">
        <is>
          <t>MÖRBYLÅNGA</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61428-2020</t>
        </is>
      </c>
      <c r="B3911" s="1" t="n">
        <v>44157</v>
      </c>
      <c r="C3911" s="1" t="n">
        <v>45715</v>
      </c>
      <c r="D3911" t="inlineStr">
        <is>
          <t>KALMAR LÄN</t>
        </is>
      </c>
      <c r="E3911" t="inlineStr">
        <is>
          <t>HÖGSBY</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61442-2020</t>
        </is>
      </c>
      <c r="B3912" s="1" t="n">
        <v>44157</v>
      </c>
      <c r="C3912" s="1" t="n">
        <v>45715</v>
      </c>
      <c r="D3912" t="inlineStr">
        <is>
          <t>KALMAR LÄN</t>
        </is>
      </c>
      <c r="E3912" t="inlineStr">
        <is>
          <t>MÖNSTERÅS</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61570-2020</t>
        </is>
      </c>
      <c r="B3913" s="1" t="n">
        <v>44158</v>
      </c>
      <c r="C3913" s="1" t="n">
        <v>45715</v>
      </c>
      <c r="D3913" t="inlineStr">
        <is>
          <t>KALMAR LÄN</t>
        </is>
      </c>
      <c r="E3913" t="inlineStr">
        <is>
          <t>NYBRO</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61502-2020</t>
        </is>
      </c>
      <c r="B3914" s="1" t="n">
        <v>44158</v>
      </c>
      <c r="C3914" s="1" t="n">
        <v>45715</v>
      </c>
      <c r="D3914" t="inlineStr">
        <is>
          <t>KALMAR LÄN</t>
        </is>
      </c>
      <c r="E3914" t="inlineStr">
        <is>
          <t>OSKARSHAMN</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61726-2020</t>
        </is>
      </c>
      <c r="B3915" s="1" t="n">
        <v>44158</v>
      </c>
      <c r="C3915" s="1" t="n">
        <v>45715</v>
      </c>
      <c r="D3915" t="inlineStr">
        <is>
          <t>KALMAR LÄN</t>
        </is>
      </c>
      <c r="E3915" t="inlineStr">
        <is>
          <t>MÖNSTERÅS</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61696-2020</t>
        </is>
      </c>
      <c r="B3916" s="1" t="n">
        <v>44158</v>
      </c>
      <c r="C3916" s="1" t="n">
        <v>45715</v>
      </c>
      <c r="D3916" t="inlineStr">
        <is>
          <t>KALMAR LÄN</t>
        </is>
      </c>
      <c r="E3916" t="inlineStr">
        <is>
          <t>VÄSTERVIK</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61799-2020</t>
        </is>
      </c>
      <c r="B3917" s="1" t="n">
        <v>44158</v>
      </c>
      <c r="C3917" s="1" t="n">
        <v>45715</v>
      </c>
      <c r="D3917" t="inlineStr">
        <is>
          <t>KALMAR LÄN</t>
        </is>
      </c>
      <c r="E3917" t="inlineStr">
        <is>
          <t>VÄSTERVIK</t>
        </is>
      </c>
      <c r="F3917" t="inlineStr">
        <is>
          <t>Sveaskog</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61878-2020</t>
        </is>
      </c>
      <c r="B3918" s="1" t="n">
        <v>44159</v>
      </c>
      <c r="C3918" s="1" t="n">
        <v>45715</v>
      </c>
      <c r="D3918" t="inlineStr">
        <is>
          <t>KALMAR LÄN</t>
        </is>
      </c>
      <c r="E3918" t="inlineStr">
        <is>
          <t>VIMMERBY</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62078-2020</t>
        </is>
      </c>
      <c r="B3919" s="1" t="n">
        <v>44159</v>
      </c>
      <c r="C3919" s="1" t="n">
        <v>45715</v>
      </c>
      <c r="D3919" t="inlineStr">
        <is>
          <t>KALMAR LÄN</t>
        </is>
      </c>
      <c r="E3919" t="inlineStr">
        <is>
          <t>MÖNSTERÅS</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62143-2020</t>
        </is>
      </c>
      <c r="B3920" s="1" t="n">
        <v>44159</v>
      </c>
      <c r="C3920" s="1" t="n">
        <v>45715</v>
      </c>
      <c r="D3920" t="inlineStr">
        <is>
          <t>KALMAR LÄN</t>
        </is>
      </c>
      <c r="E3920" t="inlineStr">
        <is>
          <t>EMMABODA</t>
        </is>
      </c>
      <c r="G3920" t="n">
        <v>8.1</v>
      </c>
      <c r="H3920" t="n">
        <v>0</v>
      </c>
      <c r="I3920" t="n">
        <v>0</v>
      </c>
      <c r="J3920" t="n">
        <v>0</v>
      </c>
      <c r="K3920" t="n">
        <v>0</v>
      </c>
      <c r="L3920" t="n">
        <v>0</v>
      </c>
      <c r="M3920" t="n">
        <v>0</v>
      </c>
      <c r="N3920" t="n">
        <v>0</v>
      </c>
      <c r="O3920" t="n">
        <v>0</v>
      </c>
      <c r="P3920" t="n">
        <v>0</v>
      </c>
      <c r="Q3920" t="n">
        <v>0</v>
      </c>
      <c r="R3920" s="2" t="inlineStr"/>
    </row>
    <row r="3921" ht="15" customHeight="1">
      <c r="A3921" t="inlineStr">
        <is>
          <t>A 62188-2020</t>
        </is>
      </c>
      <c r="B3921" s="1" t="n">
        <v>44159</v>
      </c>
      <c r="C3921" s="1" t="n">
        <v>45715</v>
      </c>
      <c r="D3921" t="inlineStr">
        <is>
          <t>KALMAR LÄN</t>
        </is>
      </c>
      <c r="E3921" t="inlineStr">
        <is>
          <t>HULTSFRED</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62196-2020</t>
        </is>
      </c>
      <c r="B3922" s="1" t="n">
        <v>44159</v>
      </c>
      <c r="C3922" s="1" t="n">
        <v>45715</v>
      </c>
      <c r="D3922" t="inlineStr">
        <is>
          <t>KALMAR LÄN</t>
        </is>
      </c>
      <c r="E3922" t="inlineStr">
        <is>
          <t>KALMAR</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62293-2020</t>
        </is>
      </c>
      <c r="B3923" s="1" t="n">
        <v>44160</v>
      </c>
      <c r="C3923" s="1" t="n">
        <v>45715</v>
      </c>
      <c r="D3923" t="inlineStr">
        <is>
          <t>KALMAR LÄN</t>
        </is>
      </c>
      <c r="E3923" t="inlineStr">
        <is>
          <t>NYBRO</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62377-2020</t>
        </is>
      </c>
      <c r="B3924" s="1" t="n">
        <v>44160</v>
      </c>
      <c r="C3924" s="1" t="n">
        <v>45715</v>
      </c>
      <c r="D3924" t="inlineStr">
        <is>
          <t>KALMAR LÄN</t>
        </is>
      </c>
      <c r="E3924" t="inlineStr">
        <is>
          <t>KALMAR</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63414-2020</t>
        </is>
      </c>
      <c r="B3925" s="1" t="n">
        <v>44160</v>
      </c>
      <c r="C3925" s="1" t="n">
        <v>45715</v>
      </c>
      <c r="D3925" t="inlineStr">
        <is>
          <t>KALMAR LÄN</t>
        </is>
      </c>
      <c r="E3925" t="inlineStr">
        <is>
          <t>NYBRO</t>
        </is>
      </c>
      <c r="F3925" t="inlineStr">
        <is>
          <t>Kyrkan</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62499-2020</t>
        </is>
      </c>
      <c r="B3926" s="1" t="n">
        <v>44160</v>
      </c>
      <c r="C3926" s="1" t="n">
        <v>45715</v>
      </c>
      <c r="D3926" t="inlineStr">
        <is>
          <t>KALMAR LÄN</t>
        </is>
      </c>
      <c r="E3926" t="inlineStr">
        <is>
          <t>OSKARSHAMN</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62677-2020</t>
        </is>
      </c>
      <c r="B3927" s="1" t="n">
        <v>44161</v>
      </c>
      <c r="C3927" s="1" t="n">
        <v>45715</v>
      </c>
      <c r="D3927" t="inlineStr">
        <is>
          <t>KALMAR LÄN</t>
        </is>
      </c>
      <c r="E3927" t="inlineStr">
        <is>
          <t>NYBRO</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62820-2020</t>
        </is>
      </c>
      <c r="B3928" s="1" t="n">
        <v>44161</v>
      </c>
      <c r="C3928" s="1" t="n">
        <v>45715</v>
      </c>
      <c r="D3928" t="inlineStr">
        <is>
          <t>KALMAR LÄN</t>
        </is>
      </c>
      <c r="E3928" t="inlineStr">
        <is>
          <t>MÖNSTERÅS</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63064-2020</t>
        </is>
      </c>
      <c r="B3929" s="1" t="n">
        <v>44162</v>
      </c>
      <c r="C3929" s="1" t="n">
        <v>45715</v>
      </c>
      <c r="D3929" t="inlineStr">
        <is>
          <t>KALMAR LÄN</t>
        </is>
      </c>
      <c r="E3929" t="inlineStr">
        <is>
          <t>HULTSFRED</t>
        </is>
      </c>
      <c r="G3929" t="n">
        <v>7.6</v>
      </c>
      <c r="H3929" t="n">
        <v>0</v>
      </c>
      <c r="I3929" t="n">
        <v>0</v>
      </c>
      <c r="J3929" t="n">
        <v>0</v>
      </c>
      <c r="K3929" t="n">
        <v>0</v>
      </c>
      <c r="L3929" t="n">
        <v>0</v>
      </c>
      <c r="M3929" t="n">
        <v>0</v>
      </c>
      <c r="N3929" t="n">
        <v>0</v>
      </c>
      <c r="O3929" t="n">
        <v>0</v>
      </c>
      <c r="P3929" t="n">
        <v>0</v>
      </c>
      <c r="Q3929" t="n">
        <v>0</v>
      </c>
      <c r="R3929" s="2" t="inlineStr"/>
    </row>
    <row r="3930" ht="15" customHeight="1">
      <c r="A3930" t="inlineStr">
        <is>
          <t>A 62991-2020</t>
        </is>
      </c>
      <c r="B3930" s="1" t="n">
        <v>44162</v>
      </c>
      <c r="C3930" s="1" t="n">
        <v>45715</v>
      </c>
      <c r="D3930" t="inlineStr">
        <is>
          <t>KALMAR LÄN</t>
        </is>
      </c>
      <c r="E3930" t="inlineStr">
        <is>
          <t>OSKARSHAMN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62997-2020</t>
        </is>
      </c>
      <c r="B3931" s="1" t="n">
        <v>44162</v>
      </c>
      <c r="C3931" s="1" t="n">
        <v>45715</v>
      </c>
      <c r="D3931" t="inlineStr">
        <is>
          <t>KALMAR LÄN</t>
        </is>
      </c>
      <c r="E3931" t="inlineStr">
        <is>
          <t>HULTSFRED</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62946-2020</t>
        </is>
      </c>
      <c r="B3932" s="1" t="n">
        <v>44162</v>
      </c>
      <c r="C3932" s="1" t="n">
        <v>45715</v>
      </c>
      <c r="D3932" t="inlineStr">
        <is>
          <t>KALMAR LÄN</t>
        </is>
      </c>
      <c r="E3932" t="inlineStr">
        <is>
          <t>EMMABODA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63635-2020</t>
        </is>
      </c>
      <c r="B3933" s="1" t="n">
        <v>44162</v>
      </c>
      <c r="C3933" s="1" t="n">
        <v>45715</v>
      </c>
      <c r="D3933" t="inlineStr">
        <is>
          <t>KALMAR LÄN</t>
        </is>
      </c>
      <c r="E3933" t="inlineStr">
        <is>
          <t>VÄSTERVIK</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63212-2020</t>
        </is>
      </c>
      <c r="B3934" s="1" t="n">
        <v>44163</v>
      </c>
      <c r="C3934" s="1" t="n">
        <v>45715</v>
      </c>
      <c r="D3934" t="inlineStr">
        <is>
          <t>KALMAR LÄN</t>
        </is>
      </c>
      <c r="E3934" t="inlineStr">
        <is>
          <t>VÄSTERVIK</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63257-2020</t>
        </is>
      </c>
      <c r="B3935" s="1" t="n">
        <v>44164</v>
      </c>
      <c r="C3935" s="1" t="n">
        <v>45715</v>
      </c>
      <c r="D3935" t="inlineStr">
        <is>
          <t>KALMAR LÄN</t>
        </is>
      </c>
      <c r="E3935" t="inlineStr">
        <is>
          <t>NYBRO</t>
        </is>
      </c>
      <c r="G3935" t="n">
        <v>10.2</v>
      </c>
      <c r="H3935" t="n">
        <v>0</v>
      </c>
      <c r="I3935" t="n">
        <v>0</v>
      </c>
      <c r="J3935" t="n">
        <v>0</v>
      </c>
      <c r="K3935" t="n">
        <v>0</v>
      </c>
      <c r="L3935" t="n">
        <v>0</v>
      </c>
      <c r="M3935" t="n">
        <v>0</v>
      </c>
      <c r="N3935" t="n">
        <v>0</v>
      </c>
      <c r="O3935" t="n">
        <v>0</v>
      </c>
      <c r="P3935" t="n">
        <v>0</v>
      </c>
      <c r="Q3935" t="n">
        <v>0</v>
      </c>
      <c r="R3935" s="2" t="inlineStr"/>
    </row>
    <row r="3936" ht="15" customHeight="1">
      <c r="A3936" t="inlineStr">
        <is>
          <t>A 63580-2020</t>
        </is>
      </c>
      <c r="B3936" s="1" t="n">
        <v>44165</v>
      </c>
      <c r="C3936" s="1" t="n">
        <v>45715</v>
      </c>
      <c r="D3936" t="inlineStr">
        <is>
          <t>KALMAR LÄN</t>
        </is>
      </c>
      <c r="E3936" t="inlineStr">
        <is>
          <t>OSKARSHAMN</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64031-2020</t>
        </is>
      </c>
      <c r="B3937" s="1" t="n">
        <v>44165</v>
      </c>
      <c r="C3937" s="1" t="n">
        <v>45715</v>
      </c>
      <c r="D3937" t="inlineStr">
        <is>
          <t>KALMAR LÄN</t>
        </is>
      </c>
      <c r="E3937" t="inlineStr">
        <is>
          <t>TORSÅS</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63688-2020</t>
        </is>
      </c>
      <c r="B3938" s="1" t="n">
        <v>44166</v>
      </c>
      <c r="C3938" s="1" t="n">
        <v>45715</v>
      </c>
      <c r="D3938" t="inlineStr">
        <is>
          <t>KALMAR LÄN</t>
        </is>
      </c>
      <c r="E3938" t="inlineStr">
        <is>
          <t>OSKARSHAMN</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64162-2020</t>
        </is>
      </c>
      <c r="B3939" s="1" t="n">
        <v>44167</v>
      </c>
      <c r="C3939" s="1" t="n">
        <v>45715</v>
      </c>
      <c r="D3939" t="inlineStr">
        <is>
          <t>KALMAR LÄN</t>
        </is>
      </c>
      <c r="E3939" t="inlineStr">
        <is>
          <t>EMMABODA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64209-2020</t>
        </is>
      </c>
      <c r="B3940" s="1" t="n">
        <v>44168</v>
      </c>
      <c r="C3940" s="1" t="n">
        <v>45715</v>
      </c>
      <c r="D3940" t="inlineStr">
        <is>
          <t>KALMAR LÄN</t>
        </is>
      </c>
      <c r="E3940" t="inlineStr">
        <is>
          <t>HÖGSBY</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64299-2020</t>
        </is>
      </c>
      <c r="B3941" s="1" t="n">
        <v>44168</v>
      </c>
      <c r="C3941" s="1" t="n">
        <v>45715</v>
      </c>
      <c r="D3941" t="inlineStr">
        <is>
          <t>KALMAR LÄN</t>
        </is>
      </c>
      <c r="E3941" t="inlineStr">
        <is>
          <t>TORSÅS</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64390-2020</t>
        </is>
      </c>
      <c r="B3942" s="1" t="n">
        <v>44168</v>
      </c>
      <c r="C3942" s="1" t="n">
        <v>45715</v>
      </c>
      <c r="D3942" t="inlineStr">
        <is>
          <t>KALMAR LÄN</t>
        </is>
      </c>
      <c r="E3942" t="inlineStr">
        <is>
          <t>OSKARSHAMN</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64399-2020</t>
        </is>
      </c>
      <c r="B3943" s="1" t="n">
        <v>44168</v>
      </c>
      <c r="C3943" s="1" t="n">
        <v>45715</v>
      </c>
      <c r="D3943" t="inlineStr">
        <is>
          <t>KALMAR LÄN</t>
        </is>
      </c>
      <c r="E3943" t="inlineStr">
        <is>
          <t>VÄSTERVIK</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64409-2020</t>
        </is>
      </c>
      <c r="B3944" s="1" t="n">
        <v>44168</v>
      </c>
      <c r="C3944" s="1" t="n">
        <v>45715</v>
      </c>
      <c r="D3944" t="inlineStr">
        <is>
          <t>KALMAR LÄN</t>
        </is>
      </c>
      <c r="E3944" t="inlineStr">
        <is>
          <t>OSKARSHAMN</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64476-2020</t>
        </is>
      </c>
      <c r="B3945" s="1" t="n">
        <v>44168</v>
      </c>
      <c r="C3945" s="1" t="n">
        <v>45715</v>
      </c>
      <c r="D3945" t="inlineStr">
        <is>
          <t>KALMAR LÄN</t>
        </is>
      </c>
      <c r="E3945" t="inlineStr">
        <is>
          <t>OSKARSHAMN</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65124-2020</t>
        </is>
      </c>
      <c r="B3946" s="1" t="n">
        <v>44168</v>
      </c>
      <c r="C3946" s="1" t="n">
        <v>45715</v>
      </c>
      <c r="D3946" t="inlineStr">
        <is>
          <t>KALMAR LÄN</t>
        </is>
      </c>
      <c r="E3946" t="inlineStr">
        <is>
          <t>MÖNSTERÅS</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64514-2020</t>
        </is>
      </c>
      <c r="B3947" s="1" t="n">
        <v>44169</v>
      </c>
      <c r="C3947" s="1" t="n">
        <v>45715</v>
      </c>
      <c r="D3947" t="inlineStr">
        <is>
          <t>KALMAR LÄN</t>
        </is>
      </c>
      <c r="E3947" t="inlineStr">
        <is>
          <t>NYBRO</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64515-2020</t>
        </is>
      </c>
      <c r="B3948" s="1" t="n">
        <v>44169</v>
      </c>
      <c r="C3948" s="1" t="n">
        <v>45715</v>
      </c>
      <c r="D3948" t="inlineStr">
        <is>
          <t>KALMAR LÄN</t>
        </is>
      </c>
      <c r="E3948" t="inlineStr">
        <is>
          <t>OSKARSHAMN</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64702-2020</t>
        </is>
      </c>
      <c r="B3949" s="1" t="n">
        <v>44169</v>
      </c>
      <c r="C3949" s="1" t="n">
        <v>45715</v>
      </c>
      <c r="D3949" t="inlineStr">
        <is>
          <t>KALMAR LÄN</t>
        </is>
      </c>
      <c r="E3949" t="inlineStr">
        <is>
          <t>NYBRO</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64707-2020</t>
        </is>
      </c>
      <c r="B3950" s="1" t="n">
        <v>44169</v>
      </c>
      <c r="C3950" s="1" t="n">
        <v>45715</v>
      </c>
      <c r="D3950" t="inlineStr">
        <is>
          <t>KALMAR LÄN</t>
        </is>
      </c>
      <c r="E3950" t="inlineStr">
        <is>
          <t>VIMMERBY</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64602-2020</t>
        </is>
      </c>
      <c r="B3951" s="1" t="n">
        <v>44169</v>
      </c>
      <c r="C3951" s="1" t="n">
        <v>45715</v>
      </c>
      <c r="D3951" t="inlineStr">
        <is>
          <t>KALMAR LÄN</t>
        </is>
      </c>
      <c r="E3951" t="inlineStr">
        <is>
          <t>HÖGSBY</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65144-2020</t>
        </is>
      </c>
      <c r="B3952" s="1" t="n">
        <v>44172</v>
      </c>
      <c r="C3952" s="1" t="n">
        <v>45715</v>
      </c>
      <c r="D3952" t="inlineStr">
        <is>
          <t>KALMAR LÄN</t>
        </is>
      </c>
      <c r="E3952" t="inlineStr">
        <is>
          <t>BORGHOLM</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64909-2020</t>
        </is>
      </c>
      <c r="B3953" s="1" t="n">
        <v>44172</v>
      </c>
      <c r="C3953" s="1" t="n">
        <v>45715</v>
      </c>
      <c r="D3953" t="inlineStr">
        <is>
          <t>KALMAR LÄN</t>
        </is>
      </c>
      <c r="E3953" t="inlineStr">
        <is>
          <t>NYBRO</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64919-2020</t>
        </is>
      </c>
      <c r="B3954" s="1" t="n">
        <v>44172</v>
      </c>
      <c r="C3954" s="1" t="n">
        <v>45715</v>
      </c>
      <c r="D3954" t="inlineStr">
        <is>
          <t>KALMAR LÄN</t>
        </is>
      </c>
      <c r="E3954" t="inlineStr">
        <is>
          <t>TORSÅS</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65139-2020</t>
        </is>
      </c>
      <c r="B3955" s="1" t="n">
        <v>44172</v>
      </c>
      <c r="C3955" s="1" t="n">
        <v>45715</v>
      </c>
      <c r="D3955" t="inlineStr">
        <is>
          <t>KALMAR LÄN</t>
        </is>
      </c>
      <c r="E3955" t="inlineStr">
        <is>
          <t>BORGHOLM</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64912-2020</t>
        </is>
      </c>
      <c r="B3956" s="1" t="n">
        <v>44172</v>
      </c>
      <c r="C3956" s="1" t="n">
        <v>45715</v>
      </c>
      <c r="D3956" t="inlineStr">
        <is>
          <t>KALMAR LÄN</t>
        </is>
      </c>
      <c r="E3956" t="inlineStr">
        <is>
          <t>TORSÅS</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65049-2020</t>
        </is>
      </c>
      <c r="B3957" s="1" t="n">
        <v>44172</v>
      </c>
      <c r="C3957" s="1" t="n">
        <v>45715</v>
      </c>
      <c r="D3957" t="inlineStr">
        <is>
          <t>KALMAR LÄN</t>
        </is>
      </c>
      <c r="E3957" t="inlineStr">
        <is>
          <t>VIMMERBY</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65682-2020</t>
        </is>
      </c>
      <c r="B3958" s="1" t="n">
        <v>44172</v>
      </c>
      <c r="C3958" s="1" t="n">
        <v>45715</v>
      </c>
      <c r="D3958" t="inlineStr">
        <is>
          <t>KALMAR LÄN</t>
        </is>
      </c>
      <c r="E3958" t="inlineStr">
        <is>
          <t>HULTSFRED</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65679-2020</t>
        </is>
      </c>
      <c r="B3959" s="1" t="n">
        <v>44172</v>
      </c>
      <c r="C3959" s="1" t="n">
        <v>45715</v>
      </c>
      <c r="D3959" t="inlineStr">
        <is>
          <t>KALMAR LÄN</t>
        </is>
      </c>
      <c r="E3959" t="inlineStr">
        <is>
          <t>EMMABODA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65564-2020</t>
        </is>
      </c>
      <c r="B3960" s="1" t="n">
        <v>44172</v>
      </c>
      <c r="C3960" s="1" t="n">
        <v>45715</v>
      </c>
      <c r="D3960" t="inlineStr">
        <is>
          <t>KALMAR LÄN</t>
        </is>
      </c>
      <c r="E3960" t="inlineStr">
        <is>
          <t>VIMMERBY</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65474-2020</t>
        </is>
      </c>
      <c r="B3961" s="1" t="n">
        <v>44173</v>
      </c>
      <c r="C3961" s="1" t="n">
        <v>45715</v>
      </c>
      <c r="D3961" t="inlineStr">
        <is>
          <t>KALMAR LÄN</t>
        </is>
      </c>
      <c r="E3961" t="inlineStr">
        <is>
          <t>NYBRO</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65666-2020</t>
        </is>
      </c>
      <c r="B3962" s="1" t="n">
        <v>44173</v>
      </c>
      <c r="C3962" s="1" t="n">
        <v>45715</v>
      </c>
      <c r="D3962" t="inlineStr">
        <is>
          <t>KALMAR LÄN</t>
        </is>
      </c>
      <c r="E3962" t="inlineStr">
        <is>
          <t>TORSÅS</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66149-2020</t>
        </is>
      </c>
      <c r="B3963" s="1" t="n">
        <v>44173</v>
      </c>
      <c r="C3963" s="1" t="n">
        <v>45715</v>
      </c>
      <c r="D3963" t="inlineStr">
        <is>
          <t>KALMAR LÄN</t>
        </is>
      </c>
      <c r="E3963" t="inlineStr">
        <is>
          <t>VÄSTERVIK</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65687-2020</t>
        </is>
      </c>
      <c r="B3964" s="1" t="n">
        <v>44174</v>
      </c>
      <c r="C3964" s="1" t="n">
        <v>45715</v>
      </c>
      <c r="D3964" t="inlineStr">
        <is>
          <t>KALMAR LÄN</t>
        </is>
      </c>
      <c r="E3964" t="inlineStr">
        <is>
          <t>TORSÅS</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65647-2020</t>
        </is>
      </c>
      <c r="B3965" s="1" t="n">
        <v>44174</v>
      </c>
      <c r="C3965" s="1" t="n">
        <v>45715</v>
      </c>
      <c r="D3965" t="inlineStr">
        <is>
          <t>KALMAR LÄN</t>
        </is>
      </c>
      <c r="E3965" t="inlineStr">
        <is>
          <t>VÄSTERVIK</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65774-2020</t>
        </is>
      </c>
      <c r="B3966" s="1" t="n">
        <v>44174</v>
      </c>
      <c r="C3966" s="1" t="n">
        <v>45715</v>
      </c>
      <c r="D3966" t="inlineStr">
        <is>
          <t>KALMAR LÄN</t>
        </is>
      </c>
      <c r="E3966" t="inlineStr">
        <is>
          <t>MÖNSTERÅS</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65911-2020</t>
        </is>
      </c>
      <c r="B3967" s="1" t="n">
        <v>44175</v>
      </c>
      <c r="C3967" s="1" t="n">
        <v>45715</v>
      </c>
      <c r="D3967" t="inlineStr">
        <is>
          <t>KALMAR LÄN</t>
        </is>
      </c>
      <c r="E3967" t="inlineStr">
        <is>
          <t>MÖNSTERÅS</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65956-2020</t>
        </is>
      </c>
      <c r="B3968" s="1" t="n">
        <v>44175</v>
      </c>
      <c r="C3968" s="1" t="n">
        <v>45715</v>
      </c>
      <c r="D3968" t="inlineStr">
        <is>
          <t>KALMAR LÄN</t>
        </is>
      </c>
      <c r="E3968" t="inlineStr">
        <is>
          <t>VIMMERBY</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65952-2020</t>
        </is>
      </c>
      <c r="B3969" s="1" t="n">
        <v>44175</v>
      </c>
      <c r="C3969" s="1" t="n">
        <v>45715</v>
      </c>
      <c r="D3969" t="inlineStr">
        <is>
          <t>KALMAR LÄN</t>
        </is>
      </c>
      <c r="E3969" t="inlineStr">
        <is>
          <t>VIMMERBY</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65961-2020</t>
        </is>
      </c>
      <c r="B3970" s="1" t="n">
        <v>44175</v>
      </c>
      <c r="C3970" s="1" t="n">
        <v>45715</v>
      </c>
      <c r="D3970" t="inlineStr">
        <is>
          <t>KALMAR LÄN</t>
        </is>
      </c>
      <c r="E3970" t="inlineStr">
        <is>
          <t>VIMMERBY</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65973-2020</t>
        </is>
      </c>
      <c r="B3971" s="1" t="n">
        <v>44175</v>
      </c>
      <c r="C3971" s="1" t="n">
        <v>45715</v>
      </c>
      <c r="D3971" t="inlineStr">
        <is>
          <t>KALMAR LÄN</t>
        </is>
      </c>
      <c r="E3971" t="inlineStr">
        <is>
          <t>VIMMERBY</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66145-2020</t>
        </is>
      </c>
      <c r="B3972" s="1" t="n">
        <v>44175</v>
      </c>
      <c r="C3972" s="1" t="n">
        <v>45715</v>
      </c>
      <c r="D3972" t="inlineStr">
        <is>
          <t>KALMAR LÄN</t>
        </is>
      </c>
      <c r="E3972" t="inlineStr">
        <is>
          <t>HÖGSBY</t>
        </is>
      </c>
      <c r="G3972" t="n">
        <v>6.5</v>
      </c>
      <c r="H3972" t="n">
        <v>0</v>
      </c>
      <c r="I3972" t="n">
        <v>0</v>
      </c>
      <c r="J3972" t="n">
        <v>0</v>
      </c>
      <c r="K3972" t="n">
        <v>0</v>
      </c>
      <c r="L3972" t="n">
        <v>0</v>
      </c>
      <c r="M3972" t="n">
        <v>0</v>
      </c>
      <c r="N3972" t="n">
        <v>0</v>
      </c>
      <c r="O3972" t="n">
        <v>0</v>
      </c>
      <c r="P3972" t="n">
        <v>0</v>
      </c>
      <c r="Q3972" t="n">
        <v>0</v>
      </c>
      <c r="R3972" s="2" t="inlineStr"/>
    </row>
    <row r="3973" ht="15" customHeight="1">
      <c r="A3973" t="inlineStr">
        <is>
          <t>A 66748-2020</t>
        </is>
      </c>
      <c r="B3973" s="1" t="n">
        <v>44175</v>
      </c>
      <c r="C3973" s="1" t="n">
        <v>45715</v>
      </c>
      <c r="D3973" t="inlineStr">
        <is>
          <t>KALMAR LÄN</t>
        </is>
      </c>
      <c r="E3973" t="inlineStr">
        <is>
          <t>VÄSTERVIK</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66158-2020</t>
        </is>
      </c>
      <c r="B3974" s="1" t="n">
        <v>44175</v>
      </c>
      <c r="C3974" s="1" t="n">
        <v>45715</v>
      </c>
      <c r="D3974" t="inlineStr">
        <is>
          <t>KALMAR LÄN</t>
        </is>
      </c>
      <c r="E3974" t="inlineStr">
        <is>
          <t>HÖGSBY</t>
        </is>
      </c>
      <c r="G3974" t="n">
        <v>7.1</v>
      </c>
      <c r="H3974" t="n">
        <v>0</v>
      </c>
      <c r="I3974" t="n">
        <v>0</v>
      </c>
      <c r="J3974" t="n">
        <v>0</v>
      </c>
      <c r="K3974" t="n">
        <v>0</v>
      </c>
      <c r="L3974" t="n">
        <v>0</v>
      </c>
      <c r="M3974" t="n">
        <v>0</v>
      </c>
      <c r="N3974" t="n">
        <v>0</v>
      </c>
      <c r="O3974" t="n">
        <v>0</v>
      </c>
      <c r="P3974" t="n">
        <v>0</v>
      </c>
      <c r="Q3974" t="n">
        <v>0</v>
      </c>
      <c r="R3974" s="2" t="inlineStr"/>
    </row>
    <row r="3975" ht="15" customHeight="1">
      <c r="A3975" t="inlineStr">
        <is>
          <t>A 66757-2020</t>
        </is>
      </c>
      <c r="B3975" s="1" t="n">
        <v>44175</v>
      </c>
      <c r="C3975" s="1" t="n">
        <v>45715</v>
      </c>
      <c r="D3975" t="inlineStr">
        <is>
          <t>KALMAR LÄN</t>
        </is>
      </c>
      <c r="E3975" t="inlineStr">
        <is>
          <t>VÄSTERVIK</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66913-2020</t>
        </is>
      </c>
      <c r="B3976" s="1" t="n">
        <v>44175</v>
      </c>
      <c r="C3976" s="1" t="n">
        <v>45715</v>
      </c>
      <c r="D3976" t="inlineStr">
        <is>
          <t>KALMAR LÄN</t>
        </is>
      </c>
      <c r="E3976" t="inlineStr">
        <is>
          <t>VIMMERBY</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66328-2020</t>
        </is>
      </c>
      <c r="B3977" s="1" t="n">
        <v>44176</v>
      </c>
      <c r="C3977" s="1" t="n">
        <v>45715</v>
      </c>
      <c r="D3977" t="inlineStr">
        <is>
          <t>KALMAR LÄN</t>
        </is>
      </c>
      <c r="E3977" t="inlineStr">
        <is>
          <t>VÄSTERVIK</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66292-2020</t>
        </is>
      </c>
      <c r="B3978" s="1" t="n">
        <v>44176</v>
      </c>
      <c r="C3978" s="1" t="n">
        <v>45715</v>
      </c>
      <c r="D3978" t="inlineStr">
        <is>
          <t>KALMAR LÄN</t>
        </is>
      </c>
      <c r="E3978" t="inlineStr">
        <is>
          <t>VÄSTERVIK</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66295-2020</t>
        </is>
      </c>
      <c r="B3979" s="1" t="n">
        <v>44176</v>
      </c>
      <c r="C3979" s="1" t="n">
        <v>45715</v>
      </c>
      <c r="D3979" t="inlineStr">
        <is>
          <t>KALMAR LÄN</t>
        </is>
      </c>
      <c r="E3979" t="inlineStr">
        <is>
          <t>VIMMERBY</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66515-2020</t>
        </is>
      </c>
      <c r="B3980" s="1" t="n">
        <v>44178</v>
      </c>
      <c r="C3980" s="1" t="n">
        <v>45715</v>
      </c>
      <c r="D3980" t="inlineStr">
        <is>
          <t>KALMAR LÄN</t>
        </is>
      </c>
      <c r="E3980" t="inlineStr">
        <is>
          <t>KALMAR</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66559-2020</t>
        </is>
      </c>
      <c r="B3981" s="1" t="n">
        <v>44179</v>
      </c>
      <c r="C3981" s="1" t="n">
        <v>45715</v>
      </c>
      <c r="D3981" t="inlineStr">
        <is>
          <t>KALMAR LÄN</t>
        </is>
      </c>
      <c r="E3981" t="inlineStr">
        <is>
          <t>HULTSFRED</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66764-2020</t>
        </is>
      </c>
      <c r="B3982" s="1" t="n">
        <v>44179</v>
      </c>
      <c r="C3982" s="1" t="n">
        <v>45715</v>
      </c>
      <c r="D3982" t="inlineStr">
        <is>
          <t>KALMAR LÄN</t>
        </is>
      </c>
      <c r="E3982" t="inlineStr">
        <is>
          <t>HÖGSBY</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66812-2020</t>
        </is>
      </c>
      <c r="B3983" s="1" t="n">
        <v>44179</v>
      </c>
      <c r="C3983" s="1" t="n">
        <v>45715</v>
      </c>
      <c r="D3983" t="inlineStr">
        <is>
          <t>KALMAR LÄN</t>
        </is>
      </c>
      <c r="E3983" t="inlineStr">
        <is>
          <t>TORSÅS</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66888-2020</t>
        </is>
      </c>
      <c r="B3984" s="1" t="n">
        <v>44179</v>
      </c>
      <c r="C3984" s="1" t="n">
        <v>45715</v>
      </c>
      <c r="D3984" t="inlineStr">
        <is>
          <t>KALMAR LÄN</t>
        </is>
      </c>
      <c r="E3984" t="inlineStr">
        <is>
          <t>VÄSTERVIK</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67047-2020</t>
        </is>
      </c>
      <c r="B3985" s="1" t="n">
        <v>44179</v>
      </c>
      <c r="C3985" s="1" t="n">
        <v>45715</v>
      </c>
      <c r="D3985" t="inlineStr">
        <is>
          <t>KALMAR LÄN</t>
        </is>
      </c>
      <c r="E3985" t="inlineStr">
        <is>
          <t>NYBRO</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67036-2020</t>
        </is>
      </c>
      <c r="B3986" s="1" t="n">
        <v>44179</v>
      </c>
      <c r="C3986" s="1" t="n">
        <v>45715</v>
      </c>
      <c r="D3986" t="inlineStr">
        <is>
          <t>KALMAR LÄN</t>
        </is>
      </c>
      <c r="E3986" t="inlineStr">
        <is>
          <t>NYBRO</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66904-2020</t>
        </is>
      </c>
      <c r="B3987" s="1" t="n">
        <v>44180</v>
      </c>
      <c r="C3987" s="1" t="n">
        <v>45715</v>
      </c>
      <c r="D3987" t="inlineStr">
        <is>
          <t>KALMAR LÄN</t>
        </is>
      </c>
      <c r="E3987" t="inlineStr">
        <is>
          <t>EMMABODA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66883-2020</t>
        </is>
      </c>
      <c r="B3988" s="1" t="n">
        <v>44180</v>
      </c>
      <c r="C3988" s="1" t="n">
        <v>45715</v>
      </c>
      <c r="D3988" t="inlineStr">
        <is>
          <t>KALMAR LÄN</t>
        </is>
      </c>
      <c r="E3988" t="inlineStr">
        <is>
          <t>MÖNSTERÅS</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67133-2020</t>
        </is>
      </c>
      <c r="B3989" s="1" t="n">
        <v>44180</v>
      </c>
      <c r="C3989" s="1" t="n">
        <v>45715</v>
      </c>
      <c r="D3989" t="inlineStr">
        <is>
          <t>KALMAR LÄN</t>
        </is>
      </c>
      <c r="E3989" t="inlineStr">
        <is>
          <t>VÄSTERVIK</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67220-2020</t>
        </is>
      </c>
      <c r="B3990" s="1" t="n">
        <v>44180</v>
      </c>
      <c r="C3990" s="1" t="n">
        <v>45715</v>
      </c>
      <c r="D3990" t="inlineStr">
        <is>
          <t>KALMAR LÄN</t>
        </is>
      </c>
      <c r="E3990" t="inlineStr">
        <is>
          <t>NYBRO</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67289-2020</t>
        </is>
      </c>
      <c r="B3991" s="1" t="n">
        <v>44181</v>
      </c>
      <c r="C3991" s="1" t="n">
        <v>45715</v>
      </c>
      <c r="D3991" t="inlineStr">
        <is>
          <t>KALMAR LÄN</t>
        </is>
      </c>
      <c r="E3991" t="inlineStr">
        <is>
          <t>OSKARSHAMN</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67376-2020</t>
        </is>
      </c>
      <c r="B3992" s="1" t="n">
        <v>44181</v>
      </c>
      <c r="C3992" s="1" t="n">
        <v>45715</v>
      </c>
      <c r="D3992" t="inlineStr">
        <is>
          <t>KALMAR LÄN</t>
        </is>
      </c>
      <c r="E3992" t="inlineStr">
        <is>
          <t>TORSÅS</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67303-2020</t>
        </is>
      </c>
      <c r="B3993" s="1" t="n">
        <v>44181</v>
      </c>
      <c r="C3993" s="1" t="n">
        <v>45715</v>
      </c>
      <c r="D3993" t="inlineStr">
        <is>
          <t>KALMAR LÄN</t>
        </is>
      </c>
      <c r="E3993" t="inlineStr">
        <is>
          <t>OSKARSHAMN</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67633-2020</t>
        </is>
      </c>
      <c r="B3994" s="1" t="n">
        <v>44182</v>
      </c>
      <c r="C3994" s="1" t="n">
        <v>45715</v>
      </c>
      <c r="D3994" t="inlineStr">
        <is>
          <t>KALMAR LÄN</t>
        </is>
      </c>
      <c r="E3994" t="inlineStr">
        <is>
          <t>TORSÅS</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67857-2020</t>
        </is>
      </c>
      <c r="B3995" s="1" t="n">
        <v>44182</v>
      </c>
      <c r="C3995" s="1" t="n">
        <v>45715</v>
      </c>
      <c r="D3995" t="inlineStr">
        <is>
          <t>KALMAR LÄN</t>
        </is>
      </c>
      <c r="E3995" t="inlineStr">
        <is>
          <t>HULTSFRED</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67875-2020</t>
        </is>
      </c>
      <c r="B3996" s="1" t="n">
        <v>44182</v>
      </c>
      <c r="C3996" s="1" t="n">
        <v>45715</v>
      </c>
      <c r="D3996" t="inlineStr">
        <is>
          <t>KALMAR LÄN</t>
        </is>
      </c>
      <c r="E3996" t="inlineStr">
        <is>
          <t>KALMAR</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67883-2020</t>
        </is>
      </c>
      <c r="B3997" s="1" t="n">
        <v>44182</v>
      </c>
      <c r="C3997" s="1" t="n">
        <v>45715</v>
      </c>
      <c r="D3997" t="inlineStr">
        <is>
          <t>KALMAR LÄN</t>
        </is>
      </c>
      <c r="E3997" t="inlineStr">
        <is>
          <t>KALMAR</t>
        </is>
      </c>
      <c r="G3997" t="n">
        <v>8.699999999999999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67881-2020</t>
        </is>
      </c>
      <c r="B3998" s="1" t="n">
        <v>44182</v>
      </c>
      <c r="C3998" s="1" t="n">
        <v>45715</v>
      </c>
      <c r="D3998" t="inlineStr">
        <is>
          <t>KALMAR LÄN</t>
        </is>
      </c>
      <c r="E3998" t="inlineStr">
        <is>
          <t>HULTSFRED</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68234-2020</t>
        </is>
      </c>
      <c r="B3999" s="1" t="n">
        <v>44183</v>
      </c>
      <c r="C3999" s="1" t="n">
        <v>45715</v>
      </c>
      <c r="D3999" t="inlineStr">
        <is>
          <t>KALMAR LÄN</t>
        </is>
      </c>
      <c r="E3999" t="inlineStr">
        <is>
          <t>HULTSFRED</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68241-2020</t>
        </is>
      </c>
      <c r="B4000" s="1" t="n">
        <v>44183</v>
      </c>
      <c r="C4000" s="1" t="n">
        <v>45715</v>
      </c>
      <c r="D4000" t="inlineStr">
        <is>
          <t>KALMAR LÄN</t>
        </is>
      </c>
      <c r="E4000" t="inlineStr">
        <is>
          <t>MÖNSTERÅS</t>
        </is>
      </c>
      <c r="G4000" t="n">
        <v>9.300000000000001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68117-2020</t>
        </is>
      </c>
      <c r="B4001" s="1" t="n">
        <v>44183</v>
      </c>
      <c r="C4001" s="1" t="n">
        <v>45715</v>
      </c>
      <c r="D4001" t="inlineStr">
        <is>
          <t>KALMAR LÄN</t>
        </is>
      </c>
      <c r="E4001" t="inlineStr">
        <is>
          <t>OSKARSHAMN</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68239-2020</t>
        </is>
      </c>
      <c r="B4002" s="1" t="n">
        <v>44183</v>
      </c>
      <c r="C4002" s="1" t="n">
        <v>45715</v>
      </c>
      <c r="D4002" t="inlineStr">
        <is>
          <t>KALMAR LÄN</t>
        </is>
      </c>
      <c r="E4002" t="inlineStr">
        <is>
          <t>MÖNSTERÅS</t>
        </is>
      </c>
      <c r="G4002" t="n">
        <v>13.3</v>
      </c>
      <c r="H4002" t="n">
        <v>0</v>
      </c>
      <c r="I4002" t="n">
        <v>0</v>
      </c>
      <c r="J4002" t="n">
        <v>0</v>
      </c>
      <c r="K4002" t="n">
        <v>0</v>
      </c>
      <c r="L4002" t="n">
        <v>0</v>
      </c>
      <c r="M4002" t="n">
        <v>0</v>
      </c>
      <c r="N4002" t="n">
        <v>0</v>
      </c>
      <c r="O4002" t="n">
        <v>0</v>
      </c>
      <c r="P4002" t="n">
        <v>0</v>
      </c>
      <c r="Q4002" t="n">
        <v>0</v>
      </c>
      <c r="R4002" s="2" t="inlineStr"/>
    </row>
    <row r="4003" ht="15" customHeight="1">
      <c r="A4003" t="inlineStr">
        <is>
          <t>A 68164-2020</t>
        </is>
      </c>
      <c r="B4003" s="1" t="n">
        <v>44183</v>
      </c>
      <c r="C4003" s="1" t="n">
        <v>45715</v>
      </c>
      <c r="D4003" t="inlineStr">
        <is>
          <t>KALMAR LÄN</t>
        </is>
      </c>
      <c r="E4003" t="inlineStr">
        <is>
          <t>MÖNSTERÅS</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68174-2020</t>
        </is>
      </c>
      <c r="B4004" s="1" t="n">
        <v>44183</v>
      </c>
      <c r="C4004" s="1" t="n">
        <v>45715</v>
      </c>
      <c r="D4004" t="inlineStr">
        <is>
          <t>KALMAR LÄN</t>
        </is>
      </c>
      <c r="E4004" t="inlineStr">
        <is>
          <t>NYBRO</t>
        </is>
      </c>
      <c r="F4004" t="inlineStr">
        <is>
          <t>Sveaskog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68459-2020</t>
        </is>
      </c>
      <c r="B4005" s="1" t="n">
        <v>44183</v>
      </c>
      <c r="C4005" s="1" t="n">
        <v>45715</v>
      </c>
      <c r="D4005" t="inlineStr">
        <is>
          <t>KALMAR LÄN</t>
        </is>
      </c>
      <c r="E4005" t="inlineStr">
        <is>
          <t>NYBRO</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68449-2020</t>
        </is>
      </c>
      <c r="B4006" s="1" t="n">
        <v>44183</v>
      </c>
      <c r="C4006" s="1" t="n">
        <v>45715</v>
      </c>
      <c r="D4006" t="inlineStr">
        <is>
          <t>KALMAR LÄN</t>
        </is>
      </c>
      <c r="E4006" t="inlineStr">
        <is>
          <t>NYBRO</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68463-2020</t>
        </is>
      </c>
      <c r="B4007" s="1" t="n">
        <v>44183</v>
      </c>
      <c r="C4007" s="1" t="n">
        <v>45715</v>
      </c>
      <c r="D4007" t="inlineStr">
        <is>
          <t>KALMAR LÄN</t>
        </is>
      </c>
      <c r="E4007" t="inlineStr">
        <is>
          <t>NYBRO</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68311-2020</t>
        </is>
      </c>
      <c r="B4008" s="1" t="n">
        <v>44185</v>
      </c>
      <c r="C4008" s="1" t="n">
        <v>45715</v>
      </c>
      <c r="D4008" t="inlineStr">
        <is>
          <t>KALMAR LÄN</t>
        </is>
      </c>
      <c r="E4008" t="inlineStr">
        <is>
          <t>HÖGSBY</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68351-2020</t>
        </is>
      </c>
      <c r="B4009" s="1" t="n">
        <v>44186</v>
      </c>
      <c r="C4009" s="1" t="n">
        <v>45715</v>
      </c>
      <c r="D4009" t="inlineStr">
        <is>
          <t>KALMAR LÄN</t>
        </is>
      </c>
      <c r="E4009" t="inlineStr">
        <is>
          <t>HULTSFRED</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68533-2020</t>
        </is>
      </c>
      <c r="B4010" s="1" t="n">
        <v>44186</v>
      </c>
      <c r="C4010" s="1" t="n">
        <v>45715</v>
      </c>
      <c r="D4010" t="inlineStr">
        <is>
          <t>KALMAR LÄN</t>
        </is>
      </c>
      <c r="E4010" t="inlineStr">
        <is>
          <t>KALMAR</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68392-2020</t>
        </is>
      </c>
      <c r="B4011" s="1" t="n">
        <v>44186</v>
      </c>
      <c r="C4011" s="1" t="n">
        <v>45715</v>
      </c>
      <c r="D4011" t="inlineStr">
        <is>
          <t>KALMAR LÄN</t>
        </is>
      </c>
      <c r="E4011" t="inlineStr">
        <is>
          <t>NYBRO</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68625-2020</t>
        </is>
      </c>
      <c r="B4012" s="1" t="n">
        <v>44186</v>
      </c>
      <c r="C4012" s="1" t="n">
        <v>45715</v>
      </c>
      <c r="D4012" t="inlineStr">
        <is>
          <t>KALMAR LÄN</t>
        </is>
      </c>
      <c r="E4012" t="inlineStr">
        <is>
          <t>OSKARSHAMN</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68596-2020</t>
        </is>
      </c>
      <c r="B4013" s="1" t="n">
        <v>44186</v>
      </c>
      <c r="C4013" s="1" t="n">
        <v>45715</v>
      </c>
      <c r="D4013" t="inlineStr">
        <is>
          <t>KALMAR LÄN</t>
        </is>
      </c>
      <c r="E4013" t="inlineStr">
        <is>
          <t>OSKARSHAMN</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68744-2020</t>
        </is>
      </c>
      <c r="B4014" s="1" t="n">
        <v>44186</v>
      </c>
      <c r="C4014" s="1" t="n">
        <v>45715</v>
      </c>
      <c r="D4014" t="inlineStr">
        <is>
          <t>KALMAR LÄN</t>
        </is>
      </c>
      <c r="E4014" t="inlineStr">
        <is>
          <t>VIMMERBY</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68785-2020</t>
        </is>
      </c>
      <c r="B4015" s="1" t="n">
        <v>44186</v>
      </c>
      <c r="C4015" s="1" t="n">
        <v>45715</v>
      </c>
      <c r="D4015" t="inlineStr">
        <is>
          <t>KALMAR LÄN</t>
        </is>
      </c>
      <c r="E4015" t="inlineStr">
        <is>
          <t>VIMMERBY</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69295-2020</t>
        </is>
      </c>
      <c r="B4016" s="1" t="n">
        <v>44186</v>
      </c>
      <c r="C4016" s="1" t="n">
        <v>45715</v>
      </c>
      <c r="D4016" t="inlineStr">
        <is>
          <t>KALMAR LÄN</t>
        </is>
      </c>
      <c r="E4016" t="inlineStr">
        <is>
          <t>HULTSFRED</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69269-2020</t>
        </is>
      </c>
      <c r="B4017" s="1" t="n">
        <v>44186</v>
      </c>
      <c r="C4017" s="1" t="n">
        <v>45715</v>
      </c>
      <c r="D4017" t="inlineStr">
        <is>
          <t>KALMAR LÄN</t>
        </is>
      </c>
      <c r="E4017" t="inlineStr">
        <is>
          <t>HULTSFRED</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69155-2020</t>
        </is>
      </c>
      <c r="B4018" s="1" t="n">
        <v>44186</v>
      </c>
      <c r="C4018" s="1" t="n">
        <v>45715</v>
      </c>
      <c r="D4018" t="inlineStr">
        <is>
          <t>KALMAR LÄN</t>
        </is>
      </c>
      <c r="E4018" t="inlineStr">
        <is>
          <t>HULTSFRED</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69141-2020</t>
        </is>
      </c>
      <c r="B4019" s="1" t="n">
        <v>44186</v>
      </c>
      <c r="C4019" s="1" t="n">
        <v>45715</v>
      </c>
      <c r="D4019" t="inlineStr">
        <is>
          <t>KALMAR LÄN</t>
        </is>
      </c>
      <c r="E4019" t="inlineStr">
        <is>
          <t>HULTSFRED</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68811-2020</t>
        </is>
      </c>
      <c r="B4020" s="1" t="n">
        <v>44187</v>
      </c>
      <c r="C4020" s="1" t="n">
        <v>45715</v>
      </c>
      <c r="D4020" t="inlineStr">
        <is>
          <t>KALMAR LÄN</t>
        </is>
      </c>
      <c r="E4020" t="inlineStr">
        <is>
          <t>VÄSTERVIK</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68852-2020</t>
        </is>
      </c>
      <c r="B4021" s="1" t="n">
        <v>44187</v>
      </c>
      <c r="C4021" s="1" t="n">
        <v>45715</v>
      </c>
      <c r="D4021" t="inlineStr">
        <is>
          <t>KALMAR LÄN</t>
        </is>
      </c>
      <c r="E4021" t="inlineStr">
        <is>
          <t>KALMAR</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68951-2020</t>
        </is>
      </c>
      <c r="B4022" s="1" t="n">
        <v>44187</v>
      </c>
      <c r="C4022" s="1" t="n">
        <v>45715</v>
      </c>
      <c r="D4022" t="inlineStr">
        <is>
          <t>KALMAR LÄN</t>
        </is>
      </c>
      <c r="E4022" t="inlineStr">
        <is>
          <t>TORSÅS</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68932-2020</t>
        </is>
      </c>
      <c r="B4023" s="1" t="n">
        <v>44187</v>
      </c>
      <c r="C4023" s="1" t="n">
        <v>45715</v>
      </c>
      <c r="D4023" t="inlineStr">
        <is>
          <t>KALMAR LÄN</t>
        </is>
      </c>
      <c r="E4023" t="inlineStr">
        <is>
          <t>NYBRO</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69098-2020</t>
        </is>
      </c>
      <c r="B4024" s="1" t="n">
        <v>44187</v>
      </c>
      <c r="C4024" s="1" t="n">
        <v>45715</v>
      </c>
      <c r="D4024" t="inlineStr">
        <is>
          <t>KALMAR LÄN</t>
        </is>
      </c>
      <c r="E4024" t="inlineStr">
        <is>
          <t>VÄSTERVIK</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69000-2020</t>
        </is>
      </c>
      <c r="B4025" s="1" t="n">
        <v>44188</v>
      </c>
      <c r="C4025" s="1" t="n">
        <v>45715</v>
      </c>
      <c r="D4025" t="inlineStr">
        <is>
          <t>KALMAR LÄN</t>
        </is>
      </c>
      <c r="E4025" t="inlineStr">
        <is>
          <t>KALMAR</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69158-2020</t>
        </is>
      </c>
      <c r="B4026" s="1" t="n">
        <v>44188</v>
      </c>
      <c r="C4026" s="1" t="n">
        <v>45715</v>
      </c>
      <c r="D4026" t="inlineStr">
        <is>
          <t>KALMAR LÄN</t>
        </is>
      </c>
      <c r="E4026" t="inlineStr">
        <is>
          <t>HULTSFRED</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69064-2020</t>
        </is>
      </c>
      <c r="B4027" s="1" t="n">
        <v>44188</v>
      </c>
      <c r="C4027" s="1" t="n">
        <v>45715</v>
      </c>
      <c r="D4027" t="inlineStr">
        <is>
          <t>KALMAR LÄN</t>
        </is>
      </c>
      <c r="E4027" t="inlineStr">
        <is>
          <t>VÄSTERVIK</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69229-2020</t>
        </is>
      </c>
      <c r="B4028" s="1" t="n">
        <v>44192</v>
      </c>
      <c r="C4028" s="1" t="n">
        <v>45715</v>
      </c>
      <c r="D4028" t="inlineStr">
        <is>
          <t>KALMAR LÄN</t>
        </is>
      </c>
      <c r="E4028" t="inlineStr">
        <is>
          <t>KALMAR</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69311-2020</t>
        </is>
      </c>
      <c r="B4029" s="1" t="n">
        <v>44193</v>
      </c>
      <c r="C4029" s="1" t="n">
        <v>45715</v>
      </c>
      <c r="D4029" t="inlineStr">
        <is>
          <t>KALMAR LÄN</t>
        </is>
      </c>
      <c r="E4029" t="inlineStr">
        <is>
          <t>HULTSFRED</t>
        </is>
      </c>
      <c r="F4029" t="inlineStr">
        <is>
          <t>Sveaskog</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69360-2020</t>
        </is>
      </c>
      <c r="B4030" s="1" t="n">
        <v>44193</v>
      </c>
      <c r="C4030" s="1" t="n">
        <v>45715</v>
      </c>
      <c r="D4030" t="inlineStr">
        <is>
          <t>KALMAR LÄN</t>
        </is>
      </c>
      <c r="E4030" t="inlineStr">
        <is>
          <t>HULTSFRED</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69363-2020</t>
        </is>
      </c>
      <c r="B4031" s="1" t="n">
        <v>44193</v>
      </c>
      <c r="C4031" s="1" t="n">
        <v>45715</v>
      </c>
      <c r="D4031" t="inlineStr">
        <is>
          <t>KALMAR LÄN</t>
        </is>
      </c>
      <c r="E4031" t="inlineStr">
        <is>
          <t>HULTSFRED</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69413-2020</t>
        </is>
      </c>
      <c r="B4032" s="1" t="n">
        <v>44193</v>
      </c>
      <c r="C4032" s="1" t="n">
        <v>45715</v>
      </c>
      <c r="D4032" t="inlineStr">
        <is>
          <t>KALMAR LÄN</t>
        </is>
      </c>
      <c r="E4032" t="inlineStr">
        <is>
          <t>HULTSFRED</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69442-2020</t>
        </is>
      </c>
      <c r="B4033" s="1" t="n">
        <v>44193</v>
      </c>
      <c r="C4033" s="1" t="n">
        <v>45715</v>
      </c>
      <c r="D4033" t="inlineStr">
        <is>
          <t>KALMAR LÄN</t>
        </is>
      </c>
      <c r="E4033" t="inlineStr">
        <is>
          <t>KALMAR</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69411-2020</t>
        </is>
      </c>
      <c r="B4034" s="1" t="n">
        <v>44193</v>
      </c>
      <c r="C4034" s="1" t="n">
        <v>45715</v>
      </c>
      <c r="D4034" t="inlineStr">
        <is>
          <t>KALMAR LÄN</t>
        </is>
      </c>
      <c r="E4034" t="inlineStr">
        <is>
          <t>HULTSFRED</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69412-2020</t>
        </is>
      </c>
      <c r="B4035" s="1" t="n">
        <v>44193</v>
      </c>
      <c r="C4035" s="1" t="n">
        <v>45715</v>
      </c>
      <c r="D4035" t="inlineStr">
        <is>
          <t>KALMAR LÄN</t>
        </is>
      </c>
      <c r="E4035" t="inlineStr">
        <is>
          <t>HULTSFRED</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69437-2020</t>
        </is>
      </c>
      <c r="B4036" s="1" t="n">
        <v>44193</v>
      </c>
      <c r="C4036" s="1" t="n">
        <v>45715</v>
      </c>
      <c r="D4036" t="inlineStr">
        <is>
          <t>KALMAR LÄN</t>
        </is>
      </c>
      <c r="E4036" t="inlineStr">
        <is>
          <t>KALMAR</t>
        </is>
      </c>
      <c r="G4036" t="n">
        <v>8.800000000000001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69544-2020</t>
        </is>
      </c>
      <c r="B4037" s="1" t="n">
        <v>44194</v>
      </c>
      <c r="C4037" s="1" t="n">
        <v>45715</v>
      </c>
      <c r="D4037" t="inlineStr">
        <is>
          <t>KALMAR LÄN</t>
        </is>
      </c>
      <c r="E4037" t="inlineStr">
        <is>
          <t>NYBRO</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69659-2020</t>
        </is>
      </c>
      <c r="B4038" s="1" t="n">
        <v>44195</v>
      </c>
      <c r="C4038" s="1" t="n">
        <v>45715</v>
      </c>
      <c r="D4038" t="inlineStr">
        <is>
          <t>KALMAR LÄN</t>
        </is>
      </c>
      <c r="E4038" t="inlineStr">
        <is>
          <t>HULTSFRED</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119-2021</t>
        </is>
      </c>
      <c r="B4039" s="1" t="n">
        <v>44200</v>
      </c>
      <c r="C4039" s="1" t="n">
        <v>45715</v>
      </c>
      <c r="D4039" t="inlineStr">
        <is>
          <t>KALMAR LÄN</t>
        </is>
      </c>
      <c r="E4039" t="inlineStr">
        <is>
          <t>VÄSTERVIK</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235-2021</t>
        </is>
      </c>
      <c r="B4040" s="1" t="n">
        <v>44200</v>
      </c>
      <c r="C4040" s="1" t="n">
        <v>45715</v>
      </c>
      <c r="D4040" t="inlineStr">
        <is>
          <t>KALMAR LÄN</t>
        </is>
      </c>
      <c r="E4040" t="inlineStr">
        <is>
          <t>HÖGSBY</t>
        </is>
      </c>
      <c r="G4040" t="n">
        <v>9.300000000000001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278-2021</t>
        </is>
      </c>
      <c r="B4041" s="1" t="n">
        <v>44201</v>
      </c>
      <c r="C4041" s="1" t="n">
        <v>45715</v>
      </c>
      <c r="D4041" t="inlineStr">
        <is>
          <t>KALMAR LÄN</t>
        </is>
      </c>
      <c r="E4041" t="inlineStr">
        <is>
          <t>TORSÅS</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308-2021</t>
        </is>
      </c>
      <c r="B4042" s="1" t="n">
        <v>44201</v>
      </c>
      <c r="C4042" s="1" t="n">
        <v>45715</v>
      </c>
      <c r="D4042" t="inlineStr">
        <is>
          <t>KALMAR LÄN</t>
        </is>
      </c>
      <c r="E4042" t="inlineStr">
        <is>
          <t>KALMAR</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401-2021</t>
        </is>
      </c>
      <c r="B4043" s="1" t="n">
        <v>44201</v>
      </c>
      <c r="C4043" s="1" t="n">
        <v>45715</v>
      </c>
      <c r="D4043" t="inlineStr">
        <is>
          <t>KALMAR LÄN</t>
        </is>
      </c>
      <c r="E4043" t="inlineStr">
        <is>
          <t>VÄSTERVIK</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410-2021</t>
        </is>
      </c>
      <c r="B4044" s="1" t="n">
        <v>44201</v>
      </c>
      <c r="C4044" s="1" t="n">
        <v>45715</v>
      </c>
      <c r="D4044" t="inlineStr">
        <is>
          <t>KALMAR LÄN</t>
        </is>
      </c>
      <c r="E4044" t="inlineStr">
        <is>
          <t>VÄSTERVIK</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520-2021</t>
        </is>
      </c>
      <c r="B4045" s="1" t="n">
        <v>44201</v>
      </c>
      <c r="C4045" s="1" t="n">
        <v>45715</v>
      </c>
      <c r="D4045" t="inlineStr">
        <is>
          <t>KALMAR LÄN</t>
        </is>
      </c>
      <c r="E4045" t="inlineStr">
        <is>
          <t>HULTSFRED</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311-2021</t>
        </is>
      </c>
      <c r="B4046" s="1" t="n">
        <v>44201</v>
      </c>
      <c r="C4046" s="1" t="n">
        <v>45715</v>
      </c>
      <c r="D4046" t="inlineStr">
        <is>
          <t>KALMAR LÄN</t>
        </is>
      </c>
      <c r="E4046" t="inlineStr">
        <is>
          <t>NYBRO</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406-2021</t>
        </is>
      </c>
      <c r="B4047" s="1" t="n">
        <v>44201</v>
      </c>
      <c r="C4047" s="1" t="n">
        <v>45715</v>
      </c>
      <c r="D4047" t="inlineStr">
        <is>
          <t>KALMAR LÄN</t>
        </is>
      </c>
      <c r="E4047" t="inlineStr">
        <is>
          <t>NYBRO</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405-2021</t>
        </is>
      </c>
      <c r="B4048" s="1" t="n">
        <v>44201</v>
      </c>
      <c r="C4048" s="1" t="n">
        <v>45715</v>
      </c>
      <c r="D4048" t="inlineStr">
        <is>
          <t>KALMAR LÄN</t>
        </is>
      </c>
      <c r="E4048" t="inlineStr">
        <is>
          <t>NYBRO</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735-2021</t>
        </is>
      </c>
      <c r="B4049" s="1" t="n">
        <v>44202</v>
      </c>
      <c r="C4049" s="1" t="n">
        <v>45715</v>
      </c>
      <c r="D4049" t="inlineStr">
        <is>
          <t>KALMAR LÄN</t>
        </is>
      </c>
      <c r="E4049" t="inlineStr">
        <is>
          <t>EMMABODA</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756-2021</t>
        </is>
      </c>
      <c r="B4050" s="1" t="n">
        <v>44202</v>
      </c>
      <c r="C4050" s="1" t="n">
        <v>45715</v>
      </c>
      <c r="D4050" t="inlineStr">
        <is>
          <t>KALMAR LÄN</t>
        </is>
      </c>
      <c r="E4050" t="inlineStr">
        <is>
          <t>EMMABODA</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737-2021</t>
        </is>
      </c>
      <c r="B4051" s="1" t="n">
        <v>44202</v>
      </c>
      <c r="C4051" s="1" t="n">
        <v>45715</v>
      </c>
      <c r="D4051" t="inlineStr">
        <is>
          <t>KALMAR LÄN</t>
        </is>
      </c>
      <c r="E4051" t="inlineStr">
        <is>
          <t>EMMABODA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759-2021</t>
        </is>
      </c>
      <c r="B4052" s="1" t="n">
        <v>44202</v>
      </c>
      <c r="C4052" s="1" t="n">
        <v>45715</v>
      </c>
      <c r="D4052" t="inlineStr">
        <is>
          <t>KALMAR LÄN</t>
        </is>
      </c>
      <c r="E4052" t="inlineStr">
        <is>
          <t>EMMABODA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740-2021</t>
        </is>
      </c>
      <c r="B4053" s="1" t="n">
        <v>44202</v>
      </c>
      <c r="C4053" s="1" t="n">
        <v>45715</v>
      </c>
      <c r="D4053" t="inlineStr">
        <is>
          <t>KALMAR LÄN</t>
        </is>
      </c>
      <c r="E4053" t="inlineStr">
        <is>
          <t>EMMABODA</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761-2021</t>
        </is>
      </c>
      <c r="B4054" s="1" t="n">
        <v>44202</v>
      </c>
      <c r="C4054" s="1" t="n">
        <v>45715</v>
      </c>
      <c r="D4054" t="inlineStr">
        <is>
          <t>KALMAR LÄN</t>
        </is>
      </c>
      <c r="E4054" t="inlineStr">
        <is>
          <t>EMMABODA</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764-2021</t>
        </is>
      </c>
      <c r="B4055" s="1" t="n">
        <v>44202</v>
      </c>
      <c r="C4055" s="1" t="n">
        <v>45715</v>
      </c>
      <c r="D4055" t="inlineStr">
        <is>
          <t>KALMAR LÄN</t>
        </is>
      </c>
      <c r="E4055" t="inlineStr">
        <is>
          <t>EMMABODA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741-2021</t>
        </is>
      </c>
      <c r="B4056" s="1" t="n">
        <v>44202</v>
      </c>
      <c r="C4056" s="1" t="n">
        <v>45715</v>
      </c>
      <c r="D4056" t="inlineStr">
        <is>
          <t>KALMAR LÄN</t>
        </is>
      </c>
      <c r="E4056" t="inlineStr">
        <is>
          <t>EMMABODA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547-2021</t>
        </is>
      </c>
      <c r="B4057" s="1" t="n">
        <v>44203</v>
      </c>
      <c r="C4057" s="1" t="n">
        <v>45715</v>
      </c>
      <c r="D4057" t="inlineStr">
        <is>
          <t>KALMAR LÄN</t>
        </is>
      </c>
      <c r="E4057" t="inlineStr">
        <is>
          <t>HULTSFRED</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618-2021</t>
        </is>
      </c>
      <c r="B4058" s="1" t="n">
        <v>44203</v>
      </c>
      <c r="C4058" s="1" t="n">
        <v>45715</v>
      </c>
      <c r="D4058" t="inlineStr">
        <is>
          <t>KALMAR LÄN</t>
        </is>
      </c>
      <c r="E4058" t="inlineStr">
        <is>
          <t>VIMMERBY</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610-2021</t>
        </is>
      </c>
      <c r="B4059" s="1" t="n">
        <v>44203</v>
      </c>
      <c r="C4059" s="1" t="n">
        <v>45715</v>
      </c>
      <c r="D4059" t="inlineStr">
        <is>
          <t>KALMAR LÄN</t>
        </is>
      </c>
      <c r="E4059" t="inlineStr">
        <is>
          <t>EMMABODA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578-2021</t>
        </is>
      </c>
      <c r="B4060" s="1" t="n">
        <v>44203</v>
      </c>
      <c r="C4060" s="1" t="n">
        <v>45715</v>
      </c>
      <c r="D4060" t="inlineStr">
        <is>
          <t>KALMAR LÄN</t>
        </is>
      </c>
      <c r="E4060" t="inlineStr">
        <is>
          <t>VÄSTERVIK</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635-2021</t>
        </is>
      </c>
      <c r="B4061" s="1" t="n">
        <v>44203</v>
      </c>
      <c r="C4061" s="1" t="n">
        <v>45715</v>
      </c>
      <c r="D4061" t="inlineStr">
        <is>
          <t>KALMAR LÄN</t>
        </is>
      </c>
      <c r="E4061" t="inlineStr">
        <is>
          <t>HULTSFRED</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809-2021</t>
        </is>
      </c>
      <c r="B4062" s="1" t="n">
        <v>44204</v>
      </c>
      <c r="C4062" s="1" t="n">
        <v>45715</v>
      </c>
      <c r="D4062" t="inlineStr">
        <is>
          <t>KALMAR LÄN</t>
        </is>
      </c>
      <c r="E4062" t="inlineStr">
        <is>
          <t>VÄSTERVIK</t>
        </is>
      </c>
      <c r="F4062" t="inlineStr">
        <is>
          <t>Övriga Aktiebolag</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789-2021</t>
        </is>
      </c>
      <c r="B4063" s="1" t="n">
        <v>44204</v>
      </c>
      <c r="C4063" s="1" t="n">
        <v>45715</v>
      </c>
      <c r="D4063" t="inlineStr">
        <is>
          <t>KALMAR LÄN</t>
        </is>
      </c>
      <c r="E4063" t="inlineStr">
        <is>
          <t>VÄSTERVIK</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934-2021</t>
        </is>
      </c>
      <c r="B4064" s="1" t="n">
        <v>44207</v>
      </c>
      <c r="C4064" s="1" t="n">
        <v>45715</v>
      </c>
      <c r="D4064" t="inlineStr">
        <is>
          <t>KALMAR LÄN</t>
        </is>
      </c>
      <c r="E4064" t="inlineStr">
        <is>
          <t>EMMABODA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1066-2021</t>
        </is>
      </c>
      <c r="B4065" s="1" t="n">
        <v>44207</v>
      </c>
      <c r="C4065" s="1" t="n">
        <v>45715</v>
      </c>
      <c r="D4065" t="inlineStr">
        <is>
          <t>KALMAR LÄN</t>
        </is>
      </c>
      <c r="E4065" t="inlineStr">
        <is>
          <t>TORSÅS</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1105-2021</t>
        </is>
      </c>
      <c r="B4066" s="1" t="n">
        <v>44207</v>
      </c>
      <c r="C4066" s="1" t="n">
        <v>45715</v>
      </c>
      <c r="D4066" t="inlineStr">
        <is>
          <t>KALMAR LÄN</t>
        </is>
      </c>
      <c r="E4066" t="inlineStr">
        <is>
          <t>NYBRO</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1235-2021</t>
        </is>
      </c>
      <c r="B4067" s="1" t="n">
        <v>44208</v>
      </c>
      <c r="C4067" s="1" t="n">
        <v>45715</v>
      </c>
      <c r="D4067" t="inlineStr">
        <is>
          <t>KALMAR LÄN</t>
        </is>
      </c>
      <c r="E4067" t="inlineStr">
        <is>
          <t>TORSÅS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1223-2021</t>
        </is>
      </c>
      <c r="B4068" s="1" t="n">
        <v>44208</v>
      </c>
      <c r="C4068" s="1" t="n">
        <v>45715</v>
      </c>
      <c r="D4068" t="inlineStr">
        <is>
          <t>KALMAR LÄN</t>
        </is>
      </c>
      <c r="E4068" t="inlineStr">
        <is>
          <t>TORSÅS</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1241-2021</t>
        </is>
      </c>
      <c r="B4069" s="1" t="n">
        <v>44208</v>
      </c>
      <c r="C4069" s="1" t="n">
        <v>45715</v>
      </c>
      <c r="D4069" t="inlineStr">
        <is>
          <t>KALMAR LÄN</t>
        </is>
      </c>
      <c r="E4069" t="inlineStr">
        <is>
          <t>EMMABODA</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1234-2021</t>
        </is>
      </c>
      <c r="B4070" s="1" t="n">
        <v>44208</v>
      </c>
      <c r="C4070" s="1" t="n">
        <v>45715</v>
      </c>
      <c r="D4070" t="inlineStr">
        <is>
          <t>KALMAR LÄN</t>
        </is>
      </c>
      <c r="E4070" t="inlineStr">
        <is>
          <t>TORSÅS</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1243-2021</t>
        </is>
      </c>
      <c r="B4071" s="1" t="n">
        <v>44208</v>
      </c>
      <c r="C4071" s="1" t="n">
        <v>45715</v>
      </c>
      <c r="D4071" t="inlineStr">
        <is>
          <t>KALMAR LÄN</t>
        </is>
      </c>
      <c r="E4071" t="inlineStr">
        <is>
          <t>EMMABODA</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1398-2021</t>
        </is>
      </c>
      <c r="B4072" s="1" t="n">
        <v>44208</v>
      </c>
      <c r="C4072" s="1" t="n">
        <v>45715</v>
      </c>
      <c r="D4072" t="inlineStr">
        <is>
          <t>KALMAR LÄN</t>
        </is>
      </c>
      <c r="E4072" t="inlineStr">
        <is>
          <t>TORSÅS</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1372-2021</t>
        </is>
      </c>
      <c r="B4073" s="1" t="n">
        <v>44208</v>
      </c>
      <c r="C4073" s="1" t="n">
        <v>45715</v>
      </c>
      <c r="D4073" t="inlineStr">
        <is>
          <t>KALMAR LÄN</t>
        </is>
      </c>
      <c r="E4073" t="inlineStr">
        <is>
          <t>NYBRO</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1378-2021</t>
        </is>
      </c>
      <c r="B4074" s="1" t="n">
        <v>44208</v>
      </c>
      <c r="C4074" s="1" t="n">
        <v>45715</v>
      </c>
      <c r="D4074" t="inlineStr">
        <is>
          <t>KALMAR LÄN</t>
        </is>
      </c>
      <c r="E4074" t="inlineStr">
        <is>
          <t>TORSÅS</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1454-2021</t>
        </is>
      </c>
      <c r="B4075" s="1" t="n">
        <v>44208</v>
      </c>
      <c r="C4075" s="1" t="n">
        <v>45715</v>
      </c>
      <c r="D4075" t="inlineStr">
        <is>
          <t>KALMAR LÄN</t>
        </is>
      </c>
      <c r="E4075" t="inlineStr">
        <is>
          <t>HÖGSBY</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1485-2021</t>
        </is>
      </c>
      <c r="B4076" s="1" t="n">
        <v>44208</v>
      </c>
      <c r="C4076" s="1" t="n">
        <v>45715</v>
      </c>
      <c r="D4076" t="inlineStr">
        <is>
          <t>KALMAR LÄN</t>
        </is>
      </c>
      <c r="E4076" t="inlineStr">
        <is>
          <t>OSKARSHAMN</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1604-2021</t>
        </is>
      </c>
      <c r="B4077" s="1" t="n">
        <v>44209</v>
      </c>
      <c r="C4077" s="1" t="n">
        <v>45715</v>
      </c>
      <c r="D4077" t="inlineStr">
        <is>
          <t>KALMAR LÄN</t>
        </is>
      </c>
      <c r="E4077" t="inlineStr">
        <is>
          <t>KALMAR</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1681-2021</t>
        </is>
      </c>
      <c r="B4078" s="1" t="n">
        <v>44209</v>
      </c>
      <c r="C4078" s="1" t="n">
        <v>45715</v>
      </c>
      <c r="D4078" t="inlineStr">
        <is>
          <t>KALMAR LÄN</t>
        </is>
      </c>
      <c r="E4078" t="inlineStr">
        <is>
          <t>NYBRO</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1785-2021</t>
        </is>
      </c>
      <c r="B4079" s="1" t="n">
        <v>44210</v>
      </c>
      <c r="C4079" s="1" t="n">
        <v>45715</v>
      </c>
      <c r="D4079" t="inlineStr">
        <is>
          <t>KALMAR LÄN</t>
        </is>
      </c>
      <c r="E4079" t="inlineStr">
        <is>
          <t>EMMABODA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1959-2021</t>
        </is>
      </c>
      <c r="B4080" s="1" t="n">
        <v>44210</v>
      </c>
      <c r="C4080" s="1" t="n">
        <v>45715</v>
      </c>
      <c r="D4080" t="inlineStr">
        <is>
          <t>KALMAR LÄN</t>
        </is>
      </c>
      <c r="E4080" t="inlineStr">
        <is>
          <t>VÄSTERVIK</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1835-2021</t>
        </is>
      </c>
      <c r="B4081" s="1" t="n">
        <v>44210</v>
      </c>
      <c r="C4081" s="1" t="n">
        <v>45715</v>
      </c>
      <c r="D4081" t="inlineStr">
        <is>
          <t>KALMAR LÄN</t>
        </is>
      </c>
      <c r="E4081" t="inlineStr">
        <is>
          <t>EMMABODA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1929-2021</t>
        </is>
      </c>
      <c r="B4082" s="1" t="n">
        <v>44210</v>
      </c>
      <c r="C4082" s="1" t="n">
        <v>45715</v>
      </c>
      <c r="D4082" t="inlineStr">
        <is>
          <t>KALMAR LÄN</t>
        </is>
      </c>
      <c r="E4082" t="inlineStr">
        <is>
          <t>VIMMERBY</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2009-2021</t>
        </is>
      </c>
      <c r="B4083" s="1" t="n">
        <v>44210</v>
      </c>
      <c r="C4083" s="1" t="n">
        <v>45715</v>
      </c>
      <c r="D4083" t="inlineStr">
        <is>
          <t>KALMAR LÄN</t>
        </is>
      </c>
      <c r="E4083" t="inlineStr">
        <is>
          <t>KALMAR</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1996-2021</t>
        </is>
      </c>
      <c r="B4084" s="1" t="n">
        <v>44210</v>
      </c>
      <c r="C4084" s="1" t="n">
        <v>45715</v>
      </c>
      <c r="D4084" t="inlineStr">
        <is>
          <t>KALMAR LÄN</t>
        </is>
      </c>
      <c r="E4084" t="inlineStr">
        <is>
          <t>TORSÅS</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2006-2021</t>
        </is>
      </c>
      <c r="B4085" s="1" t="n">
        <v>44210</v>
      </c>
      <c r="C4085" s="1" t="n">
        <v>45715</v>
      </c>
      <c r="D4085" t="inlineStr">
        <is>
          <t>KALMAR LÄN</t>
        </is>
      </c>
      <c r="E4085" t="inlineStr">
        <is>
          <t>KALMAR</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2097-2021</t>
        </is>
      </c>
      <c r="B4086" s="1" t="n">
        <v>44211</v>
      </c>
      <c r="C4086" s="1" t="n">
        <v>45715</v>
      </c>
      <c r="D4086" t="inlineStr">
        <is>
          <t>KALMAR LÄN</t>
        </is>
      </c>
      <c r="E4086" t="inlineStr">
        <is>
          <t>OSKARSHAMN</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2226-2021</t>
        </is>
      </c>
      <c r="B4087" s="1" t="n">
        <v>44211</v>
      </c>
      <c r="C4087" s="1" t="n">
        <v>45715</v>
      </c>
      <c r="D4087" t="inlineStr">
        <is>
          <t>KALMAR LÄN</t>
        </is>
      </c>
      <c r="E4087" t="inlineStr">
        <is>
          <t>TORSÅS</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2076-2021</t>
        </is>
      </c>
      <c r="B4088" s="1" t="n">
        <v>44211</v>
      </c>
      <c r="C4088" s="1" t="n">
        <v>45715</v>
      </c>
      <c r="D4088" t="inlineStr">
        <is>
          <t>KALMAR LÄN</t>
        </is>
      </c>
      <c r="E4088" t="inlineStr">
        <is>
          <t>MÖNSTERÅS</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2106-2021</t>
        </is>
      </c>
      <c r="B4089" s="1" t="n">
        <v>44211</v>
      </c>
      <c r="C4089" s="1" t="n">
        <v>45715</v>
      </c>
      <c r="D4089" t="inlineStr">
        <is>
          <t>KALMAR LÄN</t>
        </is>
      </c>
      <c r="E4089" t="inlineStr">
        <is>
          <t>VÄSTERVIK</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2047-2021</t>
        </is>
      </c>
      <c r="B4090" s="1" t="n">
        <v>44211</v>
      </c>
      <c r="C4090" s="1" t="n">
        <v>45715</v>
      </c>
      <c r="D4090" t="inlineStr">
        <is>
          <t>KALMAR LÄN</t>
        </is>
      </c>
      <c r="E4090" t="inlineStr">
        <is>
          <t>EMMABODA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2131-2021</t>
        </is>
      </c>
      <c r="B4091" s="1" t="n">
        <v>44211</v>
      </c>
      <c r="C4091" s="1" t="n">
        <v>45715</v>
      </c>
      <c r="D4091" t="inlineStr">
        <is>
          <t>KALMAR LÄN</t>
        </is>
      </c>
      <c r="E4091" t="inlineStr">
        <is>
          <t>EMMABODA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2245-2021</t>
        </is>
      </c>
      <c r="B4092" s="1" t="n">
        <v>44211</v>
      </c>
      <c r="C4092" s="1" t="n">
        <v>45715</v>
      </c>
      <c r="D4092" t="inlineStr">
        <is>
          <t>KALMAR LÄN</t>
        </is>
      </c>
      <c r="E4092" t="inlineStr">
        <is>
          <t>TORSÅS</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2206-2021</t>
        </is>
      </c>
      <c r="B4093" s="1" t="n">
        <v>44211</v>
      </c>
      <c r="C4093" s="1" t="n">
        <v>45715</v>
      </c>
      <c r="D4093" t="inlineStr">
        <is>
          <t>KALMAR LÄN</t>
        </is>
      </c>
      <c r="E4093" t="inlineStr">
        <is>
          <t>NYBRO</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2247-2021</t>
        </is>
      </c>
      <c r="B4094" s="1" t="n">
        <v>44211</v>
      </c>
      <c r="C4094" s="1" t="n">
        <v>45715</v>
      </c>
      <c r="D4094" t="inlineStr">
        <is>
          <t>KALMAR LÄN</t>
        </is>
      </c>
      <c r="E4094" t="inlineStr">
        <is>
          <t>TORSÅS</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2326-2021</t>
        </is>
      </c>
      <c r="B4095" s="1" t="n">
        <v>44214</v>
      </c>
      <c r="C4095" s="1" t="n">
        <v>45715</v>
      </c>
      <c r="D4095" t="inlineStr">
        <is>
          <t>KALMAR LÄN</t>
        </is>
      </c>
      <c r="E4095" t="inlineStr">
        <is>
          <t>TORSÅS</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2348-2021</t>
        </is>
      </c>
      <c r="B4096" s="1" t="n">
        <v>44214</v>
      </c>
      <c r="C4096" s="1" t="n">
        <v>45715</v>
      </c>
      <c r="D4096" t="inlineStr">
        <is>
          <t>KALMAR LÄN</t>
        </is>
      </c>
      <c r="E4096" t="inlineStr">
        <is>
          <t>MÖNSTERÅS</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2357-2021</t>
        </is>
      </c>
      <c r="B4097" s="1" t="n">
        <v>44214</v>
      </c>
      <c r="C4097" s="1" t="n">
        <v>45715</v>
      </c>
      <c r="D4097" t="inlineStr">
        <is>
          <t>KALMAR LÄN</t>
        </is>
      </c>
      <c r="E4097" t="inlineStr">
        <is>
          <t>KALMAR</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2363-2021</t>
        </is>
      </c>
      <c r="B4098" s="1" t="n">
        <v>44214</v>
      </c>
      <c r="C4098" s="1" t="n">
        <v>45715</v>
      </c>
      <c r="D4098" t="inlineStr">
        <is>
          <t>KALMAR LÄN</t>
        </is>
      </c>
      <c r="E4098" t="inlineStr">
        <is>
          <t>KALMAR</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2542-2021</t>
        </is>
      </c>
      <c r="B4099" s="1" t="n">
        <v>44214</v>
      </c>
      <c r="C4099" s="1" t="n">
        <v>45715</v>
      </c>
      <c r="D4099" t="inlineStr">
        <is>
          <t>KALMAR LÄN</t>
        </is>
      </c>
      <c r="E4099" t="inlineStr">
        <is>
          <t>MÖNSTERÅS</t>
        </is>
      </c>
      <c r="G4099" t="n">
        <v>7.9</v>
      </c>
      <c r="H4099" t="n">
        <v>0</v>
      </c>
      <c r="I4099" t="n">
        <v>0</v>
      </c>
      <c r="J4099" t="n">
        <v>0</v>
      </c>
      <c r="K4099" t="n">
        <v>0</v>
      </c>
      <c r="L4099" t="n">
        <v>0</v>
      </c>
      <c r="M4099" t="n">
        <v>0</v>
      </c>
      <c r="N4099" t="n">
        <v>0</v>
      </c>
      <c r="O4099" t="n">
        <v>0</v>
      </c>
      <c r="P4099" t="n">
        <v>0</v>
      </c>
      <c r="Q4099" t="n">
        <v>0</v>
      </c>
      <c r="R4099" s="2" t="inlineStr"/>
    </row>
    <row r="4100" ht="15" customHeight="1">
      <c r="A4100" t="inlineStr">
        <is>
          <t>A 2597-2021</t>
        </is>
      </c>
      <c r="B4100" s="1" t="n">
        <v>44214</v>
      </c>
      <c r="C4100" s="1" t="n">
        <v>45715</v>
      </c>
      <c r="D4100" t="inlineStr">
        <is>
          <t>KALMAR LÄN</t>
        </is>
      </c>
      <c r="E4100" t="inlineStr">
        <is>
          <t>KALMAR</t>
        </is>
      </c>
      <c r="G4100" t="n">
        <v>13.5</v>
      </c>
      <c r="H4100" t="n">
        <v>0</v>
      </c>
      <c r="I4100" t="n">
        <v>0</v>
      </c>
      <c r="J4100" t="n">
        <v>0</v>
      </c>
      <c r="K4100" t="n">
        <v>0</v>
      </c>
      <c r="L4100" t="n">
        <v>0</v>
      </c>
      <c r="M4100" t="n">
        <v>0</v>
      </c>
      <c r="N4100" t="n">
        <v>0</v>
      </c>
      <c r="O4100" t="n">
        <v>0</v>
      </c>
      <c r="P4100" t="n">
        <v>0</v>
      </c>
      <c r="Q4100" t="n">
        <v>0</v>
      </c>
      <c r="R4100" s="2" t="inlineStr"/>
    </row>
    <row r="4101" ht="15" customHeight="1">
      <c r="A4101" t="inlineStr">
        <is>
          <t>A 2555-2021</t>
        </is>
      </c>
      <c r="B4101" s="1" t="n">
        <v>44214</v>
      </c>
      <c r="C4101" s="1" t="n">
        <v>45715</v>
      </c>
      <c r="D4101" t="inlineStr">
        <is>
          <t>KALMAR LÄN</t>
        </is>
      </c>
      <c r="E4101" t="inlineStr">
        <is>
          <t>VIMMERBY</t>
        </is>
      </c>
      <c r="G4101" t="n">
        <v>7.3</v>
      </c>
      <c r="H4101" t="n">
        <v>0</v>
      </c>
      <c r="I4101" t="n">
        <v>0</v>
      </c>
      <c r="J4101" t="n">
        <v>0</v>
      </c>
      <c r="K4101" t="n">
        <v>0</v>
      </c>
      <c r="L4101" t="n">
        <v>0</v>
      </c>
      <c r="M4101" t="n">
        <v>0</v>
      </c>
      <c r="N4101" t="n">
        <v>0</v>
      </c>
      <c r="O4101" t="n">
        <v>0</v>
      </c>
      <c r="P4101" t="n">
        <v>0</v>
      </c>
      <c r="Q4101" t="n">
        <v>0</v>
      </c>
      <c r="R4101" s="2" t="inlineStr"/>
    </row>
    <row r="4102" ht="15" customHeight="1">
      <c r="A4102" t="inlineStr">
        <is>
          <t>A 2728-2021</t>
        </is>
      </c>
      <c r="B4102" s="1" t="n">
        <v>44215</v>
      </c>
      <c r="C4102" s="1" t="n">
        <v>45715</v>
      </c>
      <c r="D4102" t="inlineStr">
        <is>
          <t>KALMAR LÄN</t>
        </is>
      </c>
      <c r="E4102" t="inlineStr">
        <is>
          <t>KALMAR</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2629-2021</t>
        </is>
      </c>
      <c r="B4103" s="1" t="n">
        <v>44215</v>
      </c>
      <c r="C4103" s="1" t="n">
        <v>45715</v>
      </c>
      <c r="D4103" t="inlineStr">
        <is>
          <t>KALMAR LÄN</t>
        </is>
      </c>
      <c r="E4103" t="inlineStr">
        <is>
          <t>HULTSFRED</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2654-2021</t>
        </is>
      </c>
      <c r="B4104" s="1" t="n">
        <v>44215</v>
      </c>
      <c r="C4104" s="1" t="n">
        <v>45715</v>
      </c>
      <c r="D4104" t="inlineStr">
        <is>
          <t>KALMAR LÄN</t>
        </is>
      </c>
      <c r="E4104" t="inlineStr">
        <is>
          <t>VIMMERBY</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2964-2021</t>
        </is>
      </c>
      <c r="B4105" s="1" t="n">
        <v>44216</v>
      </c>
      <c r="C4105" s="1" t="n">
        <v>45715</v>
      </c>
      <c r="D4105" t="inlineStr">
        <is>
          <t>KALMAR LÄN</t>
        </is>
      </c>
      <c r="E4105" t="inlineStr">
        <is>
          <t>HÖGSBY</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3016-2021</t>
        </is>
      </c>
      <c r="B4106" s="1" t="n">
        <v>44216</v>
      </c>
      <c r="C4106" s="1" t="n">
        <v>45715</v>
      </c>
      <c r="D4106" t="inlineStr">
        <is>
          <t>KALMAR LÄN</t>
        </is>
      </c>
      <c r="E4106" t="inlineStr">
        <is>
          <t>MÖNSTERÅS</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2983-2021</t>
        </is>
      </c>
      <c r="B4107" s="1" t="n">
        <v>44216</v>
      </c>
      <c r="C4107" s="1" t="n">
        <v>45715</v>
      </c>
      <c r="D4107" t="inlineStr">
        <is>
          <t>KALMAR LÄN</t>
        </is>
      </c>
      <c r="E4107" t="inlineStr">
        <is>
          <t>MÖNSTERÅS</t>
        </is>
      </c>
      <c r="G4107" t="n">
        <v>9.699999999999999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3488-2021</t>
        </is>
      </c>
      <c r="B4108" s="1" t="n">
        <v>44216</v>
      </c>
      <c r="C4108" s="1" t="n">
        <v>45715</v>
      </c>
      <c r="D4108" t="inlineStr">
        <is>
          <t>KALMAR LÄN</t>
        </is>
      </c>
      <c r="E4108" t="inlineStr">
        <is>
          <t>HULTSFRED</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3507-2021</t>
        </is>
      </c>
      <c r="B4109" s="1" t="n">
        <v>44216</v>
      </c>
      <c r="C4109" s="1" t="n">
        <v>45715</v>
      </c>
      <c r="D4109" t="inlineStr">
        <is>
          <t>KALMAR LÄN</t>
        </is>
      </c>
      <c r="E4109" t="inlineStr">
        <is>
          <t>HÖGSBY</t>
        </is>
      </c>
      <c r="G4109" t="n">
        <v>7.3</v>
      </c>
      <c r="H4109" t="n">
        <v>0</v>
      </c>
      <c r="I4109" t="n">
        <v>0</v>
      </c>
      <c r="J4109" t="n">
        <v>0</v>
      </c>
      <c r="K4109" t="n">
        <v>0</v>
      </c>
      <c r="L4109" t="n">
        <v>0</v>
      </c>
      <c r="M4109" t="n">
        <v>0</v>
      </c>
      <c r="N4109" t="n">
        <v>0</v>
      </c>
      <c r="O4109" t="n">
        <v>0</v>
      </c>
      <c r="P4109" t="n">
        <v>0</v>
      </c>
      <c r="Q4109" t="n">
        <v>0</v>
      </c>
      <c r="R4109" s="2" t="inlineStr"/>
    </row>
    <row r="4110" ht="15" customHeight="1">
      <c r="A4110" t="inlineStr">
        <is>
          <t>A 3203-2021</t>
        </is>
      </c>
      <c r="B4110" s="1" t="n">
        <v>44217</v>
      </c>
      <c r="C4110" s="1" t="n">
        <v>45715</v>
      </c>
      <c r="D4110" t="inlineStr">
        <is>
          <t>KALMAR LÄN</t>
        </is>
      </c>
      <c r="E4110" t="inlineStr">
        <is>
          <t>TORSÅS</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3241-2021</t>
        </is>
      </c>
      <c r="B4111" s="1" t="n">
        <v>44217</v>
      </c>
      <c r="C4111" s="1" t="n">
        <v>45715</v>
      </c>
      <c r="D4111" t="inlineStr">
        <is>
          <t>KALMAR LÄN</t>
        </is>
      </c>
      <c r="E4111" t="inlineStr">
        <is>
          <t>NYBRO</t>
        </is>
      </c>
      <c r="F4111" t="inlineStr">
        <is>
          <t>Sveaskog</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3290-2021</t>
        </is>
      </c>
      <c r="B4112" s="1" t="n">
        <v>44217</v>
      </c>
      <c r="C4112" s="1" t="n">
        <v>45715</v>
      </c>
      <c r="D4112" t="inlineStr">
        <is>
          <t>KALMAR LÄN</t>
        </is>
      </c>
      <c r="E4112" t="inlineStr">
        <is>
          <t>NYBRO</t>
        </is>
      </c>
      <c r="F4112" t="inlineStr">
        <is>
          <t>Sveaskog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3330-2021</t>
        </is>
      </c>
      <c r="B4113" s="1" t="n">
        <v>44217</v>
      </c>
      <c r="C4113" s="1" t="n">
        <v>45715</v>
      </c>
      <c r="D4113" t="inlineStr">
        <is>
          <t>KALMAR LÄN</t>
        </is>
      </c>
      <c r="E4113" t="inlineStr">
        <is>
          <t>VIMMERBY</t>
        </is>
      </c>
      <c r="G4113" t="n">
        <v>11.1</v>
      </c>
      <c r="H4113" t="n">
        <v>0</v>
      </c>
      <c r="I4113" t="n">
        <v>0</v>
      </c>
      <c r="J4113" t="n">
        <v>0</v>
      </c>
      <c r="K4113" t="n">
        <v>0</v>
      </c>
      <c r="L4113" t="n">
        <v>0</v>
      </c>
      <c r="M4113" t="n">
        <v>0</v>
      </c>
      <c r="N4113" t="n">
        <v>0</v>
      </c>
      <c r="O4113" t="n">
        <v>0</v>
      </c>
      <c r="P4113" t="n">
        <v>0</v>
      </c>
      <c r="Q4113" t="n">
        <v>0</v>
      </c>
      <c r="R4113" s="2" t="inlineStr"/>
    </row>
    <row r="4114" ht="15" customHeight="1">
      <c r="A4114" t="inlineStr">
        <is>
          <t>A 3129-2021</t>
        </is>
      </c>
      <c r="B4114" s="1" t="n">
        <v>44217</v>
      </c>
      <c r="C4114" s="1" t="n">
        <v>45715</v>
      </c>
      <c r="D4114" t="inlineStr">
        <is>
          <t>KALMAR LÄN</t>
        </is>
      </c>
      <c r="E4114" t="inlineStr">
        <is>
          <t>TORSÅS</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3236-2021</t>
        </is>
      </c>
      <c r="B4115" s="1" t="n">
        <v>44217</v>
      </c>
      <c r="C4115" s="1" t="n">
        <v>45715</v>
      </c>
      <c r="D4115" t="inlineStr">
        <is>
          <t>KALMAR LÄN</t>
        </is>
      </c>
      <c r="E4115" t="inlineStr">
        <is>
          <t>NYBRO</t>
        </is>
      </c>
      <c r="F4115" t="inlineStr">
        <is>
          <t>Sveaskog</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3254-2021</t>
        </is>
      </c>
      <c r="B4116" s="1" t="n">
        <v>44217</v>
      </c>
      <c r="C4116" s="1" t="n">
        <v>45715</v>
      </c>
      <c r="D4116" t="inlineStr">
        <is>
          <t>KALMAR LÄN</t>
        </is>
      </c>
      <c r="E4116" t="inlineStr">
        <is>
          <t>KALMAR</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3184-2021</t>
        </is>
      </c>
      <c r="B4117" s="1" t="n">
        <v>44217</v>
      </c>
      <c r="C4117" s="1" t="n">
        <v>45715</v>
      </c>
      <c r="D4117" t="inlineStr">
        <is>
          <t>KALMAR LÄN</t>
        </is>
      </c>
      <c r="E4117" t="inlineStr">
        <is>
          <t>VIMMERBY</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3555-2021</t>
        </is>
      </c>
      <c r="B4118" s="1" t="n">
        <v>44218</v>
      </c>
      <c r="C4118" s="1" t="n">
        <v>45715</v>
      </c>
      <c r="D4118" t="inlineStr">
        <is>
          <t>KALMAR LÄN</t>
        </is>
      </c>
      <c r="E4118" t="inlineStr">
        <is>
          <t>VÄSTERVIK</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3394-2021</t>
        </is>
      </c>
      <c r="B4119" s="1" t="n">
        <v>44218</v>
      </c>
      <c r="C4119" s="1" t="n">
        <v>45715</v>
      </c>
      <c r="D4119" t="inlineStr">
        <is>
          <t>KALMAR LÄN</t>
        </is>
      </c>
      <c r="E4119" t="inlineStr">
        <is>
          <t>KALMAR</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3471-2021</t>
        </is>
      </c>
      <c r="B4120" s="1" t="n">
        <v>44218</v>
      </c>
      <c r="C4120" s="1" t="n">
        <v>45715</v>
      </c>
      <c r="D4120" t="inlineStr">
        <is>
          <t>KALMAR LÄN</t>
        </is>
      </c>
      <c r="E4120" t="inlineStr">
        <is>
          <t>NYBRO</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3553-2021</t>
        </is>
      </c>
      <c r="B4121" s="1" t="n">
        <v>44218</v>
      </c>
      <c r="C4121" s="1" t="n">
        <v>45715</v>
      </c>
      <c r="D4121" t="inlineStr">
        <is>
          <t>KALMAR LÄN</t>
        </is>
      </c>
      <c r="E4121" t="inlineStr">
        <is>
          <t>VÄSTERVIK</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3492-2021</t>
        </is>
      </c>
      <c r="B4122" s="1" t="n">
        <v>44218</v>
      </c>
      <c r="C4122" s="1" t="n">
        <v>45715</v>
      </c>
      <c r="D4122" t="inlineStr">
        <is>
          <t>KALMAR LÄN</t>
        </is>
      </c>
      <c r="E4122" t="inlineStr">
        <is>
          <t>VÄSTERVIK</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4222-2021</t>
        </is>
      </c>
      <c r="B4123" s="1" t="n">
        <v>44218</v>
      </c>
      <c r="C4123" s="1" t="n">
        <v>45715</v>
      </c>
      <c r="D4123" t="inlineStr">
        <is>
          <t>KALMAR LÄN</t>
        </is>
      </c>
      <c r="E4123" t="inlineStr">
        <is>
          <t>HULTSFRED</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3357-2021</t>
        </is>
      </c>
      <c r="B4124" s="1" t="n">
        <v>44218</v>
      </c>
      <c r="C4124" s="1" t="n">
        <v>45715</v>
      </c>
      <c r="D4124" t="inlineStr">
        <is>
          <t>KALMAR LÄN</t>
        </is>
      </c>
      <c r="E4124" t="inlineStr">
        <is>
          <t>MÖNSTERÅS</t>
        </is>
      </c>
      <c r="G4124" t="n">
        <v>11.9</v>
      </c>
      <c r="H4124" t="n">
        <v>0</v>
      </c>
      <c r="I4124" t="n">
        <v>0</v>
      </c>
      <c r="J4124" t="n">
        <v>0</v>
      </c>
      <c r="K4124" t="n">
        <v>0</v>
      </c>
      <c r="L4124" t="n">
        <v>0</v>
      </c>
      <c r="M4124" t="n">
        <v>0</v>
      </c>
      <c r="N4124" t="n">
        <v>0</v>
      </c>
      <c r="O4124" t="n">
        <v>0</v>
      </c>
      <c r="P4124" t="n">
        <v>0</v>
      </c>
      <c r="Q4124" t="n">
        <v>0</v>
      </c>
      <c r="R4124" s="2" t="inlineStr"/>
    </row>
    <row r="4125" ht="15" customHeight="1">
      <c r="A4125" t="inlineStr">
        <is>
          <t>A 3580-2021</t>
        </is>
      </c>
      <c r="B4125" s="1" t="n">
        <v>44220</v>
      </c>
      <c r="C4125" s="1" t="n">
        <v>45715</v>
      </c>
      <c r="D4125" t="inlineStr">
        <is>
          <t>KALMAR LÄN</t>
        </is>
      </c>
      <c r="E4125" t="inlineStr">
        <is>
          <t>KALMAR</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3731-2021</t>
        </is>
      </c>
      <c r="B4126" s="1" t="n">
        <v>44221</v>
      </c>
      <c r="C4126" s="1" t="n">
        <v>45715</v>
      </c>
      <c r="D4126" t="inlineStr">
        <is>
          <t>KALMAR LÄN</t>
        </is>
      </c>
      <c r="E4126" t="inlineStr">
        <is>
          <t>MÖNSTERÅS</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3621-2021</t>
        </is>
      </c>
      <c r="B4127" s="1" t="n">
        <v>44221</v>
      </c>
      <c r="C4127" s="1" t="n">
        <v>45715</v>
      </c>
      <c r="D4127" t="inlineStr">
        <is>
          <t>KALMAR LÄN</t>
        </is>
      </c>
      <c r="E4127" t="inlineStr">
        <is>
          <t>VIMMERBY</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3669-2021</t>
        </is>
      </c>
      <c r="B4128" s="1" t="n">
        <v>44221</v>
      </c>
      <c r="C4128" s="1" t="n">
        <v>45715</v>
      </c>
      <c r="D4128" t="inlineStr">
        <is>
          <t>KALMAR LÄN</t>
        </is>
      </c>
      <c r="E4128" t="inlineStr">
        <is>
          <t>VÄSTERVIK</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3881-2021</t>
        </is>
      </c>
      <c r="B4129" s="1" t="n">
        <v>44222</v>
      </c>
      <c r="C4129" s="1" t="n">
        <v>45715</v>
      </c>
      <c r="D4129" t="inlineStr">
        <is>
          <t>KALMAR LÄN</t>
        </is>
      </c>
      <c r="E4129" t="inlineStr">
        <is>
          <t>OSKARSHAMN</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3963-2021</t>
        </is>
      </c>
      <c r="B4130" s="1" t="n">
        <v>44222</v>
      </c>
      <c r="C4130" s="1" t="n">
        <v>45715</v>
      </c>
      <c r="D4130" t="inlineStr">
        <is>
          <t>KALMAR LÄN</t>
        </is>
      </c>
      <c r="E4130" t="inlineStr">
        <is>
          <t>OSKARSHAMN</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3886-2021</t>
        </is>
      </c>
      <c r="B4131" s="1" t="n">
        <v>44222</v>
      </c>
      <c r="C4131" s="1" t="n">
        <v>45715</v>
      </c>
      <c r="D4131" t="inlineStr">
        <is>
          <t>KALMAR LÄN</t>
        </is>
      </c>
      <c r="E4131" t="inlineStr">
        <is>
          <t>EMMABODA</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3947-2021</t>
        </is>
      </c>
      <c r="B4132" s="1" t="n">
        <v>44222</v>
      </c>
      <c r="C4132" s="1" t="n">
        <v>45715</v>
      </c>
      <c r="D4132" t="inlineStr">
        <is>
          <t>KALMAR LÄN</t>
        </is>
      </c>
      <c r="E4132" t="inlineStr">
        <is>
          <t>OSKARSHAMN</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4011-2021</t>
        </is>
      </c>
      <c r="B4133" s="1" t="n">
        <v>44222</v>
      </c>
      <c r="C4133" s="1" t="n">
        <v>45715</v>
      </c>
      <c r="D4133" t="inlineStr">
        <is>
          <t>KALMAR LÄN</t>
        </is>
      </c>
      <c r="E4133" t="inlineStr">
        <is>
          <t>NYBRO</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3877-2021</t>
        </is>
      </c>
      <c r="B4134" s="1" t="n">
        <v>44222</v>
      </c>
      <c r="C4134" s="1" t="n">
        <v>45715</v>
      </c>
      <c r="D4134" t="inlineStr">
        <is>
          <t>KALMAR LÄN</t>
        </is>
      </c>
      <c r="E4134" t="inlineStr">
        <is>
          <t>MÖNSTERÅS</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4142-2021</t>
        </is>
      </c>
      <c r="B4135" s="1" t="n">
        <v>44223</v>
      </c>
      <c r="C4135" s="1" t="n">
        <v>45715</v>
      </c>
      <c r="D4135" t="inlineStr">
        <is>
          <t>KALMAR LÄN</t>
        </is>
      </c>
      <c r="E4135" t="inlineStr">
        <is>
          <t>EMMABODA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4398-2021</t>
        </is>
      </c>
      <c r="B4136" s="1" t="n">
        <v>44223</v>
      </c>
      <c r="C4136" s="1" t="n">
        <v>45715</v>
      </c>
      <c r="D4136" t="inlineStr">
        <is>
          <t>KALMAR LÄN</t>
        </is>
      </c>
      <c r="E4136" t="inlineStr">
        <is>
          <t>NYBRO</t>
        </is>
      </c>
      <c r="G4136" t="n">
        <v>6.1</v>
      </c>
      <c r="H4136" t="n">
        <v>0</v>
      </c>
      <c r="I4136" t="n">
        <v>0</v>
      </c>
      <c r="J4136" t="n">
        <v>0</v>
      </c>
      <c r="K4136" t="n">
        <v>0</v>
      </c>
      <c r="L4136" t="n">
        <v>0</v>
      </c>
      <c r="M4136" t="n">
        <v>0</v>
      </c>
      <c r="N4136" t="n">
        <v>0</v>
      </c>
      <c r="O4136" t="n">
        <v>0</v>
      </c>
      <c r="P4136" t="n">
        <v>0</v>
      </c>
      <c r="Q4136" t="n">
        <v>0</v>
      </c>
      <c r="R4136" s="2" t="inlineStr"/>
    </row>
    <row r="4137" ht="15" customHeight="1">
      <c r="A4137" t="inlineStr">
        <is>
          <t>A 4321-2021</t>
        </is>
      </c>
      <c r="B4137" s="1" t="n">
        <v>44223</v>
      </c>
      <c r="C4137" s="1" t="n">
        <v>45715</v>
      </c>
      <c r="D4137" t="inlineStr">
        <is>
          <t>KALMAR LÄN</t>
        </is>
      </c>
      <c r="E4137" t="inlineStr">
        <is>
          <t>MÖNSTERÅS</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4343-2021</t>
        </is>
      </c>
      <c r="B4138" s="1" t="n">
        <v>44223</v>
      </c>
      <c r="C4138" s="1" t="n">
        <v>45715</v>
      </c>
      <c r="D4138" t="inlineStr">
        <is>
          <t>KALMAR LÄN</t>
        </is>
      </c>
      <c r="E4138" t="inlineStr">
        <is>
          <t>MÖNSTERÅS</t>
        </is>
      </c>
      <c r="G4138" t="n">
        <v>7.6</v>
      </c>
      <c r="H4138" t="n">
        <v>0</v>
      </c>
      <c r="I4138" t="n">
        <v>0</v>
      </c>
      <c r="J4138" t="n">
        <v>0</v>
      </c>
      <c r="K4138" t="n">
        <v>0</v>
      </c>
      <c r="L4138" t="n">
        <v>0</v>
      </c>
      <c r="M4138" t="n">
        <v>0</v>
      </c>
      <c r="N4138" t="n">
        <v>0</v>
      </c>
      <c r="O4138" t="n">
        <v>0</v>
      </c>
      <c r="P4138" t="n">
        <v>0</v>
      </c>
      <c r="Q4138" t="n">
        <v>0</v>
      </c>
      <c r="R4138" s="2" t="inlineStr"/>
    </row>
    <row r="4139" ht="15" customHeight="1">
      <c r="A4139" t="inlineStr">
        <is>
          <t>A 4318-2021</t>
        </is>
      </c>
      <c r="B4139" s="1" t="n">
        <v>44223</v>
      </c>
      <c r="C4139" s="1" t="n">
        <v>45715</v>
      </c>
      <c r="D4139" t="inlineStr">
        <is>
          <t>KALMAR LÄN</t>
        </is>
      </c>
      <c r="E4139" t="inlineStr">
        <is>
          <t>HULTSFRED</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4368-2021</t>
        </is>
      </c>
      <c r="B4140" s="1" t="n">
        <v>44223</v>
      </c>
      <c r="C4140" s="1" t="n">
        <v>45715</v>
      </c>
      <c r="D4140" t="inlineStr">
        <is>
          <t>KALMAR LÄN</t>
        </is>
      </c>
      <c r="E4140" t="inlineStr">
        <is>
          <t>MÖNSTERÅS</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4139-2021</t>
        </is>
      </c>
      <c r="B4141" s="1" t="n">
        <v>44223</v>
      </c>
      <c r="C4141" s="1" t="n">
        <v>45715</v>
      </c>
      <c r="D4141" t="inlineStr">
        <is>
          <t>KALMAR LÄN</t>
        </is>
      </c>
      <c r="E4141" t="inlineStr">
        <is>
          <t>EMMABODA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4378-2021</t>
        </is>
      </c>
      <c r="B4142" s="1" t="n">
        <v>44223</v>
      </c>
      <c r="C4142" s="1" t="n">
        <v>45715</v>
      </c>
      <c r="D4142" t="inlineStr">
        <is>
          <t>KALMAR LÄN</t>
        </is>
      </c>
      <c r="E4142" t="inlineStr">
        <is>
          <t>NYBRO</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4401-2021</t>
        </is>
      </c>
      <c r="B4143" s="1" t="n">
        <v>44223</v>
      </c>
      <c r="C4143" s="1" t="n">
        <v>45715</v>
      </c>
      <c r="D4143" t="inlineStr">
        <is>
          <t>KALMAR LÄN</t>
        </is>
      </c>
      <c r="E4143" t="inlineStr">
        <is>
          <t>NYBRO</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4407-2021</t>
        </is>
      </c>
      <c r="B4144" s="1" t="n">
        <v>44223</v>
      </c>
      <c r="C4144" s="1" t="n">
        <v>45715</v>
      </c>
      <c r="D4144" t="inlineStr">
        <is>
          <t>KALMAR LÄN</t>
        </is>
      </c>
      <c r="E4144" t="inlineStr">
        <is>
          <t>HULTSFRED</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4413-2021</t>
        </is>
      </c>
      <c r="B4145" s="1" t="n">
        <v>44223</v>
      </c>
      <c r="C4145" s="1" t="n">
        <v>45715</v>
      </c>
      <c r="D4145" t="inlineStr">
        <is>
          <t>KALMAR LÄN</t>
        </is>
      </c>
      <c r="E4145" t="inlineStr">
        <is>
          <t>HULTSFRED</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4523-2021</t>
        </is>
      </c>
      <c r="B4146" s="1" t="n">
        <v>44224</v>
      </c>
      <c r="C4146" s="1" t="n">
        <v>45715</v>
      </c>
      <c r="D4146" t="inlineStr">
        <is>
          <t>KALMAR LÄN</t>
        </is>
      </c>
      <c r="E4146" t="inlineStr">
        <is>
          <t>NYBRO</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4505-2021</t>
        </is>
      </c>
      <c r="B4147" s="1" t="n">
        <v>44224</v>
      </c>
      <c r="C4147" s="1" t="n">
        <v>45715</v>
      </c>
      <c r="D4147" t="inlineStr">
        <is>
          <t>KALMAR LÄN</t>
        </is>
      </c>
      <c r="E4147" t="inlineStr">
        <is>
          <t>HÖGSBY</t>
        </is>
      </c>
      <c r="G4147" t="n">
        <v>12.1</v>
      </c>
      <c r="H4147" t="n">
        <v>0</v>
      </c>
      <c r="I4147" t="n">
        <v>0</v>
      </c>
      <c r="J4147" t="n">
        <v>0</v>
      </c>
      <c r="K4147" t="n">
        <v>0</v>
      </c>
      <c r="L4147" t="n">
        <v>0</v>
      </c>
      <c r="M4147" t="n">
        <v>0</v>
      </c>
      <c r="N4147" t="n">
        <v>0</v>
      </c>
      <c r="O4147" t="n">
        <v>0</v>
      </c>
      <c r="P4147" t="n">
        <v>0</v>
      </c>
      <c r="Q4147" t="n">
        <v>0</v>
      </c>
      <c r="R4147" s="2" t="inlineStr"/>
    </row>
    <row r="4148" ht="15" customHeight="1">
      <c r="A4148" t="inlineStr">
        <is>
          <t>A 4567-2021</t>
        </is>
      </c>
      <c r="B4148" s="1" t="n">
        <v>44224</v>
      </c>
      <c r="C4148" s="1" t="n">
        <v>45715</v>
      </c>
      <c r="D4148" t="inlineStr">
        <is>
          <t>KALMAR LÄN</t>
        </is>
      </c>
      <c r="E4148" t="inlineStr">
        <is>
          <t>MÖNSTERÅS</t>
        </is>
      </c>
      <c r="G4148" t="n">
        <v>7.5</v>
      </c>
      <c r="H4148" t="n">
        <v>0</v>
      </c>
      <c r="I4148" t="n">
        <v>0</v>
      </c>
      <c r="J4148" t="n">
        <v>0</v>
      </c>
      <c r="K4148" t="n">
        <v>0</v>
      </c>
      <c r="L4148" t="n">
        <v>0</v>
      </c>
      <c r="M4148" t="n">
        <v>0</v>
      </c>
      <c r="N4148" t="n">
        <v>0</v>
      </c>
      <c r="O4148" t="n">
        <v>0</v>
      </c>
      <c r="P4148" t="n">
        <v>0</v>
      </c>
      <c r="Q4148" t="n">
        <v>0</v>
      </c>
      <c r="R4148" s="2" t="inlineStr"/>
    </row>
    <row r="4149" ht="15" customHeight="1">
      <c r="A4149" t="inlineStr">
        <is>
          <t>A 4514-2021</t>
        </is>
      </c>
      <c r="B4149" s="1" t="n">
        <v>44224</v>
      </c>
      <c r="C4149" s="1" t="n">
        <v>45715</v>
      </c>
      <c r="D4149" t="inlineStr">
        <is>
          <t>KALMAR LÄN</t>
        </is>
      </c>
      <c r="E4149" t="inlineStr">
        <is>
          <t>NYBRO</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4493-2021</t>
        </is>
      </c>
      <c r="B4150" s="1" t="n">
        <v>44224</v>
      </c>
      <c r="C4150" s="1" t="n">
        <v>45715</v>
      </c>
      <c r="D4150" t="inlineStr">
        <is>
          <t>KALMAR LÄN</t>
        </is>
      </c>
      <c r="E4150" t="inlineStr">
        <is>
          <t>TORSÅS</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4566-2021</t>
        </is>
      </c>
      <c r="B4151" s="1" t="n">
        <v>44224</v>
      </c>
      <c r="C4151" s="1" t="n">
        <v>45715</v>
      </c>
      <c r="D4151" t="inlineStr">
        <is>
          <t>KALMAR LÄN</t>
        </is>
      </c>
      <c r="E4151" t="inlineStr">
        <is>
          <t>HÖGSBY</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4701-2021</t>
        </is>
      </c>
      <c r="B4152" s="1" t="n">
        <v>44225</v>
      </c>
      <c r="C4152" s="1" t="n">
        <v>45715</v>
      </c>
      <c r="D4152" t="inlineStr">
        <is>
          <t>KALMAR LÄN</t>
        </is>
      </c>
      <c r="E4152" t="inlineStr">
        <is>
          <t>EMMABODA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4714-2021</t>
        </is>
      </c>
      <c r="B4153" s="1" t="n">
        <v>44225</v>
      </c>
      <c r="C4153" s="1" t="n">
        <v>45715</v>
      </c>
      <c r="D4153" t="inlineStr">
        <is>
          <t>KALMAR LÄN</t>
        </is>
      </c>
      <c r="E4153" t="inlineStr">
        <is>
          <t>NYBRO</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4872-2021</t>
        </is>
      </c>
      <c r="B4154" s="1" t="n">
        <v>44225</v>
      </c>
      <c r="C4154" s="1" t="n">
        <v>45715</v>
      </c>
      <c r="D4154" t="inlineStr">
        <is>
          <t>KALMAR LÄN</t>
        </is>
      </c>
      <c r="E4154" t="inlineStr">
        <is>
          <t>NYBRO</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4878-2021</t>
        </is>
      </c>
      <c r="B4155" s="1" t="n">
        <v>44225</v>
      </c>
      <c r="C4155" s="1" t="n">
        <v>45715</v>
      </c>
      <c r="D4155" t="inlineStr">
        <is>
          <t>KALMAR LÄN</t>
        </is>
      </c>
      <c r="E4155" t="inlineStr">
        <is>
          <t>BORGHOLM</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4762-2021</t>
        </is>
      </c>
      <c r="B4156" s="1" t="n">
        <v>44225</v>
      </c>
      <c r="C4156" s="1" t="n">
        <v>45715</v>
      </c>
      <c r="D4156" t="inlineStr">
        <is>
          <t>KALMAR LÄN</t>
        </is>
      </c>
      <c r="E4156" t="inlineStr">
        <is>
          <t>VIMMERBY</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4963-2021</t>
        </is>
      </c>
      <c r="B4157" s="1" t="n">
        <v>44228</v>
      </c>
      <c r="C4157" s="1" t="n">
        <v>45715</v>
      </c>
      <c r="D4157" t="inlineStr">
        <is>
          <t>KALMAR LÄN</t>
        </is>
      </c>
      <c r="E4157" t="inlineStr">
        <is>
          <t>EMMABODA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4958-2021</t>
        </is>
      </c>
      <c r="B4158" s="1" t="n">
        <v>44228</v>
      </c>
      <c r="C4158" s="1" t="n">
        <v>45715</v>
      </c>
      <c r="D4158" t="inlineStr">
        <is>
          <t>KALMAR LÄN</t>
        </is>
      </c>
      <c r="E4158" t="inlineStr">
        <is>
          <t>TORSÅS</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4989-2021</t>
        </is>
      </c>
      <c r="B4159" s="1" t="n">
        <v>44228</v>
      </c>
      <c r="C4159" s="1" t="n">
        <v>45715</v>
      </c>
      <c r="D4159" t="inlineStr">
        <is>
          <t>KALMAR LÄN</t>
        </is>
      </c>
      <c r="E4159" t="inlineStr">
        <is>
          <t>EMMABODA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5198-2021</t>
        </is>
      </c>
      <c r="B4160" s="1" t="n">
        <v>44228</v>
      </c>
      <c r="C4160" s="1" t="n">
        <v>45715</v>
      </c>
      <c r="D4160" t="inlineStr">
        <is>
          <t>KALMAR LÄN</t>
        </is>
      </c>
      <c r="E4160" t="inlineStr">
        <is>
          <t>OSKARSHAMN</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5423-2021</t>
        </is>
      </c>
      <c r="B4161" s="1" t="n">
        <v>44229</v>
      </c>
      <c r="C4161" s="1" t="n">
        <v>45715</v>
      </c>
      <c r="D4161" t="inlineStr">
        <is>
          <t>KALMAR LÄN</t>
        </is>
      </c>
      <c r="E4161" t="inlineStr">
        <is>
          <t>HULTSFRED</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5350-2021</t>
        </is>
      </c>
      <c r="B4162" s="1" t="n">
        <v>44229</v>
      </c>
      <c r="C4162" s="1" t="n">
        <v>45715</v>
      </c>
      <c r="D4162" t="inlineStr">
        <is>
          <t>KALMAR LÄN</t>
        </is>
      </c>
      <c r="E4162" t="inlineStr">
        <is>
          <t>KALMAR</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5510-2021</t>
        </is>
      </c>
      <c r="B4163" s="1" t="n">
        <v>44230</v>
      </c>
      <c r="C4163" s="1" t="n">
        <v>45715</v>
      </c>
      <c r="D4163" t="inlineStr">
        <is>
          <t>KALMAR LÄN</t>
        </is>
      </c>
      <c r="E4163" t="inlineStr">
        <is>
          <t>VÄSTERVIK</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5604-2021</t>
        </is>
      </c>
      <c r="B4164" s="1" t="n">
        <v>44230</v>
      </c>
      <c r="C4164" s="1" t="n">
        <v>45715</v>
      </c>
      <c r="D4164" t="inlineStr">
        <is>
          <t>KALMAR LÄN</t>
        </is>
      </c>
      <c r="E4164" t="inlineStr">
        <is>
          <t>MÖNSTERÅS</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5615-2021</t>
        </is>
      </c>
      <c r="B4165" s="1" t="n">
        <v>44230</v>
      </c>
      <c r="C4165" s="1" t="n">
        <v>45715</v>
      </c>
      <c r="D4165" t="inlineStr">
        <is>
          <t>KALMAR LÄN</t>
        </is>
      </c>
      <c r="E4165" t="inlineStr">
        <is>
          <t>KALMAR</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5689-2021</t>
        </is>
      </c>
      <c r="B4166" s="1" t="n">
        <v>44230</v>
      </c>
      <c r="C4166" s="1" t="n">
        <v>45715</v>
      </c>
      <c r="D4166" t="inlineStr">
        <is>
          <t>KALMAR LÄN</t>
        </is>
      </c>
      <c r="E4166" t="inlineStr">
        <is>
          <t>VIMMERBY</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5709-2021</t>
        </is>
      </c>
      <c r="B4167" s="1" t="n">
        <v>44230</v>
      </c>
      <c r="C4167" s="1" t="n">
        <v>45715</v>
      </c>
      <c r="D4167" t="inlineStr">
        <is>
          <t>KALMAR LÄN</t>
        </is>
      </c>
      <c r="E4167" t="inlineStr">
        <is>
          <t>NYBRO</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5619-2021</t>
        </is>
      </c>
      <c r="B4168" s="1" t="n">
        <v>44230</v>
      </c>
      <c r="C4168" s="1" t="n">
        <v>45715</v>
      </c>
      <c r="D4168" t="inlineStr">
        <is>
          <t>KALMAR LÄN</t>
        </is>
      </c>
      <c r="E4168" t="inlineStr">
        <is>
          <t>KALMAR</t>
        </is>
      </c>
      <c r="G4168" t="n">
        <v>0.1</v>
      </c>
      <c r="H4168" t="n">
        <v>0</v>
      </c>
      <c r="I4168" t="n">
        <v>0</v>
      </c>
      <c r="J4168" t="n">
        <v>0</v>
      </c>
      <c r="K4168" t="n">
        <v>0</v>
      </c>
      <c r="L4168" t="n">
        <v>0</v>
      </c>
      <c r="M4168" t="n">
        <v>0</v>
      </c>
      <c r="N4168" t="n">
        <v>0</v>
      </c>
      <c r="O4168" t="n">
        <v>0</v>
      </c>
      <c r="P4168" t="n">
        <v>0</v>
      </c>
      <c r="Q4168" t="n">
        <v>0</v>
      </c>
      <c r="R4168" s="2" t="inlineStr"/>
    </row>
    <row r="4169" ht="15" customHeight="1">
      <c r="A4169" t="inlineStr">
        <is>
          <t>A 5654-2021</t>
        </is>
      </c>
      <c r="B4169" s="1" t="n">
        <v>44230</v>
      </c>
      <c r="C4169" s="1" t="n">
        <v>45715</v>
      </c>
      <c r="D4169" t="inlineStr">
        <is>
          <t>KALMAR LÄN</t>
        </is>
      </c>
      <c r="E4169" t="inlineStr">
        <is>
          <t>VIMMERBY</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5539-2021</t>
        </is>
      </c>
      <c r="B4170" s="1" t="n">
        <v>44230</v>
      </c>
      <c r="C4170" s="1" t="n">
        <v>45715</v>
      </c>
      <c r="D4170" t="inlineStr">
        <is>
          <t>KALMAR LÄN</t>
        </is>
      </c>
      <c r="E4170" t="inlineStr">
        <is>
          <t>HÖGSBY</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5575-2021</t>
        </is>
      </c>
      <c r="B4171" s="1" t="n">
        <v>44230</v>
      </c>
      <c r="C4171" s="1" t="n">
        <v>45715</v>
      </c>
      <c r="D4171" t="inlineStr">
        <is>
          <t>KALMAR LÄN</t>
        </is>
      </c>
      <c r="E4171" t="inlineStr">
        <is>
          <t>VÄSTERVIK</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5741-2021</t>
        </is>
      </c>
      <c r="B4172" s="1" t="n">
        <v>44230</v>
      </c>
      <c r="C4172" s="1" t="n">
        <v>45715</v>
      </c>
      <c r="D4172" t="inlineStr">
        <is>
          <t>KALMAR LÄN</t>
        </is>
      </c>
      <c r="E4172" t="inlineStr">
        <is>
          <t>KALMAR</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5751-2021</t>
        </is>
      </c>
      <c r="B4173" s="1" t="n">
        <v>44230</v>
      </c>
      <c r="C4173" s="1" t="n">
        <v>45715</v>
      </c>
      <c r="D4173" t="inlineStr">
        <is>
          <t>KALMAR LÄN</t>
        </is>
      </c>
      <c r="E4173" t="inlineStr">
        <is>
          <t>KALMAR</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5759-2021</t>
        </is>
      </c>
      <c r="B4174" s="1" t="n">
        <v>44230</v>
      </c>
      <c r="C4174" s="1" t="n">
        <v>45715</v>
      </c>
      <c r="D4174" t="inlineStr">
        <is>
          <t>KALMAR LÄN</t>
        </is>
      </c>
      <c r="E4174" t="inlineStr">
        <is>
          <t>KALMAR</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5742-2021</t>
        </is>
      </c>
      <c r="B4175" s="1" t="n">
        <v>44230</v>
      </c>
      <c r="C4175" s="1" t="n">
        <v>45715</v>
      </c>
      <c r="D4175" t="inlineStr">
        <is>
          <t>KALMAR LÄN</t>
        </is>
      </c>
      <c r="E4175" t="inlineStr">
        <is>
          <t>KALMAR</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5940-2021</t>
        </is>
      </c>
      <c r="B4176" s="1" t="n">
        <v>44231</v>
      </c>
      <c r="C4176" s="1" t="n">
        <v>45715</v>
      </c>
      <c r="D4176" t="inlineStr">
        <is>
          <t>KALMAR LÄN</t>
        </is>
      </c>
      <c r="E4176" t="inlineStr">
        <is>
          <t>NYBRO</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5925-2021</t>
        </is>
      </c>
      <c r="B4177" s="1" t="n">
        <v>44231</v>
      </c>
      <c r="C4177" s="1" t="n">
        <v>45715</v>
      </c>
      <c r="D4177" t="inlineStr">
        <is>
          <t>KALMAR LÄN</t>
        </is>
      </c>
      <c r="E4177" t="inlineStr">
        <is>
          <t>NYBRO</t>
        </is>
      </c>
      <c r="F4177" t="inlineStr">
        <is>
          <t>Sveaskog</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6120-2021</t>
        </is>
      </c>
      <c r="B4178" s="1" t="n">
        <v>44232</v>
      </c>
      <c r="C4178" s="1" t="n">
        <v>45715</v>
      </c>
      <c r="D4178" t="inlineStr">
        <is>
          <t>KALMAR LÄN</t>
        </is>
      </c>
      <c r="E4178" t="inlineStr">
        <is>
          <t>OSKARSHAMN</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6235-2021</t>
        </is>
      </c>
      <c r="B4179" s="1" t="n">
        <v>44235</v>
      </c>
      <c r="C4179" s="1" t="n">
        <v>45715</v>
      </c>
      <c r="D4179" t="inlineStr">
        <is>
          <t>KALMAR LÄN</t>
        </is>
      </c>
      <c r="E4179" t="inlineStr">
        <is>
          <t>HULTSFRED</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6297-2021</t>
        </is>
      </c>
      <c r="B4180" s="1" t="n">
        <v>44235</v>
      </c>
      <c r="C4180" s="1" t="n">
        <v>45715</v>
      </c>
      <c r="D4180" t="inlineStr">
        <is>
          <t>KALMAR LÄN</t>
        </is>
      </c>
      <c r="E4180" t="inlineStr">
        <is>
          <t>EMMABODA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6485-2021</t>
        </is>
      </c>
      <c r="B4181" s="1" t="n">
        <v>44235</v>
      </c>
      <c r="C4181" s="1" t="n">
        <v>45715</v>
      </c>
      <c r="D4181" t="inlineStr">
        <is>
          <t>KALMAR LÄN</t>
        </is>
      </c>
      <c r="E4181" t="inlineStr">
        <is>
          <t>EMMABODA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6267-2021</t>
        </is>
      </c>
      <c r="B4182" s="1" t="n">
        <v>44235</v>
      </c>
      <c r="C4182" s="1" t="n">
        <v>45715</v>
      </c>
      <c r="D4182" t="inlineStr">
        <is>
          <t>KALMAR LÄN</t>
        </is>
      </c>
      <c r="E4182" t="inlineStr">
        <is>
          <t>TORSÅS</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6547-2021</t>
        </is>
      </c>
      <c r="B4183" s="1" t="n">
        <v>44236</v>
      </c>
      <c r="C4183" s="1" t="n">
        <v>45715</v>
      </c>
      <c r="D4183" t="inlineStr">
        <is>
          <t>KALMAR LÄN</t>
        </is>
      </c>
      <c r="E4183" t="inlineStr">
        <is>
          <t>HULTSFRED</t>
        </is>
      </c>
      <c r="F4183" t="inlineStr">
        <is>
          <t>Sveaskog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6627-2021</t>
        </is>
      </c>
      <c r="B4184" s="1" t="n">
        <v>44236</v>
      </c>
      <c r="C4184" s="1" t="n">
        <v>45715</v>
      </c>
      <c r="D4184" t="inlineStr">
        <is>
          <t>KALMAR LÄN</t>
        </is>
      </c>
      <c r="E4184" t="inlineStr">
        <is>
          <t>VÄSTERVIK</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6616-2021</t>
        </is>
      </c>
      <c r="B4185" s="1" t="n">
        <v>44236</v>
      </c>
      <c r="C4185" s="1" t="n">
        <v>45715</v>
      </c>
      <c r="D4185" t="inlineStr">
        <is>
          <t>KALMAR LÄN</t>
        </is>
      </c>
      <c r="E4185" t="inlineStr">
        <is>
          <t>VÄSTERVIK</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6660-2021</t>
        </is>
      </c>
      <c r="B4186" s="1" t="n">
        <v>44236</v>
      </c>
      <c r="C4186" s="1" t="n">
        <v>45715</v>
      </c>
      <c r="D4186" t="inlineStr">
        <is>
          <t>KALMAR LÄN</t>
        </is>
      </c>
      <c r="E4186" t="inlineStr">
        <is>
          <t>NYBRO</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6672-2021</t>
        </is>
      </c>
      <c r="B4187" s="1" t="n">
        <v>44236</v>
      </c>
      <c r="C4187" s="1" t="n">
        <v>45715</v>
      </c>
      <c r="D4187" t="inlineStr">
        <is>
          <t>KALMAR LÄN</t>
        </is>
      </c>
      <c r="E4187" t="inlineStr">
        <is>
          <t>NYBRO</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6732-2021</t>
        </is>
      </c>
      <c r="B4188" s="1" t="n">
        <v>44236</v>
      </c>
      <c r="C4188" s="1" t="n">
        <v>45715</v>
      </c>
      <c r="D4188" t="inlineStr">
        <is>
          <t>KALMAR LÄN</t>
        </is>
      </c>
      <c r="E4188" t="inlineStr">
        <is>
          <t>KALMAR</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6724-2021</t>
        </is>
      </c>
      <c r="B4189" s="1" t="n">
        <v>44236</v>
      </c>
      <c r="C4189" s="1" t="n">
        <v>45715</v>
      </c>
      <c r="D4189" t="inlineStr">
        <is>
          <t>KALMAR LÄN</t>
        </is>
      </c>
      <c r="E4189" t="inlineStr">
        <is>
          <t>KALMAR</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6719-2021</t>
        </is>
      </c>
      <c r="B4190" s="1" t="n">
        <v>44236</v>
      </c>
      <c r="C4190" s="1" t="n">
        <v>45715</v>
      </c>
      <c r="D4190" t="inlineStr">
        <is>
          <t>KALMAR LÄN</t>
        </is>
      </c>
      <c r="E4190" t="inlineStr">
        <is>
          <t>KALMAR</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6756-2021</t>
        </is>
      </c>
      <c r="B4191" s="1" t="n">
        <v>44236</v>
      </c>
      <c r="C4191" s="1" t="n">
        <v>45715</v>
      </c>
      <c r="D4191" t="inlineStr">
        <is>
          <t>KALMAR LÄN</t>
        </is>
      </c>
      <c r="E4191" t="inlineStr">
        <is>
          <t>KALMAR</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6790-2021</t>
        </is>
      </c>
      <c r="B4192" s="1" t="n">
        <v>44236</v>
      </c>
      <c r="C4192" s="1" t="n">
        <v>45715</v>
      </c>
      <c r="D4192" t="inlineStr">
        <is>
          <t>KALMAR LÄN</t>
        </is>
      </c>
      <c r="E4192" t="inlineStr">
        <is>
          <t>EMMABODA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6759-2021</t>
        </is>
      </c>
      <c r="B4193" s="1" t="n">
        <v>44236</v>
      </c>
      <c r="C4193" s="1" t="n">
        <v>45715</v>
      </c>
      <c r="D4193" t="inlineStr">
        <is>
          <t>KALMAR LÄN</t>
        </is>
      </c>
      <c r="E4193" t="inlineStr">
        <is>
          <t>NYBRO</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6787-2021</t>
        </is>
      </c>
      <c r="B4194" s="1" t="n">
        <v>44236</v>
      </c>
      <c r="C4194" s="1" t="n">
        <v>45715</v>
      </c>
      <c r="D4194" t="inlineStr">
        <is>
          <t>KALMAR LÄN</t>
        </is>
      </c>
      <c r="E4194" t="inlineStr">
        <is>
          <t>EMMABODA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7072-2021</t>
        </is>
      </c>
      <c r="B4195" s="1" t="n">
        <v>44237</v>
      </c>
      <c r="C4195" s="1" t="n">
        <v>45715</v>
      </c>
      <c r="D4195" t="inlineStr">
        <is>
          <t>KALMAR LÄN</t>
        </is>
      </c>
      <c r="E4195" t="inlineStr">
        <is>
          <t>VIMMERBY</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6974-2021</t>
        </is>
      </c>
      <c r="B4196" s="1" t="n">
        <v>44237</v>
      </c>
      <c r="C4196" s="1" t="n">
        <v>45715</v>
      </c>
      <c r="D4196" t="inlineStr">
        <is>
          <t>KALMAR LÄN</t>
        </is>
      </c>
      <c r="E4196" t="inlineStr">
        <is>
          <t>VÄSTERVIK</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7075-2021</t>
        </is>
      </c>
      <c r="B4197" s="1" t="n">
        <v>44237</v>
      </c>
      <c r="C4197" s="1" t="n">
        <v>45715</v>
      </c>
      <c r="D4197" t="inlineStr">
        <is>
          <t>KALMAR LÄN</t>
        </is>
      </c>
      <c r="E4197" t="inlineStr">
        <is>
          <t>VIMMERBY</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7134-2021</t>
        </is>
      </c>
      <c r="B4198" s="1" t="n">
        <v>44238</v>
      </c>
      <c r="C4198" s="1" t="n">
        <v>45715</v>
      </c>
      <c r="D4198" t="inlineStr">
        <is>
          <t>KALMAR LÄN</t>
        </is>
      </c>
      <c r="E4198" t="inlineStr">
        <is>
          <t>KALMAR</t>
        </is>
      </c>
      <c r="G4198" t="n">
        <v>8.199999999999999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7136-2021</t>
        </is>
      </c>
      <c r="B4199" s="1" t="n">
        <v>44238</v>
      </c>
      <c r="C4199" s="1" t="n">
        <v>45715</v>
      </c>
      <c r="D4199" t="inlineStr">
        <is>
          <t>KALMAR LÄN</t>
        </is>
      </c>
      <c r="E4199" t="inlineStr">
        <is>
          <t>EMMABODA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7515-2021</t>
        </is>
      </c>
      <c r="B4200" s="1" t="n">
        <v>44238</v>
      </c>
      <c r="C4200" s="1" t="n">
        <v>45715</v>
      </c>
      <c r="D4200" t="inlineStr">
        <is>
          <t>KALMAR LÄN</t>
        </is>
      </c>
      <c r="E4200" t="inlineStr">
        <is>
          <t>VIMMERBY</t>
        </is>
      </c>
      <c r="G4200" t="n">
        <v>20.9</v>
      </c>
      <c r="H4200" t="n">
        <v>0</v>
      </c>
      <c r="I4200" t="n">
        <v>0</v>
      </c>
      <c r="J4200" t="n">
        <v>0</v>
      </c>
      <c r="K4200" t="n">
        <v>0</v>
      </c>
      <c r="L4200" t="n">
        <v>0</v>
      </c>
      <c r="M4200" t="n">
        <v>0</v>
      </c>
      <c r="N4200" t="n">
        <v>0</v>
      </c>
      <c r="O4200" t="n">
        <v>0</v>
      </c>
      <c r="P4200" t="n">
        <v>0</v>
      </c>
      <c r="Q4200" t="n">
        <v>0</v>
      </c>
      <c r="R4200" s="2" t="inlineStr"/>
    </row>
    <row r="4201" ht="15" customHeight="1">
      <c r="A4201" t="inlineStr">
        <is>
          <t>A 7489-2021</t>
        </is>
      </c>
      <c r="B4201" s="1" t="n">
        <v>44238</v>
      </c>
      <c r="C4201" s="1" t="n">
        <v>45715</v>
      </c>
      <c r="D4201" t="inlineStr">
        <is>
          <t>KALMAR LÄN</t>
        </is>
      </c>
      <c r="E4201" t="inlineStr">
        <is>
          <t>EMMABODA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7516-2021</t>
        </is>
      </c>
      <c r="B4202" s="1" t="n">
        <v>44239</v>
      </c>
      <c r="C4202" s="1" t="n">
        <v>45715</v>
      </c>
      <c r="D4202" t="inlineStr">
        <is>
          <t>KALMAR LÄN</t>
        </is>
      </c>
      <c r="E4202" t="inlineStr">
        <is>
          <t>EMMABODA</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7511-2021</t>
        </is>
      </c>
      <c r="B4203" s="1" t="n">
        <v>44239</v>
      </c>
      <c r="C4203" s="1" t="n">
        <v>45715</v>
      </c>
      <c r="D4203" t="inlineStr">
        <is>
          <t>KALMAR LÄN</t>
        </is>
      </c>
      <c r="E4203" t="inlineStr">
        <is>
          <t>EMMABODA</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7426-2021</t>
        </is>
      </c>
      <c r="B4204" s="1" t="n">
        <v>44239</v>
      </c>
      <c r="C4204" s="1" t="n">
        <v>45715</v>
      </c>
      <c r="D4204" t="inlineStr">
        <is>
          <t>KALMAR LÄN</t>
        </is>
      </c>
      <c r="E4204" t="inlineStr">
        <is>
          <t>EMMABODA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7330-2021</t>
        </is>
      </c>
      <c r="B4205" s="1" t="n">
        <v>44239</v>
      </c>
      <c r="C4205" s="1" t="n">
        <v>45715</v>
      </c>
      <c r="D4205" t="inlineStr">
        <is>
          <t>KALMAR LÄN</t>
        </is>
      </c>
      <c r="E4205" t="inlineStr">
        <is>
          <t>EMMABODA</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7754-2021</t>
        </is>
      </c>
      <c r="B4206" s="1" t="n">
        <v>44239</v>
      </c>
      <c r="C4206" s="1" t="n">
        <v>45715</v>
      </c>
      <c r="D4206" t="inlineStr">
        <is>
          <t>KALMAR LÄN</t>
        </is>
      </c>
      <c r="E4206" t="inlineStr">
        <is>
          <t>VÄSTERVIK</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7581-2021</t>
        </is>
      </c>
      <c r="B4207" s="1" t="n">
        <v>44240</v>
      </c>
      <c r="C4207" s="1" t="n">
        <v>45715</v>
      </c>
      <c r="D4207" t="inlineStr">
        <is>
          <t>KALMAR LÄN</t>
        </is>
      </c>
      <c r="E4207" t="inlineStr">
        <is>
          <t>EMMABODA</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7614-2021</t>
        </is>
      </c>
      <c r="B4208" s="1" t="n">
        <v>44240</v>
      </c>
      <c r="C4208" s="1" t="n">
        <v>45715</v>
      </c>
      <c r="D4208" t="inlineStr">
        <is>
          <t>KALMAR LÄN</t>
        </is>
      </c>
      <c r="E4208" t="inlineStr">
        <is>
          <t>EMMABODA</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7579-2021</t>
        </is>
      </c>
      <c r="B4209" s="1" t="n">
        <v>44240</v>
      </c>
      <c r="C4209" s="1" t="n">
        <v>45715</v>
      </c>
      <c r="D4209" t="inlineStr">
        <is>
          <t>KALMAR LÄN</t>
        </is>
      </c>
      <c r="E4209" t="inlineStr">
        <is>
          <t>EMMABODA</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7700-2021</t>
        </is>
      </c>
      <c r="B4210" s="1" t="n">
        <v>44241</v>
      </c>
      <c r="C4210" s="1" t="n">
        <v>45715</v>
      </c>
      <c r="D4210" t="inlineStr">
        <is>
          <t>KALMAR LÄN</t>
        </is>
      </c>
      <c r="E4210" t="inlineStr">
        <is>
          <t>KALMAR</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7828-2021</t>
        </is>
      </c>
      <c r="B4211" s="1" t="n">
        <v>44242</v>
      </c>
      <c r="C4211" s="1" t="n">
        <v>45715</v>
      </c>
      <c r="D4211" t="inlineStr">
        <is>
          <t>KALMAR LÄN</t>
        </is>
      </c>
      <c r="E4211" t="inlineStr">
        <is>
          <t>VIMMERBY</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7871-2021</t>
        </is>
      </c>
      <c r="B4212" s="1" t="n">
        <v>44242</v>
      </c>
      <c r="C4212" s="1" t="n">
        <v>45715</v>
      </c>
      <c r="D4212" t="inlineStr">
        <is>
          <t>KALMAR LÄN</t>
        </is>
      </c>
      <c r="E4212" t="inlineStr">
        <is>
          <t>TORSÅS</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7996-2021</t>
        </is>
      </c>
      <c r="B4213" s="1" t="n">
        <v>44243</v>
      </c>
      <c r="C4213" s="1" t="n">
        <v>45715</v>
      </c>
      <c r="D4213" t="inlineStr">
        <is>
          <t>KALMAR LÄN</t>
        </is>
      </c>
      <c r="E4213" t="inlineStr">
        <is>
          <t>KALMAR</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7891-2021</t>
        </is>
      </c>
      <c r="B4214" s="1" t="n">
        <v>44243</v>
      </c>
      <c r="C4214" s="1" t="n">
        <v>45715</v>
      </c>
      <c r="D4214" t="inlineStr">
        <is>
          <t>KALMAR LÄN</t>
        </is>
      </c>
      <c r="E4214" t="inlineStr">
        <is>
          <t>NYBRO</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7994-2021</t>
        </is>
      </c>
      <c r="B4215" s="1" t="n">
        <v>44243</v>
      </c>
      <c r="C4215" s="1" t="n">
        <v>45715</v>
      </c>
      <c r="D4215" t="inlineStr">
        <is>
          <t>KALMAR LÄN</t>
        </is>
      </c>
      <c r="E4215" t="inlineStr">
        <is>
          <t>HULTSFRED</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8010-2021</t>
        </is>
      </c>
      <c r="B4216" s="1" t="n">
        <v>44243</v>
      </c>
      <c r="C4216" s="1" t="n">
        <v>45715</v>
      </c>
      <c r="D4216" t="inlineStr">
        <is>
          <t>KALMAR LÄN</t>
        </is>
      </c>
      <c r="E4216" t="inlineStr">
        <is>
          <t>NYBRO</t>
        </is>
      </c>
      <c r="G4216" t="n">
        <v>7.3</v>
      </c>
      <c r="H4216" t="n">
        <v>0</v>
      </c>
      <c r="I4216" t="n">
        <v>0</v>
      </c>
      <c r="J4216" t="n">
        <v>0</v>
      </c>
      <c r="K4216" t="n">
        <v>0</v>
      </c>
      <c r="L4216" t="n">
        <v>0</v>
      </c>
      <c r="M4216" t="n">
        <v>0</v>
      </c>
      <c r="N4216" t="n">
        <v>0</v>
      </c>
      <c r="O4216" t="n">
        <v>0</v>
      </c>
      <c r="P4216" t="n">
        <v>0</v>
      </c>
      <c r="Q4216" t="n">
        <v>0</v>
      </c>
      <c r="R4216" s="2" t="inlineStr"/>
    </row>
    <row r="4217" ht="15" customHeight="1">
      <c r="A4217" t="inlineStr">
        <is>
          <t>A 8059-2021</t>
        </is>
      </c>
      <c r="B4217" s="1" t="n">
        <v>44243</v>
      </c>
      <c r="C4217" s="1" t="n">
        <v>45715</v>
      </c>
      <c r="D4217" t="inlineStr">
        <is>
          <t>KALMAR LÄN</t>
        </is>
      </c>
      <c r="E4217" t="inlineStr">
        <is>
          <t>KALMAR</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8074-2021</t>
        </is>
      </c>
      <c r="B4218" s="1" t="n">
        <v>44243</v>
      </c>
      <c r="C4218" s="1" t="n">
        <v>45715</v>
      </c>
      <c r="D4218" t="inlineStr">
        <is>
          <t>KALMAR LÄN</t>
        </is>
      </c>
      <c r="E4218" t="inlineStr">
        <is>
          <t>VÄSTERVIK</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8121-2021</t>
        </is>
      </c>
      <c r="B4219" s="1" t="n">
        <v>44243</v>
      </c>
      <c r="C4219" s="1" t="n">
        <v>45715</v>
      </c>
      <c r="D4219" t="inlineStr">
        <is>
          <t>KALMAR LÄN</t>
        </is>
      </c>
      <c r="E4219" t="inlineStr">
        <is>
          <t>VIMMERBY</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8065-2021</t>
        </is>
      </c>
      <c r="B4220" s="1" t="n">
        <v>44243</v>
      </c>
      <c r="C4220" s="1" t="n">
        <v>45715</v>
      </c>
      <c r="D4220" t="inlineStr">
        <is>
          <t>KALMAR LÄN</t>
        </is>
      </c>
      <c r="E4220" t="inlineStr">
        <is>
          <t>TORSÅS</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8086-2021</t>
        </is>
      </c>
      <c r="B4221" s="1" t="n">
        <v>44243</v>
      </c>
      <c r="C4221" s="1" t="n">
        <v>45715</v>
      </c>
      <c r="D4221" t="inlineStr">
        <is>
          <t>KALMAR LÄN</t>
        </is>
      </c>
      <c r="E4221" t="inlineStr">
        <is>
          <t>VIMMERBY</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8184-2021</t>
        </is>
      </c>
      <c r="B4222" s="1" t="n">
        <v>44244</v>
      </c>
      <c r="C4222" s="1" t="n">
        <v>45715</v>
      </c>
      <c r="D4222" t="inlineStr">
        <is>
          <t>KALMAR LÄN</t>
        </is>
      </c>
      <c r="E4222" t="inlineStr">
        <is>
          <t>TORSÅS</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8196-2021</t>
        </is>
      </c>
      <c r="B4223" s="1" t="n">
        <v>44244</v>
      </c>
      <c r="C4223" s="1" t="n">
        <v>45715</v>
      </c>
      <c r="D4223" t="inlineStr">
        <is>
          <t>KALMAR LÄN</t>
        </is>
      </c>
      <c r="E4223" t="inlineStr">
        <is>
          <t>VÄSTERVIK</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8210-2021</t>
        </is>
      </c>
      <c r="B4224" s="1" t="n">
        <v>44244</v>
      </c>
      <c r="C4224" s="1" t="n">
        <v>45715</v>
      </c>
      <c r="D4224" t="inlineStr">
        <is>
          <t>KALMAR LÄN</t>
        </is>
      </c>
      <c r="E4224" t="inlineStr">
        <is>
          <t>KALMAR</t>
        </is>
      </c>
      <c r="G4224" t="n">
        <v>8.199999999999999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8415-2021</t>
        </is>
      </c>
      <c r="B4225" s="1" t="n">
        <v>44245</v>
      </c>
      <c r="C4225" s="1" t="n">
        <v>45715</v>
      </c>
      <c r="D4225" t="inlineStr">
        <is>
          <t>KALMAR LÄN</t>
        </is>
      </c>
      <c r="E4225" t="inlineStr">
        <is>
          <t>VIMMERBY</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8460-2021</t>
        </is>
      </c>
      <c r="B4226" s="1" t="n">
        <v>44245</v>
      </c>
      <c r="C4226" s="1" t="n">
        <v>45715</v>
      </c>
      <c r="D4226" t="inlineStr">
        <is>
          <t>KALMAR LÄN</t>
        </is>
      </c>
      <c r="E4226" t="inlineStr">
        <is>
          <t>NYBRO</t>
        </is>
      </c>
      <c r="G4226" t="n">
        <v>7</v>
      </c>
      <c r="H4226" t="n">
        <v>0</v>
      </c>
      <c r="I4226" t="n">
        <v>0</v>
      </c>
      <c r="J4226" t="n">
        <v>0</v>
      </c>
      <c r="K4226" t="n">
        <v>0</v>
      </c>
      <c r="L4226" t="n">
        <v>0</v>
      </c>
      <c r="M4226" t="n">
        <v>0</v>
      </c>
      <c r="N4226" t="n">
        <v>0</v>
      </c>
      <c r="O4226" t="n">
        <v>0</v>
      </c>
      <c r="P4226" t="n">
        <v>0</v>
      </c>
      <c r="Q4226" t="n">
        <v>0</v>
      </c>
      <c r="R4226" s="2" t="inlineStr"/>
    </row>
    <row r="4227" ht="15" customHeight="1">
      <c r="A4227" t="inlineStr">
        <is>
          <t>A 8475-2021</t>
        </is>
      </c>
      <c r="B4227" s="1" t="n">
        <v>44245</v>
      </c>
      <c r="C4227" s="1" t="n">
        <v>45715</v>
      </c>
      <c r="D4227" t="inlineStr">
        <is>
          <t>KALMAR LÄN</t>
        </is>
      </c>
      <c r="E4227" t="inlineStr">
        <is>
          <t>OSKARSHAMN</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8553-2021</t>
        </is>
      </c>
      <c r="B4228" s="1" t="n">
        <v>44245</v>
      </c>
      <c r="C4228" s="1" t="n">
        <v>45715</v>
      </c>
      <c r="D4228" t="inlineStr">
        <is>
          <t>KALMAR LÄN</t>
        </is>
      </c>
      <c r="E4228" t="inlineStr">
        <is>
          <t>OSKARSHAMN</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8550-2021</t>
        </is>
      </c>
      <c r="B4229" s="1" t="n">
        <v>44245</v>
      </c>
      <c r="C4229" s="1" t="n">
        <v>45715</v>
      </c>
      <c r="D4229" t="inlineStr">
        <is>
          <t>KALMAR LÄN</t>
        </is>
      </c>
      <c r="E4229" t="inlineStr">
        <is>
          <t>OSKARSHAMN</t>
        </is>
      </c>
      <c r="G4229" t="n">
        <v>8.199999999999999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8580-2021</t>
        </is>
      </c>
      <c r="B4230" s="1" t="n">
        <v>44245</v>
      </c>
      <c r="C4230" s="1" t="n">
        <v>45715</v>
      </c>
      <c r="D4230" t="inlineStr">
        <is>
          <t>KALMAR LÄN</t>
        </is>
      </c>
      <c r="E4230" t="inlineStr">
        <is>
          <t>TORSÅS</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8578-2021</t>
        </is>
      </c>
      <c r="B4231" s="1" t="n">
        <v>44245</v>
      </c>
      <c r="C4231" s="1" t="n">
        <v>45715</v>
      </c>
      <c r="D4231" t="inlineStr">
        <is>
          <t>KALMAR LÄN</t>
        </is>
      </c>
      <c r="E4231" t="inlineStr">
        <is>
          <t>OSKARSHAMN</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8719-2021</t>
        </is>
      </c>
      <c r="B4232" s="1" t="n">
        <v>44246</v>
      </c>
      <c r="C4232" s="1" t="n">
        <v>45715</v>
      </c>
      <c r="D4232" t="inlineStr">
        <is>
          <t>KALMAR LÄN</t>
        </is>
      </c>
      <c r="E4232" t="inlineStr">
        <is>
          <t>TORSÅS</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8715-2021</t>
        </is>
      </c>
      <c r="B4233" s="1" t="n">
        <v>44246</v>
      </c>
      <c r="C4233" s="1" t="n">
        <v>45715</v>
      </c>
      <c r="D4233" t="inlineStr">
        <is>
          <t>KALMAR LÄN</t>
        </is>
      </c>
      <c r="E4233" t="inlineStr">
        <is>
          <t>MÖNSTERÅS</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8816-2021</t>
        </is>
      </c>
      <c r="B4234" s="1" t="n">
        <v>44246</v>
      </c>
      <c r="C4234" s="1" t="n">
        <v>45715</v>
      </c>
      <c r="D4234" t="inlineStr">
        <is>
          <t>KALMAR LÄN</t>
        </is>
      </c>
      <c r="E4234" t="inlineStr">
        <is>
          <t>NYBRO</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8788-2021</t>
        </is>
      </c>
      <c r="B4235" s="1" t="n">
        <v>44246</v>
      </c>
      <c r="C4235" s="1" t="n">
        <v>45715</v>
      </c>
      <c r="D4235" t="inlineStr">
        <is>
          <t>KALMAR LÄN</t>
        </is>
      </c>
      <c r="E4235" t="inlineStr">
        <is>
          <t>VÄSTERVIK</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8814-2021</t>
        </is>
      </c>
      <c r="B4236" s="1" t="n">
        <v>44246</v>
      </c>
      <c r="C4236" s="1" t="n">
        <v>45715</v>
      </c>
      <c r="D4236" t="inlineStr">
        <is>
          <t>KALMAR LÄN</t>
        </is>
      </c>
      <c r="E4236" t="inlineStr">
        <is>
          <t>NYBRO</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8946-2021</t>
        </is>
      </c>
      <c r="B4237" s="1" t="n">
        <v>44249</v>
      </c>
      <c r="C4237" s="1" t="n">
        <v>45715</v>
      </c>
      <c r="D4237" t="inlineStr">
        <is>
          <t>KALMAR LÄN</t>
        </is>
      </c>
      <c r="E4237" t="inlineStr">
        <is>
          <t>MÖNSTERÅS</t>
        </is>
      </c>
      <c r="G4237" t="n">
        <v>11.8</v>
      </c>
      <c r="H4237" t="n">
        <v>0</v>
      </c>
      <c r="I4237" t="n">
        <v>0</v>
      </c>
      <c r="J4237" t="n">
        <v>0</v>
      </c>
      <c r="K4237" t="n">
        <v>0</v>
      </c>
      <c r="L4237" t="n">
        <v>0</v>
      </c>
      <c r="M4237" t="n">
        <v>0</v>
      </c>
      <c r="N4237" t="n">
        <v>0</v>
      </c>
      <c r="O4237" t="n">
        <v>0</v>
      </c>
      <c r="P4237" t="n">
        <v>0</v>
      </c>
      <c r="Q4237" t="n">
        <v>0</v>
      </c>
      <c r="R4237" s="2" t="inlineStr"/>
    </row>
    <row r="4238" ht="15" customHeight="1">
      <c r="A4238" t="inlineStr">
        <is>
          <t>A 8967-2021</t>
        </is>
      </c>
      <c r="B4238" s="1" t="n">
        <v>44249</v>
      </c>
      <c r="C4238" s="1" t="n">
        <v>45715</v>
      </c>
      <c r="D4238" t="inlineStr">
        <is>
          <t>KALMAR LÄN</t>
        </is>
      </c>
      <c r="E4238" t="inlineStr">
        <is>
          <t>EMMABODA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9053-2021</t>
        </is>
      </c>
      <c r="B4239" s="1" t="n">
        <v>44249</v>
      </c>
      <c r="C4239" s="1" t="n">
        <v>45715</v>
      </c>
      <c r="D4239" t="inlineStr">
        <is>
          <t>KALMAR LÄN</t>
        </is>
      </c>
      <c r="E4239" t="inlineStr">
        <is>
          <t>EMMABODA</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9091-2021</t>
        </is>
      </c>
      <c r="B4240" s="1" t="n">
        <v>44249</v>
      </c>
      <c r="C4240" s="1" t="n">
        <v>45715</v>
      </c>
      <c r="D4240" t="inlineStr">
        <is>
          <t>KALMAR LÄN</t>
        </is>
      </c>
      <c r="E4240" t="inlineStr">
        <is>
          <t>VÄSTERVIK</t>
        </is>
      </c>
      <c r="F4240" t="inlineStr">
        <is>
          <t>Sveaskog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9125-2021</t>
        </is>
      </c>
      <c r="B4241" s="1" t="n">
        <v>44249</v>
      </c>
      <c r="C4241" s="1" t="n">
        <v>45715</v>
      </c>
      <c r="D4241" t="inlineStr">
        <is>
          <t>KALMAR LÄN</t>
        </is>
      </c>
      <c r="E4241" t="inlineStr">
        <is>
          <t>VÄSTERVIK</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8989-2021</t>
        </is>
      </c>
      <c r="B4242" s="1" t="n">
        <v>44249</v>
      </c>
      <c r="C4242" s="1" t="n">
        <v>45715</v>
      </c>
      <c r="D4242" t="inlineStr">
        <is>
          <t>KALMAR LÄN</t>
        </is>
      </c>
      <c r="E4242" t="inlineStr">
        <is>
          <t>NYBRO</t>
        </is>
      </c>
      <c r="F4242" t="inlineStr">
        <is>
          <t>Sveaskog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8950-2021</t>
        </is>
      </c>
      <c r="B4243" s="1" t="n">
        <v>44249</v>
      </c>
      <c r="C4243" s="1" t="n">
        <v>45715</v>
      </c>
      <c r="D4243" t="inlineStr">
        <is>
          <t>KALMAR LÄN</t>
        </is>
      </c>
      <c r="E4243" t="inlineStr">
        <is>
          <t>MÖNSTERÅS</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8996-2021</t>
        </is>
      </c>
      <c r="B4244" s="1" t="n">
        <v>44249</v>
      </c>
      <c r="C4244" s="1" t="n">
        <v>45715</v>
      </c>
      <c r="D4244" t="inlineStr">
        <is>
          <t>KALMAR LÄN</t>
        </is>
      </c>
      <c r="E4244" t="inlineStr">
        <is>
          <t>NYBRO</t>
        </is>
      </c>
      <c r="F4244" t="inlineStr">
        <is>
          <t>Sveaskog</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9299-2021</t>
        </is>
      </c>
      <c r="B4245" s="1" t="n">
        <v>44250</v>
      </c>
      <c r="C4245" s="1" t="n">
        <v>45715</v>
      </c>
      <c r="D4245" t="inlineStr">
        <is>
          <t>KALMAR LÄN</t>
        </is>
      </c>
      <c r="E4245" t="inlineStr">
        <is>
          <t>NYBRO</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9353-2021</t>
        </is>
      </c>
      <c r="B4246" s="1" t="n">
        <v>44250</v>
      </c>
      <c r="C4246" s="1" t="n">
        <v>45715</v>
      </c>
      <c r="D4246" t="inlineStr">
        <is>
          <t>KALMAR LÄN</t>
        </is>
      </c>
      <c r="E4246" t="inlineStr">
        <is>
          <t>HÖGSBY</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9363-2021</t>
        </is>
      </c>
      <c r="B4247" s="1" t="n">
        <v>44250</v>
      </c>
      <c r="C4247" s="1" t="n">
        <v>45715</v>
      </c>
      <c r="D4247" t="inlineStr">
        <is>
          <t>KALMAR LÄN</t>
        </is>
      </c>
      <c r="E4247" t="inlineStr">
        <is>
          <t>TORSÅS</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9337-2021</t>
        </is>
      </c>
      <c r="B4248" s="1" t="n">
        <v>44250</v>
      </c>
      <c r="C4248" s="1" t="n">
        <v>45715</v>
      </c>
      <c r="D4248" t="inlineStr">
        <is>
          <t>KALMAR LÄN</t>
        </is>
      </c>
      <c r="E4248" t="inlineStr">
        <is>
          <t>NYBRO</t>
        </is>
      </c>
      <c r="G4248" t="n">
        <v>5.9</v>
      </c>
      <c r="H4248" t="n">
        <v>0</v>
      </c>
      <c r="I4248" t="n">
        <v>0</v>
      </c>
      <c r="J4248" t="n">
        <v>0</v>
      </c>
      <c r="K4248" t="n">
        <v>0</v>
      </c>
      <c r="L4248" t="n">
        <v>0</v>
      </c>
      <c r="M4248" t="n">
        <v>0</v>
      </c>
      <c r="N4248" t="n">
        <v>0</v>
      </c>
      <c r="O4248" t="n">
        <v>0</v>
      </c>
      <c r="P4248" t="n">
        <v>0</v>
      </c>
      <c r="Q4248" t="n">
        <v>0</v>
      </c>
      <c r="R4248" s="2" t="inlineStr"/>
    </row>
    <row r="4249" ht="15" customHeight="1">
      <c r="A4249" t="inlineStr">
        <is>
          <t>A 9370-2021</t>
        </is>
      </c>
      <c r="B4249" s="1" t="n">
        <v>44250</v>
      </c>
      <c r="C4249" s="1" t="n">
        <v>45715</v>
      </c>
      <c r="D4249" t="inlineStr">
        <is>
          <t>KALMAR LÄN</t>
        </is>
      </c>
      <c r="E4249" t="inlineStr">
        <is>
          <t>TORSÅS</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9271-2021</t>
        </is>
      </c>
      <c r="B4250" s="1" t="n">
        <v>44250</v>
      </c>
      <c r="C4250" s="1" t="n">
        <v>45715</v>
      </c>
      <c r="D4250" t="inlineStr">
        <is>
          <t>KALMAR LÄN</t>
        </is>
      </c>
      <c r="E4250" t="inlineStr">
        <is>
          <t>HULTSFRED</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9369-2021</t>
        </is>
      </c>
      <c r="B4251" s="1" t="n">
        <v>44250</v>
      </c>
      <c r="C4251" s="1" t="n">
        <v>45715</v>
      </c>
      <c r="D4251" t="inlineStr">
        <is>
          <t>KALMAR LÄN</t>
        </is>
      </c>
      <c r="E4251" t="inlineStr">
        <is>
          <t>TORSÅS</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9222-2021</t>
        </is>
      </c>
      <c r="B4252" s="1" t="n">
        <v>44250</v>
      </c>
      <c r="C4252" s="1" t="n">
        <v>45715</v>
      </c>
      <c r="D4252" t="inlineStr">
        <is>
          <t>KALMAR LÄN</t>
        </is>
      </c>
      <c r="E4252" t="inlineStr">
        <is>
          <t>HULTSFRED</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9519-2021</t>
        </is>
      </c>
      <c r="B4253" s="1" t="n">
        <v>44251</v>
      </c>
      <c r="C4253" s="1" t="n">
        <v>45715</v>
      </c>
      <c r="D4253" t="inlineStr">
        <is>
          <t>KALMAR LÄN</t>
        </is>
      </c>
      <c r="E4253" t="inlineStr">
        <is>
          <t>OSKARSHAMN</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9424-2021</t>
        </is>
      </c>
      <c r="B4254" s="1" t="n">
        <v>44251</v>
      </c>
      <c r="C4254" s="1" t="n">
        <v>45715</v>
      </c>
      <c r="D4254" t="inlineStr">
        <is>
          <t>KALMAR LÄN</t>
        </is>
      </c>
      <c r="E4254" t="inlineStr">
        <is>
          <t>OSKARSHAMN</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9620-2021</t>
        </is>
      </c>
      <c r="B4255" s="1" t="n">
        <v>44251</v>
      </c>
      <c r="C4255" s="1" t="n">
        <v>45715</v>
      </c>
      <c r="D4255" t="inlineStr">
        <is>
          <t>KALMAR LÄN</t>
        </is>
      </c>
      <c r="E4255" t="inlineStr">
        <is>
          <t>EMMABODA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9614-2021</t>
        </is>
      </c>
      <c r="B4256" s="1" t="n">
        <v>44251</v>
      </c>
      <c r="C4256" s="1" t="n">
        <v>45715</v>
      </c>
      <c r="D4256" t="inlineStr">
        <is>
          <t>KALMAR LÄN</t>
        </is>
      </c>
      <c r="E4256" t="inlineStr">
        <is>
          <t>EMMABODA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9622-2021</t>
        </is>
      </c>
      <c r="B4257" s="1" t="n">
        <v>44251</v>
      </c>
      <c r="C4257" s="1" t="n">
        <v>45715</v>
      </c>
      <c r="D4257" t="inlineStr">
        <is>
          <t>KALMAR LÄN</t>
        </is>
      </c>
      <c r="E4257" t="inlineStr">
        <is>
          <t>EMMABODA</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9615-2021</t>
        </is>
      </c>
      <c r="B4258" s="1" t="n">
        <v>44251</v>
      </c>
      <c r="C4258" s="1" t="n">
        <v>45715</v>
      </c>
      <c r="D4258" t="inlineStr">
        <is>
          <t>KALMAR LÄN</t>
        </is>
      </c>
      <c r="E4258" t="inlineStr">
        <is>
          <t>EMMABODA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9654-2021</t>
        </is>
      </c>
      <c r="B4259" s="1" t="n">
        <v>44252</v>
      </c>
      <c r="C4259" s="1" t="n">
        <v>45715</v>
      </c>
      <c r="D4259" t="inlineStr">
        <is>
          <t>KALMAR LÄN</t>
        </is>
      </c>
      <c r="E4259" t="inlineStr">
        <is>
          <t>HULTSFRED</t>
        </is>
      </c>
      <c r="F4259" t="inlineStr">
        <is>
          <t>Sveaskog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9688-2021</t>
        </is>
      </c>
      <c r="B4260" s="1" t="n">
        <v>44252</v>
      </c>
      <c r="C4260" s="1" t="n">
        <v>45715</v>
      </c>
      <c r="D4260" t="inlineStr">
        <is>
          <t>KALMAR LÄN</t>
        </is>
      </c>
      <c r="E4260" t="inlineStr">
        <is>
          <t>TORSÅS</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9705-2021</t>
        </is>
      </c>
      <c r="B4261" s="1" t="n">
        <v>44252</v>
      </c>
      <c r="C4261" s="1" t="n">
        <v>45715</v>
      </c>
      <c r="D4261" t="inlineStr">
        <is>
          <t>KALMAR LÄN</t>
        </is>
      </c>
      <c r="E4261" t="inlineStr">
        <is>
          <t>OSKARSHAMN</t>
        </is>
      </c>
      <c r="G4261" t="n">
        <v>19.7</v>
      </c>
      <c r="H4261" t="n">
        <v>0</v>
      </c>
      <c r="I4261" t="n">
        <v>0</v>
      </c>
      <c r="J4261" t="n">
        <v>0</v>
      </c>
      <c r="K4261" t="n">
        <v>0</v>
      </c>
      <c r="L4261" t="n">
        <v>0</v>
      </c>
      <c r="M4261" t="n">
        <v>0</v>
      </c>
      <c r="N4261" t="n">
        <v>0</v>
      </c>
      <c r="O4261" t="n">
        <v>0</v>
      </c>
      <c r="P4261" t="n">
        <v>0</v>
      </c>
      <c r="Q4261" t="n">
        <v>0</v>
      </c>
      <c r="R4261" s="2" t="inlineStr"/>
    </row>
    <row r="4262" ht="15" customHeight="1">
      <c r="A4262" t="inlineStr">
        <is>
          <t>A 9650-2021</t>
        </is>
      </c>
      <c r="B4262" s="1" t="n">
        <v>44252</v>
      </c>
      <c r="C4262" s="1" t="n">
        <v>45715</v>
      </c>
      <c r="D4262" t="inlineStr">
        <is>
          <t>KALMAR LÄN</t>
        </is>
      </c>
      <c r="E4262" t="inlineStr">
        <is>
          <t>HULTSFRED</t>
        </is>
      </c>
      <c r="F4262" t="inlineStr">
        <is>
          <t>Sveaskog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9750-2021</t>
        </is>
      </c>
      <c r="B4263" s="1" t="n">
        <v>44252</v>
      </c>
      <c r="C4263" s="1" t="n">
        <v>45715</v>
      </c>
      <c r="D4263" t="inlineStr">
        <is>
          <t>KALMAR LÄN</t>
        </is>
      </c>
      <c r="E4263" t="inlineStr">
        <is>
          <t>TORSÅS</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9836-2021</t>
        </is>
      </c>
      <c r="B4264" s="1" t="n">
        <v>44253</v>
      </c>
      <c r="C4264" s="1" t="n">
        <v>45715</v>
      </c>
      <c r="D4264" t="inlineStr">
        <is>
          <t>KALMAR LÄN</t>
        </is>
      </c>
      <c r="E4264" t="inlineStr">
        <is>
          <t>VIMMERBY</t>
        </is>
      </c>
      <c r="F4264" t="inlineStr">
        <is>
          <t>Sveaskog</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9863-2021</t>
        </is>
      </c>
      <c r="B4265" s="1" t="n">
        <v>44253</v>
      </c>
      <c r="C4265" s="1" t="n">
        <v>45715</v>
      </c>
      <c r="D4265" t="inlineStr">
        <is>
          <t>KALMAR LÄN</t>
        </is>
      </c>
      <c r="E4265" t="inlineStr">
        <is>
          <t>MÖNSTERÅS</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9941-2021</t>
        </is>
      </c>
      <c r="B4266" s="1" t="n">
        <v>44253</v>
      </c>
      <c r="C4266" s="1" t="n">
        <v>45715</v>
      </c>
      <c r="D4266" t="inlineStr">
        <is>
          <t>KALMAR LÄN</t>
        </is>
      </c>
      <c r="E4266" t="inlineStr">
        <is>
          <t>OSKARSHAMN</t>
        </is>
      </c>
      <c r="G4266" t="n">
        <v>7.4</v>
      </c>
      <c r="H4266" t="n">
        <v>0</v>
      </c>
      <c r="I4266" t="n">
        <v>0</v>
      </c>
      <c r="J4266" t="n">
        <v>0</v>
      </c>
      <c r="K4266" t="n">
        <v>0</v>
      </c>
      <c r="L4266" t="n">
        <v>0</v>
      </c>
      <c r="M4266" t="n">
        <v>0</v>
      </c>
      <c r="N4266" t="n">
        <v>0</v>
      </c>
      <c r="O4266" t="n">
        <v>0</v>
      </c>
      <c r="P4266" t="n">
        <v>0</v>
      </c>
      <c r="Q4266" t="n">
        <v>0</v>
      </c>
      <c r="R4266" s="2" t="inlineStr"/>
    </row>
    <row r="4267" ht="15" customHeight="1">
      <c r="A4267" t="inlineStr">
        <is>
          <t>A 10020-2021</t>
        </is>
      </c>
      <c r="B4267" s="1" t="n">
        <v>44256</v>
      </c>
      <c r="C4267" s="1" t="n">
        <v>45715</v>
      </c>
      <c r="D4267" t="inlineStr">
        <is>
          <t>KALMAR LÄN</t>
        </is>
      </c>
      <c r="E4267" t="inlineStr">
        <is>
          <t>VÄSTERVIK</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10015-2021</t>
        </is>
      </c>
      <c r="B4268" s="1" t="n">
        <v>44256</v>
      </c>
      <c r="C4268" s="1" t="n">
        <v>45715</v>
      </c>
      <c r="D4268" t="inlineStr">
        <is>
          <t>KALMAR LÄN</t>
        </is>
      </c>
      <c r="E4268" t="inlineStr">
        <is>
          <t>NYBRO</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10139-2021</t>
        </is>
      </c>
      <c r="B4269" s="1" t="n">
        <v>44256</v>
      </c>
      <c r="C4269" s="1" t="n">
        <v>45715</v>
      </c>
      <c r="D4269" t="inlineStr">
        <is>
          <t>KALMAR LÄN</t>
        </is>
      </c>
      <c r="E4269" t="inlineStr">
        <is>
          <t>EMMABODA</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10517-2021</t>
        </is>
      </c>
      <c r="B4270" s="1" t="n">
        <v>44258</v>
      </c>
      <c r="C4270" s="1" t="n">
        <v>45715</v>
      </c>
      <c r="D4270" t="inlineStr">
        <is>
          <t>KALMAR LÄN</t>
        </is>
      </c>
      <c r="E4270" t="inlineStr">
        <is>
          <t>VÄSTERVIK</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10674-2021</t>
        </is>
      </c>
      <c r="B4271" s="1" t="n">
        <v>44258</v>
      </c>
      <c r="C4271" s="1" t="n">
        <v>45715</v>
      </c>
      <c r="D4271" t="inlineStr">
        <is>
          <t>KALMAR LÄN</t>
        </is>
      </c>
      <c r="E4271" t="inlineStr">
        <is>
          <t>VIMMERBY</t>
        </is>
      </c>
      <c r="G4271" t="n">
        <v>8.4</v>
      </c>
      <c r="H4271" t="n">
        <v>0</v>
      </c>
      <c r="I4271" t="n">
        <v>0</v>
      </c>
      <c r="J4271" t="n">
        <v>0</v>
      </c>
      <c r="K4271" t="n">
        <v>0</v>
      </c>
      <c r="L4271" t="n">
        <v>0</v>
      </c>
      <c r="M4271" t="n">
        <v>0</v>
      </c>
      <c r="N4271" t="n">
        <v>0</v>
      </c>
      <c r="O4271" t="n">
        <v>0</v>
      </c>
      <c r="P4271" t="n">
        <v>0</v>
      </c>
      <c r="Q4271" t="n">
        <v>0</v>
      </c>
      <c r="R4271" s="2" t="inlineStr"/>
    </row>
    <row r="4272" ht="15" customHeight="1">
      <c r="A4272" t="inlineStr">
        <is>
          <t>A 10518-2021</t>
        </is>
      </c>
      <c r="B4272" s="1" t="n">
        <v>44258</v>
      </c>
      <c r="C4272" s="1" t="n">
        <v>45715</v>
      </c>
      <c r="D4272" t="inlineStr">
        <is>
          <t>KALMAR LÄN</t>
        </is>
      </c>
      <c r="E4272" t="inlineStr">
        <is>
          <t>VIMMERBY</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10546-2021</t>
        </is>
      </c>
      <c r="B4273" s="1" t="n">
        <v>44258</v>
      </c>
      <c r="C4273" s="1" t="n">
        <v>45715</v>
      </c>
      <c r="D4273" t="inlineStr">
        <is>
          <t>KALMAR LÄN</t>
        </is>
      </c>
      <c r="E4273" t="inlineStr">
        <is>
          <t>HULTSFRED</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10754-2021</t>
        </is>
      </c>
      <c r="B4274" s="1" t="n">
        <v>44259</v>
      </c>
      <c r="C4274" s="1" t="n">
        <v>45715</v>
      </c>
      <c r="D4274" t="inlineStr">
        <is>
          <t>KALMAR LÄN</t>
        </is>
      </c>
      <c r="E4274" t="inlineStr">
        <is>
          <t>HULTSFRED</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10744-2021</t>
        </is>
      </c>
      <c r="B4275" s="1" t="n">
        <v>44259</v>
      </c>
      <c r="C4275" s="1" t="n">
        <v>45715</v>
      </c>
      <c r="D4275" t="inlineStr">
        <is>
          <t>KALMAR LÄN</t>
        </is>
      </c>
      <c r="E4275" t="inlineStr">
        <is>
          <t>VIMMERBY</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10907-2021</t>
        </is>
      </c>
      <c r="B4276" s="1" t="n">
        <v>44259</v>
      </c>
      <c r="C4276" s="1" t="n">
        <v>45715</v>
      </c>
      <c r="D4276" t="inlineStr">
        <is>
          <t>KALMAR LÄN</t>
        </is>
      </c>
      <c r="E4276" t="inlineStr">
        <is>
          <t>TORSÅS</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10928-2021</t>
        </is>
      </c>
      <c r="B4277" s="1" t="n">
        <v>44259</v>
      </c>
      <c r="C4277" s="1" t="n">
        <v>45715</v>
      </c>
      <c r="D4277" t="inlineStr">
        <is>
          <t>KALMAR LÄN</t>
        </is>
      </c>
      <c r="E4277" t="inlineStr">
        <is>
          <t>VIMMERBY</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10831-2021</t>
        </is>
      </c>
      <c r="B4278" s="1" t="n">
        <v>44259</v>
      </c>
      <c r="C4278" s="1" t="n">
        <v>45715</v>
      </c>
      <c r="D4278" t="inlineStr">
        <is>
          <t>KALMAR LÄN</t>
        </is>
      </c>
      <c r="E4278" t="inlineStr">
        <is>
          <t>NYBRO</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10945-2021</t>
        </is>
      </c>
      <c r="B4279" s="1" t="n">
        <v>44260</v>
      </c>
      <c r="C4279" s="1" t="n">
        <v>45715</v>
      </c>
      <c r="D4279" t="inlineStr">
        <is>
          <t>KALMAR LÄN</t>
        </is>
      </c>
      <c r="E4279" t="inlineStr">
        <is>
          <t>TORSÅS</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11011-2021</t>
        </is>
      </c>
      <c r="B4280" s="1" t="n">
        <v>44260</v>
      </c>
      <c r="C4280" s="1" t="n">
        <v>45715</v>
      </c>
      <c r="D4280" t="inlineStr">
        <is>
          <t>KALMAR LÄN</t>
        </is>
      </c>
      <c r="E4280" t="inlineStr">
        <is>
          <t>VIMMERBY</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11080-2021</t>
        </is>
      </c>
      <c r="B4281" s="1" t="n">
        <v>44260</v>
      </c>
      <c r="C4281" s="1" t="n">
        <v>45715</v>
      </c>
      <c r="D4281" t="inlineStr">
        <is>
          <t>KALMAR LÄN</t>
        </is>
      </c>
      <c r="E4281" t="inlineStr">
        <is>
          <t>HULTSFRED</t>
        </is>
      </c>
      <c r="F4281" t="inlineStr">
        <is>
          <t>Kyrkan</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11262-2021</t>
        </is>
      </c>
      <c r="B4282" s="1" t="n">
        <v>44260</v>
      </c>
      <c r="C4282" s="1" t="n">
        <v>45715</v>
      </c>
      <c r="D4282" t="inlineStr">
        <is>
          <t>KALMAR LÄN</t>
        </is>
      </c>
      <c r="E4282" t="inlineStr">
        <is>
          <t>MÖNSTERÅS</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11146-2021</t>
        </is>
      </c>
      <c r="B4283" s="1" t="n">
        <v>44261</v>
      </c>
      <c r="C4283" s="1" t="n">
        <v>45715</v>
      </c>
      <c r="D4283" t="inlineStr">
        <is>
          <t>KALMAR LÄN</t>
        </is>
      </c>
      <c r="E4283" t="inlineStr">
        <is>
          <t>NYBRO</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11155-2021</t>
        </is>
      </c>
      <c r="B4284" s="1" t="n">
        <v>44261</v>
      </c>
      <c r="C4284" s="1" t="n">
        <v>45715</v>
      </c>
      <c r="D4284" t="inlineStr">
        <is>
          <t>KALMAR LÄN</t>
        </is>
      </c>
      <c r="E4284" t="inlineStr">
        <is>
          <t>OSKARSHAMN</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11170-2021</t>
        </is>
      </c>
      <c r="B4285" s="1" t="n">
        <v>44262</v>
      </c>
      <c r="C4285" s="1" t="n">
        <v>45715</v>
      </c>
      <c r="D4285" t="inlineStr">
        <is>
          <t>KALMAR LÄN</t>
        </is>
      </c>
      <c r="E4285" t="inlineStr">
        <is>
          <t>OSKARSHAMN</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11266-2021</t>
        </is>
      </c>
      <c r="B4286" s="1" t="n">
        <v>44263</v>
      </c>
      <c r="C4286" s="1" t="n">
        <v>45715</v>
      </c>
      <c r="D4286" t="inlineStr">
        <is>
          <t>KALMAR LÄN</t>
        </is>
      </c>
      <c r="E4286" t="inlineStr">
        <is>
          <t>TORSÅS</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11225-2021</t>
        </is>
      </c>
      <c r="B4287" s="1" t="n">
        <v>44263</v>
      </c>
      <c r="C4287" s="1" t="n">
        <v>45715</v>
      </c>
      <c r="D4287" t="inlineStr">
        <is>
          <t>KALMAR LÄN</t>
        </is>
      </c>
      <c r="E4287" t="inlineStr">
        <is>
          <t>TORSÅS</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11275-2021</t>
        </is>
      </c>
      <c r="B4288" s="1" t="n">
        <v>44263</v>
      </c>
      <c r="C4288" s="1" t="n">
        <v>45715</v>
      </c>
      <c r="D4288" t="inlineStr">
        <is>
          <t>KALMAR LÄN</t>
        </is>
      </c>
      <c r="E4288" t="inlineStr">
        <is>
          <t>TORSÅS</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11269-2021</t>
        </is>
      </c>
      <c r="B4289" s="1" t="n">
        <v>44263</v>
      </c>
      <c r="C4289" s="1" t="n">
        <v>45715</v>
      </c>
      <c r="D4289" t="inlineStr">
        <is>
          <t>KALMAR LÄN</t>
        </is>
      </c>
      <c r="E4289" t="inlineStr">
        <is>
          <t>TORSÅS</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11386-2021</t>
        </is>
      </c>
      <c r="B4290" s="1" t="n">
        <v>44263</v>
      </c>
      <c r="C4290" s="1" t="n">
        <v>45715</v>
      </c>
      <c r="D4290" t="inlineStr">
        <is>
          <t>KALMAR LÄN</t>
        </is>
      </c>
      <c r="E4290" t="inlineStr">
        <is>
          <t>OSKARSHAMN</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11436-2021</t>
        </is>
      </c>
      <c r="B4291" s="1" t="n">
        <v>44263</v>
      </c>
      <c r="C4291" s="1" t="n">
        <v>45715</v>
      </c>
      <c r="D4291" t="inlineStr">
        <is>
          <t>KALMAR LÄN</t>
        </is>
      </c>
      <c r="E4291" t="inlineStr">
        <is>
          <t>HULTSFRED</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11451-2021</t>
        </is>
      </c>
      <c r="B4292" s="1" t="n">
        <v>44264</v>
      </c>
      <c r="C4292" s="1" t="n">
        <v>45715</v>
      </c>
      <c r="D4292" t="inlineStr">
        <is>
          <t>KALMAR LÄN</t>
        </is>
      </c>
      <c r="E4292" t="inlineStr">
        <is>
          <t>MÖNSTERÅS</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11525-2021</t>
        </is>
      </c>
      <c r="B4293" s="1" t="n">
        <v>44264</v>
      </c>
      <c r="C4293" s="1" t="n">
        <v>45715</v>
      </c>
      <c r="D4293" t="inlineStr">
        <is>
          <t>KALMAR LÄN</t>
        </is>
      </c>
      <c r="E4293" t="inlineStr">
        <is>
          <t>MÖNSTERÅS</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11493-2021</t>
        </is>
      </c>
      <c r="B4294" s="1" t="n">
        <v>44264</v>
      </c>
      <c r="C4294" s="1" t="n">
        <v>45715</v>
      </c>
      <c r="D4294" t="inlineStr">
        <is>
          <t>KALMAR LÄN</t>
        </is>
      </c>
      <c r="E4294" t="inlineStr">
        <is>
          <t>EMMABODA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11529-2021</t>
        </is>
      </c>
      <c r="B4295" s="1" t="n">
        <v>44264</v>
      </c>
      <c r="C4295" s="1" t="n">
        <v>45715</v>
      </c>
      <c r="D4295" t="inlineStr">
        <is>
          <t>KALMAR LÄN</t>
        </is>
      </c>
      <c r="E4295" t="inlineStr">
        <is>
          <t>HÖGSBY</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11563-2021</t>
        </is>
      </c>
      <c r="B4296" s="1" t="n">
        <v>44264</v>
      </c>
      <c r="C4296" s="1" t="n">
        <v>45715</v>
      </c>
      <c r="D4296" t="inlineStr">
        <is>
          <t>KALMAR LÄN</t>
        </is>
      </c>
      <c r="E4296" t="inlineStr">
        <is>
          <t>EMMABODA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11585-2021</t>
        </is>
      </c>
      <c r="B4297" s="1" t="n">
        <v>44264</v>
      </c>
      <c r="C4297" s="1" t="n">
        <v>45715</v>
      </c>
      <c r="D4297" t="inlineStr">
        <is>
          <t>KALMAR LÄN</t>
        </is>
      </c>
      <c r="E4297" t="inlineStr">
        <is>
          <t>KALMAR</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11489-2021</t>
        </is>
      </c>
      <c r="B4298" s="1" t="n">
        <v>44264</v>
      </c>
      <c r="C4298" s="1" t="n">
        <v>45715</v>
      </c>
      <c r="D4298" t="inlineStr">
        <is>
          <t>KALMAR LÄN</t>
        </is>
      </c>
      <c r="E4298" t="inlineStr">
        <is>
          <t>NYBRO</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11527-2021</t>
        </is>
      </c>
      <c r="B4299" s="1" t="n">
        <v>44264</v>
      </c>
      <c r="C4299" s="1" t="n">
        <v>45715</v>
      </c>
      <c r="D4299" t="inlineStr">
        <is>
          <t>KALMAR LÄN</t>
        </is>
      </c>
      <c r="E4299" t="inlineStr">
        <is>
          <t>MÖNSTERÅS</t>
        </is>
      </c>
      <c r="G4299" t="n">
        <v>8.6</v>
      </c>
      <c r="H4299" t="n">
        <v>0</v>
      </c>
      <c r="I4299" t="n">
        <v>0</v>
      </c>
      <c r="J4299" t="n">
        <v>0</v>
      </c>
      <c r="K4299" t="n">
        <v>0</v>
      </c>
      <c r="L4299" t="n">
        <v>0</v>
      </c>
      <c r="M4299" t="n">
        <v>0</v>
      </c>
      <c r="N4299" t="n">
        <v>0</v>
      </c>
      <c r="O4299" t="n">
        <v>0</v>
      </c>
      <c r="P4299" t="n">
        <v>0</v>
      </c>
      <c r="Q4299" t="n">
        <v>0</v>
      </c>
      <c r="R4299" s="2" t="inlineStr"/>
    </row>
    <row r="4300" ht="15" customHeight="1">
      <c r="A4300" t="inlineStr">
        <is>
          <t>A 11600-2021</t>
        </is>
      </c>
      <c r="B4300" s="1" t="n">
        <v>44264</v>
      </c>
      <c r="C4300" s="1" t="n">
        <v>45715</v>
      </c>
      <c r="D4300" t="inlineStr">
        <is>
          <t>KALMAR LÄN</t>
        </is>
      </c>
      <c r="E4300" t="inlineStr">
        <is>
          <t>KALMAR</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11682-2021</t>
        </is>
      </c>
      <c r="B4301" s="1" t="n">
        <v>44264</v>
      </c>
      <c r="C4301" s="1" t="n">
        <v>45715</v>
      </c>
      <c r="D4301" t="inlineStr">
        <is>
          <t>KALMAR LÄN</t>
        </is>
      </c>
      <c r="E4301" t="inlineStr">
        <is>
          <t>MÖNSTERÅS</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11916-2021</t>
        </is>
      </c>
      <c r="B4302" s="1" t="n">
        <v>44266</v>
      </c>
      <c r="C4302" s="1" t="n">
        <v>45715</v>
      </c>
      <c r="D4302" t="inlineStr">
        <is>
          <t>KALMAR LÄN</t>
        </is>
      </c>
      <c r="E4302" t="inlineStr">
        <is>
          <t>HÖGSBY</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12096-2021</t>
        </is>
      </c>
      <c r="B4303" s="1" t="n">
        <v>44266</v>
      </c>
      <c r="C4303" s="1" t="n">
        <v>45715</v>
      </c>
      <c r="D4303" t="inlineStr">
        <is>
          <t>KALMAR LÄN</t>
        </is>
      </c>
      <c r="E4303" t="inlineStr">
        <is>
          <t>TORSÅS</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12098-2021</t>
        </is>
      </c>
      <c r="B4304" s="1" t="n">
        <v>44266</v>
      </c>
      <c r="C4304" s="1" t="n">
        <v>45715</v>
      </c>
      <c r="D4304" t="inlineStr">
        <is>
          <t>KALMAR LÄN</t>
        </is>
      </c>
      <c r="E4304" t="inlineStr">
        <is>
          <t>TORSÅS</t>
        </is>
      </c>
      <c r="G4304" t="n">
        <v>6.6</v>
      </c>
      <c r="H4304" t="n">
        <v>0</v>
      </c>
      <c r="I4304" t="n">
        <v>0</v>
      </c>
      <c r="J4304" t="n">
        <v>0</v>
      </c>
      <c r="K4304" t="n">
        <v>0</v>
      </c>
      <c r="L4304" t="n">
        <v>0</v>
      </c>
      <c r="M4304" t="n">
        <v>0</v>
      </c>
      <c r="N4304" t="n">
        <v>0</v>
      </c>
      <c r="O4304" t="n">
        <v>0</v>
      </c>
      <c r="P4304" t="n">
        <v>0</v>
      </c>
      <c r="Q4304" t="n">
        <v>0</v>
      </c>
      <c r="R4304" s="2" t="inlineStr"/>
    </row>
    <row r="4305" ht="15" customHeight="1">
      <c r="A4305" t="inlineStr">
        <is>
          <t>A 12157-2021</t>
        </is>
      </c>
      <c r="B4305" s="1" t="n">
        <v>44266</v>
      </c>
      <c r="C4305" s="1" t="n">
        <v>45715</v>
      </c>
      <c r="D4305" t="inlineStr">
        <is>
          <t>KALMAR LÄN</t>
        </is>
      </c>
      <c r="E4305" t="inlineStr">
        <is>
          <t>HULTSFRED</t>
        </is>
      </c>
      <c r="G4305" t="n">
        <v>6.4</v>
      </c>
      <c r="H4305" t="n">
        <v>0</v>
      </c>
      <c r="I4305" t="n">
        <v>0</v>
      </c>
      <c r="J4305" t="n">
        <v>0</v>
      </c>
      <c r="K4305" t="n">
        <v>0</v>
      </c>
      <c r="L4305" t="n">
        <v>0</v>
      </c>
      <c r="M4305" t="n">
        <v>0</v>
      </c>
      <c r="N4305" t="n">
        <v>0</v>
      </c>
      <c r="O4305" t="n">
        <v>0</v>
      </c>
      <c r="P4305" t="n">
        <v>0</v>
      </c>
      <c r="Q4305" t="n">
        <v>0</v>
      </c>
      <c r="R4305" s="2" t="inlineStr"/>
    </row>
    <row r="4306" ht="15" customHeight="1">
      <c r="A4306" t="inlineStr">
        <is>
          <t>A 12123-2021</t>
        </is>
      </c>
      <c r="B4306" s="1" t="n">
        <v>44266</v>
      </c>
      <c r="C4306" s="1" t="n">
        <v>45715</v>
      </c>
      <c r="D4306" t="inlineStr">
        <is>
          <t>KALMAR LÄN</t>
        </is>
      </c>
      <c r="E4306" t="inlineStr">
        <is>
          <t>VÄSTERVIK</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12217-2021</t>
        </is>
      </c>
      <c r="B4307" s="1" t="n">
        <v>44266</v>
      </c>
      <c r="C4307" s="1" t="n">
        <v>45715</v>
      </c>
      <c r="D4307" t="inlineStr">
        <is>
          <t>KALMAR LÄN</t>
        </is>
      </c>
      <c r="E4307" t="inlineStr">
        <is>
          <t>NYBRO</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12241-2021</t>
        </is>
      </c>
      <c r="B4308" s="1" t="n">
        <v>44266</v>
      </c>
      <c r="C4308" s="1" t="n">
        <v>45715</v>
      </c>
      <c r="D4308" t="inlineStr">
        <is>
          <t>KALMAR LÄN</t>
        </is>
      </c>
      <c r="E4308" t="inlineStr">
        <is>
          <t>VIMMERBY</t>
        </is>
      </c>
      <c r="F4308" t="inlineStr">
        <is>
          <t>Sveaskog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12251-2021</t>
        </is>
      </c>
      <c r="B4309" s="1" t="n">
        <v>44266</v>
      </c>
      <c r="C4309" s="1" t="n">
        <v>45715</v>
      </c>
      <c r="D4309" t="inlineStr">
        <is>
          <t>KALMAR LÄN</t>
        </is>
      </c>
      <c r="E4309" t="inlineStr">
        <is>
          <t>MÖNSTERÅS</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12288-2021</t>
        </is>
      </c>
      <c r="B4310" s="1" t="n">
        <v>44267</v>
      </c>
      <c r="C4310" s="1" t="n">
        <v>45715</v>
      </c>
      <c r="D4310" t="inlineStr">
        <is>
          <t>KALMAR LÄN</t>
        </is>
      </c>
      <c r="E4310" t="inlineStr">
        <is>
          <t>NYBRO</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12303-2021</t>
        </is>
      </c>
      <c r="B4311" s="1" t="n">
        <v>44267</v>
      </c>
      <c r="C4311" s="1" t="n">
        <v>45715</v>
      </c>
      <c r="D4311" t="inlineStr">
        <is>
          <t>KALMAR LÄN</t>
        </is>
      </c>
      <c r="E4311" t="inlineStr">
        <is>
          <t>TORSÅS</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12319-2021</t>
        </is>
      </c>
      <c r="B4312" s="1" t="n">
        <v>44267</v>
      </c>
      <c r="C4312" s="1" t="n">
        <v>45715</v>
      </c>
      <c r="D4312" t="inlineStr">
        <is>
          <t>KALMAR LÄN</t>
        </is>
      </c>
      <c r="E4312" t="inlineStr">
        <is>
          <t>KALMAR</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12296-2021</t>
        </is>
      </c>
      <c r="B4313" s="1" t="n">
        <v>44267</v>
      </c>
      <c r="C4313" s="1" t="n">
        <v>45715</v>
      </c>
      <c r="D4313" t="inlineStr">
        <is>
          <t>KALMAR LÄN</t>
        </is>
      </c>
      <c r="E4313" t="inlineStr">
        <is>
          <t>TORSÅS</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12465-2021</t>
        </is>
      </c>
      <c r="B4314" s="1" t="n">
        <v>44267</v>
      </c>
      <c r="C4314" s="1" t="n">
        <v>45715</v>
      </c>
      <c r="D4314" t="inlineStr">
        <is>
          <t>KALMAR LÄN</t>
        </is>
      </c>
      <c r="E4314" t="inlineStr">
        <is>
          <t>VIMMERBY</t>
        </is>
      </c>
      <c r="F4314" t="inlineStr">
        <is>
          <t>Sveaskog</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12467-2021</t>
        </is>
      </c>
      <c r="B4315" s="1" t="n">
        <v>44267</v>
      </c>
      <c r="C4315" s="1" t="n">
        <v>45715</v>
      </c>
      <c r="D4315" t="inlineStr">
        <is>
          <t>KALMAR LÄN</t>
        </is>
      </c>
      <c r="E4315" t="inlineStr">
        <is>
          <t>VIMMERBY</t>
        </is>
      </c>
      <c r="F4315" t="inlineStr">
        <is>
          <t>Sveaskog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12520-2021</t>
        </is>
      </c>
      <c r="B4316" s="1" t="n">
        <v>44269</v>
      </c>
      <c r="C4316" s="1" t="n">
        <v>45715</v>
      </c>
      <c r="D4316" t="inlineStr">
        <is>
          <t>KALMAR LÄN</t>
        </is>
      </c>
      <c r="E4316" t="inlineStr">
        <is>
          <t>VÄSTERVIK</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12586-2021</t>
        </is>
      </c>
      <c r="B4317" s="1" t="n">
        <v>44270</v>
      </c>
      <c r="C4317" s="1" t="n">
        <v>45715</v>
      </c>
      <c r="D4317" t="inlineStr">
        <is>
          <t>KALMAR LÄN</t>
        </is>
      </c>
      <c r="E4317" t="inlineStr">
        <is>
          <t>VIMMERBY</t>
        </is>
      </c>
      <c r="F4317" t="inlineStr">
        <is>
          <t>Sveaskog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12661-2021</t>
        </is>
      </c>
      <c r="B4318" s="1" t="n">
        <v>44270</v>
      </c>
      <c r="C4318" s="1" t="n">
        <v>45715</v>
      </c>
      <c r="D4318" t="inlineStr">
        <is>
          <t>KALMAR LÄN</t>
        </is>
      </c>
      <c r="E4318" t="inlineStr">
        <is>
          <t>VIMMERBY</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12724-2021</t>
        </is>
      </c>
      <c r="B4319" s="1" t="n">
        <v>44270</v>
      </c>
      <c r="C4319" s="1" t="n">
        <v>45715</v>
      </c>
      <c r="D4319" t="inlineStr">
        <is>
          <t>KALMAR LÄN</t>
        </is>
      </c>
      <c r="E4319" t="inlineStr">
        <is>
          <t>NYBRO</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12757-2021</t>
        </is>
      </c>
      <c r="B4320" s="1" t="n">
        <v>44270</v>
      </c>
      <c r="C4320" s="1" t="n">
        <v>45715</v>
      </c>
      <c r="D4320" t="inlineStr">
        <is>
          <t>KALMAR LÄN</t>
        </is>
      </c>
      <c r="E4320" t="inlineStr">
        <is>
          <t>VIMMERBY</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12585-2021</t>
        </is>
      </c>
      <c r="B4321" s="1" t="n">
        <v>44270</v>
      </c>
      <c r="C4321" s="1" t="n">
        <v>45715</v>
      </c>
      <c r="D4321" t="inlineStr">
        <is>
          <t>KALMAR LÄN</t>
        </is>
      </c>
      <c r="E4321" t="inlineStr">
        <is>
          <t>VIMMERBY</t>
        </is>
      </c>
      <c r="F4321" t="inlineStr">
        <is>
          <t>Sveaskog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12590-2021</t>
        </is>
      </c>
      <c r="B4322" s="1" t="n">
        <v>44270</v>
      </c>
      <c r="C4322" s="1" t="n">
        <v>45715</v>
      </c>
      <c r="D4322" t="inlineStr">
        <is>
          <t>KALMAR LÄN</t>
        </is>
      </c>
      <c r="E4322" t="inlineStr">
        <is>
          <t>EMMABODA</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12597-2021</t>
        </is>
      </c>
      <c r="B4323" s="1" t="n">
        <v>44270</v>
      </c>
      <c r="C4323" s="1" t="n">
        <v>45715</v>
      </c>
      <c r="D4323" t="inlineStr">
        <is>
          <t>KALMAR LÄN</t>
        </is>
      </c>
      <c r="E4323" t="inlineStr">
        <is>
          <t>VIMMERBY</t>
        </is>
      </c>
      <c r="F4323" t="inlineStr">
        <is>
          <t>Sveaskog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12566-2021</t>
        </is>
      </c>
      <c r="B4324" s="1" t="n">
        <v>44270</v>
      </c>
      <c r="C4324" s="1" t="n">
        <v>45715</v>
      </c>
      <c r="D4324" t="inlineStr">
        <is>
          <t>KALMAR LÄN</t>
        </is>
      </c>
      <c r="E4324" t="inlineStr">
        <is>
          <t>NYBRO</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12582-2021</t>
        </is>
      </c>
      <c r="B4325" s="1" t="n">
        <v>44270</v>
      </c>
      <c r="C4325" s="1" t="n">
        <v>45715</v>
      </c>
      <c r="D4325" t="inlineStr">
        <is>
          <t>KALMAR LÄN</t>
        </is>
      </c>
      <c r="E4325" t="inlineStr">
        <is>
          <t>VIMMERBY</t>
        </is>
      </c>
      <c r="F4325" t="inlineStr">
        <is>
          <t>Sveaskog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12596-2021</t>
        </is>
      </c>
      <c r="B4326" s="1" t="n">
        <v>44270</v>
      </c>
      <c r="C4326" s="1" t="n">
        <v>45715</v>
      </c>
      <c r="D4326" t="inlineStr">
        <is>
          <t>KALMAR LÄN</t>
        </is>
      </c>
      <c r="E4326" t="inlineStr">
        <is>
          <t>VIMMERBY</t>
        </is>
      </c>
      <c r="F4326" t="inlineStr">
        <is>
          <t>Sveaskog</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12711-2021</t>
        </is>
      </c>
      <c r="B4327" s="1" t="n">
        <v>44270</v>
      </c>
      <c r="C4327" s="1" t="n">
        <v>45715</v>
      </c>
      <c r="D4327" t="inlineStr">
        <is>
          <t>KALMAR LÄN</t>
        </is>
      </c>
      <c r="E4327" t="inlineStr">
        <is>
          <t>BORGHOLM</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12587-2021</t>
        </is>
      </c>
      <c r="B4328" s="1" t="n">
        <v>44270</v>
      </c>
      <c r="C4328" s="1" t="n">
        <v>45715</v>
      </c>
      <c r="D4328" t="inlineStr">
        <is>
          <t>KALMAR LÄN</t>
        </is>
      </c>
      <c r="E4328" t="inlineStr">
        <is>
          <t>VIMMERBY</t>
        </is>
      </c>
      <c r="F4328" t="inlineStr">
        <is>
          <t>Sveaskog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12595-2021</t>
        </is>
      </c>
      <c r="B4329" s="1" t="n">
        <v>44270</v>
      </c>
      <c r="C4329" s="1" t="n">
        <v>45715</v>
      </c>
      <c r="D4329" t="inlineStr">
        <is>
          <t>KALMAR LÄN</t>
        </is>
      </c>
      <c r="E4329" t="inlineStr">
        <is>
          <t>VIMMERBY</t>
        </is>
      </c>
      <c r="F4329" t="inlineStr">
        <is>
          <t>Sveaskog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12662-2021</t>
        </is>
      </c>
      <c r="B4330" s="1" t="n">
        <v>44270</v>
      </c>
      <c r="C4330" s="1" t="n">
        <v>45715</v>
      </c>
      <c r="D4330" t="inlineStr">
        <is>
          <t>KALMAR LÄN</t>
        </is>
      </c>
      <c r="E4330" t="inlineStr">
        <is>
          <t>VIMMERBY</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12753-2021</t>
        </is>
      </c>
      <c r="B4331" s="1" t="n">
        <v>44270</v>
      </c>
      <c r="C4331" s="1" t="n">
        <v>45715</v>
      </c>
      <c r="D4331" t="inlineStr">
        <is>
          <t>KALMAR LÄN</t>
        </is>
      </c>
      <c r="E4331" t="inlineStr">
        <is>
          <t>TORSÅS</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12717-2021</t>
        </is>
      </c>
      <c r="B4332" s="1" t="n">
        <v>44270</v>
      </c>
      <c r="C4332" s="1" t="n">
        <v>45715</v>
      </c>
      <c r="D4332" t="inlineStr">
        <is>
          <t>KALMAR LÄN</t>
        </is>
      </c>
      <c r="E4332" t="inlineStr">
        <is>
          <t>HULTSFRED</t>
        </is>
      </c>
      <c r="F4332" t="inlineStr">
        <is>
          <t>Sveaskog</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12869-2021</t>
        </is>
      </c>
      <c r="B4333" s="1" t="n">
        <v>44271</v>
      </c>
      <c r="C4333" s="1" t="n">
        <v>45715</v>
      </c>
      <c r="D4333" t="inlineStr">
        <is>
          <t>KALMAR LÄN</t>
        </is>
      </c>
      <c r="E4333" t="inlineStr">
        <is>
          <t>KALMAR</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12844-2021</t>
        </is>
      </c>
      <c r="B4334" s="1" t="n">
        <v>44271</v>
      </c>
      <c r="C4334" s="1" t="n">
        <v>45715</v>
      </c>
      <c r="D4334" t="inlineStr">
        <is>
          <t>KALMAR LÄN</t>
        </is>
      </c>
      <c r="E4334" t="inlineStr">
        <is>
          <t>KALMAR</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13009-2021</t>
        </is>
      </c>
      <c r="B4335" s="1" t="n">
        <v>44271</v>
      </c>
      <c r="C4335" s="1" t="n">
        <v>45715</v>
      </c>
      <c r="D4335" t="inlineStr">
        <is>
          <t>KALMAR LÄN</t>
        </is>
      </c>
      <c r="E4335" t="inlineStr">
        <is>
          <t>EMMABODA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12848-2021</t>
        </is>
      </c>
      <c r="B4336" s="1" t="n">
        <v>44271</v>
      </c>
      <c r="C4336" s="1" t="n">
        <v>45715</v>
      </c>
      <c r="D4336" t="inlineStr">
        <is>
          <t>KALMAR LÄN</t>
        </is>
      </c>
      <c r="E4336" t="inlineStr">
        <is>
          <t>VIMMERBY</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12867-2021</t>
        </is>
      </c>
      <c r="B4337" s="1" t="n">
        <v>44271</v>
      </c>
      <c r="C4337" s="1" t="n">
        <v>45715</v>
      </c>
      <c r="D4337" t="inlineStr">
        <is>
          <t>KALMAR LÄN</t>
        </is>
      </c>
      <c r="E4337" t="inlineStr">
        <is>
          <t>KALMAR</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12876-2021</t>
        </is>
      </c>
      <c r="B4338" s="1" t="n">
        <v>44271</v>
      </c>
      <c r="C4338" s="1" t="n">
        <v>45715</v>
      </c>
      <c r="D4338" t="inlineStr">
        <is>
          <t>KALMAR LÄN</t>
        </is>
      </c>
      <c r="E4338" t="inlineStr">
        <is>
          <t>KALMAR</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12883-2021</t>
        </is>
      </c>
      <c r="B4339" s="1" t="n">
        <v>44271</v>
      </c>
      <c r="C4339" s="1" t="n">
        <v>45715</v>
      </c>
      <c r="D4339" t="inlineStr">
        <is>
          <t>KALMAR LÄN</t>
        </is>
      </c>
      <c r="E4339" t="inlineStr">
        <is>
          <t>HÖGSBY</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12902-2021</t>
        </is>
      </c>
      <c r="B4340" s="1" t="n">
        <v>44271</v>
      </c>
      <c r="C4340" s="1" t="n">
        <v>45715</v>
      </c>
      <c r="D4340" t="inlineStr">
        <is>
          <t>KALMAR LÄN</t>
        </is>
      </c>
      <c r="E4340" t="inlineStr">
        <is>
          <t>OSKARSHAMN</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12887-2021</t>
        </is>
      </c>
      <c r="B4341" s="1" t="n">
        <v>44271</v>
      </c>
      <c r="C4341" s="1" t="n">
        <v>45715</v>
      </c>
      <c r="D4341" t="inlineStr">
        <is>
          <t>KALMAR LÄN</t>
        </is>
      </c>
      <c r="E4341" t="inlineStr">
        <is>
          <t>HÖGSBY</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12899-2021</t>
        </is>
      </c>
      <c r="B4342" s="1" t="n">
        <v>44271</v>
      </c>
      <c r="C4342" s="1" t="n">
        <v>45715</v>
      </c>
      <c r="D4342" t="inlineStr">
        <is>
          <t>KALMAR LÄN</t>
        </is>
      </c>
      <c r="E4342" t="inlineStr">
        <is>
          <t>HÖGSBY</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12921-2021</t>
        </is>
      </c>
      <c r="B4343" s="1" t="n">
        <v>44271</v>
      </c>
      <c r="C4343" s="1" t="n">
        <v>45715</v>
      </c>
      <c r="D4343" t="inlineStr">
        <is>
          <t>KALMAR LÄN</t>
        </is>
      </c>
      <c r="E4343" t="inlineStr">
        <is>
          <t>NYBRO</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13036-2021</t>
        </is>
      </c>
      <c r="B4344" s="1" t="n">
        <v>44271</v>
      </c>
      <c r="C4344" s="1" t="n">
        <v>45715</v>
      </c>
      <c r="D4344" t="inlineStr">
        <is>
          <t>KALMAR LÄN</t>
        </is>
      </c>
      <c r="E4344" t="inlineStr">
        <is>
          <t>VÄSTERVIK</t>
        </is>
      </c>
      <c r="F4344" t="inlineStr">
        <is>
          <t>Sveaskog</t>
        </is>
      </c>
      <c r="G4344" t="n">
        <v>7</v>
      </c>
      <c r="H4344" t="n">
        <v>0</v>
      </c>
      <c r="I4344" t="n">
        <v>0</v>
      </c>
      <c r="J4344" t="n">
        <v>0</v>
      </c>
      <c r="K4344" t="n">
        <v>0</v>
      </c>
      <c r="L4344" t="n">
        <v>0</v>
      </c>
      <c r="M4344" t="n">
        <v>0</v>
      </c>
      <c r="N4344" t="n">
        <v>0</v>
      </c>
      <c r="O4344" t="n">
        <v>0</v>
      </c>
      <c r="P4344" t="n">
        <v>0</v>
      </c>
      <c r="Q4344" t="n">
        <v>0</v>
      </c>
      <c r="R4344" s="2" t="inlineStr"/>
    </row>
    <row r="4345" ht="15" customHeight="1">
      <c r="A4345" t="inlineStr">
        <is>
          <t>A 13123-2021</t>
        </is>
      </c>
      <c r="B4345" s="1" t="n">
        <v>44272</v>
      </c>
      <c r="C4345" s="1" t="n">
        <v>45715</v>
      </c>
      <c r="D4345" t="inlineStr">
        <is>
          <t>KALMAR LÄN</t>
        </is>
      </c>
      <c r="E4345" t="inlineStr">
        <is>
          <t>OSKARSHAMN</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13064-2021</t>
        </is>
      </c>
      <c r="B4346" s="1" t="n">
        <v>44272</v>
      </c>
      <c r="C4346" s="1" t="n">
        <v>45715</v>
      </c>
      <c r="D4346" t="inlineStr">
        <is>
          <t>KALMAR LÄN</t>
        </is>
      </c>
      <c r="E4346" t="inlineStr">
        <is>
          <t>NYBRO</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13239-2021</t>
        </is>
      </c>
      <c r="B4347" s="1" t="n">
        <v>44272</v>
      </c>
      <c r="C4347" s="1" t="n">
        <v>45715</v>
      </c>
      <c r="D4347" t="inlineStr">
        <is>
          <t>KALMAR LÄN</t>
        </is>
      </c>
      <c r="E4347" t="inlineStr">
        <is>
          <t>EMMABODA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13170-2021</t>
        </is>
      </c>
      <c r="B4348" s="1" t="n">
        <v>44272</v>
      </c>
      <c r="C4348" s="1" t="n">
        <v>45715</v>
      </c>
      <c r="D4348" t="inlineStr">
        <is>
          <t>KALMAR LÄN</t>
        </is>
      </c>
      <c r="E4348" t="inlineStr">
        <is>
          <t>HÖGSBY</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13230-2021</t>
        </is>
      </c>
      <c r="B4349" s="1" t="n">
        <v>44272</v>
      </c>
      <c r="C4349" s="1" t="n">
        <v>45715</v>
      </c>
      <c r="D4349" t="inlineStr">
        <is>
          <t>KALMAR LÄN</t>
        </is>
      </c>
      <c r="E4349" t="inlineStr">
        <is>
          <t>VÄSTERVIK</t>
        </is>
      </c>
      <c r="G4349" t="n">
        <v>7.2</v>
      </c>
      <c r="H4349" t="n">
        <v>0</v>
      </c>
      <c r="I4349" t="n">
        <v>0</v>
      </c>
      <c r="J4349" t="n">
        <v>0</v>
      </c>
      <c r="K4349" t="n">
        <v>0</v>
      </c>
      <c r="L4349" t="n">
        <v>0</v>
      </c>
      <c r="M4349" t="n">
        <v>0</v>
      </c>
      <c r="N4349" t="n">
        <v>0</v>
      </c>
      <c r="O4349" t="n">
        <v>0</v>
      </c>
      <c r="P4349" t="n">
        <v>0</v>
      </c>
      <c r="Q4349" t="n">
        <v>0</v>
      </c>
      <c r="R4349" s="2" t="inlineStr"/>
    </row>
    <row r="4350" ht="15" customHeight="1">
      <c r="A4350" t="inlineStr">
        <is>
          <t>A 13277-2021</t>
        </is>
      </c>
      <c r="B4350" s="1" t="n">
        <v>44272</v>
      </c>
      <c r="C4350" s="1" t="n">
        <v>45715</v>
      </c>
      <c r="D4350" t="inlineStr">
        <is>
          <t>KALMAR LÄN</t>
        </is>
      </c>
      <c r="E4350" t="inlineStr">
        <is>
          <t>OSKARSHAMN</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13269-2021</t>
        </is>
      </c>
      <c r="B4351" s="1" t="n">
        <v>44272</v>
      </c>
      <c r="C4351" s="1" t="n">
        <v>45715</v>
      </c>
      <c r="D4351" t="inlineStr">
        <is>
          <t>KALMAR LÄN</t>
        </is>
      </c>
      <c r="E4351" t="inlineStr">
        <is>
          <t>OSKARSHAMN</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13264-2021</t>
        </is>
      </c>
      <c r="B4352" s="1" t="n">
        <v>44272</v>
      </c>
      <c r="C4352" s="1" t="n">
        <v>45715</v>
      </c>
      <c r="D4352" t="inlineStr">
        <is>
          <t>KALMAR LÄN</t>
        </is>
      </c>
      <c r="E4352" t="inlineStr">
        <is>
          <t>OSKARSHAMN</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13325-2021</t>
        </is>
      </c>
      <c r="B4353" s="1" t="n">
        <v>44273</v>
      </c>
      <c r="C4353" s="1" t="n">
        <v>45715</v>
      </c>
      <c r="D4353" t="inlineStr">
        <is>
          <t>KALMAR LÄN</t>
        </is>
      </c>
      <c r="E4353" t="inlineStr">
        <is>
          <t>BORGHOLM</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13457-2021</t>
        </is>
      </c>
      <c r="B4354" s="1" t="n">
        <v>44273</v>
      </c>
      <c r="C4354" s="1" t="n">
        <v>45715</v>
      </c>
      <c r="D4354" t="inlineStr">
        <is>
          <t>KALMAR LÄN</t>
        </is>
      </c>
      <c r="E4354" t="inlineStr">
        <is>
          <t>VIMMERBY</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13323-2021</t>
        </is>
      </c>
      <c r="B4355" s="1" t="n">
        <v>44273</v>
      </c>
      <c r="C4355" s="1" t="n">
        <v>45715</v>
      </c>
      <c r="D4355" t="inlineStr">
        <is>
          <t>KALMAR LÄN</t>
        </is>
      </c>
      <c r="E4355" t="inlineStr">
        <is>
          <t>KALMAR</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13475-2021</t>
        </is>
      </c>
      <c r="B4356" s="1" t="n">
        <v>44273</v>
      </c>
      <c r="C4356" s="1" t="n">
        <v>45715</v>
      </c>
      <c r="D4356" t="inlineStr">
        <is>
          <t>KALMAR LÄN</t>
        </is>
      </c>
      <c r="E4356" t="inlineStr">
        <is>
          <t>EMMABODA</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13492-2021</t>
        </is>
      </c>
      <c r="B4357" s="1" t="n">
        <v>44273</v>
      </c>
      <c r="C4357" s="1" t="n">
        <v>45715</v>
      </c>
      <c r="D4357" t="inlineStr">
        <is>
          <t>KALMAR LÄN</t>
        </is>
      </c>
      <c r="E4357" t="inlineStr">
        <is>
          <t>VIMMERBY</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13557-2021</t>
        </is>
      </c>
      <c r="B4358" s="1" t="n">
        <v>44273</v>
      </c>
      <c r="C4358" s="1" t="n">
        <v>45715</v>
      </c>
      <c r="D4358" t="inlineStr">
        <is>
          <t>KALMAR LÄN</t>
        </is>
      </c>
      <c r="E4358" t="inlineStr">
        <is>
          <t>KALMAR</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13715-2021</t>
        </is>
      </c>
      <c r="B4359" s="1" t="n">
        <v>44274</v>
      </c>
      <c r="C4359" s="1" t="n">
        <v>45715</v>
      </c>
      <c r="D4359" t="inlineStr">
        <is>
          <t>KALMAR LÄN</t>
        </is>
      </c>
      <c r="E4359" t="inlineStr">
        <is>
          <t>HULTSFRED</t>
        </is>
      </c>
      <c r="G4359" t="n">
        <v>9.199999999999999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13717-2021</t>
        </is>
      </c>
      <c r="B4360" s="1" t="n">
        <v>44274</v>
      </c>
      <c r="C4360" s="1" t="n">
        <v>45715</v>
      </c>
      <c r="D4360" t="inlineStr">
        <is>
          <t>KALMAR LÄN</t>
        </is>
      </c>
      <c r="E4360" t="inlineStr">
        <is>
          <t>HULTSFRED</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13761-2021</t>
        </is>
      </c>
      <c r="B4361" s="1" t="n">
        <v>44274</v>
      </c>
      <c r="C4361" s="1" t="n">
        <v>45715</v>
      </c>
      <c r="D4361" t="inlineStr">
        <is>
          <t>KALMAR LÄN</t>
        </is>
      </c>
      <c r="E4361" t="inlineStr">
        <is>
          <t>VÄSTERVIK</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13766-2021</t>
        </is>
      </c>
      <c r="B4362" s="1" t="n">
        <v>44274</v>
      </c>
      <c r="C4362" s="1" t="n">
        <v>45715</v>
      </c>
      <c r="D4362" t="inlineStr">
        <is>
          <t>KALMAR LÄN</t>
        </is>
      </c>
      <c r="E4362" t="inlineStr">
        <is>
          <t>NYBRO</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13626-2021</t>
        </is>
      </c>
      <c r="B4363" s="1" t="n">
        <v>44274</v>
      </c>
      <c r="C4363" s="1" t="n">
        <v>45715</v>
      </c>
      <c r="D4363" t="inlineStr">
        <is>
          <t>KALMAR LÄN</t>
        </is>
      </c>
      <c r="E4363" t="inlineStr">
        <is>
          <t>VÄSTERVIK</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13704-2021</t>
        </is>
      </c>
      <c r="B4364" s="1" t="n">
        <v>44274</v>
      </c>
      <c r="C4364" s="1" t="n">
        <v>45715</v>
      </c>
      <c r="D4364" t="inlineStr">
        <is>
          <t>KALMAR LÄN</t>
        </is>
      </c>
      <c r="E4364" t="inlineStr">
        <is>
          <t>HULTSFRED</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13732-2021</t>
        </is>
      </c>
      <c r="B4365" s="1" t="n">
        <v>44274</v>
      </c>
      <c r="C4365" s="1" t="n">
        <v>45715</v>
      </c>
      <c r="D4365" t="inlineStr">
        <is>
          <t>KALMAR LÄN</t>
        </is>
      </c>
      <c r="E4365" t="inlineStr">
        <is>
          <t>HULTSFRED</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13830-2021</t>
        </is>
      </c>
      <c r="B4366" s="1" t="n">
        <v>44275</v>
      </c>
      <c r="C4366" s="1" t="n">
        <v>45715</v>
      </c>
      <c r="D4366" t="inlineStr">
        <is>
          <t>KALMAR LÄN</t>
        </is>
      </c>
      <c r="E4366" t="inlineStr">
        <is>
          <t>TORSÅS</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13803-2021</t>
        </is>
      </c>
      <c r="B4367" s="1" t="n">
        <v>44275</v>
      </c>
      <c r="C4367" s="1" t="n">
        <v>45715</v>
      </c>
      <c r="D4367" t="inlineStr">
        <is>
          <t>KALMAR LÄN</t>
        </is>
      </c>
      <c r="E4367" t="inlineStr">
        <is>
          <t>NYBRO</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13954-2021</t>
        </is>
      </c>
      <c r="B4368" s="1" t="n">
        <v>44277</v>
      </c>
      <c r="C4368" s="1" t="n">
        <v>45715</v>
      </c>
      <c r="D4368" t="inlineStr">
        <is>
          <t>KALMAR LÄN</t>
        </is>
      </c>
      <c r="E4368" t="inlineStr">
        <is>
          <t>TORSÅS</t>
        </is>
      </c>
      <c r="G4368" t="n">
        <v>8</v>
      </c>
      <c r="H4368" t="n">
        <v>0</v>
      </c>
      <c r="I4368" t="n">
        <v>0</v>
      </c>
      <c r="J4368" t="n">
        <v>0</v>
      </c>
      <c r="K4368" t="n">
        <v>0</v>
      </c>
      <c r="L4368" t="n">
        <v>0</v>
      </c>
      <c r="M4368" t="n">
        <v>0</v>
      </c>
      <c r="N4368" t="n">
        <v>0</v>
      </c>
      <c r="O4368" t="n">
        <v>0</v>
      </c>
      <c r="P4368" t="n">
        <v>0</v>
      </c>
      <c r="Q4368" t="n">
        <v>0</v>
      </c>
      <c r="R4368" s="2" t="inlineStr"/>
    </row>
    <row r="4369" ht="15" customHeight="1">
      <c r="A4369" t="inlineStr">
        <is>
          <t>A 14048-2021</t>
        </is>
      </c>
      <c r="B4369" s="1" t="n">
        <v>44277</v>
      </c>
      <c r="C4369" s="1" t="n">
        <v>45715</v>
      </c>
      <c r="D4369" t="inlineStr">
        <is>
          <t>KALMAR LÄN</t>
        </is>
      </c>
      <c r="E4369" t="inlineStr">
        <is>
          <t>TORSÅS</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13997-2021</t>
        </is>
      </c>
      <c r="B4370" s="1" t="n">
        <v>44277</v>
      </c>
      <c r="C4370" s="1" t="n">
        <v>45715</v>
      </c>
      <c r="D4370" t="inlineStr">
        <is>
          <t>KALMAR LÄN</t>
        </is>
      </c>
      <c r="E4370" t="inlineStr">
        <is>
          <t>NYBRO</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14058-2021</t>
        </is>
      </c>
      <c r="B4371" s="1" t="n">
        <v>44277</v>
      </c>
      <c r="C4371" s="1" t="n">
        <v>45715</v>
      </c>
      <c r="D4371" t="inlineStr">
        <is>
          <t>KALMAR LÄN</t>
        </is>
      </c>
      <c r="E4371" t="inlineStr">
        <is>
          <t>KALMAR</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14142-2021</t>
        </is>
      </c>
      <c r="B4372" s="1" t="n">
        <v>44277</v>
      </c>
      <c r="C4372" s="1" t="n">
        <v>45715</v>
      </c>
      <c r="D4372" t="inlineStr">
        <is>
          <t>KALMAR LÄN</t>
        </is>
      </c>
      <c r="E4372" t="inlineStr">
        <is>
          <t>EMMABODA</t>
        </is>
      </c>
      <c r="F4372" t="inlineStr">
        <is>
          <t>Kyrkan</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14063-2021</t>
        </is>
      </c>
      <c r="B4373" s="1" t="n">
        <v>44277</v>
      </c>
      <c r="C4373" s="1" t="n">
        <v>45715</v>
      </c>
      <c r="D4373" t="inlineStr">
        <is>
          <t>KALMAR LÄN</t>
        </is>
      </c>
      <c r="E4373" t="inlineStr">
        <is>
          <t>TORSÅS</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14151-2021</t>
        </is>
      </c>
      <c r="B4374" s="1" t="n">
        <v>44278</v>
      </c>
      <c r="C4374" s="1" t="n">
        <v>45715</v>
      </c>
      <c r="D4374" t="inlineStr">
        <is>
          <t>KALMAR LÄN</t>
        </is>
      </c>
      <c r="E4374" t="inlineStr">
        <is>
          <t>VÄSTERVIK</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14280-2021</t>
        </is>
      </c>
      <c r="B4375" s="1" t="n">
        <v>44278</v>
      </c>
      <c r="C4375" s="1" t="n">
        <v>45715</v>
      </c>
      <c r="D4375" t="inlineStr">
        <is>
          <t>KALMAR LÄN</t>
        </is>
      </c>
      <c r="E4375" t="inlineStr">
        <is>
          <t>HULTSFRED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14294-2021</t>
        </is>
      </c>
      <c r="B4376" s="1" t="n">
        <v>44278</v>
      </c>
      <c r="C4376" s="1" t="n">
        <v>45715</v>
      </c>
      <c r="D4376" t="inlineStr">
        <is>
          <t>KALMAR LÄN</t>
        </is>
      </c>
      <c r="E4376" t="inlineStr">
        <is>
          <t>EMMABODA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14170-2021</t>
        </is>
      </c>
      <c r="B4377" s="1" t="n">
        <v>44278</v>
      </c>
      <c r="C4377" s="1" t="n">
        <v>45715</v>
      </c>
      <c r="D4377" t="inlineStr">
        <is>
          <t>KALMAR LÄN</t>
        </is>
      </c>
      <c r="E4377" t="inlineStr">
        <is>
          <t>TORSÅS</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14220-2021</t>
        </is>
      </c>
      <c r="B4378" s="1" t="n">
        <v>44278</v>
      </c>
      <c r="C4378" s="1" t="n">
        <v>45715</v>
      </c>
      <c r="D4378" t="inlineStr">
        <is>
          <t>KALMAR LÄN</t>
        </is>
      </c>
      <c r="E4378" t="inlineStr">
        <is>
          <t>VIMMERBY</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14123-2021</t>
        </is>
      </c>
      <c r="B4379" s="1" t="n">
        <v>44278</v>
      </c>
      <c r="C4379" s="1" t="n">
        <v>45715</v>
      </c>
      <c r="D4379" t="inlineStr">
        <is>
          <t>KALMAR LÄN</t>
        </is>
      </c>
      <c r="E4379" t="inlineStr">
        <is>
          <t>EMMABODA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14149-2021</t>
        </is>
      </c>
      <c r="B4380" s="1" t="n">
        <v>44278</v>
      </c>
      <c r="C4380" s="1" t="n">
        <v>45715</v>
      </c>
      <c r="D4380" t="inlineStr">
        <is>
          <t>KALMAR LÄN</t>
        </is>
      </c>
      <c r="E4380" t="inlineStr">
        <is>
          <t>VÄSTERVIK</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14245-2021</t>
        </is>
      </c>
      <c r="B4381" s="1" t="n">
        <v>44278</v>
      </c>
      <c r="C4381" s="1" t="n">
        <v>45715</v>
      </c>
      <c r="D4381" t="inlineStr">
        <is>
          <t>KALMAR LÄN</t>
        </is>
      </c>
      <c r="E4381" t="inlineStr">
        <is>
          <t>NYBRO</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14278-2021</t>
        </is>
      </c>
      <c r="B4382" s="1" t="n">
        <v>44278</v>
      </c>
      <c r="C4382" s="1" t="n">
        <v>45715</v>
      </c>
      <c r="D4382" t="inlineStr">
        <is>
          <t>KALMAR LÄN</t>
        </is>
      </c>
      <c r="E4382" t="inlineStr">
        <is>
          <t>VIMMERBY</t>
        </is>
      </c>
      <c r="F4382" t="inlineStr">
        <is>
          <t>Övriga statliga verk och myndigheter</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14317-2021</t>
        </is>
      </c>
      <c r="B4383" s="1" t="n">
        <v>44278</v>
      </c>
      <c r="C4383" s="1" t="n">
        <v>45715</v>
      </c>
      <c r="D4383" t="inlineStr">
        <is>
          <t>KALMAR LÄN</t>
        </is>
      </c>
      <c r="E4383" t="inlineStr">
        <is>
          <t>VÄSTERVIK</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14295-2021</t>
        </is>
      </c>
      <c r="B4384" s="1" t="n">
        <v>44278</v>
      </c>
      <c r="C4384" s="1" t="n">
        <v>45715</v>
      </c>
      <c r="D4384" t="inlineStr">
        <is>
          <t>KALMAR LÄN</t>
        </is>
      </c>
      <c r="E4384" t="inlineStr">
        <is>
          <t>EMMABODA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14347-2021</t>
        </is>
      </c>
      <c r="B4385" s="1" t="n">
        <v>44279</v>
      </c>
      <c r="C4385" s="1" t="n">
        <v>45715</v>
      </c>
      <c r="D4385" t="inlineStr">
        <is>
          <t>KALMAR LÄN</t>
        </is>
      </c>
      <c r="E4385" t="inlineStr">
        <is>
          <t>VIMMERBY</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14394-2021</t>
        </is>
      </c>
      <c r="B4386" s="1" t="n">
        <v>44279</v>
      </c>
      <c r="C4386" s="1" t="n">
        <v>45715</v>
      </c>
      <c r="D4386" t="inlineStr">
        <is>
          <t>KALMAR LÄN</t>
        </is>
      </c>
      <c r="E4386" t="inlineStr">
        <is>
          <t>NYBRO</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14451-2021</t>
        </is>
      </c>
      <c r="B4387" s="1" t="n">
        <v>44279</v>
      </c>
      <c r="C4387" s="1" t="n">
        <v>45715</v>
      </c>
      <c r="D4387" t="inlineStr">
        <is>
          <t>KALMAR LÄN</t>
        </is>
      </c>
      <c r="E4387" t="inlineStr">
        <is>
          <t>VIMMERBY</t>
        </is>
      </c>
      <c r="F4387" t="inlineStr">
        <is>
          <t>Sveaskog</t>
        </is>
      </c>
      <c r="G4387" t="n">
        <v>9.4</v>
      </c>
      <c r="H4387" t="n">
        <v>0</v>
      </c>
      <c r="I4387" t="n">
        <v>0</v>
      </c>
      <c r="J4387" t="n">
        <v>0</v>
      </c>
      <c r="K4387" t="n">
        <v>0</v>
      </c>
      <c r="L4387" t="n">
        <v>0</v>
      </c>
      <c r="M4387" t="n">
        <v>0</v>
      </c>
      <c r="N4387" t="n">
        <v>0</v>
      </c>
      <c r="O4387" t="n">
        <v>0</v>
      </c>
      <c r="P4387" t="n">
        <v>0</v>
      </c>
      <c r="Q4387" t="n">
        <v>0</v>
      </c>
      <c r="R4387" s="2" t="inlineStr"/>
    </row>
    <row r="4388" ht="15" customHeight="1">
      <c r="A4388" t="inlineStr">
        <is>
          <t>A 14521-2021</t>
        </is>
      </c>
      <c r="B4388" s="1" t="n">
        <v>44279</v>
      </c>
      <c r="C4388" s="1" t="n">
        <v>45715</v>
      </c>
      <c r="D4388" t="inlineStr">
        <is>
          <t>KALMAR LÄN</t>
        </is>
      </c>
      <c r="E4388" t="inlineStr">
        <is>
          <t>VIMMERBY</t>
        </is>
      </c>
      <c r="F4388" t="inlineStr">
        <is>
          <t>Sveaskog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14337-2021</t>
        </is>
      </c>
      <c r="B4389" s="1" t="n">
        <v>44279</v>
      </c>
      <c r="C4389" s="1" t="n">
        <v>45715</v>
      </c>
      <c r="D4389" t="inlineStr">
        <is>
          <t>KALMAR LÄN</t>
        </is>
      </c>
      <c r="E4389" t="inlineStr">
        <is>
          <t>KALMAR</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14650-2021</t>
        </is>
      </c>
      <c r="B4390" s="1" t="n">
        <v>44280</v>
      </c>
      <c r="C4390" s="1" t="n">
        <v>45715</v>
      </c>
      <c r="D4390" t="inlineStr">
        <is>
          <t>KALMAR LÄN</t>
        </is>
      </c>
      <c r="E4390" t="inlineStr">
        <is>
          <t>KALMAR</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14767-2021</t>
        </is>
      </c>
      <c r="B4391" s="1" t="n">
        <v>44280</v>
      </c>
      <c r="C4391" s="1" t="n">
        <v>45715</v>
      </c>
      <c r="D4391" t="inlineStr">
        <is>
          <t>KALMAR LÄN</t>
        </is>
      </c>
      <c r="E4391" t="inlineStr">
        <is>
          <t>TORSÅS</t>
        </is>
      </c>
      <c r="G4391" t="n">
        <v>11.6</v>
      </c>
      <c r="H4391" t="n">
        <v>0</v>
      </c>
      <c r="I4391" t="n">
        <v>0</v>
      </c>
      <c r="J4391" t="n">
        <v>0</v>
      </c>
      <c r="K4391" t="n">
        <v>0</v>
      </c>
      <c r="L4391" t="n">
        <v>0</v>
      </c>
      <c r="M4391" t="n">
        <v>0</v>
      </c>
      <c r="N4391" t="n">
        <v>0</v>
      </c>
      <c r="O4391" t="n">
        <v>0</v>
      </c>
      <c r="P4391" t="n">
        <v>0</v>
      </c>
      <c r="Q4391" t="n">
        <v>0</v>
      </c>
      <c r="R4391" s="2" t="inlineStr"/>
    </row>
    <row r="4392" ht="15" customHeight="1">
      <c r="A4392" t="inlineStr">
        <is>
          <t>A 14791-2021</t>
        </is>
      </c>
      <c r="B4392" s="1" t="n">
        <v>44280</v>
      </c>
      <c r="C4392" s="1" t="n">
        <v>45715</v>
      </c>
      <c r="D4392" t="inlineStr">
        <is>
          <t>KALMAR LÄN</t>
        </is>
      </c>
      <c r="E4392" t="inlineStr">
        <is>
          <t>EMMABODA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14834-2021</t>
        </is>
      </c>
      <c r="B4393" s="1" t="n">
        <v>44280</v>
      </c>
      <c r="C4393" s="1" t="n">
        <v>45715</v>
      </c>
      <c r="D4393" t="inlineStr">
        <is>
          <t>KALMAR LÄN</t>
        </is>
      </c>
      <c r="E4393" t="inlineStr">
        <is>
          <t>TORSÅS</t>
        </is>
      </c>
      <c r="G4393" t="n">
        <v>8.800000000000001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15092-2021</t>
        </is>
      </c>
      <c r="B4394" s="1" t="n">
        <v>44281</v>
      </c>
      <c r="C4394" s="1" t="n">
        <v>45715</v>
      </c>
      <c r="D4394" t="inlineStr">
        <is>
          <t>KALMAR LÄN</t>
        </is>
      </c>
      <c r="E4394" t="inlineStr">
        <is>
          <t>VIMMERBY</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15212-2021</t>
        </is>
      </c>
      <c r="B4395" s="1" t="n">
        <v>44284</v>
      </c>
      <c r="C4395" s="1" t="n">
        <v>45715</v>
      </c>
      <c r="D4395" t="inlineStr">
        <is>
          <t>KALMAR LÄN</t>
        </is>
      </c>
      <c r="E4395" t="inlineStr">
        <is>
          <t>TORSÅS</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15181-2021</t>
        </is>
      </c>
      <c r="B4396" s="1" t="n">
        <v>44284</v>
      </c>
      <c r="C4396" s="1" t="n">
        <v>45715</v>
      </c>
      <c r="D4396" t="inlineStr">
        <is>
          <t>KALMAR LÄN</t>
        </is>
      </c>
      <c r="E4396" t="inlineStr">
        <is>
          <t>EMMABODA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15188-2021</t>
        </is>
      </c>
      <c r="B4397" s="1" t="n">
        <v>44284</v>
      </c>
      <c r="C4397" s="1" t="n">
        <v>45715</v>
      </c>
      <c r="D4397" t="inlineStr">
        <is>
          <t>KALMAR LÄN</t>
        </is>
      </c>
      <c r="E4397" t="inlineStr">
        <is>
          <t>VIMMERBY</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15191-2021</t>
        </is>
      </c>
      <c r="B4398" s="1" t="n">
        <v>44284</v>
      </c>
      <c r="C4398" s="1" t="n">
        <v>45715</v>
      </c>
      <c r="D4398" t="inlineStr">
        <is>
          <t>KALMAR LÄN</t>
        </is>
      </c>
      <c r="E4398" t="inlineStr">
        <is>
          <t>VIMMERBY</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15213-2021</t>
        </is>
      </c>
      <c r="B4399" s="1" t="n">
        <v>44284</v>
      </c>
      <c r="C4399" s="1" t="n">
        <v>45715</v>
      </c>
      <c r="D4399" t="inlineStr">
        <is>
          <t>KALMAR LÄN</t>
        </is>
      </c>
      <c r="E4399" t="inlineStr">
        <is>
          <t>TORSÅS</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15200-2021</t>
        </is>
      </c>
      <c r="B4400" s="1" t="n">
        <v>44284</v>
      </c>
      <c r="C4400" s="1" t="n">
        <v>45715</v>
      </c>
      <c r="D4400" t="inlineStr">
        <is>
          <t>KALMAR LÄN</t>
        </is>
      </c>
      <c r="E4400" t="inlineStr">
        <is>
          <t>VIMMERBY</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15217-2021</t>
        </is>
      </c>
      <c r="B4401" s="1" t="n">
        <v>44284</v>
      </c>
      <c r="C4401" s="1" t="n">
        <v>45715</v>
      </c>
      <c r="D4401" t="inlineStr">
        <is>
          <t>KALMAR LÄN</t>
        </is>
      </c>
      <c r="E4401" t="inlineStr">
        <is>
          <t>NYBRO</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15261-2021</t>
        </is>
      </c>
      <c r="B4402" s="1" t="n">
        <v>44284</v>
      </c>
      <c r="C4402" s="1" t="n">
        <v>45715</v>
      </c>
      <c r="D4402" t="inlineStr">
        <is>
          <t>KALMAR LÄN</t>
        </is>
      </c>
      <c r="E4402" t="inlineStr">
        <is>
          <t>EMMABODA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15445-2021</t>
        </is>
      </c>
      <c r="B4403" s="1" t="n">
        <v>44285</v>
      </c>
      <c r="C4403" s="1" t="n">
        <v>45715</v>
      </c>
      <c r="D4403" t="inlineStr">
        <is>
          <t>KALMAR LÄN</t>
        </is>
      </c>
      <c r="E4403" t="inlineStr">
        <is>
          <t>KALMAR</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15439-2021</t>
        </is>
      </c>
      <c r="B4404" s="1" t="n">
        <v>44285</v>
      </c>
      <c r="C4404" s="1" t="n">
        <v>45715</v>
      </c>
      <c r="D4404" t="inlineStr">
        <is>
          <t>KALMAR LÄN</t>
        </is>
      </c>
      <c r="E4404" t="inlineStr">
        <is>
          <t>NYBRO</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15595-2021</t>
        </is>
      </c>
      <c r="B4405" s="1" t="n">
        <v>44285</v>
      </c>
      <c r="C4405" s="1" t="n">
        <v>45715</v>
      </c>
      <c r="D4405" t="inlineStr">
        <is>
          <t>KALMAR LÄN</t>
        </is>
      </c>
      <c r="E4405" t="inlineStr">
        <is>
          <t>VÄSTERVIK</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15612-2021</t>
        </is>
      </c>
      <c r="B4406" s="1" t="n">
        <v>44285</v>
      </c>
      <c r="C4406" s="1" t="n">
        <v>45715</v>
      </c>
      <c r="D4406" t="inlineStr">
        <is>
          <t>KALMAR LÄN</t>
        </is>
      </c>
      <c r="E4406" t="inlineStr">
        <is>
          <t>MÖNSTERÅS</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15610-2021</t>
        </is>
      </c>
      <c r="B4407" s="1" t="n">
        <v>44285</v>
      </c>
      <c r="C4407" s="1" t="n">
        <v>45715</v>
      </c>
      <c r="D4407" t="inlineStr">
        <is>
          <t>KALMAR LÄN</t>
        </is>
      </c>
      <c r="E4407" t="inlineStr">
        <is>
          <t>MÖNSTERÅS</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15598-2021</t>
        </is>
      </c>
      <c r="B4408" s="1" t="n">
        <v>44285</v>
      </c>
      <c r="C4408" s="1" t="n">
        <v>45715</v>
      </c>
      <c r="D4408" t="inlineStr">
        <is>
          <t>KALMAR LÄN</t>
        </is>
      </c>
      <c r="E4408" t="inlineStr">
        <is>
          <t>VÄSTERVIK</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15591-2021</t>
        </is>
      </c>
      <c r="B4409" s="1" t="n">
        <v>44285</v>
      </c>
      <c r="C4409" s="1" t="n">
        <v>45715</v>
      </c>
      <c r="D4409" t="inlineStr">
        <is>
          <t>KALMAR LÄN</t>
        </is>
      </c>
      <c r="E4409" t="inlineStr">
        <is>
          <t>VÄSTERVIK</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15715-2021</t>
        </is>
      </c>
      <c r="B4410" s="1" t="n">
        <v>44286</v>
      </c>
      <c r="C4410" s="1" t="n">
        <v>45715</v>
      </c>
      <c r="D4410" t="inlineStr">
        <is>
          <t>KALMAR LÄN</t>
        </is>
      </c>
      <c r="E4410" t="inlineStr">
        <is>
          <t>HULTSFRED</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15834-2021</t>
        </is>
      </c>
      <c r="B4411" s="1" t="n">
        <v>44286</v>
      </c>
      <c r="C4411" s="1" t="n">
        <v>45715</v>
      </c>
      <c r="D4411" t="inlineStr">
        <is>
          <t>KALMAR LÄN</t>
        </is>
      </c>
      <c r="E4411" t="inlineStr">
        <is>
          <t>VÄSTERVIK</t>
        </is>
      </c>
      <c r="F4411" t="inlineStr">
        <is>
          <t>Holmen skog AB</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15928-2021</t>
        </is>
      </c>
      <c r="B4412" s="1" t="n">
        <v>44287</v>
      </c>
      <c r="C4412" s="1" t="n">
        <v>45715</v>
      </c>
      <c r="D4412" t="inlineStr">
        <is>
          <t>KALMAR LÄN</t>
        </is>
      </c>
      <c r="E4412" t="inlineStr">
        <is>
          <t>KALMAR</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15903-2021</t>
        </is>
      </c>
      <c r="B4413" s="1" t="n">
        <v>44287</v>
      </c>
      <c r="C4413" s="1" t="n">
        <v>45715</v>
      </c>
      <c r="D4413" t="inlineStr">
        <is>
          <t>KALMAR LÄN</t>
        </is>
      </c>
      <c r="E4413" t="inlineStr">
        <is>
          <t>VIMMERBY</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16288-2021</t>
        </is>
      </c>
      <c r="B4414" s="1" t="n">
        <v>44292</v>
      </c>
      <c r="C4414" s="1" t="n">
        <v>45715</v>
      </c>
      <c r="D4414" t="inlineStr">
        <is>
          <t>KALMAR LÄN</t>
        </is>
      </c>
      <c r="E4414" t="inlineStr">
        <is>
          <t>VIMMERBY</t>
        </is>
      </c>
      <c r="F4414" t="inlineStr">
        <is>
          <t>Övriga Aktiebolag</t>
        </is>
      </c>
      <c r="G4414" t="n">
        <v>27.6</v>
      </c>
      <c r="H4414" t="n">
        <v>0</v>
      </c>
      <c r="I4414" t="n">
        <v>0</v>
      </c>
      <c r="J4414" t="n">
        <v>0</v>
      </c>
      <c r="K4414" t="n">
        <v>0</v>
      </c>
      <c r="L4414" t="n">
        <v>0</v>
      </c>
      <c r="M4414" t="n">
        <v>0</v>
      </c>
      <c r="N4414" t="n">
        <v>0</v>
      </c>
      <c r="O4414" t="n">
        <v>0</v>
      </c>
      <c r="P4414" t="n">
        <v>0</v>
      </c>
      <c r="Q4414" t="n">
        <v>0</v>
      </c>
      <c r="R4414" s="2" t="inlineStr"/>
    </row>
    <row r="4415" ht="15" customHeight="1">
      <c r="A4415" t="inlineStr">
        <is>
          <t>A 16405-2021</t>
        </is>
      </c>
      <c r="B4415" s="1" t="n">
        <v>44293</v>
      </c>
      <c r="C4415" s="1" t="n">
        <v>45715</v>
      </c>
      <c r="D4415" t="inlineStr">
        <is>
          <t>KALMAR LÄN</t>
        </is>
      </c>
      <c r="E4415" t="inlineStr">
        <is>
          <t>EMMABODA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16542-2021</t>
        </is>
      </c>
      <c r="B4416" s="1" t="n">
        <v>44293</v>
      </c>
      <c r="C4416" s="1" t="n">
        <v>45715</v>
      </c>
      <c r="D4416" t="inlineStr">
        <is>
          <t>KALMAR LÄN</t>
        </is>
      </c>
      <c r="E4416" t="inlineStr">
        <is>
          <t>HULTSFRED</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16552-2021</t>
        </is>
      </c>
      <c r="B4417" s="1" t="n">
        <v>44293</v>
      </c>
      <c r="C4417" s="1" t="n">
        <v>45715</v>
      </c>
      <c r="D4417" t="inlineStr">
        <is>
          <t>KALMAR LÄN</t>
        </is>
      </c>
      <c r="E4417" t="inlineStr">
        <is>
          <t>TORSÅS</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16495-2021</t>
        </is>
      </c>
      <c r="B4418" s="1" t="n">
        <v>44293</v>
      </c>
      <c r="C4418" s="1" t="n">
        <v>45715</v>
      </c>
      <c r="D4418" t="inlineStr">
        <is>
          <t>KALMAR LÄN</t>
        </is>
      </c>
      <c r="E4418" t="inlineStr">
        <is>
          <t>EMMABODA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16729-2021</t>
        </is>
      </c>
      <c r="B4419" s="1" t="n">
        <v>44294</v>
      </c>
      <c r="C4419" s="1" t="n">
        <v>45715</v>
      </c>
      <c r="D4419" t="inlineStr">
        <is>
          <t>KALMAR LÄN</t>
        </is>
      </c>
      <c r="E4419" t="inlineStr">
        <is>
          <t>VÄSTERVIK</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16697-2021</t>
        </is>
      </c>
      <c r="B4420" s="1" t="n">
        <v>44294</v>
      </c>
      <c r="C4420" s="1" t="n">
        <v>45715</v>
      </c>
      <c r="D4420" t="inlineStr">
        <is>
          <t>KALMAR LÄN</t>
        </is>
      </c>
      <c r="E4420" t="inlineStr">
        <is>
          <t>VÄSTERVIK</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16728-2021</t>
        </is>
      </c>
      <c r="B4421" s="1" t="n">
        <v>44294</v>
      </c>
      <c r="C4421" s="1" t="n">
        <v>45715</v>
      </c>
      <c r="D4421" t="inlineStr">
        <is>
          <t>KALMAR LÄN</t>
        </is>
      </c>
      <c r="E4421" t="inlineStr">
        <is>
          <t>VÄSTERVIK</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16738-2021</t>
        </is>
      </c>
      <c r="B4422" s="1" t="n">
        <v>44294</v>
      </c>
      <c r="C4422" s="1" t="n">
        <v>45715</v>
      </c>
      <c r="D4422" t="inlineStr">
        <is>
          <t>KALMAR LÄN</t>
        </is>
      </c>
      <c r="E4422" t="inlineStr">
        <is>
          <t>NYBRO</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16602-2021</t>
        </is>
      </c>
      <c r="B4423" s="1" t="n">
        <v>44294</v>
      </c>
      <c r="C4423" s="1" t="n">
        <v>45715</v>
      </c>
      <c r="D4423" t="inlineStr">
        <is>
          <t>KALMAR LÄN</t>
        </is>
      </c>
      <c r="E4423" t="inlineStr">
        <is>
          <t>VIMMERBY</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16734-2021</t>
        </is>
      </c>
      <c r="B4424" s="1" t="n">
        <v>44294</v>
      </c>
      <c r="C4424" s="1" t="n">
        <v>45715</v>
      </c>
      <c r="D4424" t="inlineStr">
        <is>
          <t>KALMAR LÄN</t>
        </is>
      </c>
      <c r="E4424" t="inlineStr">
        <is>
          <t>VÄSTERVIK</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16607-2021</t>
        </is>
      </c>
      <c r="B4425" s="1" t="n">
        <v>44294</v>
      </c>
      <c r="C4425" s="1" t="n">
        <v>45715</v>
      </c>
      <c r="D4425" t="inlineStr">
        <is>
          <t>KALMAR LÄN</t>
        </is>
      </c>
      <c r="E4425" t="inlineStr">
        <is>
          <t>VIMMERBY</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16726-2021</t>
        </is>
      </c>
      <c r="B4426" s="1" t="n">
        <v>44294</v>
      </c>
      <c r="C4426" s="1" t="n">
        <v>45715</v>
      </c>
      <c r="D4426" t="inlineStr">
        <is>
          <t>KALMAR LÄN</t>
        </is>
      </c>
      <c r="E4426" t="inlineStr">
        <is>
          <t>VÄSTERVIK</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16786-2021</t>
        </is>
      </c>
      <c r="B4427" s="1" t="n">
        <v>44295</v>
      </c>
      <c r="C4427" s="1" t="n">
        <v>45715</v>
      </c>
      <c r="D4427" t="inlineStr">
        <is>
          <t>KALMAR LÄN</t>
        </is>
      </c>
      <c r="E4427" t="inlineStr">
        <is>
          <t>TORSÅS</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16992-2021</t>
        </is>
      </c>
      <c r="B4428" s="1" t="n">
        <v>44295</v>
      </c>
      <c r="C4428" s="1" t="n">
        <v>45715</v>
      </c>
      <c r="D4428" t="inlineStr">
        <is>
          <t>KALMAR LÄN</t>
        </is>
      </c>
      <c r="E4428" t="inlineStr">
        <is>
          <t>VÄSTERVIK</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16865-2021</t>
        </is>
      </c>
      <c r="B4429" s="1" t="n">
        <v>44295</v>
      </c>
      <c r="C4429" s="1" t="n">
        <v>45715</v>
      </c>
      <c r="D4429" t="inlineStr">
        <is>
          <t>KALMAR LÄN</t>
        </is>
      </c>
      <c r="E4429" t="inlineStr">
        <is>
          <t>HULTSFRED</t>
        </is>
      </c>
      <c r="F4429" t="inlineStr">
        <is>
          <t>Sveaskog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16921-2021</t>
        </is>
      </c>
      <c r="B4430" s="1" t="n">
        <v>44295</v>
      </c>
      <c r="C4430" s="1" t="n">
        <v>45715</v>
      </c>
      <c r="D4430" t="inlineStr">
        <is>
          <t>KALMAR LÄN</t>
        </is>
      </c>
      <c r="E4430" t="inlineStr">
        <is>
          <t>TORSÅS</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16928-2021</t>
        </is>
      </c>
      <c r="B4431" s="1" t="n">
        <v>44295</v>
      </c>
      <c r="C4431" s="1" t="n">
        <v>45715</v>
      </c>
      <c r="D4431" t="inlineStr">
        <is>
          <t>KALMAR LÄN</t>
        </is>
      </c>
      <c r="E4431" t="inlineStr">
        <is>
          <t>EMMABODA</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16957-2021</t>
        </is>
      </c>
      <c r="B4432" s="1" t="n">
        <v>44295</v>
      </c>
      <c r="C4432" s="1" t="n">
        <v>45715</v>
      </c>
      <c r="D4432" t="inlineStr">
        <is>
          <t>KALMAR LÄN</t>
        </is>
      </c>
      <c r="E4432" t="inlineStr">
        <is>
          <t>NYBRO</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16969-2021</t>
        </is>
      </c>
      <c r="B4433" s="1" t="n">
        <v>44295</v>
      </c>
      <c r="C4433" s="1" t="n">
        <v>45715</v>
      </c>
      <c r="D4433" t="inlineStr">
        <is>
          <t>KALMAR LÄN</t>
        </is>
      </c>
      <c r="E4433" t="inlineStr">
        <is>
          <t>EMMABODA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16993-2021</t>
        </is>
      </c>
      <c r="B4434" s="1" t="n">
        <v>44295</v>
      </c>
      <c r="C4434" s="1" t="n">
        <v>45715</v>
      </c>
      <c r="D4434" t="inlineStr">
        <is>
          <t>KALMAR LÄN</t>
        </is>
      </c>
      <c r="E4434" t="inlineStr">
        <is>
          <t>EMMABODA</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17059-2021</t>
        </is>
      </c>
      <c r="B4435" s="1" t="n">
        <v>44296</v>
      </c>
      <c r="C4435" s="1" t="n">
        <v>45715</v>
      </c>
      <c r="D4435" t="inlineStr">
        <is>
          <t>KALMAR LÄN</t>
        </is>
      </c>
      <c r="E4435" t="inlineStr">
        <is>
          <t>HULTSFRED</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17085-2021</t>
        </is>
      </c>
      <c r="B4436" s="1" t="n">
        <v>44297</v>
      </c>
      <c r="C4436" s="1" t="n">
        <v>45715</v>
      </c>
      <c r="D4436" t="inlineStr">
        <is>
          <t>KALMAR LÄN</t>
        </is>
      </c>
      <c r="E4436" t="inlineStr">
        <is>
          <t>EMMABODA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17065-2021</t>
        </is>
      </c>
      <c r="B4437" s="1" t="n">
        <v>44297</v>
      </c>
      <c r="C4437" s="1" t="n">
        <v>45715</v>
      </c>
      <c r="D4437" t="inlineStr">
        <is>
          <t>KALMAR LÄN</t>
        </is>
      </c>
      <c r="E4437" t="inlineStr">
        <is>
          <t>NYBRO</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17087-2021</t>
        </is>
      </c>
      <c r="B4438" s="1" t="n">
        <v>44297</v>
      </c>
      <c r="C4438" s="1" t="n">
        <v>45715</v>
      </c>
      <c r="D4438" t="inlineStr">
        <is>
          <t>KALMAR LÄN</t>
        </is>
      </c>
      <c r="E4438" t="inlineStr">
        <is>
          <t>EMMABODA</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17124-2021</t>
        </is>
      </c>
      <c r="B4439" s="1" t="n">
        <v>44298</v>
      </c>
      <c r="C4439" s="1" t="n">
        <v>45715</v>
      </c>
      <c r="D4439" t="inlineStr">
        <is>
          <t>KALMAR LÄN</t>
        </is>
      </c>
      <c r="E4439" t="inlineStr">
        <is>
          <t>VÄSTERVIK</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17200-2021</t>
        </is>
      </c>
      <c r="B4440" s="1" t="n">
        <v>44298</v>
      </c>
      <c r="C4440" s="1" t="n">
        <v>45715</v>
      </c>
      <c r="D4440" t="inlineStr">
        <is>
          <t>KALMAR LÄN</t>
        </is>
      </c>
      <c r="E4440" t="inlineStr">
        <is>
          <t>VÄSTERVIK</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17277-2021</t>
        </is>
      </c>
      <c r="B4441" s="1" t="n">
        <v>44298</v>
      </c>
      <c r="C4441" s="1" t="n">
        <v>45715</v>
      </c>
      <c r="D4441" t="inlineStr">
        <is>
          <t>KALMAR LÄN</t>
        </is>
      </c>
      <c r="E4441" t="inlineStr">
        <is>
          <t>VÄSTERVIK</t>
        </is>
      </c>
      <c r="G4441" t="n">
        <v>7</v>
      </c>
      <c r="H4441" t="n">
        <v>0</v>
      </c>
      <c r="I4441" t="n">
        <v>0</v>
      </c>
      <c r="J4441" t="n">
        <v>0</v>
      </c>
      <c r="K4441" t="n">
        <v>0</v>
      </c>
      <c r="L4441" t="n">
        <v>0</v>
      </c>
      <c r="M4441" t="n">
        <v>0</v>
      </c>
      <c r="N4441" t="n">
        <v>0</v>
      </c>
      <c r="O4441" t="n">
        <v>0</v>
      </c>
      <c r="P4441" t="n">
        <v>0</v>
      </c>
      <c r="Q4441" t="n">
        <v>0</v>
      </c>
      <c r="R4441" s="2" t="inlineStr"/>
    </row>
    <row r="4442" ht="15" customHeight="1">
      <c r="A4442" t="inlineStr">
        <is>
          <t>A 17216-2021</t>
        </is>
      </c>
      <c r="B4442" s="1" t="n">
        <v>44298</v>
      </c>
      <c r="C4442" s="1" t="n">
        <v>45715</v>
      </c>
      <c r="D4442" t="inlineStr">
        <is>
          <t>KALMAR LÄN</t>
        </is>
      </c>
      <c r="E4442" t="inlineStr">
        <is>
          <t>VÄSTERVIK</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17099-2021</t>
        </is>
      </c>
      <c r="B4443" s="1" t="n">
        <v>44298</v>
      </c>
      <c r="C4443" s="1" t="n">
        <v>45715</v>
      </c>
      <c r="D4443" t="inlineStr">
        <is>
          <t>KALMAR LÄN</t>
        </is>
      </c>
      <c r="E4443" t="inlineStr">
        <is>
          <t>NYBRO</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17253-2021</t>
        </is>
      </c>
      <c r="B4444" s="1" t="n">
        <v>44298</v>
      </c>
      <c r="C4444" s="1" t="n">
        <v>45715</v>
      </c>
      <c r="D4444" t="inlineStr">
        <is>
          <t>KALMAR LÄN</t>
        </is>
      </c>
      <c r="E4444" t="inlineStr">
        <is>
          <t>VÄSTERVIK</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17335-2021</t>
        </is>
      </c>
      <c r="B4445" s="1" t="n">
        <v>44298</v>
      </c>
      <c r="C4445" s="1" t="n">
        <v>45715</v>
      </c>
      <c r="D4445" t="inlineStr">
        <is>
          <t>KALMAR LÄN</t>
        </is>
      </c>
      <c r="E4445" t="inlineStr">
        <is>
          <t>OSKARSHAMN</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17357-2021</t>
        </is>
      </c>
      <c r="B4446" s="1" t="n">
        <v>44298</v>
      </c>
      <c r="C4446" s="1" t="n">
        <v>45715</v>
      </c>
      <c r="D4446" t="inlineStr">
        <is>
          <t>KALMAR LÄN</t>
        </is>
      </c>
      <c r="E4446" t="inlineStr">
        <is>
          <t>TORSÅS</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17358-2021</t>
        </is>
      </c>
      <c r="B4447" s="1" t="n">
        <v>44298</v>
      </c>
      <c r="C4447" s="1" t="n">
        <v>45715</v>
      </c>
      <c r="D4447" t="inlineStr">
        <is>
          <t>KALMAR LÄN</t>
        </is>
      </c>
      <c r="E4447" t="inlineStr">
        <is>
          <t>TORSÅS</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17481-2021</t>
        </is>
      </c>
      <c r="B4448" s="1" t="n">
        <v>44299</v>
      </c>
      <c r="C4448" s="1" t="n">
        <v>45715</v>
      </c>
      <c r="D4448" t="inlineStr">
        <is>
          <t>KALMAR LÄN</t>
        </is>
      </c>
      <c r="E4448" t="inlineStr">
        <is>
          <t>EMMABODA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17560-2021</t>
        </is>
      </c>
      <c r="B4449" s="1" t="n">
        <v>44299</v>
      </c>
      <c r="C4449" s="1" t="n">
        <v>45715</v>
      </c>
      <c r="D4449" t="inlineStr">
        <is>
          <t>KALMAR LÄN</t>
        </is>
      </c>
      <c r="E4449" t="inlineStr">
        <is>
          <t>NYBRO</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17660-2021</t>
        </is>
      </c>
      <c r="B4450" s="1" t="n">
        <v>44300</v>
      </c>
      <c r="C4450" s="1" t="n">
        <v>45715</v>
      </c>
      <c r="D4450" t="inlineStr">
        <is>
          <t>KALMAR LÄN</t>
        </is>
      </c>
      <c r="E4450" t="inlineStr">
        <is>
          <t>HULTSFRED</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17641-2021</t>
        </is>
      </c>
      <c r="B4451" s="1" t="n">
        <v>44300</v>
      </c>
      <c r="C4451" s="1" t="n">
        <v>45715</v>
      </c>
      <c r="D4451" t="inlineStr">
        <is>
          <t>KALMAR LÄN</t>
        </is>
      </c>
      <c r="E4451" t="inlineStr">
        <is>
          <t>NYBRO</t>
        </is>
      </c>
      <c r="G4451" t="n">
        <v>9.1</v>
      </c>
      <c r="H4451" t="n">
        <v>0</v>
      </c>
      <c r="I4451" t="n">
        <v>0</v>
      </c>
      <c r="J4451" t="n">
        <v>0</v>
      </c>
      <c r="K4451" t="n">
        <v>0</v>
      </c>
      <c r="L4451" t="n">
        <v>0</v>
      </c>
      <c r="M4451" t="n">
        <v>0</v>
      </c>
      <c r="N4451" t="n">
        <v>0</v>
      </c>
      <c r="O4451" t="n">
        <v>0</v>
      </c>
      <c r="P4451" t="n">
        <v>0</v>
      </c>
      <c r="Q4451" t="n">
        <v>0</v>
      </c>
      <c r="R4451" s="2" t="inlineStr"/>
    </row>
    <row r="4452" ht="15" customHeight="1">
      <c r="A4452" t="inlineStr">
        <is>
          <t>A 17653-2021</t>
        </is>
      </c>
      <c r="B4452" s="1" t="n">
        <v>44300</v>
      </c>
      <c r="C4452" s="1" t="n">
        <v>45715</v>
      </c>
      <c r="D4452" t="inlineStr">
        <is>
          <t>KALMAR LÄN</t>
        </is>
      </c>
      <c r="E4452" t="inlineStr">
        <is>
          <t>NYBRO</t>
        </is>
      </c>
      <c r="G4452" t="n">
        <v>7.1</v>
      </c>
      <c r="H4452" t="n">
        <v>0</v>
      </c>
      <c r="I4452" t="n">
        <v>0</v>
      </c>
      <c r="J4452" t="n">
        <v>0</v>
      </c>
      <c r="K4452" t="n">
        <v>0</v>
      </c>
      <c r="L4452" t="n">
        <v>0</v>
      </c>
      <c r="M4452" t="n">
        <v>0</v>
      </c>
      <c r="N4452" t="n">
        <v>0</v>
      </c>
      <c r="O4452" t="n">
        <v>0</v>
      </c>
      <c r="P4452" t="n">
        <v>0</v>
      </c>
      <c r="Q4452" t="n">
        <v>0</v>
      </c>
      <c r="R4452" s="2" t="inlineStr"/>
    </row>
    <row r="4453" ht="15" customHeight="1">
      <c r="A4453" t="inlineStr">
        <is>
          <t>A 17725-2021</t>
        </is>
      </c>
      <c r="B4453" s="1" t="n">
        <v>44300</v>
      </c>
      <c r="C4453" s="1" t="n">
        <v>45715</v>
      </c>
      <c r="D4453" t="inlineStr">
        <is>
          <t>KALMAR LÄN</t>
        </is>
      </c>
      <c r="E4453" t="inlineStr">
        <is>
          <t>NYBRO</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17869-2021</t>
        </is>
      </c>
      <c r="B4454" s="1" t="n">
        <v>44301</v>
      </c>
      <c r="C4454" s="1" t="n">
        <v>45715</v>
      </c>
      <c r="D4454" t="inlineStr">
        <is>
          <t>KALMAR LÄN</t>
        </is>
      </c>
      <c r="E4454" t="inlineStr">
        <is>
          <t>VIMMERBY</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17978-2021</t>
        </is>
      </c>
      <c r="B4455" s="1" t="n">
        <v>44301</v>
      </c>
      <c r="C4455" s="1" t="n">
        <v>45715</v>
      </c>
      <c r="D4455" t="inlineStr">
        <is>
          <t>KALMAR LÄN</t>
        </is>
      </c>
      <c r="E4455" t="inlineStr">
        <is>
          <t>BORGHOLM</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17865-2021</t>
        </is>
      </c>
      <c r="B4456" s="1" t="n">
        <v>44301</v>
      </c>
      <c r="C4456" s="1" t="n">
        <v>45715</v>
      </c>
      <c r="D4456" t="inlineStr">
        <is>
          <t>KALMAR LÄN</t>
        </is>
      </c>
      <c r="E4456" t="inlineStr">
        <is>
          <t>KALMAR</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18135-2021</t>
        </is>
      </c>
      <c r="B4457" s="1" t="n">
        <v>44302</v>
      </c>
      <c r="C4457" s="1" t="n">
        <v>45715</v>
      </c>
      <c r="D4457" t="inlineStr">
        <is>
          <t>KALMAR LÄN</t>
        </is>
      </c>
      <c r="E4457" t="inlineStr">
        <is>
          <t>EMMABODA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18167-2021</t>
        </is>
      </c>
      <c r="B4458" s="1" t="n">
        <v>44302</v>
      </c>
      <c r="C4458" s="1" t="n">
        <v>45715</v>
      </c>
      <c r="D4458" t="inlineStr">
        <is>
          <t>KALMAR LÄN</t>
        </is>
      </c>
      <c r="E4458" t="inlineStr">
        <is>
          <t>KALMAR</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18052-2021</t>
        </is>
      </c>
      <c r="B4459" s="1" t="n">
        <v>44302</v>
      </c>
      <c r="C4459" s="1" t="n">
        <v>45715</v>
      </c>
      <c r="D4459" t="inlineStr">
        <is>
          <t>KALMAR LÄN</t>
        </is>
      </c>
      <c r="E4459" t="inlineStr">
        <is>
          <t>OSKARSHAMN</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18139-2021</t>
        </is>
      </c>
      <c r="B4460" s="1" t="n">
        <v>44302</v>
      </c>
      <c r="C4460" s="1" t="n">
        <v>45715</v>
      </c>
      <c r="D4460" t="inlineStr">
        <is>
          <t>KALMAR LÄN</t>
        </is>
      </c>
      <c r="E4460" t="inlineStr">
        <is>
          <t>EMMABODA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18201-2021</t>
        </is>
      </c>
      <c r="B4461" s="1" t="n">
        <v>44302</v>
      </c>
      <c r="C4461" s="1" t="n">
        <v>45715</v>
      </c>
      <c r="D4461" t="inlineStr">
        <is>
          <t>KALMAR LÄN</t>
        </is>
      </c>
      <c r="E4461" t="inlineStr">
        <is>
          <t>TORSÅS</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18013-2021</t>
        </is>
      </c>
      <c r="B4462" s="1" t="n">
        <v>44302</v>
      </c>
      <c r="C4462" s="1" t="n">
        <v>45715</v>
      </c>
      <c r="D4462" t="inlineStr">
        <is>
          <t>KALMAR LÄN</t>
        </is>
      </c>
      <c r="E4462" t="inlineStr">
        <is>
          <t>VÄSTERVIK</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18081-2021</t>
        </is>
      </c>
      <c r="B4463" s="1" t="n">
        <v>44302</v>
      </c>
      <c r="C4463" s="1" t="n">
        <v>45715</v>
      </c>
      <c r="D4463" t="inlineStr">
        <is>
          <t>KALMAR LÄN</t>
        </is>
      </c>
      <c r="E4463" t="inlineStr">
        <is>
          <t>KALMAR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18241-2021</t>
        </is>
      </c>
      <c r="B4464" s="1" t="n">
        <v>44302</v>
      </c>
      <c r="C4464" s="1" t="n">
        <v>45715</v>
      </c>
      <c r="D4464" t="inlineStr">
        <is>
          <t>KALMAR LÄN</t>
        </is>
      </c>
      <c r="E4464" t="inlineStr">
        <is>
          <t>NYBRO</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18163-2021</t>
        </is>
      </c>
      <c r="B4465" s="1" t="n">
        <v>44302</v>
      </c>
      <c r="C4465" s="1" t="n">
        <v>45715</v>
      </c>
      <c r="D4465" t="inlineStr">
        <is>
          <t>KALMAR LÄN</t>
        </is>
      </c>
      <c r="E4465" t="inlineStr">
        <is>
          <t>NYBRO</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18200-2021</t>
        </is>
      </c>
      <c r="B4466" s="1" t="n">
        <v>44302</v>
      </c>
      <c r="C4466" s="1" t="n">
        <v>45715</v>
      </c>
      <c r="D4466" t="inlineStr">
        <is>
          <t>KALMAR LÄN</t>
        </is>
      </c>
      <c r="E4466" t="inlineStr">
        <is>
          <t>TORSÅS</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18411-2021</t>
        </is>
      </c>
      <c r="B4467" s="1" t="n">
        <v>44302</v>
      </c>
      <c r="C4467" s="1" t="n">
        <v>45715</v>
      </c>
      <c r="D4467" t="inlineStr">
        <is>
          <t>KALMAR LÄN</t>
        </is>
      </c>
      <c r="E4467" t="inlineStr">
        <is>
          <t>VIMMERBY</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18276-2021</t>
        </is>
      </c>
      <c r="B4468" s="1" t="n">
        <v>44305</v>
      </c>
      <c r="C4468" s="1" t="n">
        <v>45715</v>
      </c>
      <c r="D4468" t="inlineStr">
        <is>
          <t>KALMAR LÄN</t>
        </is>
      </c>
      <c r="E4468" t="inlineStr">
        <is>
          <t>VIMMERBY</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18356-2021</t>
        </is>
      </c>
      <c r="B4469" s="1" t="n">
        <v>44305</v>
      </c>
      <c r="C4469" s="1" t="n">
        <v>45715</v>
      </c>
      <c r="D4469" t="inlineStr">
        <is>
          <t>KALMAR LÄN</t>
        </is>
      </c>
      <c r="E4469" t="inlineStr">
        <is>
          <t>VIMMERBY</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18475-2021</t>
        </is>
      </c>
      <c r="B4470" s="1" t="n">
        <v>44306</v>
      </c>
      <c r="C4470" s="1" t="n">
        <v>45715</v>
      </c>
      <c r="D4470" t="inlineStr">
        <is>
          <t>KALMAR LÄN</t>
        </is>
      </c>
      <c r="E4470" t="inlineStr">
        <is>
          <t>NYBRO</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18641-2021</t>
        </is>
      </c>
      <c r="B4471" s="1" t="n">
        <v>44306</v>
      </c>
      <c r="C4471" s="1" t="n">
        <v>45715</v>
      </c>
      <c r="D4471" t="inlineStr">
        <is>
          <t>KALMAR LÄN</t>
        </is>
      </c>
      <c r="E4471" t="inlineStr">
        <is>
          <t>TORSÅS</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18646-2021</t>
        </is>
      </c>
      <c r="B4472" s="1" t="n">
        <v>44306</v>
      </c>
      <c r="C4472" s="1" t="n">
        <v>45715</v>
      </c>
      <c r="D4472" t="inlineStr">
        <is>
          <t>KALMAR LÄN</t>
        </is>
      </c>
      <c r="E4472" t="inlineStr">
        <is>
          <t>TORSÅS</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18470-2021</t>
        </is>
      </c>
      <c r="B4473" s="1" t="n">
        <v>44306</v>
      </c>
      <c r="C4473" s="1" t="n">
        <v>45715</v>
      </c>
      <c r="D4473" t="inlineStr">
        <is>
          <t>KALMAR LÄN</t>
        </is>
      </c>
      <c r="E4473" t="inlineStr">
        <is>
          <t>VÄSTERVIK</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18777-2021</t>
        </is>
      </c>
      <c r="B4474" s="1" t="n">
        <v>44307</v>
      </c>
      <c r="C4474" s="1" t="n">
        <v>45715</v>
      </c>
      <c r="D4474" t="inlineStr">
        <is>
          <t>KALMAR LÄN</t>
        </is>
      </c>
      <c r="E4474" t="inlineStr">
        <is>
          <t>HÖGSBY</t>
        </is>
      </c>
      <c r="G4474" t="n">
        <v>23.5</v>
      </c>
      <c r="H4474" t="n">
        <v>0</v>
      </c>
      <c r="I4474" t="n">
        <v>0</v>
      </c>
      <c r="J4474" t="n">
        <v>0</v>
      </c>
      <c r="K4474" t="n">
        <v>0</v>
      </c>
      <c r="L4474" t="n">
        <v>0</v>
      </c>
      <c r="M4474" t="n">
        <v>0</v>
      </c>
      <c r="N4474" t="n">
        <v>0</v>
      </c>
      <c r="O4474" t="n">
        <v>0</v>
      </c>
      <c r="P4474" t="n">
        <v>0</v>
      </c>
      <c r="Q4474" t="n">
        <v>0</v>
      </c>
      <c r="R4474" s="2" t="inlineStr"/>
    </row>
    <row r="4475" ht="15" customHeight="1">
      <c r="A4475" t="inlineStr">
        <is>
          <t>A 18837-2021</t>
        </is>
      </c>
      <c r="B4475" s="1" t="n">
        <v>44307</v>
      </c>
      <c r="C4475" s="1" t="n">
        <v>45715</v>
      </c>
      <c r="D4475" t="inlineStr">
        <is>
          <t>KALMAR LÄN</t>
        </is>
      </c>
      <c r="E4475" t="inlineStr">
        <is>
          <t>VÄSTERVIK</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18727-2021</t>
        </is>
      </c>
      <c r="B4476" s="1" t="n">
        <v>44307</v>
      </c>
      <c r="C4476" s="1" t="n">
        <v>45715</v>
      </c>
      <c r="D4476" t="inlineStr">
        <is>
          <t>KALMAR LÄN</t>
        </is>
      </c>
      <c r="E4476" t="inlineStr">
        <is>
          <t>NYBRO</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18756-2021</t>
        </is>
      </c>
      <c r="B4477" s="1" t="n">
        <v>44307</v>
      </c>
      <c r="C4477" s="1" t="n">
        <v>45715</v>
      </c>
      <c r="D4477" t="inlineStr">
        <is>
          <t>KALMAR LÄN</t>
        </is>
      </c>
      <c r="E4477" t="inlineStr">
        <is>
          <t>VIMMERBY</t>
        </is>
      </c>
      <c r="G4477" t="n">
        <v>7.4</v>
      </c>
      <c r="H4477" t="n">
        <v>0</v>
      </c>
      <c r="I4477" t="n">
        <v>0</v>
      </c>
      <c r="J4477" t="n">
        <v>0</v>
      </c>
      <c r="K4477" t="n">
        <v>0</v>
      </c>
      <c r="L4477" t="n">
        <v>0</v>
      </c>
      <c r="M4477" t="n">
        <v>0</v>
      </c>
      <c r="N4477" t="n">
        <v>0</v>
      </c>
      <c r="O4477" t="n">
        <v>0</v>
      </c>
      <c r="P4477" t="n">
        <v>0</v>
      </c>
      <c r="Q4477" t="n">
        <v>0</v>
      </c>
      <c r="R4477" s="2" t="inlineStr"/>
    </row>
    <row r="4478" ht="15" customHeight="1">
      <c r="A4478" t="inlineStr">
        <is>
          <t>A 18701-2021</t>
        </is>
      </c>
      <c r="B4478" s="1" t="n">
        <v>44307</v>
      </c>
      <c r="C4478" s="1" t="n">
        <v>45715</v>
      </c>
      <c r="D4478" t="inlineStr">
        <is>
          <t>KALMAR LÄN</t>
        </is>
      </c>
      <c r="E4478" t="inlineStr">
        <is>
          <t>OSKARSHAMN</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18900-2021</t>
        </is>
      </c>
      <c r="B4479" s="1" t="n">
        <v>44308</v>
      </c>
      <c r="C4479" s="1" t="n">
        <v>45715</v>
      </c>
      <c r="D4479" t="inlineStr">
        <is>
          <t>KALMAR LÄN</t>
        </is>
      </c>
      <c r="E4479" t="inlineStr">
        <is>
          <t>VÄSTERVIK</t>
        </is>
      </c>
      <c r="F4479" t="inlineStr">
        <is>
          <t>Holmen skog AB</t>
        </is>
      </c>
      <c r="G4479" t="n">
        <v>7.5</v>
      </c>
      <c r="H4479" t="n">
        <v>0</v>
      </c>
      <c r="I4479" t="n">
        <v>0</v>
      </c>
      <c r="J4479" t="n">
        <v>0</v>
      </c>
      <c r="K4479" t="n">
        <v>0</v>
      </c>
      <c r="L4479" t="n">
        <v>0</v>
      </c>
      <c r="M4479" t="n">
        <v>0</v>
      </c>
      <c r="N4479" t="n">
        <v>0</v>
      </c>
      <c r="O4479" t="n">
        <v>0</v>
      </c>
      <c r="P4479" t="n">
        <v>0</v>
      </c>
      <c r="Q4479" t="n">
        <v>0</v>
      </c>
      <c r="R4479" s="2" t="inlineStr"/>
    </row>
    <row r="4480" ht="15" customHeight="1">
      <c r="A4480" t="inlineStr">
        <is>
          <t>A 18915-2021</t>
        </is>
      </c>
      <c r="B4480" s="1" t="n">
        <v>44308</v>
      </c>
      <c r="C4480" s="1" t="n">
        <v>45715</v>
      </c>
      <c r="D4480" t="inlineStr">
        <is>
          <t>KALMAR LÄN</t>
        </is>
      </c>
      <c r="E4480" t="inlineStr">
        <is>
          <t>VÄSTERVIK</t>
        </is>
      </c>
      <c r="F4480" t="inlineStr">
        <is>
          <t>Holmen skog AB</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18981-2021</t>
        </is>
      </c>
      <c r="B4481" s="1" t="n">
        <v>44308</v>
      </c>
      <c r="C4481" s="1" t="n">
        <v>45715</v>
      </c>
      <c r="D4481" t="inlineStr">
        <is>
          <t>KALMAR LÄN</t>
        </is>
      </c>
      <c r="E4481" t="inlineStr">
        <is>
          <t>TORSÅS</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19118-2021</t>
        </is>
      </c>
      <c r="B4482" s="1" t="n">
        <v>44308</v>
      </c>
      <c r="C4482" s="1" t="n">
        <v>45715</v>
      </c>
      <c r="D4482" t="inlineStr">
        <is>
          <t>KALMAR LÄN</t>
        </is>
      </c>
      <c r="E4482" t="inlineStr">
        <is>
          <t>HULTSFRED</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18966-2021</t>
        </is>
      </c>
      <c r="B4483" s="1" t="n">
        <v>44308</v>
      </c>
      <c r="C4483" s="1" t="n">
        <v>45715</v>
      </c>
      <c r="D4483" t="inlineStr">
        <is>
          <t>KALMAR LÄN</t>
        </is>
      </c>
      <c r="E4483" t="inlineStr">
        <is>
          <t>NYBRO</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18928-2021</t>
        </is>
      </c>
      <c r="B4484" s="1" t="n">
        <v>44308</v>
      </c>
      <c r="C4484" s="1" t="n">
        <v>45715</v>
      </c>
      <c r="D4484" t="inlineStr">
        <is>
          <t>KALMAR LÄN</t>
        </is>
      </c>
      <c r="E4484" t="inlineStr">
        <is>
          <t>OSKARSHAMN</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18895-2021</t>
        </is>
      </c>
      <c r="B4485" s="1" t="n">
        <v>44308</v>
      </c>
      <c r="C4485" s="1" t="n">
        <v>45715</v>
      </c>
      <c r="D4485" t="inlineStr">
        <is>
          <t>KALMAR LÄN</t>
        </is>
      </c>
      <c r="E4485" t="inlineStr">
        <is>
          <t>TORSÅS</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19219-2021</t>
        </is>
      </c>
      <c r="B4486" s="1" t="n">
        <v>44309</v>
      </c>
      <c r="C4486" s="1" t="n">
        <v>45715</v>
      </c>
      <c r="D4486" t="inlineStr">
        <is>
          <t>KALMAR LÄN</t>
        </is>
      </c>
      <c r="E4486" t="inlineStr">
        <is>
          <t>VÄSTERVIK</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19445-2021</t>
        </is>
      </c>
      <c r="B4487" s="1" t="n">
        <v>44310</v>
      </c>
      <c r="C4487" s="1" t="n">
        <v>45715</v>
      </c>
      <c r="D4487" t="inlineStr">
        <is>
          <t>KALMAR LÄN</t>
        </is>
      </c>
      <c r="E4487" t="inlineStr">
        <is>
          <t>VIMMERBY</t>
        </is>
      </c>
      <c r="G4487" t="n">
        <v>6.8</v>
      </c>
      <c r="H4487" t="n">
        <v>0</v>
      </c>
      <c r="I4487" t="n">
        <v>0</v>
      </c>
      <c r="J4487" t="n">
        <v>0</v>
      </c>
      <c r="K4487" t="n">
        <v>0</v>
      </c>
      <c r="L4487" t="n">
        <v>0</v>
      </c>
      <c r="M4487" t="n">
        <v>0</v>
      </c>
      <c r="N4487" t="n">
        <v>0</v>
      </c>
      <c r="O4487" t="n">
        <v>0</v>
      </c>
      <c r="P4487" t="n">
        <v>0</v>
      </c>
      <c r="Q4487" t="n">
        <v>0</v>
      </c>
      <c r="R4487" s="2" t="inlineStr"/>
    </row>
    <row r="4488" ht="15" customHeight="1">
      <c r="A4488" t="inlineStr">
        <is>
          <t>A 19863-2021</t>
        </is>
      </c>
      <c r="B4488" s="1" t="n">
        <v>44312</v>
      </c>
      <c r="C4488" s="1" t="n">
        <v>45715</v>
      </c>
      <c r="D4488" t="inlineStr">
        <is>
          <t>KALMAR LÄN</t>
        </is>
      </c>
      <c r="E4488" t="inlineStr">
        <is>
          <t>VIMMERBY</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19503-2021</t>
        </is>
      </c>
      <c r="B4489" s="1" t="n">
        <v>44312</v>
      </c>
      <c r="C4489" s="1" t="n">
        <v>45715</v>
      </c>
      <c r="D4489" t="inlineStr">
        <is>
          <t>KALMAR LÄN</t>
        </is>
      </c>
      <c r="E4489" t="inlineStr">
        <is>
          <t>EMMABODA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19526-2021</t>
        </is>
      </c>
      <c r="B4490" s="1" t="n">
        <v>44312</v>
      </c>
      <c r="C4490" s="1" t="n">
        <v>45715</v>
      </c>
      <c r="D4490" t="inlineStr">
        <is>
          <t>KALMAR LÄN</t>
        </is>
      </c>
      <c r="E4490" t="inlineStr">
        <is>
          <t>KALMAR</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19644-2021</t>
        </is>
      </c>
      <c r="B4491" s="1" t="n">
        <v>44312</v>
      </c>
      <c r="C4491" s="1" t="n">
        <v>45715</v>
      </c>
      <c r="D4491" t="inlineStr">
        <is>
          <t>KALMAR LÄN</t>
        </is>
      </c>
      <c r="E4491" t="inlineStr">
        <is>
          <t>VÄSTERVIK</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19660-2021</t>
        </is>
      </c>
      <c r="B4492" s="1" t="n">
        <v>44312</v>
      </c>
      <c r="C4492" s="1" t="n">
        <v>45715</v>
      </c>
      <c r="D4492" t="inlineStr">
        <is>
          <t>KALMAR LÄN</t>
        </is>
      </c>
      <c r="E4492" t="inlineStr">
        <is>
          <t>VÄSTERVIK</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19694-2021</t>
        </is>
      </c>
      <c r="B4493" s="1" t="n">
        <v>44312</v>
      </c>
      <c r="C4493" s="1" t="n">
        <v>45715</v>
      </c>
      <c r="D4493" t="inlineStr">
        <is>
          <t>KALMAR LÄN</t>
        </is>
      </c>
      <c r="E4493" t="inlineStr">
        <is>
          <t>HÖGSBY</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19865-2021</t>
        </is>
      </c>
      <c r="B4494" s="1" t="n">
        <v>44312</v>
      </c>
      <c r="C4494" s="1" t="n">
        <v>45715</v>
      </c>
      <c r="D4494" t="inlineStr">
        <is>
          <t>KALMAR LÄN</t>
        </is>
      </c>
      <c r="E4494" t="inlineStr">
        <is>
          <t>VIMMERBY</t>
        </is>
      </c>
      <c r="G4494" t="n">
        <v>8.6</v>
      </c>
      <c r="H4494" t="n">
        <v>0</v>
      </c>
      <c r="I4494" t="n">
        <v>0</v>
      </c>
      <c r="J4494" t="n">
        <v>0</v>
      </c>
      <c r="K4494" t="n">
        <v>0</v>
      </c>
      <c r="L4494" t="n">
        <v>0</v>
      </c>
      <c r="M4494" t="n">
        <v>0</v>
      </c>
      <c r="N4494" t="n">
        <v>0</v>
      </c>
      <c r="O4494" t="n">
        <v>0</v>
      </c>
      <c r="P4494" t="n">
        <v>0</v>
      </c>
      <c r="Q4494" t="n">
        <v>0</v>
      </c>
      <c r="R4494" s="2" t="inlineStr"/>
    </row>
    <row r="4495" ht="15" customHeight="1">
      <c r="A4495" t="inlineStr">
        <is>
          <t>A 19529-2021</t>
        </is>
      </c>
      <c r="B4495" s="1" t="n">
        <v>44312</v>
      </c>
      <c r="C4495" s="1" t="n">
        <v>45715</v>
      </c>
      <c r="D4495" t="inlineStr">
        <is>
          <t>KALMAR LÄN</t>
        </is>
      </c>
      <c r="E4495" t="inlineStr">
        <is>
          <t>KALMAR</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19573-2021</t>
        </is>
      </c>
      <c r="B4496" s="1" t="n">
        <v>44312</v>
      </c>
      <c r="C4496" s="1" t="n">
        <v>45715</v>
      </c>
      <c r="D4496" t="inlineStr">
        <is>
          <t>KALMAR LÄN</t>
        </is>
      </c>
      <c r="E4496" t="inlineStr">
        <is>
          <t>NYBRO</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19834-2021</t>
        </is>
      </c>
      <c r="B4497" s="1" t="n">
        <v>44313</v>
      </c>
      <c r="C4497" s="1" t="n">
        <v>45715</v>
      </c>
      <c r="D4497" t="inlineStr">
        <is>
          <t>KALMAR LÄN</t>
        </is>
      </c>
      <c r="E4497" t="inlineStr">
        <is>
          <t>OSKARSHAMN</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19992-2021</t>
        </is>
      </c>
      <c r="B4498" s="1" t="n">
        <v>44313</v>
      </c>
      <c r="C4498" s="1" t="n">
        <v>45715</v>
      </c>
      <c r="D4498" t="inlineStr">
        <is>
          <t>KALMAR LÄN</t>
        </is>
      </c>
      <c r="E4498" t="inlineStr">
        <is>
          <t>TORSÅS</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20512-2021</t>
        </is>
      </c>
      <c r="B4499" s="1" t="n">
        <v>44313</v>
      </c>
      <c r="C4499" s="1" t="n">
        <v>45715</v>
      </c>
      <c r="D4499" t="inlineStr">
        <is>
          <t>KALMAR LÄN</t>
        </is>
      </c>
      <c r="E4499" t="inlineStr">
        <is>
          <t>EMMABODA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21145-2021</t>
        </is>
      </c>
      <c r="B4500" s="1" t="n">
        <v>44313</v>
      </c>
      <c r="C4500" s="1" t="n">
        <v>45715</v>
      </c>
      <c r="D4500" t="inlineStr">
        <is>
          <t>KALMAR LÄN</t>
        </is>
      </c>
      <c r="E4500" t="inlineStr">
        <is>
          <t>TORSÅS</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19792-2021</t>
        </is>
      </c>
      <c r="B4501" s="1" t="n">
        <v>44313</v>
      </c>
      <c r="C4501" s="1" t="n">
        <v>45715</v>
      </c>
      <c r="D4501" t="inlineStr">
        <is>
          <t>KALMAR LÄN</t>
        </is>
      </c>
      <c r="E4501" t="inlineStr">
        <is>
          <t>TORSÅS</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19988-2021</t>
        </is>
      </c>
      <c r="B4502" s="1" t="n">
        <v>44313</v>
      </c>
      <c r="C4502" s="1" t="n">
        <v>45715</v>
      </c>
      <c r="D4502" t="inlineStr">
        <is>
          <t>KALMAR LÄN</t>
        </is>
      </c>
      <c r="E4502" t="inlineStr">
        <is>
          <t>TORSÅS</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20102-2021</t>
        </is>
      </c>
      <c r="B4503" s="1" t="n">
        <v>44314</v>
      </c>
      <c r="C4503" s="1" t="n">
        <v>45715</v>
      </c>
      <c r="D4503" t="inlineStr">
        <is>
          <t>KALMAR LÄN</t>
        </is>
      </c>
      <c r="E4503" t="inlineStr">
        <is>
          <t>TORSÅS</t>
        </is>
      </c>
      <c r="F4503" t="inlineStr">
        <is>
          <t>Övriga Aktiebolag</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20204-2021</t>
        </is>
      </c>
      <c r="B4504" s="1" t="n">
        <v>44314</v>
      </c>
      <c r="C4504" s="1" t="n">
        <v>45715</v>
      </c>
      <c r="D4504" t="inlineStr">
        <is>
          <t>KALMAR LÄN</t>
        </is>
      </c>
      <c r="E4504" t="inlineStr">
        <is>
          <t>VÄSTERVIK</t>
        </is>
      </c>
      <c r="F4504" t="inlineStr">
        <is>
          <t>Holmen skog AB</t>
        </is>
      </c>
      <c r="G4504" t="n">
        <v>12.1</v>
      </c>
      <c r="H4504" t="n">
        <v>0</v>
      </c>
      <c r="I4504" t="n">
        <v>0</v>
      </c>
      <c r="J4504" t="n">
        <v>0</v>
      </c>
      <c r="K4504" t="n">
        <v>0</v>
      </c>
      <c r="L4504" t="n">
        <v>0</v>
      </c>
      <c r="M4504" t="n">
        <v>0</v>
      </c>
      <c r="N4504" t="n">
        <v>0</v>
      </c>
      <c r="O4504" t="n">
        <v>0</v>
      </c>
      <c r="P4504" t="n">
        <v>0</v>
      </c>
      <c r="Q4504" t="n">
        <v>0</v>
      </c>
      <c r="R4504" s="2" t="inlineStr"/>
    </row>
    <row r="4505" ht="15" customHeight="1">
      <c r="A4505" t="inlineStr">
        <is>
          <t>A 20214-2021</t>
        </is>
      </c>
      <c r="B4505" s="1" t="n">
        <v>44314</v>
      </c>
      <c r="C4505" s="1" t="n">
        <v>45715</v>
      </c>
      <c r="D4505" t="inlineStr">
        <is>
          <t>KALMAR LÄN</t>
        </is>
      </c>
      <c r="E4505" t="inlineStr">
        <is>
          <t>NYBRO</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20419-2021</t>
        </is>
      </c>
      <c r="B4506" s="1" t="n">
        <v>44314</v>
      </c>
      <c r="C4506" s="1" t="n">
        <v>45715</v>
      </c>
      <c r="D4506" t="inlineStr">
        <is>
          <t>KALMAR LÄN</t>
        </is>
      </c>
      <c r="E4506" t="inlineStr">
        <is>
          <t>TORSÅS</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21228-2021</t>
        </is>
      </c>
      <c r="B4507" s="1" t="n">
        <v>44314</v>
      </c>
      <c r="C4507" s="1" t="n">
        <v>45715</v>
      </c>
      <c r="D4507" t="inlineStr">
        <is>
          <t>KALMAR LÄN</t>
        </is>
      </c>
      <c r="E4507" t="inlineStr">
        <is>
          <t>HULTSFRED</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20461-2021</t>
        </is>
      </c>
      <c r="B4508" s="1" t="n">
        <v>44315</v>
      </c>
      <c r="C4508" s="1" t="n">
        <v>45715</v>
      </c>
      <c r="D4508" t="inlineStr">
        <is>
          <t>KALMAR LÄN</t>
        </is>
      </c>
      <c r="E4508" t="inlineStr">
        <is>
          <t>NYBRO</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20470-2021</t>
        </is>
      </c>
      <c r="B4509" s="1" t="n">
        <v>44315</v>
      </c>
      <c r="C4509" s="1" t="n">
        <v>45715</v>
      </c>
      <c r="D4509" t="inlineStr">
        <is>
          <t>KALMAR LÄN</t>
        </is>
      </c>
      <c r="E4509" t="inlineStr">
        <is>
          <t>TORSÅS</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20358-2021</t>
        </is>
      </c>
      <c r="B4510" s="1" t="n">
        <v>44315</v>
      </c>
      <c r="C4510" s="1" t="n">
        <v>45715</v>
      </c>
      <c r="D4510" t="inlineStr">
        <is>
          <t>KALMAR LÄN</t>
        </is>
      </c>
      <c r="E4510" t="inlineStr">
        <is>
          <t>EMMABODA</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20415-2021</t>
        </is>
      </c>
      <c r="B4511" s="1" t="n">
        <v>44315</v>
      </c>
      <c r="C4511" s="1" t="n">
        <v>45715</v>
      </c>
      <c r="D4511" t="inlineStr">
        <is>
          <t>KALMAR LÄN</t>
        </is>
      </c>
      <c r="E4511" t="inlineStr">
        <is>
          <t>HÖGSBY</t>
        </is>
      </c>
      <c r="F4511" t="inlineStr">
        <is>
          <t>Sveaskog</t>
        </is>
      </c>
      <c r="G4511" t="n">
        <v>15.7</v>
      </c>
      <c r="H4511" t="n">
        <v>0</v>
      </c>
      <c r="I4511" t="n">
        <v>0</v>
      </c>
      <c r="J4511" t="n">
        <v>0</v>
      </c>
      <c r="K4511" t="n">
        <v>0</v>
      </c>
      <c r="L4511" t="n">
        <v>0</v>
      </c>
      <c r="M4511" t="n">
        <v>0</v>
      </c>
      <c r="N4511" t="n">
        <v>0</v>
      </c>
      <c r="O4511" t="n">
        <v>0</v>
      </c>
      <c r="P4511" t="n">
        <v>0</v>
      </c>
      <c r="Q4511" t="n">
        <v>0</v>
      </c>
      <c r="R4511" s="2" t="inlineStr"/>
    </row>
    <row r="4512" ht="15" customHeight="1">
      <c r="A4512" t="inlineStr">
        <is>
          <t>A 20363-2021</t>
        </is>
      </c>
      <c r="B4512" s="1" t="n">
        <v>44315</v>
      </c>
      <c r="C4512" s="1" t="n">
        <v>45715</v>
      </c>
      <c r="D4512" t="inlineStr">
        <is>
          <t>KALMAR LÄN</t>
        </is>
      </c>
      <c r="E4512" t="inlineStr">
        <is>
          <t>EMMABODA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20392-2021</t>
        </is>
      </c>
      <c r="B4513" s="1" t="n">
        <v>44315</v>
      </c>
      <c r="C4513" s="1" t="n">
        <v>45715</v>
      </c>
      <c r="D4513" t="inlineStr">
        <is>
          <t>KALMAR LÄN</t>
        </is>
      </c>
      <c r="E4513" t="inlineStr">
        <is>
          <t>OSKARSHAMN</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20404-2021</t>
        </is>
      </c>
      <c r="B4514" s="1" t="n">
        <v>44315</v>
      </c>
      <c r="C4514" s="1" t="n">
        <v>45715</v>
      </c>
      <c r="D4514" t="inlineStr">
        <is>
          <t>KALMAR LÄN</t>
        </is>
      </c>
      <c r="E4514" t="inlineStr">
        <is>
          <t>OSKARSHAMN</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20491-2021</t>
        </is>
      </c>
      <c r="B4515" s="1" t="n">
        <v>44315</v>
      </c>
      <c r="C4515" s="1" t="n">
        <v>45715</v>
      </c>
      <c r="D4515" t="inlineStr">
        <is>
          <t>KALMAR LÄN</t>
        </is>
      </c>
      <c r="E4515" t="inlineStr">
        <is>
          <t>NYBRO</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20688-2021</t>
        </is>
      </c>
      <c r="B4516" s="1" t="n">
        <v>44316</v>
      </c>
      <c r="C4516" s="1" t="n">
        <v>45715</v>
      </c>
      <c r="D4516" t="inlineStr">
        <is>
          <t>KALMAR LÄN</t>
        </is>
      </c>
      <c r="E4516" t="inlineStr">
        <is>
          <t>TORSÅS</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20692-2021</t>
        </is>
      </c>
      <c r="B4517" s="1" t="n">
        <v>44316</v>
      </c>
      <c r="C4517" s="1" t="n">
        <v>45715</v>
      </c>
      <c r="D4517" t="inlineStr">
        <is>
          <t>KALMAR LÄN</t>
        </is>
      </c>
      <c r="E4517" t="inlineStr">
        <is>
          <t>EMMABODA</t>
        </is>
      </c>
      <c r="G4517" t="n">
        <v>7.2</v>
      </c>
      <c r="H4517" t="n">
        <v>0</v>
      </c>
      <c r="I4517" t="n">
        <v>0</v>
      </c>
      <c r="J4517" t="n">
        <v>0</v>
      </c>
      <c r="K4517" t="n">
        <v>0</v>
      </c>
      <c r="L4517" t="n">
        <v>0</v>
      </c>
      <c r="M4517" t="n">
        <v>0</v>
      </c>
      <c r="N4517" t="n">
        <v>0</v>
      </c>
      <c r="O4517" t="n">
        <v>0</v>
      </c>
      <c r="P4517" t="n">
        <v>0</v>
      </c>
      <c r="Q4517" t="n">
        <v>0</v>
      </c>
      <c r="R4517" s="2" t="inlineStr"/>
    </row>
    <row r="4518" ht="15" customHeight="1">
      <c r="A4518" t="inlineStr">
        <is>
          <t>A 20850-2021</t>
        </is>
      </c>
      <c r="B4518" s="1" t="n">
        <v>44316</v>
      </c>
      <c r="C4518" s="1" t="n">
        <v>45715</v>
      </c>
      <c r="D4518" t="inlineStr">
        <is>
          <t>KALMAR LÄN</t>
        </is>
      </c>
      <c r="E4518" t="inlineStr">
        <is>
          <t>EMMABODA</t>
        </is>
      </c>
      <c r="F4518" t="inlineStr">
        <is>
          <t>Kyrkan</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20772-2021</t>
        </is>
      </c>
      <c r="B4519" s="1" t="n">
        <v>44316</v>
      </c>
      <c r="C4519" s="1" t="n">
        <v>45715</v>
      </c>
      <c r="D4519" t="inlineStr">
        <is>
          <t>KALMAR LÄN</t>
        </is>
      </c>
      <c r="E4519" t="inlineStr">
        <is>
          <t>VÄSTERVIK</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20828-2021</t>
        </is>
      </c>
      <c r="B4520" s="1" t="n">
        <v>44318</v>
      </c>
      <c r="C4520" s="1" t="n">
        <v>45715</v>
      </c>
      <c r="D4520" t="inlineStr">
        <is>
          <t>KALMAR LÄN</t>
        </is>
      </c>
      <c r="E4520" t="inlineStr">
        <is>
          <t>NYBRO</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20945-2021</t>
        </is>
      </c>
      <c r="B4521" s="1" t="n">
        <v>44319</v>
      </c>
      <c r="C4521" s="1" t="n">
        <v>45715</v>
      </c>
      <c r="D4521" t="inlineStr">
        <is>
          <t>KALMAR LÄN</t>
        </is>
      </c>
      <c r="E4521" t="inlineStr">
        <is>
          <t>VÄSTERVIK</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21036-2021</t>
        </is>
      </c>
      <c r="B4522" s="1" t="n">
        <v>44319</v>
      </c>
      <c r="C4522" s="1" t="n">
        <v>45715</v>
      </c>
      <c r="D4522" t="inlineStr">
        <is>
          <t>KALMAR LÄN</t>
        </is>
      </c>
      <c r="E4522" t="inlineStr">
        <is>
          <t>VÄSTERVIK</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21057-2021</t>
        </is>
      </c>
      <c r="B4523" s="1" t="n">
        <v>44319</v>
      </c>
      <c r="C4523" s="1" t="n">
        <v>45715</v>
      </c>
      <c r="D4523" t="inlineStr">
        <is>
          <t>KALMAR LÄN</t>
        </is>
      </c>
      <c r="E4523" t="inlineStr">
        <is>
          <t>VÄSTERVIK</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21185-2021</t>
        </is>
      </c>
      <c r="B4524" s="1" t="n">
        <v>44320</v>
      </c>
      <c r="C4524" s="1" t="n">
        <v>45715</v>
      </c>
      <c r="D4524" t="inlineStr">
        <is>
          <t>KALMAR LÄN</t>
        </is>
      </c>
      <c r="E4524" t="inlineStr">
        <is>
          <t>EMMABODA</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21248-2021</t>
        </is>
      </c>
      <c r="B4525" s="1" t="n">
        <v>44320</v>
      </c>
      <c r="C4525" s="1" t="n">
        <v>45715</v>
      </c>
      <c r="D4525" t="inlineStr">
        <is>
          <t>KALMAR LÄN</t>
        </is>
      </c>
      <c r="E4525" t="inlineStr">
        <is>
          <t>KALMAR</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21280-2021</t>
        </is>
      </c>
      <c r="B4526" s="1" t="n">
        <v>44320</v>
      </c>
      <c r="C4526" s="1" t="n">
        <v>45715</v>
      </c>
      <c r="D4526" t="inlineStr">
        <is>
          <t>KALMAR LÄN</t>
        </is>
      </c>
      <c r="E4526" t="inlineStr">
        <is>
          <t>HULTSFRED</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21109-2021</t>
        </is>
      </c>
      <c r="B4527" s="1" t="n">
        <v>44320</v>
      </c>
      <c r="C4527" s="1" t="n">
        <v>45715</v>
      </c>
      <c r="D4527" t="inlineStr">
        <is>
          <t>KALMAR LÄN</t>
        </is>
      </c>
      <c r="E4527" t="inlineStr">
        <is>
          <t>NYBRO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21217-2021</t>
        </is>
      </c>
      <c r="B4528" s="1" t="n">
        <v>44320</v>
      </c>
      <c r="C4528" s="1" t="n">
        <v>45715</v>
      </c>
      <c r="D4528" t="inlineStr">
        <is>
          <t>KALMAR LÄN</t>
        </is>
      </c>
      <c r="E4528" t="inlineStr">
        <is>
          <t>NYBRO</t>
        </is>
      </c>
      <c r="G4528" t="n">
        <v>6.3</v>
      </c>
      <c r="H4528" t="n">
        <v>0</v>
      </c>
      <c r="I4528" t="n">
        <v>0</v>
      </c>
      <c r="J4528" t="n">
        <v>0</v>
      </c>
      <c r="K4528" t="n">
        <v>0</v>
      </c>
      <c r="L4528" t="n">
        <v>0</v>
      </c>
      <c r="M4528" t="n">
        <v>0</v>
      </c>
      <c r="N4528" t="n">
        <v>0</v>
      </c>
      <c r="O4528" t="n">
        <v>0</v>
      </c>
      <c r="P4528" t="n">
        <v>0</v>
      </c>
      <c r="Q4528" t="n">
        <v>0</v>
      </c>
      <c r="R4528" s="2" t="inlineStr"/>
    </row>
    <row r="4529" ht="15" customHeight="1">
      <c r="A4529" t="inlineStr">
        <is>
          <t>A 21255-2021</t>
        </is>
      </c>
      <c r="B4529" s="1" t="n">
        <v>44320</v>
      </c>
      <c r="C4529" s="1" t="n">
        <v>45715</v>
      </c>
      <c r="D4529" t="inlineStr">
        <is>
          <t>KALMAR LÄN</t>
        </is>
      </c>
      <c r="E4529" t="inlineStr">
        <is>
          <t>VÄSTERVIK</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21322-2021</t>
        </is>
      </c>
      <c r="B4530" s="1" t="n">
        <v>44320</v>
      </c>
      <c r="C4530" s="1" t="n">
        <v>45715</v>
      </c>
      <c r="D4530" t="inlineStr">
        <is>
          <t>KALMAR LÄN</t>
        </is>
      </c>
      <c r="E4530" t="inlineStr">
        <is>
          <t>NYBRO</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21780-2021</t>
        </is>
      </c>
      <c r="B4531" s="1" t="n">
        <v>44320</v>
      </c>
      <c r="C4531" s="1" t="n">
        <v>45715</v>
      </c>
      <c r="D4531" t="inlineStr">
        <is>
          <t>KALMAR LÄN</t>
        </is>
      </c>
      <c r="E4531" t="inlineStr">
        <is>
          <t>OSKARSHAMN</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21372-2021</t>
        </is>
      </c>
      <c r="B4532" s="1" t="n">
        <v>44321</v>
      </c>
      <c r="C4532" s="1" t="n">
        <v>45715</v>
      </c>
      <c r="D4532" t="inlineStr">
        <is>
          <t>KALMAR LÄN</t>
        </is>
      </c>
      <c r="E4532" t="inlineStr">
        <is>
          <t>NYBRO</t>
        </is>
      </c>
      <c r="G4532" t="n">
        <v>8.1</v>
      </c>
      <c r="H4532" t="n">
        <v>0</v>
      </c>
      <c r="I4532" t="n">
        <v>0</v>
      </c>
      <c r="J4532" t="n">
        <v>0</v>
      </c>
      <c r="K4532" t="n">
        <v>0</v>
      </c>
      <c r="L4532" t="n">
        <v>0</v>
      </c>
      <c r="M4532" t="n">
        <v>0</v>
      </c>
      <c r="N4532" t="n">
        <v>0</v>
      </c>
      <c r="O4532" t="n">
        <v>0</v>
      </c>
      <c r="P4532" t="n">
        <v>0</v>
      </c>
      <c r="Q4532" t="n">
        <v>0</v>
      </c>
      <c r="R4532" s="2" t="inlineStr"/>
    </row>
    <row r="4533" ht="15" customHeight="1">
      <c r="A4533" t="inlineStr">
        <is>
          <t>A 21496-2021</t>
        </is>
      </c>
      <c r="B4533" s="1" t="n">
        <v>44321</v>
      </c>
      <c r="C4533" s="1" t="n">
        <v>45715</v>
      </c>
      <c r="D4533" t="inlineStr">
        <is>
          <t>KALMAR LÄN</t>
        </is>
      </c>
      <c r="E4533" t="inlineStr">
        <is>
          <t>HÖGSBY</t>
        </is>
      </c>
      <c r="G4533" t="n">
        <v>9.6</v>
      </c>
      <c r="H4533" t="n">
        <v>0</v>
      </c>
      <c r="I4533" t="n">
        <v>0</v>
      </c>
      <c r="J4533" t="n">
        <v>0</v>
      </c>
      <c r="K4533" t="n">
        <v>0</v>
      </c>
      <c r="L4533" t="n">
        <v>0</v>
      </c>
      <c r="M4533" t="n">
        <v>0</v>
      </c>
      <c r="N4533" t="n">
        <v>0</v>
      </c>
      <c r="O4533" t="n">
        <v>0</v>
      </c>
      <c r="P4533" t="n">
        <v>0</v>
      </c>
      <c r="Q4533" t="n">
        <v>0</v>
      </c>
      <c r="R4533" s="2" t="inlineStr"/>
    </row>
    <row r="4534" ht="15" customHeight="1">
      <c r="A4534" t="inlineStr">
        <is>
          <t>A 21773-2021</t>
        </is>
      </c>
      <c r="B4534" s="1" t="n">
        <v>44322</v>
      </c>
      <c r="C4534" s="1" t="n">
        <v>45715</v>
      </c>
      <c r="D4534" t="inlineStr">
        <is>
          <t>KALMAR LÄN</t>
        </is>
      </c>
      <c r="E4534" t="inlineStr">
        <is>
          <t>KALMAR</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22274-2021</t>
        </is>
      </c>
      <c r="B4535" s="1" t="n">
        <v>44322</v>
      </c>
      <c r="C4535" s="1" t="n">
        <v>45715</v>
      </c>
      <c r="D4535" t="inlineStr">
        <is>
          <t>KALMAR LÄN</t>
        </is>
      </c>
      <c r="E4535" t="inlineStr">
        <is>
          <t>NYBRO</t>
        </is>
      </c>
      <c r="G4535" t="n">
        <v>10.6</v>
      </c>
      <c r="H4535" t="n">
        <v>0</v>
      </c>
      <c r="I4535" t="n">
        <v>0</v>
      </c>
      <c r="J4535" t="n">
        <v>0</v>
      </c>
      <c r="K4535" t="n">
        <v>0</v>
      </c>
      <c r="L4535" t="n">
        <v>0</v>
      </c>
      <c r="M4535" t="n">
        <v>0</v>
      </c>
      <c r="N4535" t="n">
        <v>0</v>
      </c>
      <c r="O4535" t="n">
        <v>0</v>
      </c>
      <c r="P4535" t="n">
        <v>0</v>
      </c>
      <c r="Q4535" t="n">
        <v>0</v>
      </c>
      <c r="R4535" s="2" t="inlineStr"/>
    </row>
    <row r="4536" ht="15" customHeight="1">
      <c r="A4536" t="inlineStr">
        <is>
          <t>A 21979-2021</t>
        </is>
      </c>
      <c r="B4536" s="1" t="n">
        <v>44323</v>
      </c>
      <c r="C4536" s="1" t="n">
        <v>45715</v>
      </c>
      <c r="D4536" t="inlineStr">
        <is>
          <t>KALMAR LÄN</t>
        </is>
      </c>
      <c r="E4536" t="inlineStr">
        <is>
          <t>NYBRO</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22197-2021</t>
        </is>
      </c>
      <c r="B4537" s="1" t="n">
        <v>44326</v>
      </c>
      <c r="C4537" s="1" t="n">
        <v>45715</v>
      </c>
      <c r="D4537" t="inlineStr">
        <is>
          <t>KALMAR LÄN</t>
        </is>
      </c>
      <c r="E4537" t="inlineStr">
        <is>
          <t>EMMABODA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22213-2021</t>
        </is>
      </c>
      <c r="B4538" s="1" t="n">
        <v>44326</v>
      </c>
      <c r="C4538" s="1" t="n">
        <v>45715</v>
      </c>
      <c r="D4538" t="inlineStr">
        <is>
          <t>KALMAR LÄN</t>
        </is>
      </c>
      <c r="E4538" t="inlineStr">
        <is>
          <t>HULTSFRED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22236-2021</t>
        </is>
      </c>
      <c r="B4539" s="1" t="n">
        <v>44326</v>
      </c>
      <c r="C4539" s="1" t="n">
        <v>45715</v>
      </c>
      <c r="D4539" t="inlineStr">
        <is>
          <t>KALMAR LÄN</t>
        </is>
      </c>
      <c r="E4539" t="inlineStr">
        <is>
          <t>HULTSFRED</t>
        </is>
      </c>
      <c r="G4539" t="n">
        <v>7.1</v>
      </c>
      <c r="H4539" t="n">
        <v>0</v>
      </c>
      <c r="I4539" t="n">
        <v>0</v>
      </c>
      <c r="J4539" t="n">
        <v>0</v>
      </c>
      <c r="K4539" t="n">
        <v>0</v>
      </c>
      <c r="L4539" t="n">
        <v>0</v>
      </c>
      <c r="M4539" t="n">
        <v>0</v>
      </c>
      <c r="N4539" t="n">
        <v>0</v>
      </c>
      <c r="O4539" t="n">
        <v>0</v>
      </c>
      <c r="P4539" t="n">
        <v>0</v>
      </c>
      <c r="Q4539" t="n">
        <v>0</v>
      </c>
      <c r="R4539" s="2" t="inlineStr"/>
    </row>
    <row r="4540" ht="15" customHeight="1">
      <c r="A4540" t="inlineStr">
        <is>
          <t>A 22246-2021</t>
        </is>
      </c>
      <c r="B4540" s="1" t="n">
        <v>44326</v>
      </c>
      <c r="C4540" s="1" t="n">
        <v>45715</v>
      </c>
      <c r="D4540" t="inlineStr">
        <is>
          <t>KALMAR LÄN</t>
        </is>
      </c>
      <c r="E4540" t="inlineStr">
        <is>
          <t>EMMABODA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22399-2021</t>
        </is>
      </c>
      <c r="B4541" s="1" t="n">
        <v>44326</v>
      </c>
      <c r="C4541" s="1" t="n">
        <v>45715</v>
      </c>
      <c r="D4541" t="inlineStr">
        <is>
          <t>KALMAR LÄN</t>
        </is>
      </c>
      <c r="E4541" t="inlineStr">
        <is>
          <t>KALMAR</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22195-2021</t>
        </is>
      </c>
      <c r="B4542" s="1" t="n">
        <v>44326</v>
      </c>
      <c r="C4542" s="1" t="n">
        <v>45715</v>
      </c>
      <c r="D4542" t="inlineStr">
        <is>
          <t>KALMAR LÄN</t>
        </is>
      </c>
      <c r="E4542" t="inlineStr">
        <is>
          <t>KALMAR</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22281-2021</t>
        </is>
      </c>
      <c r="B4543" s="1" t="n">
        <v>44326</v>
      </c>
      <c r="C4543" s="1" t="n">
        <v>45715</v>
      </c>
      <c r="D4543" t="inlineStr">
        <is>
          <t>KALMAR LÄN</t>
        </is>
      </c>
      <c r="E4543" t="inlineStr">
        <is>
          <t>EMMABODA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22183-2021</t>
        </is>
      </c>
      <c r="B4544" s="1" t="n">
        <v>44326</v>
      </c>
      <c r="C4544" s="1" t="n">
        <v>45715</v>
      </c>
      <c r="D4544" t="inlineStr">
        <is>
          <t>KALMAR LÄN</t>
        </is>
      </c>
      <c r="E4544" t="inlineStr">
        <is>
          <t>EMMABODA</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22310-2021</t>
        </is>
      </c>
      <c r="B4545" s="1" t="n">
        <v>44326</v>
      </c>
      <c r="C4545" s="1" t="n">
        <v>45715</v>
      </c>
      <c r="D4545" t="inlineStr">
        <is>
          <t>KALMAR LÄN</t>
        </is>
      </c>
      <c r="E4545" t="inlineStr">
        <is>
          <t>EMMABODA</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22637-2021</t>
        </is>
      </c>
      <c r="B4546" s="1" t="n">
        <v>44327</v>
      </c>
      <c r="C4546" s="1" t="n">
        <v>45715</v>
      </c>
      <c r="D4546" t="inlineStr">
        <is>
          <t>KALMAR LÄN</t>
        </is>
      </c>
      <c r="E4546" t="inlineStr">
        <is>
          <t>VIMMERBY</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22665-2021</t>
        </is>
      </c>
      <c r="B4547" s="1" t="n">
        <v>44327</v>
      </c>
      <c r="C4547" s="1" t="n">
        <v>45715</v>
      </c>
      <c r="D4547" t="inlineStr">
        <is>
          <t>KALMAR LÄN</t>
        </is>
      </c>
      <c r="E4547" t="inlineStr">
        <is>
          <t>KALMAR</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22636-2021</t>
        </is>
      </c>
      <c r="B4548" s="1" t="n">
        <v>44327</v>
      </c>
      <c r="C4548" s="1" t="n">
        <v>45715</v>
      </c>
      <c r="D4548" t="inlineStr">
        <is>
          <t>KALMAR LÄN</t>
        </is>
      </c>
      <c r="E4548" t="inlineStr">
        <is>
          <t>HÖGSBY</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22913-2021</t>
        </is>
      </c>
      <c r="B4549" s="1" t="n">
        <v>44328</v>
      </c>
      <c r="C4549" s="1" t="n">
        <v>45715</v>
      </c>
      <c r="D4549" t="inlineStr">
        <is>
          <t>KALMAR LÄN</t>
        </is>
      </c>
      <c r="E4549" t="inlineStr">
        <is>
          <t>NYBRO</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23090-2021</t>
        </is>
      </c>
      <c r="B4550" s="1" t="n">
        <v>44330</v>
      </c>
      <c r="C4550" s="1" t="n">
        <v>45715</v>
      </c>
      <c r="D4550" t="inlineStr">
        <is>
          <t>KALMAR LÄN</t>
        </is>
      </c>
      <c r="E4550" t="inlineStr">
        <is>
          <t>VÄSTERVIK</t>
        </is>
      </c>
      <c r="F4550" t="inlineStr">
        <is>
          <t>Holmen skog AB</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23309-2021</t>
        </is>
      </c>
      <c r="B4551" s="1" t="n">
        <v>44330</v>
      </c>
      <c r="C4551" s="1" t="n">
        <v>45715</v>
      </c>
      <c r="D4551" t="inlineStr">
        <is>
          <t>KALMAR LÄN</t>
        </is>
      </c>
      <c r="E4551" t="inlineStr">
        <is>
          <t>TORSÅS</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23097-2021</t>
        </is>
      </c>
      <c r="B4552" s="1" t="n">
        <v>44330</v>
      </c>
      <c r="C4552" s="1" t="n">
        <v>45715</v>
      </c>
      <c r="D4552" t="inlineStr">
        <is>
          <t>KALMAR LÄN</t>
        </is>
      </c>
      <c r="E4552" t="inlineStr">
        <is>
          <t>VÄSTERVIK</t>
        </is>
      </c>
      <c r="F4552" t="inlineStr">
        <is>
          <t>Holmen skog AB</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23150-2021</t>
        </is>
      </c>
      <c r="B4553" s="1" t="n">
        <v>44331</v>
      </c>
      <c r="C4553" s="1" t="n">
        <v>45715</v>
      </c>
      <c r="D4553" t="inlineStr">
        <is>
          <t>KALMAR LÄN</t>
        </is>
      </c>
      <c r="E4553" t="inlineStr">
        <is>
          <t>VÄSTERVIK</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23178-2021</t>
        </is>
      </c>
      <c r="B4554" s="1" t="n">
        <v>44333</v>
      </c>
      <c r="C4554" s="1" t="n">
        <v>45715</v>
      </c>
      <c r="D4554" t="inlineStr">
        <is>
          <t>KALMAR LÄN</t>
        </is>
      </c>
      <c r="E4554" t="inlineStr">
        <is>
          <t>NYBRO</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23420-2021</t>
        </is>
      </c>
      <c r="B4555" s="1" t="n">
        <v>44333</v>
      </c>
      <c r="C4555" s="1" t="n">
        <v>45715</v>
      </c>
      <c r="D4555" t="inlineStr">
        <is>
          <t>KALMAR LÄN</t>
        </is>
      </c>
      <c r="E4555" t="inlineStr">
        <is>
          <t>NYBRO</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23504-2021</t>
        </is>
      </c>
      <c r="B4556" s="1" t="n">
        <v>44334</v>
      </c>
      <c r="C4556" s="1" t="n">
        <v>45715</v>
      </c>
      <c r="D4556" t="inlineStr">
        <is>
          <t>KALMAR LÄN</t>
        </is>
      </c>
      <c r="E4556" t="inlineStr">
        <is>
          <t>VÄSTERVIK</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23398-2021</t>
        </is>
      </c>
      <c r="B4557" s="1" t="n">
        <v>44333</v>
      </c>
      <c r="C4557" s="1" t="n">
        <v>45715</v>
      </c>
      <c r="D4557" t="inlineStr">
        <is>
          <t>KALMAR LÄN</t>
        </is>
      </c>
      <c r="E4557" t="inlineStr">
        <is>
          <t>NYBRO</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23432-2021</t>
        </is>
      </c>
      <c r="B4558" s="1" t="n">
        <v>44333</v>
      </c>
      <c r="C4558" s="1" t="n">
        <v>45715</v>
      </c>
      <c r="D4558" t="inlineStr">
        <is>
          <t>KALMAR LÄN</t>
        </is>
      </c>
      <c r="E4558" t="inlineStr">
        <is>
          <t>KALMAR</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23507-2021</t>
        </is>
      </c>
      <c r="B4559" s="1" t="n">
        <v>44334</v>
      </c>
      <c r="C4559" s="1" t="n">
        <v>45715</v>
      </c>
      <c r="D4559" t="inlineStr">
        <is>
          <t>KALMAR LÄN</t>
        </is>
      </c>
      <c r="E4559" t="inlineStr">
        <is>
          <t>NYBRO</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23628-2021</t>
        </is>
      </c>
      <c r="B4560" s="1" t="n">
        <v>44334</v>
      </c>
      <c r="C4560" s="1" t="n">
        <v>45715</v>
      </c>
      <c r="D4560" t="inlineStr">
        <is>
          <t>KALMAR LÄN</t>
        </is>
      </c>
      <c r="E4560" t="inlineStr">
        <is>
          <t>VÄSTERVIK</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23664-2021</t>
        </is>
      </c>
      <c r="B4561" s="1" t="n">
        <v>44334</v>
      </c>
      <c r="C4561" s="1" t="n">
        <v>45715</v>
      </c>
      <c r="D4561" t="inlineStr">
        <is>
          <t>KALMAR LÄN</t>
        </is>
      </c>
      <c r="E4561" t="inlineStr">
        <is>
          <t>EMMABODA</t>
        </is>
      </c>
      <c r="G4561" t="n">
        <v>8.6</v>
      </c>
      <c r="H4561" t="n">
        <v>0</v>
      </c>
      <c r="I4561" t="n">
        <v>0</v>
      </c>
      <c r="J4561" t="n">
        <v>0</v>
      </c>
      <c r="K4561" t="n">
        <v>0</v>
      </c>
      <c r="L4561" t="n">
        <v>0</v>
      </c>
      <c r="M4561" t="n">
        <v>0</v>
      </c>
      <c r="N4561" t="n">
        <v>0</v>
      </c>
      <c r="O4561" t="n">
        <v>0</v>
      </c>
      <c r="P4561" t="n">
        <v>0</v>
      </c>
      <c r="Q4561" t="n">
        <v>0</v>
      </c>
      <c r="R4561" s="2" t="inlineStr"/>
    </row>
    <row r="4562" ht="15" customHeight="1">
      <c r="A4562" t="inlineStr">
        <is>
          <t>A 23626-2021</t>
        </is>
      </c>
      <c r="B4562" s="1" t="n">
        <v>44334</v>
      </c>
      <c r="C4562" s="1" t="n">
        <v>45715</v>
      </c>
      <c r="D4562" t="inlineStr">
        <is>
          <t>KALMAR LÄN</t>
        </is>
      </c>
      <c r="E4562" t="inlineStr">
        <is>
          <t>VÄSTERVIK</t>
        </is>
      </c>
      <c r="G4562" t="n">
        <v>9</v>
      </c>
      <c r="H4562" t="n">
        <v>0</v>
      </c>
      <c r="I4562" t="n">
        <v>0</v>
      </c>
      <c r="J4562" t="n">
        <v>0</v>
      </c>
      <c r="K4562" t="n">
        <v>0</v>
      </c>
      <c r="L4562" t="n">
        <v>0</v>
      </c>
      <c r="M4562" t="n">
        <v>0</v>
      </c>
      <c r="N4562" t="n">
        <v>0</v>
      </c>
      <c r="O4562" t="n">
        <v>0</v>
      </c>
      <c r="P4562" t="n">
        <v>0</v>
      </c>
      <c r="Q4562" t="n">
        <v>0</v>
      </c>
      <c r="R4562" s="2" t="inlineStr"/>
    </row>
    <row r="4563" ht="15" customHeight="1">
      <c r="A4563" t="inlineStr">
        <is>
          <t>A 23730-2021</t>
        </is>
      </c>
      <c r="B4563" s="1" t="n">
        <v>44334</v>
      </c>
      <c r="C4563" s="1" t="n">
        <v>45715</v>
      </c>
      <c r="D4563" t="inlineStr">
        <is>
          <t>KALMAR LÄN</t>
        </is>
      </c>
      <c r="E4563" t="inlineStr">
        <is>
          <t>HULTSFRED</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23788-2021</t>
        </is>
      </c>
      <c r="B4564" s="1" t="n">
        <v>44335</v>
      </c>
      <c r="C4564" s="1" t="n">
        <v>45715</v>
      </c>
      <c r="D4564" t="inlineStr">
        <is>
          <t>KALMAR LÄN</t>
        </is>
      </c>
      <c r="E4564" t="inlineStr">
        <is>
          <t>MÖNSTERÅS</t>
        </is>
      </c>
      <c r="G4564" t="n">
        <v>7.6</v>
      </c>
      <c r="H4564" t="n">
        <v>0</v>
      </c>
      <c r="I4564" t="n">
        <v>0</v>
      </c>
      <c r="J4564" t="n">
        <v>0</v>
      </c>
      <c r="K4564" t="n">
        <v>0</v>
      </c>
      <c r="L4564" t="n">
        <v>0</v>
      </c>
      <c r="M4564" t="n">
        <v>0</v>
      </c>
      <c r="N4564" t="n">
        <v>0</v>
      </c>
      <c r="O4564" t="n">
        <v>0</v>
      </c>
      <c r="P4564" t="n">
        <v>0</v>
      </c>
      <c r="Q4564" t="n">
        <v>0</v>
      </c>
      <c r="R4564" s="2" t="inlineStr"/>
    </row>
    <row r="4565" ht="15" customHeight="1">
      <c r="A4565" t="inlineStr">
        <is>
          <t>A 23995-2021</t>
        </is>
      </c>
      <c r="B4565" s="1" t="n">
        <v>44335</v>
      </c>
      <c r="C4565" s="1" t="n">
        <v>45715</v>
      </c>
      <c r="D4565" t="inlineStr">
        <is>
          <t>KALMAR LÄN</t>
        </is>
      </c>
      <c r="E4565" t="inlineStr">
        <is>
          <t>VÄSTERVIK</t>
        </is>
      </c>
      <c r="F4565" t="inlineStr">
        <is>
          <t>Sveaskog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23883-2021</t>
        </is>
      </c>
      <c r="B4566" s="1" t="n">
        <v>44335</v>
      </c>
      <c r="C4566" s="1" t="n">
        <v>45715</v>
      </c>
      <c r="D4566" t="inlineStr">
        <is>
          <t>KALMAR LÄN</t>
        </is>
      </c>
      <c r="E4566" t="inlineStr">
        <is>
          <t>NYBRO</t>
        </is>
      </c>
      <c r="G4566" t="n">
        <v>6.5</v>
      </c>
      <c r="H4566" t="n">
        <v>0</v>
      </c>
      <c r="I4566" t="n">
        <v>0</v>
      </c>
      <c r="J4566" t="n">
        <v>0</v>
      </c>
      <c r="K4566" t="n">
        <v>0</v>
      </c>
      <c r="L4566" t="n">
        <v>0</v>
      </c>
      <c r="M4566" t="n">
        <v>0</v>
      </c>
      <c r="N4566" t="n">
        <v>0</v>
      </c>
      <c r="O4566" t="n">
        <v>0</v>
      </c>
      <c r="P4566" t="n">
        <v>0</v>
      </c>
      <c r="Q4566" t="n">
        <v>0</v>
      </c>
      <c r="R4566" s="2" t="inlineStr"/>
    </row>
    <row r="4567" ht="15" customHeight="1">
      <c r="A4567" t="inlineStr">
        <is>
          <t>A 23912-2021</t>
        </is>
      </c>
      <c r="B4567" s="1" t="n">
        <v>44335</v>
      </c>
      <c r="C4567" s="1" t="n">
        <v>45715</v>
      </c>
      <c r="D4567" t="inlineStr">
        <is>
          <t>KALMAR LÄN</t>
        </is>
      </c>
      <c r="E4567" t="inlineStr">
        <is>
          <t>OSKARSHAMN</t>
        </is>
      </c>
      <c r="G4567" t="n">
        <v>10.1</v>
      </c>
      <c r="H4567" t="n">
        <v>0</v>
      </c>
      <c r="I4567" t="n">
        <v>0</v>
      </c>
      <c r="J4567" t="n">
        <v>0</v>
      </c>
      <c r="K4567" t="n">
        <v>0</v>
      </c>
      <c r="L4567" t="n">
        <v>0</v>
      </c>
      <c r="M4567" t="n">
        <v>0</v>
      </c>
      <c r="N4567" t="n">
        <v>0</v>
      </c>
      <c r="O4567" t="n">
        <v>0</v>
      </c>
      <c r="P4567" t="n">
        <v>0</v>
      </c>
      <c r="Q4567" t="n">
        <v>0</v>
      </c>
      <c r="R4567" s="2" t="inlineStr"/>
    </row>
    <row r="4568" ht="15" customHeight="1">
      <c r="A4568" t="inlineStr">
        <is>
          <t>A 23993-2021</t>
        </is>
      </c>
      <c r="B4568" s="1" t="n">
        <v>44335</v>
      </c>
      <c r="C4568" s="1" t="n">
        <v>45715</v>
      </c>
      <c r="D4568" t="inlineStr">
        <is>
          <t>KALMAR LÄN</t>
        </is>
      </c>
      <c r="E4568" t="inlineStr">
        <is>
          <t>VÄSTERVIK</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23998-2021</t>
        </is>
      </c>
      <c r="B4569" s="1" t="n">
        <v>44335</v>
      </c>
      <c r="C4569" s="1" t="n">
        <v>45715</v>
      </c>
      <c r="D4569" t="inlineStr">
        <is>
          <t>KALMAR LÄN</t>
        </is>
      </c>
      <c r="E4569" t="inlineStr">
        <is>
          <t>VÄSTERVIK</t>
        </is>
      </c>
      <c r="F4569" t="inlineStr">
        <is>
          <t>Sveaskog</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23992-2021</t>
        </is>
      </c>
      <c r="B4570" s="1" t="n">
        <v>44335</v>
      </c>
      <c r="C4570" s="1" t="n">
        <v>45715</v>
      </c>
      <c r="D4570" t="inlineStr">
        <is>
          <t>KALMAR LÄN</t>
        </is>
      </c>
      <c r="E4570" t="inlineStr">
        <is>
          <t>VÄSTERVIK</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23997-2021</t>
        </is>
      </c>
      <c r="B4571" s="1" t="n">
        <v>44335</v>
      </c>
      <c r="C4571" s="1" t="n">
        <v>45715</v>
      </c>
      <c r="D4571" t="inlineStr">
        <is>
          <t>KALMAR LÄN</t>
        </is>
      </c>
      <c r="E4571" t="inlineStr">
        <is>
          <t>VÄSTERVIK</t>
        </is>
      </c>
      <c r="F4571" t="inlineStr">
        <is>
          <t>Sveaskog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24000-2021</t>
        </is>
      </c>
      <c r="B4572" s="1" t="n">
        <v>44335</v>
      </c>
      <c r="C4572" s="1" t="n">
        <v>45715</v>
      </c>
      <c r="D4572" t="inlineStr">
        <is>
          <t>KALMAR LÄN</t>
        </is>
      </c>
      <c r="E4572" t="inlineStr">
        <is>
          <t>VÄSTERVIK</t>
        </is>
      </c>
      <c r="F4572" t="inlineStr">
        <is>
          <t>Sveaskog</t>
        </is>
      </c>
      <c r="G4572" t="n">
        <v>6.9</v>
      </c>
      <c r="H4572" t="n">
        <v>0</v>
      </c>
      <c r="I4572" t="n">
        <v>0</v>
      </c>
      <c r="J4572" t="n">
        <v>0</v>
      </c>
      <c r="K4572" t="n">
        <v>0</v>
      </c>
      <c r="L4572" t="n">
        <v>0</v>
      </c>
      <c r="M4572" t="n">
        <v>0</v>
      </c>
      <c r="N4572" t="n">
        <v>0</v>
      </c>
      <c r="O4572" t="n">
        <v>0</v>
      </c>
      <c r="P4572" t="n">
        <v>0</v>
      </c>
      <c r="Q4572" t="n">
        <v>0</v>
      </c>
      <c r="R4572" s="2" t="inlineStr"/>
    </row>
    <row r="4573" ht="15" customHeight="1">
      <c r="A4573" t="inlineStr">
        <is>
          <t>A 23996-2021</t>
        </is>
      </c>
      <c r="B4573" s="1" t="n">
        <v>44335</v>
      </c>
      <c r="C4573" s="1" t="n">
        <v>45715</v>
      </c>
      <c r="D4573" t="inlineStr">
        <is>
          <t>KALMAR LÄN</t>
        </is>
      </c>
      <c r="E4573" t="inlineStr">
        <is>
          <t>VÄSTERVIK</t>
        </is>
      </c>
      <c r="F4573" t="inlineStr">
        <is>
          <t>Sveaskog</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24040-2021</t>
        </is>
      </c>
      <c r="B4574" s="1" t="n">
        <v>44336</v>
      </c>
      <c r="C4574" s="1" t="n">
        <v>45715</v>
      </c>
      <c r="D4574" t="inlineStr">
        <is>
          <t>KALMAR LÄN</t>
        </is>
      </c>
      <c r="E4574" t="inlineStr">
        <is>
          <t>TORSÅS</t>
        </is>
      </c>
      <c r="G4574" t="n">
        <v>11.3</v>
      </c>
      <c r="H4574" t="n">
        <v>0</v>
      </c>
      <c r="I4574" t="n">
        <v>0</v>
      </c>
      <c r="J4574" t="n">
        <v>0</v>
      </c>
      <c r="K4574" t="n">
        <v>0</v>
      </c>
      <c r="L4574" t="n">
        <v>0</v>
      </c>
      <c r="M4574" t="n">
        <v>0</v>
      </c>
      <c r="N4574" t="n">
        <v>0</v>
      </c>
      <c r="O4574" t="n">
        <v>0</v>
      </c>
      <c r="P4574" t="n">
        <v>0</v>
      </c>
      <c r="Q4574" t="n">
        <v>0</v>
      </c>
      <c r="R4574" s="2" t="inlineStr"/>
    </row>
    <row r="4575" ht="15" customHeight="1">
      <c r="A4575" t="inlineStr">
        <is>
          <t>A 24055-2021</t>
        </is>
      </c>
      <c r="B4575" s="1" t="n">
        <v>44336</v>
      </c>
      <c r="C4575" s="1" t="n">
        <v>45715</v>
      </c>
      <c r="D4575" t="inlineStr">
        <is>
          <t>KALMAR LÄN</t>
        </is>
      </c>
      <c r="E4575" t="inlineStr">
        <is>
          <t>KALMAR</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24124-2021</t>
        </is>
      </c>
      <c r="B4576" s="1" t="n">
        <v>44336</v>
      </c>
      <c r="C4576" s="1" t="n">
        <v>45715</v>
      </c>
      <c r="D4576" t="inlineStr">
        <is>
          <t>KALMAR LÄN</t>
        </is>
      </c>
      <c r="E4576" t="inlineStr">
        <is>
          <t>TORSÅS</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24307-2021</t>
        </is>
      </c>
      <c r="B4577" s="1" t="n">
        <v>44337</v>
      </c>
      <c r="C4577" s="1" t="n">
        <v>45715</v>
      </c>
      <c r="D4577" t="inlineStr">
        <is>
          <t>KALMAR LÄN</t>
        </is>
      </c>
      <c r="E4577" t="inlineStr">
        <is>
          <t>HULTSFRED</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24369-2021</t>
        </is>
      </c>
      <c r="B4578" s="1" t="n">
        <v>44337</v>
      </c>
      <c r="C4578" s="1" t="n">
        <v>45715</v>
      </c>
      <c r="D4578" t="inlineStr">
        <is>
          <t>KALMAR LÄN</t>
        </is>
      </c>
      <c r="E4578" t="inlineStr">
        <is>
          <t>VIMMERBY</t>
        </is>
      </c>
      <c r="G4578" t="n">
        <v>8.800000000000001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24570-2021</t>
        </is>
      </c>
      <c r="B4579" s="1" t="n">
        <v>44339</v>
      </c>
      <c r="C4579" s="1" t="n">
        <v>45715</v>
      </c>
      <c r="D4579" t="inlineStr">
        <is>
          <t>KALMAR LÄN</t>
        </is>
      </c>
      <c r="E4579" t="inlineStr">
        <is>
          <t>VÄSTERVIK</t>
        </is>
      </c>
      <c r="F4579" t="inlineStr">
        <is>
          <t>Sveaskog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24655-2021</t>
        </is>
      </c>
      <c r="B4580" s="1" t="n">
        <v>44340</v>
      </c>
      <c r="C4580" s="1" t="n">
        <v>45715</v>
      </c>
      <c r="D4580" t="inlineStr">
        <is>
          <t>KALMAR LÄN</t>
        </is>
      </c>
      <c r="E4580" t="inlineStr">
        <is>
          <t>VIMMERBY</t>
        </is>
      </c>
      <c r="G4580" t="n">
        <v>14.9</v>
      </c>
      <c r="H4580" t="n">
        <v>0</v>
      </c>
      <c r="I4580" t="n">
        <v>0</v>
      </c>
      <c r="J4580" t="n">
        <v>0</v>
      </c>
      <c r="K4580" t="n">
        <v>0</v>
      </c>
      <c r="L4580" t="n">
        <v>0</v>
      </c>
      <c r="M4580" t="n">
        <v>0</v>
      </c>
      <c r="N4580" t="n">
        <v>0</v>
      </c>
      <c r="O4580" t="n">
        <v>0</v>
      </c>
      <c r="P4580" t="n">
        <v>0</v>
      </c>
      <c r="Q4580" t="n">
        <v>0</v>
      </c>
      <c r="R4580" s="2" t="inlineStr"/>
    </row>
    <row r="4581" ht="15" customHeight="1">
      <c r="A4581" t="inlineStr">
        <is>
          <t>A 24735-2021</t>
        </is>
      </c>
      <c r="B4581" s="1" t="n">
        <v>44340</v>
      </c>
      <c r="C4581" s="1" t="n">
        <v>45715</v>
      </c>
      <c r="D4581" t="inlineStr">
        <is>
          <t>KALMAR LÄN</t>
        </is>
      </c>
      <c r="E4581" t="inlineStr">
        <is>
          <t>EMMABODA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24643-2021</t>
        </is>
      </c>
      <c r="B4582" s="1" t="n">
        <v>44340</v>
      </c>
      <c r="C4582" s="1" t="n">
        <v>45715</v>
      </c>
      <c r="D4582" t="inlineStr">
        <is>
          <t>KALMAR LÄN</t>
        </is>
      </c>
      <c r="E4582" t="inlineStr">
        <is>
          <t>NYBRO</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24736-2021</t>
        </is>
      </c>
      <c r="B4583" s="1" t="n">
        <v>44340</v>
      </c>
      <c r="C4583" s="1" t="n">
        <v>45715</v>
      </c>
      <c r="D4583" t="inlineStr">
        <is>
          <t>KALMAR LÄN</t>
        </is>
      </c>
      <c r="E4583" t="inlineStr">
        <is>
          <t>NYBRO</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24752-2021</t>
        </is>
      </c>
      <c r="B4584" s="1" t="n">
        <v>44340</v>
      </c>
      <c r="C4584" s="1" t="n">
        <v>45715</v>
      </c>
      <c r="D4584" t="inlineStr">
        <is>
          <t>KALMAR LÄN</t>
        </is>
      </c>
      <c r="E4584" t="inlineStr">
        <is>
          <t>VIMMERBY</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24638-2021</t>
        </is>
      </c>
      <c r="B4585" s="1" t="n">
        <v>44340</v>
      </c>
      <c r="C4585" s="1" t="n">
        <v>45715</v>
      </c>
      <c r="D4585" t="inlineStr">
        <is>
          <t>KALMAR LÄN</t>
        </is>
      </c>
      <c r="E4585" t="inlineStr">
        <is>
          <t>NYBRO</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24640-2021</t>
        </is>
      </c>
      <c r="B4586" s="1" t="n">
        <v>44340</v>
      </c>
      <c r="C4586" s="1" t="n">
        <v>45715</v>
      </c>
      <c r="D4586" t="inlineStr">
        <is>
          <t>KALMAR LÄN</t>
        </is>
      </c>
      <c r="E4586" t="inlineStr">
        <is>
          <t>NYBRO</t>
        </is>
      </c>
      <c r="G4586" t="n">
        <v>0</v>
      </c>
      <c r="H4586" t="n">
        <v>0</v>
      </c>
      <c r="I4586" t="n">
        <v>0</v>
      </c>
      <c r="J4586" t="n">
        <v>0</v>
      </c>
      <c r="K4586" t="n">
        <v>0</v>
      </c>
      <c r="L4586" t="n">
        <v>0</v>
      </c>
      <c r="M4586" t="n">
        <v>0</v>
      </c>
      <c r="N4586" t="n">
        <v>0</v>
      </c>
      <c r="O4586" t="n">
        <v>0</v>
      </c>
      <c r="P4586" t="n">
        <v>0</v>
      </c>
      <c r="Q4586" t="n">
        <v>0</v>
      </c>
      <c r="R4586" s="2" t="inlineStr"/>
    </row>
    <row r="4587" ht="15" customHeight="1">
      <c r="A4587" t="inlineStr">
        <is>
          <t>A 24738-2021</t>
        </is>
      </c>
      <c r="B4587" s="1" t="n">
        <v>44340</v>
      </c>
      <c r="C4587" s="1" t="n">
        <v>45715</v>
      </c>
      <c r="D4587" t="inlineStr">
        <is>
          <t>KALMAR LÄN</t>
        </is>
      </c>
      <c r="E4587" t="inlineStr">
        <is>
          <t>VIMMERBY</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24718-2021</t>
        </is>
      </c>
      <c r="B4588" s="1" t="n">
        <v>44340</v>
      </c>
      <c r="C4588" s="1" t="n">
        <v>45715</v>
      </c>
      <c r="D4588" t="inlineStr">
        <is>
          <t>KALMAR LÄN</t>
        </is>
      </c>
      <c r="E4588" t="inlineStr">
        <is>
          <t>EMMABODA</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24723-2021</t>
        </is>
      </c>
      <c r="B4589" s="1" t="n">
        <v>44340</v>
      </c>
      <c r="C4589" s="1" t="n">
        <v>45715</v>
      </c>
      <c r="D4589" t="inlineStr">
        <is>
          <t>KALMAR LÄN</t>
        </is>
      </c>
      <c r="E4589" t="inlineStr">
        <is>
          <t>VIMMERBY</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24929-2021</t>
        </is>
      </c>
      <c r="B4590" s="1" t="n">
        <v>44341</v>
      </c>
      <c r="C4590" s="1" t="n">
        <v>45715</v>
      </c>
      <c r="D4590" t="inlineStr">
        <is>
          <t>KALMAR LÄN</t>
        </is>
      </c>
      <c r="E4590" t="inlineStr">
        <is>
          <t>KALMAR</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24974-2021</t>
        </is>
      </c>
      <c r="B4591" s="1" t="n">
        <v>44341</v>
      </c>
      <c r="C4591" s="1" t="n">
        <v>45715</v>
      </c>
      <c r="D4591" t="inlineStr">
        <is>
          <t>KALMAR LÄN</t>
        </is>
      </c>
      <c r="E4591" t="inlineStr">
        <is>
          <t>KALMAR</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24999-2021</t>
        </is>
      </c>
      <c r="B4592" s="1" t="n">
        <v>44341</v>
      </c>
      <c r="C4592" s="1" t="n">
        <v>45715</v>
      </c>
      <c r="D4592" t="inlineStr">
        <is>
          <t>KALMAR LÄN</t>
        </is>
      </c>
      <c r="E4592" t="inlineStr">
        <is>
          <t>VIMMERBY</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25132-2021</t>
        </is>
      </c>
      <c r="B4593" s="1" t="n">
        <v>44341</v>
      </c>
      <c r="C4593" s="1" t="n">
        <v>45715</v>
      </c>
      <c r="D4593" t="inlineStr">
        <is>
          <t>KALMAR LÄN</t>
        </is>
      </c>
      <c r="E4593" t="inlineStr">
        <is>
          <t>HÖGSBY</t>
        </is>
      </c>
      <c r="F4593" t="inlineStr">
        <is>
          <t>Sveaskog</t>
        </is>
      </c>
      <c r="G4593" t="n">
        <v>6</v>
      </c>
      <c r="H4593" t="n">
        <v>0</v>
      </c>
      <c r="I4593" t="n">
        <v>0</v>
      </c>
      <c r="J4593" t="n">
        <v>0</v>
      </c>
      <c r="K4593" t="n">
        <v>0</v>
      </c>
      <c r="L4593" t="n">
        <v>0</v>
      </c>
      <c r="M4593" t="n">
        <v>0</v>
      </c>
      <c r="N4593" t="n">
        <v>0</v>
      </c>
      <c r="O4593" t="n">
        <v>0</v>
      </c>
      <c r="P4593" t="n">
        <v>0</v>
      </c>
      <c r="Q4593" t="n">
        <v>0</v>
      </c>
      <c r="R4593" s="2" t="inlineStr"/>
    </row>
    <row r="4594" ht="15" customHeight="1">
      <c r="A4594" t="inlineStr">
        <is>
          <t>A 25134-2021</t>
        </is>
      </c>
      <c r="B4594" s="1" t="n">
        <v>44341</v>
      </c>
      <c r="C4594" s="1" t="n">
        <v>45715</v>
      </c>
      <c r="D4594" t="inlineStr">
        <is>
          <t>KALMAR LÄN</t>
        </is>
      </c>
      <c r="E4594" t="inlineStr">
        <is>
          <t>HÖGSBY</t>
        </is>
      </c>
      <c r="F4594" t="inlineStr">
        <is>
          <t>Sveaskog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25133-2021</t>
        </is>
      </c>
      <c r="B4595" s="1" t="n">
        <v>44341</v>
      </c>
      <c r="C4595" s="1" t="n">
        <v>45715</v>
      </c>
      <c r="D4595" t="inlineStr">
        <is>
          <t>KALMAR LÄN</t>
        </is>
      </c>
      <c r="E4595" t="inlineStr">
        <is>
          <t>HÖGSBY</t>
        </is>
      </c>
      <c r="F4595" t="inlineStr">
        <is>
          <t>Sveaskog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25238-2021</t>
        </is>
      </c>
      <c r="B4596" s="1" t="n">
        <v>44342</v>
      </c>
      <c r="C4596" s="1" t="n">
        <v>45715</v>
      </c>
      <c r="D4596" t="inlineStr">
        <is>
          <t>KALMAR LÄN</t>
        </is>
      </c>
      <c r="E4596" t="inlineStr">
        <is>
          <t>VÄSTERVIK</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25400-2021</t>
        </is>
      </c>
      <c r="B4597" s="1" t="n">
        <v>44342</v>
      </c>
      <c r="C4597" s="1" t="n">
        <v>45715</v>
      </c>
      <c r="D4597" t="inlineStr">
        <is>
          <t>KALMAR LÄN</t>
        </is>
      </c>
      <c r="E4597" t="inlineStr">
        <is>
          <t>OSKARSHAMN</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25418-2021</t>
        </is>
      </c>
      <c r="B4598" s="1" t="n">
        <v>44342</v>
      </c>
      <c r="C4598" s="1" t="n">
        <v>45715</v>
      </c>
      <c r="D4598" t="inlineStr">
        <is>
          <t>KALMAR LÄN</t>
        </is>
      </c>
      <c r="E4598" t="inlineStr">
        <is>
          <t>VÄSTERVIK</t>
        </is>
      </c>
      <c r="F4598" t="inlineStr">
        <is>
          <t>Holmen skog AB</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25426-2021</t>
        </is>
      </c>
      <c r="B4599" s="1" t="n">
        <v>44342</v>
      </c>
      <c r="C4599" s="1" t="n">
        <v>45715</v>
      </c>
      <c r="D4599" t="inlineStr">
        <is>
          <t>KALMAR LÄN</t>
        </is>
      </c>
      <c r="E4599" t="inlineStr">
        <is>
          <t>NYBRO</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25397-2021</t>
        </is>
      </c>
      <c r="B4600" s="1" t="n">
        <v>44342</v>
      </c>
      <c r="C4600" s="1" t="n">
        <v>45715</v>
      </c>
      <c r="D4600" t="inlineStr">
        <is>
          <t>KALMAR LÄN</t>
        </is>
      </c>
      <c r="E4600" t="inlineStr">
        <is>
          <t>KALMAR</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25408-2021</t>
        </is>
      </c>
      <c r="B4601" s="1" t="n">
        <v>44342</v>
      </c>
      <c r="C4601" s="1" t="n">
        <v>45715</v>
      </c>
      <c r="D4601" t="inlineStr">
        <is>
          <t>KALMAR LÄN</t>
        </is>
      </c>
      <c r="E4601" t="inlineStr">
        <is>
          <t>VÄSTERVIK</t>
        </is>
      </c>
      <c r="F4601" t="inlineStr">
        <is>
          <t>Holmen skog AB</t>
        </is>
      </c>
      <c r="G4601" t="n">
        <v>1.1</v>
      </c>
      <c r="H4601" t="n">
        <v>0</v>
      </c>
      <c r="I4601" t="n">
        <v>0</v>
      </c>
      <c r="J4601" t="n">
        <v>0</v>
      </c>
      <c r="K4601" t="n">
        <v>0</v>
      </c>
      <c r="L4601" t="n">
        <v>0</v>
      </c>
      <c r="M4601" t="n">
        <v>0</v>
      </c>
      <c r="N4601" t="n">
        <v>0</v>
      </c>
      <c r="O4601" t="n">
        <v>0</v>
      </c>
      <c r="P4601" t="n">
        <v>0</v>
      </c>
      <c r="Q4601" t="n">
        <v>0</v>
      </c>
      <c r="R4601" s="2" t="inlineStr"/>
      <c r="U4601">
        <f>HYPERLINK("https://klasma.github.io/Logging_0883/knärot/A 25408-2021 karta knärot.png", "A 25408-2021")</f>
        <v/>
      </c>
      <c r="V4601">
        <f>HYPERLINK("https://klasma.github.io/Logging_0883/klagomål/A 25408-2021 FSC-klagomål.docx", "A 25408-2021")</f>
        <v/>
      </c>
      <c r="W4601">
        <f>HYPERLINK("https://klasma.github.io/Logging_0883/klagomålsmail/A 25408-2021 FSC-klagomål mail.docx", "A 25408-2021")</f>
        <v/>
      </c>
      <c r="X4601">
        <f>HYPERLINK("https://klasma.github.io/Logging_0883/tillsyn/A 25408-2021 tillsynsbegäran.docx", "A 25408-2021")</f>
        <v/>
      </c>
      <c r="Y4601">
        <f>HYPERLINK("https://klasma.github.io/Logging_0883/tillsynsmail/A 25408-2021 tillsynsbegäran mail.docx", "A 25408-2021")</f>
        <v/>
      </c>
    </row>
    <row r="4602" ht="15" customHeight="1">
      <c r="A4602" t="inlineStr">
        <is>
          <t>A 25433-2021</t>
        </is>
      </c>
      <c r="B4602" s="1" t="n">
        <v>44342</v>
      </c>
      <c r="C4602" s="1" t="n">
        <v>45715</v>
      </c>
      <c r="D4602" t="inlineStr">
        <is>
          <t>KALMAR LÄN</t>
        </is>
      </c>
      <c r="E4602" t="inlineStr">
        <is>
          <t>NYBRO</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25451-2021</t>
        </is>
      </c>
      <c r="B4603" s="1" t="n">
        <v>44342</v>
      </c>
      <c r="C4603" s="1" t="n">
        <v>45715</v>
      </c>
      <c r="D4603" t="inlineStr">
        <is>
          <t>KALMAR LÄN</t>
        </is>
      </c>
      <c r="E4603" t="inlineStr">
        <is>
          <t>OSKARSHAMN</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26014-2021</t>
        </is>
      </c>
      <c r="B4604" s="1" t="n">
        <v>44344</v>
      </c>
      <c r="C4604" s="1" t="n">
        <v>45715</v>
      </c>
      <c r="D4604" t="inlineStr">
        <is>
          <t>KALMAR LÄN</t>
        </is>
      </c>
      <c r="E4604" t="inlineStr">
        <is>
          <t>EMMABODA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26123-2021</t>
        </is>
      </c>
      <c r="B4605" s="1" t="n">
        <v>44345</v>
      </c>
      <c r="C4605" s="1" t="n">
        <v>45715</v>
      </c>
      <c r="D4605" t="inlineStr">
        <is>
          <t>KALMAR LÄN</t>
        </is>
      </c>
      <c r="E4605" t="inlineStr">
        <is>
          <t>KALMAR</t>
        </is>
      </c>
      <c r="G4605" t="n">
        <v>0.2</v>
      </c>
      <c r="H4605" t="n">
        <v>0</v>
      </c>
      <c r="I4605" t="n">
        <v>0</v>
      </c>
      <c r="J4605" t="n">
        <v>0</v>
      </c>
      <c r="K4605" t="n">
        <v>0</v>
      </c>
      <c r="L4605" t="n">
        <v>0</v>
      </c>
      <c r="M4605" t="n">
        <v>0</v>
      </c>
      <c r="N4605" t="n">
        <v>0</v>
      </c>
      <c r="O4605" t="n">
        <v>0</v>
      </c>
      <c r="P4605" t="n">
        <v>0</v>
      </c>
      <c r="Q4605" t="n">
        <v>0</v>
      </c>
      <c r="R4605" s="2" t="inlineStr"/>
    </row>
    <row r="4606" ht="15" customHeight="1">
      <c r="A4606" t="inlineStr">
        <is>
          <t>A 26176-2021</t>
        </is>
      </c>
      <c r="B4606" s="1" t="n">
        <v>44347</v>
      </c>
      <c r="C4606" s="1" t="n">
        <v>45715</v>
      </c>
      <c r="D4606" t="inlineStr">
        <is>
          <t>KALMAR LÄN</t>
        </is>
      </c>
      <c r="E4606" t="inlineStr">
        <is>
          <t>NYBRO</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26217-2021</t>
        </is>
      </c>
      <c r="B4607" s="1" t="n">
        <v>44347</v>
      </c>
      <c r="C4607" s="1" t="n">
        <v>45715</v>
      </c>
      <c r="D4607" t="inlineStr">
        <is>
          <t>KALMAR LÄN</t>
        </is>
      </c>
      <c r="E4607" t="inlineStr">
        <is>
          <t>EMMABODA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26227-2021</t>
        </is>
      </c>
      <c r="B4608" s="1" t="n">
        <v>44347</v>
      </c>
      <c r="C4608" s="1" t="n">
        <v>45715</v>
      </c>
      <c r="D4608" t="inlineStr">
        <is>
          <t>KALMAR LÄN</t>
        </is>
      </c>
      <c r="E4608" t="inlineStr">
        <is>
          <t>EMMABODA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26224-2021</t>
        </is>
      </c>
      <c r="B4609" s="1" t="n">
        <v>44347</v>
      </c>
      <c r="C4609" s="1" t="n">
        <v>45715</v>
      </c>
      <c r="D4609" t="inlineStr">
        <is>
          <t>KALMAR LÄN</t>
        </is>
      </c>
      <c r="E4609" t="inlineStr">
        <is>
          <t>TORSÅS</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26232-2021</t>
        </is>
      </c>
      <c r="B4610" s="1" t="n">
        <v>44347</v>
      </c>
      <c r="C4610" s="1" t="n">
        <v>45715</v>
      </c>
      <c r="D4610" t="inlineStr">
        <is>
          <t>KALMAR LÄN</t>
        </is>
      </c>
      <c r="E4610" t="inlineStr">
        <is>
          <t>EMMABODA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26271-2021</t>
        </is>
      </c>
      <c r="B4611" s="1" t="n">
        <v>44347</v>
      </c>
      <c r="C4611" s="1" t="n">
        <v>45715</v>
      </c>
      <c r="D4611" t="inlineStr">
        <is>
          <t>KALMAR LÄN</t>
        </is>
      </c>
      <c r="E4611" t="inlineStr">
        <is>
          <t>NYBRO</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26545-2021</t>
        </is>
      </c>
      <c r="B4612" s="1" t="n">
        <v>44348</v>
      </c>
      <c r="C4612" s="1" t="n">
        <v>45715</v>
      </c>
      <c r="D4612" t="inlineStr">
        <is>
          <t>KALMAR LÄN</t>
        </is>
      </c>
      <c r="E4612" t="inlineStr">
        <is>
          <t>OSKARSHAMN</t>
        </is>
      </c>
      <c r="G4612" t="n">
        <v>8</v>
      </c>
      <c r="H4612" t="n">
        <v>0</v>
      </c>
      <c r="I4612" t="n">
        <v>0</v>
      </c>
      <c r="J4612" t="n">
        <v>0</v>
      </c>
      <c r="K4612" t="n">
        <v>0</v>
      </c>
      <c r="L4612" t="n">
        <v>0</v>
      </c>
      <c r="M4612" t="n">
        <v>0</v>
      </c>
      <c r="N4612" t="n">
        <v>0</v>
      </c>
      <c r="O4612" t="n">
        <v>0</v>
      </c>
      <c r="P4612" t="n">
        <v>0</v>
      </c>
      <c r="Q4612" t="n">
        <v>0</v>
      </c>
      <c r="R4612" s="2" t="inlineStr"/>
    </row>
    <row r="4613" ht="15" customHeight="1">
      <c r="A4613" t="inlineStr">
        <is>
          <t>A 26556-2021</t>
        </is>
      </c>
      <c r="B4613" s="1" t="n">
        <v>44348</v>
      </c>
      <c r="C4613" s="1" t="n">
        <v>45715</v>
      </c>
      <c r="D4613" t="inlineStr">
        <is>
          <t>KALMAR LÄN</t>
        </is>
      </c>
      <c r="E4613" t="inlineStr">
        <is>
          <t>OSKARSHAMN</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26565-2021</t>
        </is>
      </c>
      <c r="B4614" s="1" t="n">
        <v>44348</v>
      </c>
      <c r="C4614" s="1" t="n">
        <v>45715</v>
      </c>
      <c r="D4614" t="inlineStr">
        <is>
          <t>KALMAR LÄN</t>
        </is>
      </c>
      <c r="E4614" t="inlineStr">
        <is>
          <t>OSKARSHAMN</t>
        </is>
      </c>
      <c r="G4614" t="n">
        <v>22.1</v>
      </c>
      <c r="H4614" t="n">
        <v>0</v>
      </c>
      <c r="I4614" t="n">
        <v>0</v>
      </c>
      <c r="J4614" t="n">
        <v>0</v>
      </c>
      <c r="K4614" t="n">
        <v>0</v>
      </c>
      <c r="L4614" t="n">
        <v>0</v>
      </c>
      <c r="M4614" t="n">
        <v>0</v>
      </c>
      <c r="N4614" t="n">
        <v>0</v>
      </c>
      <c r="O4614" t="n">
        <v>0</v>
      </c>
      <c r="P4614" t="n">
        <v>0</v>
      </c>
      <c r="Q4614" t="n">
        <v>0</v>
      </c>
      <c r="R4614" s="2" t="inlineStr"/>
    </row>
    <row r="4615" ht="15" customHeight="1">
      <c r="A4615" t="inlineStr">
        <is>
          <t>A 26578-2021</t>
        </is>
      </c>
      <c r="B4615" s="1" t="n">
        <v>44348</v>
      </c>
      <c r="C4615" s="1" t="n">
        <v>45715</v>
      </c>
      <c r="D4615" t="inlineStr">
        <is>
          <t>KALMAR LÄN</t>
        </is>
      </c>
      <c r="E4615" t="inlineStr">
        <is>
          <t>NYBRO</t>
        </is>
      </c>
      <c r="F4615" t="inlineStr">
        <is>
          <t>Sveaskog</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26633-2021</t>
        </is>
      </c>
      <c r="B4616" s="1" t="n">
        <v>44348</v>
      </c>
      <c r="C4616" s="1" t="n">
        <v>45715</v>
      </c>
      <c r="D4616" t="inlineStr">
        <is>
          <t>KALMAR LÄN</t>
        </is>
      </c>
      <c r="E4616" t="inlineStr">
        <is>
          <t>KALMAR</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26430-2021</t>
        </is>
      </c>
      <c r="B4617" s="1" t="n">
        <v>44348</v>
      </c>
      <c r="C4617" s="1" t="n">
        <v>45715</v>
      </c>
      <c r="D4617" t="inlineStr">
        <is>
          <t>KALMAR LÄN</t>
        </is>
      </c>
      <c r="E4617" t="inlineStr">
        <is>
          <t>OSKARSHAMN</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26881-2021</t>
        </is>
      </c>
      <c r="B4618" s="1" t="n">
        <v>44349</v>
      </c>
      <c r="C4618" s="1" t="n">
        <v>45715</v>
      </c>
      <c r="D4618" t="inlineStr">
        <is>
          <t>KALMAR LÄN</t>
        </is>
      </c>
      <c r="E4618" t="inlineStr">
        <is>
          <t>EMMABODA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26895-2021</t>
        </is>
      </c>
      <c r="B4619" s="1" t="n">
        <v>44349</v>
      </c>
      <c r="C4619" s="1" t="n">
        <v>45715</v>
      </c>
      <c r="D4619" t="inlineStr">
        <is>
          <t>KALMAR LÄN</t>
        </is>
      </c>
      <c r="E4619" t="inlineStr">
        <is>
          <t>HULTSFRED</t>
        </is>
      </c>
      <c r="F4619" t="inlineStr">
        <is>
          <t>Sveaskog</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27077-2021</t>
        </is>
      </c>
      <c r="B4620" s="1" t="n">
        <v>44350</v>
      </c>
      <c r="C4620" s="1" t="n">
        <v>45715</v>
      </c>
      <c r="D4620" t="inlineStr">
        <is>
          <t>KALMAR LÄN</t>
        </is>
      </c>
      <c r="E4620" t="inlineStr">
        <is>
          <t>OSKARSHAMN</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27100-2021</t>
        </is>
      </c>
      <c r="B4621" s="1" t="n">
        <v>44350</v>
      </c>
      <c r="C4621" s="1" t="n">
        <v>45715</v>
      </c>
      <c r="D4621" t="inlineStr">
        <is>
          <t>KALMAR LÄN</t>
        </is>
      </c>
      <c r="E4621" t="inlineStr">
        <is>
          <t>VIMMERBY</t>
        </is>
      </c>
      <c r="G4621" t="n">
        <v>9.6</v>
      </c>
      <c r="H4621" t="n">
        <v>0</v>
      </c>
      <c r="I4621" t="n">
        <v>0</v>
      </c>
      <c r="J4621" t="n">
        <v>0</v>
      </c>
      <c r="K4621" t="n">
        <v>0</v>
      </c>
      <c r="L4621" t="n">
        <v>0</v>
      </c>
      <c r="M4621" t="n">
        <v>0</v>
      </c>
      <c r="N4621" t="n">
        <v>0</v>
      </c>
      <c r="O4621" t="n">
        <v>0</v>
      </c>
      <c r="P4621" t="n">
        <v>0</v>
      </c>
      <c r="Q4621" t="n">
        <v>0</v>
      </c>
      <c r="R4621" s="2" t="inlineStr"/>
    </row>
    <row r="4622" ht="15" customHeight="1">
      <c r="A4622" t="inlineStr">
        <is>
          <t>A 27086-2021</t>
        </is>
      </c>
      <c r="B4622" s="1" t="n">
        <v>44350</v>
      </c>
      <c r="C4622" s="1" t="n">
        <v>45715</v>
      </c>
      <c r="D4622" t="inlineStr">
        <is>
          <t>KALMAR LÄN</t>
        </is>
      </c>
      <c r="E4622" t="inlineStr">
        <is>
          <t>VIMMERBY</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27183-2021</t>
        </is>
      </c>
      <c r="B4623" s="1" t="n">
        <v>44350</v>
      </c>
      <c r="C4623" s="1" t="n">
        <v>45715</v>
      </c>
      <c r="D4623" t="inlineStr">
        <is>
          <t>KALMAR LÄN</t>
        </is>
      </c>
      <c r="E4623" t="inlineStr">
        <is>
          <t>VÄSTERVIK</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27226-2021</t>
        </is>
      </c>
      <c r="B4624" s="1" t="n">
        <v>44350</v>
      </c>
      <c r="C4624" s="1" t="n">
        <v>45715</v>
      </c>
      <c r="D4624" t="inlineStr">
        <is>
          <t>KALMAR LÄN</t>
        </is>
      </c>
      <c r="E4624" t="inlineStr">
        <is>
          <t>HULTSFRED</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27354-2021</t>
        </is>
      </c>
      <c r="B4625" s="1" t="n">
        <v>44351</v>
      </c>
      <c r="C4625" s="1" t="n">
        <v>45715</v>
      </c>
      <c r="D4625" t="inlineStr">
        <is>
          <t>KALMAR LÄN</t>
        </is>
      </c>
      <c r="E4625" t="inlineStr">
        <is>
          <t>NYBRO</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27451-2021</t>
        </is>
      </c>
      <c r="B4626" s="1" t="n">
        <v>44351</v>
      </c>
      <c r="C4626" s="1" t="n">
        <v>45715</v>
      </c>
      <c r="D4626" t="inlineStr">
        <is>
          <t>KALMAR LÄN</t>
        </is>
      </c>
      <c r="E4626" t="inlineStr">
        <is>
          <t>KALMAR</t>
        </is>
      </c>
      <c r="G4626" t="n">
        <v>5.4</v>
      </c>
      <c r="H4626" t="n">
        <v>0</v>
      </c>
      <c r="I4626" t="n">
        <v>0</v>
      </c>
      <c r="J4626" t="n">
        <v>0</v>
      </c>
      <c r="K4626" t="n">
        <v>0</v>
      </c>
      <c r="L4626" t="n">
        <v>0</v>
      </c>
      <c r="M4626" t="n">
        <v>0</v>
      </c>
      <c r="N4626" t="n">
        <v>0</v>
      </c>
      <c r="O4626" t="n">
        <v>0</v>
      </c>
      <c r="P4626" t="n">
        <v>0</v>
      </c>
      <c r="Q4626" t="n">
        <v>0</v>
      </c>
      <c r="R4626" s="2" t="inlineStr"/>
    </row>
    <row r="4627" ht="15" customHeight="1">
      <c r="A4627" t="inlineStr">
        <is>
          <t>A 27357-2021</t>
        </is>
      </c>
      <c r="B4627" s="1" t="n">
        <v>44351</v>
      </c>
      <c r="C4627" s="1" t="n">
        <v>45715</v>
      </c>
      <c r="D4627" t="inlineStr">
        <is>
          <t>KALMAR LÄN</t>
        </is>
      </c>
      <c r="E4627" t="inlineStr">
        <is>
          <t>NYBRO</t>
        </is>
      </c>
      <c r="G4627" t="n">
        <v>16.5</v>
      </c>
      <c r="H4627" t="n">
        <v>0</v>
      </c>
      <c r="I4627" t="n">
        <v>0</v>
      </c>
      <c r="J4627" t="n">
        <v>0</v>
      </c>
      <c r="K4627" t="n">
        <v>0</v>
      </c>
      <c r="L4627" t="n">
        <v>0</v>
      </c>
      <c r="M4627" t="n">
        <v>0</v>
      </c>
      <c r="N4627" t="n">
        <v>0</v>
      </c>
      <c r="O4627" t="n">
        <v>0</v>
      </c>
      <c r="P4627" t="n">
        <v>0</v>
      </c>
      <c r="Q4627" t="n">
        <v>0</v>
      </c>
      <c r="R4627" s="2" t="inlineStr"/>
    </row>
    <row r="4628" ht="15" customHeight="1">
      <c r="A4628" t="inlineStr">
        <is>
          <t>A 27449-2021</t>
        </is>
      </c>
      <c r="B4628" s="1" t="n">
        <v>44351</v>
      </c>
      <c r="C4628" s="1" t="n">
        <v>45715</v>
      </c>
      <c r="D4628" t="inlineStr">
        <is>
          <t>KALMAR LÄN</t>
        </is>
      </c>
      <c r="E4628" t="inlineStr">
        <is>
          <t>KALMAR</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27526-2021</t>
        </is>
      </c>
      <c r="B4629" s="1" t="n">
        <v>44351</v>
      </c>
      <c r="C4629" s="1" t="n">
        <v>45715</v>
      </c>
      <c r="D4629" t="inlineStr">
        <is>
          <t>KALMAR LÄN</t>
        </is>
      </c>
      <c r="E4629" t="inlineStr">
        <is>
          <t>NYBRO</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27570-2021</t>
        </is>
      </c>
      <c r="B4630" s="1" t="n">
        <v>44353</v>
      </c>
      <c r="C4630" s="1" t="n">
        <v>45715</v>
      </c>
      <c r="D4630" t="inlineStr">
        <is>
          <t>KALMAR LÄN</t>
        </is>
      </c>
      <c r="E4630" t="inlineStr">
        <is>
          <t>HULTSFRED</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27759-2021</t>
        </is>
      </c>
      <c r="B4631" s="1" t="n">
        <v>44354</v>
      </c>
      <c r="C4631" s="1" t="n">
        <v>45715</v>
      </c>
      <c r="D4631" t="inlineStr">
        <is>
          <t>KALMAR LÄN</t>
        </is>
      </c>
      <c r="E4631" t="inlineStr">
        <is>
          <t>VIMMERBY</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27762-2021</t>
        </is>
      </c>
      <c r="B4632" s="1" t="n">
        <v>44354</v>
      </c>
      <c r="C4632" s="1" t="n">
        <v>45715</v>
      </c>
      <c r="D4632" t="inlineStr">
        <is>
          <t>KALMAR LÄN</t>
        </is>
      </c>
      <c r="E4632" t="inlineStr">
        <is>
          <t>VIMMERBY</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27929-2021</t>
        </is>
      </c>
      <c r="B4633" s="1" t="n">
        <v>44354</v>
      </c>
      <c r="C4633" s="1" t="n">
        <v>45715</v>
      </c>
      <c r="D4633" t="inlineStr">
        <is>
          <t>KALMAR LÄN</t>
        </is>
      </c>
      <c r="E4633" t="inlineStr">
        <is>
          <t>HULTSFRED</t>
        </is>
      </c>
      <c r="F4633" t="inlineStr">
        <is>
          <t>Övriga Aktiebolag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28069-2021</t>
        </is>
      </c>
      <c r="B4634" s="1" t="n">
        <v>44355</v>
      </c>
      <c r="C4634" s="1" t="n">
        <v>45715</v>
      </c>
      <c r="D4634" t="inlineStr">
        <is>
          <t>KALMAR LÄN</t>
        </is>
      </c>
      <c r="E4634" t="inlineStr">
        <is>
          <t>NYBRO</t>
        </is>
      </c>
      <c r="F4634" t="inlineStr">
        <is>
          <t>Sveaskog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28091-2021</t>
        </is>
      </c>
      <c r="B4635" s="1" t="n">
        <v>44355</v>
      </c>
      <c r="C4635" s="1" t="n">
        <v>45715</v>
      </c>
      <c r="D4635" t="inlineStr">
        <is>
          <t>KALMAR LÄN</t>
        </is>
      </c>
      <c r="E4635" t="inlineStr">
        <is>
          <t>OSKARSHAMN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28399-2021</t>
        </is>
      </c>
      <c r="B4636" s="1" t="n">
        <v>44356</v>
      </c>
      <c r="C4636" s="1" t="n">
        <v>45715</v>
      </c>
      <c r="D4636" t="inlineStr">
        <is>
          <t>KALMAR LÄN</t>
        </is>
      </c>
      <c r="E4636" t="inlineStr">
        <is>
          <t>HULTSFRED</t>
        </is>
      </c>
      <c r="G4636" t="n">
        <v>7.3</v>
      </c>
      <c r="H4636" t="n">
        <v>0</v>
      </c>
      <c r="I4636" t="n">
        <v>0</v>
      </c>
      <c r="J4636" t="n">
        <v>0</v>
      </c>
      <c r="K4636" t="n">
        <v>0</v>
      </c>
      <c r="L4636" t="n">
        <v>0</v>
      </c>
      <c r="M4636" t="n">
        <v>0</v>
      </c>
      <c r="N4636" t="n">
        <v>0</v>
      </c>
      <c r="O4636" t="n">
        <v>0</v>
      </c>
      <c r="P4636" t="n">
        <v>0</v>
      </c>
      <c r="Q4636" t="n">
        <v>0</v>
      </c>
      <c r="R4636" s="2" t="inlineStr"/>
    </row>
    <row r="4637" ht="15" customHeight="1">
      <c r="A4637" t="inlineStr">
        <is>
          <t>A 28442-2021</t>
        </is>
      </c>
      <c r="B4637" s="1" t="n">
        <v>44356</v>
      </c>
      <c r="C4637" s="1" t="n">
        <v>45715</v>
      </c>
      <c r="D4637" t="inlineStr">
        <is>
          <t>KALMAR LÄN</t>
        </is>
      </c>
      <c r="E4637" t="inlineStr">
        <is>
          <t>OSKARSHAMN</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28554-2021</t>
        </is>
      </c>
      <c r="B4638" s="1" t="n">
        <v>44356</v>
      </c>
      <c r="C4638" s="1" t="n">
        <v>45715</v>
      </c>
      <c r="D4638" t="inlineStr">
        <is>
          <t>KALMAR LÄN</t>
        </is>
      </c>
      <c r="E4638" t="inlineStr">
        <is>
          <t>KALMAR</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28549-2021</t>
        </is>
      </c>
      <c r="B4639" s="1" t="n">
        <v>44356</v>
      </c>
      <c r="C4639" s="1" t="n">
        <v>45715</v>
      </c>
      <c r="D4639" t="inlineStr">
        <is>
          <t>KALMAR LÄN</t>
        </is>
      </c>
      <c r="E4639" t="inlineStr">
        <is>
          <t>KALMAR</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28634-2021</t>
        </is>
      </c>
      <c r="B4640" s="1" t="n">
        <v>44357</v>
      </c>
      <c r="C4640" s="1" t="n">
        <v>45715</v>
      </c>
      <c r="D4640" t="inlineStr">
        <is>
          <t>KALMAR LÄN</t>
        </is>
      </c>
      <c r="E4640" t="inlineStr">
        <is>
          <t>KALMAR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28662-2021</t>
        </is>
      </c>
      <c r="B4641" s="1" t="n">
        <v>44357</v>
      </c>
      <c r="C4641" s="1" t="n">
        <v>45715</v>
      </c>
      <c r="D4641" t="inlineStr">
        <is>
          <t>KALMAR LÄN</t>
        </is>
      </c>
      <c r="E4641" t="inlineStr">
        <is>
          <t>HÖGSBY</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28636-2021</t>
        </is>
      </c>
      <c r="B4642" s="1" t="n">
        <v>44357</v>
      </c>
      <c r="C4642" s="1" t="n">
        <v>45715</v>
      </c>
      <c r="D4642" t="inlineStr">
        <is>
          <t>KALMAR LÄN</t>
        </is>
      </c>
      <c r="E4642" t="inlineStr">
        <is>
          <t>TORSÅS</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28625-2021</t>
        </is>
      </c>
      <c r="B4643" s="1" t="n">
        <v>44357</v>
      </c>
      <c r="C4643" s="1" t="n">
        <v>45715</v>
      </c>
      <c r="D4643" t="inlineStr">
        <is>
          <t>KALMAR LÄN</t>
        </is>
      </c>
      <c r="E4643" t="inlineStr">
        <is>
          <t>KALMAR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28669-2021</t>
        </is>
      </c>
      <c r="B4644" s="1" t="n">
        <v>44357</v>
      </c>
      <c r="C4644" s="1" t="n">
        <v>45715</v>
      </c>
      <c r="D4644" t="inlineStr">
        <is>
          <t>KALMAR LÄN</t>
        </is>
      </c>
      <c r="E4644" t="inlineStr">
        <is>
          <t>HULTSFRED</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29293-2021</t>
        </is>
      </c>
      <c r="B4645" s="1" t="n">
        <v>44361</v>
      </c>
      <c r="C4645" s="1" t="n">
        <v>45715</v>
      </c>
      <c r="D4645" t="inlineStr">
        <is>
          <t>KALMAR LÄN</t>
        </is>
      </c>
      <c r="E4645" t="inlineStr">
        <is>
          <t>EMMABODA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29460-2021</t>
        </is>
      </c>
      <c r="B4646" s="1" t="n">
        <v>44361</v>
      </c>
      <c r="C4646" s="1" t="n">
        <v>45715</v>
      </c>
      <c r="D4646" t="inlineStr">
        <is>
          <t>KALMAR LÄN</t>
        </is>
      </c>
      <c r="E4646" t="inlineStr">
        <is>
          <t>VÄSTERVIK</t>
        </is>
      </c>
      <c r="F4646" t="inlineStr">
        <is>
          <t>Övriga Aktiebolag</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29461-2021</t>
        </is>
      </c>
      <c r="B4647" s="1" t="n">
        <v>44361</v>
      </c>
      <c r="C4647" s="1" t="n">
        <v>45715</v>
      </c>
      <c r="D4647" t="inlineStr">
        <is>
          <t>KALMAR LÄN</t>
        </is>
      </c>
      <c r="E4647" t="inlineStr">
        <is>
          <t>MÖNSTERÅS</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29449-2021</t>
        </is>
      </c>
      <c r="B4648" s="1" t="n">
        <v>44361</v>
      </c>
      <c r="C4648" s="1" t="n">
        <v>45715</v>
      </c>
      <c r="D4648" t="inlineStr">
        <is>
          <t>KALMAR LÄN</t>
        </is>
      </c>
      <c r="E4648" t="inlineStr">
        <is>
          <t>MÖNSTERÅS</t>
        </is>
      </c>
      <c r="G4648" t="n">
        <v>8.9</v>
      </c>
      <c r="H4648" t="n">
        <v>0</v>
      </c>
      <c r="I4648" t="n">
        <v>0</v>
      </c>
      <c r="J4648" t="n">
        <v>0</v>
      </c>
      <c r="K4648" t="n">
        <v>0</v>
      </c>
      <c r="L4648" t="n">
        <v>0</v>
      </c>
      <c r="M4648" t="n">
        <v>0</v>
      </c>
      <c r="N4648" t="n">
        <v>0</v>
      </c>
      <c r="O4648" t="n">
        <v>0</v>
      </c>
      <c r="P4648" t="n">
        <v>0</v>
      </c>
      <c r="Q4648" t="n">
        <v>0</v>
      </c>
      <c r="R4648" s="2" t="inlineStr"/>
    </row>
    <row r="4649" ht="15" customHeight="1">
      <c r="A4649" t="inlineStr">
        <is>
          <t>A 29703-2021</t>
        </is>
      </c>
      <c r="B4649" s="1" t="n">
        <v>44362</v>
      </c>
      <c r="C4649" s="1" t="n">
        <v>45715</v>
      </c>
      <c r="D4649" t="inlineStr">
        <is>
          <t>KALMAR LÄN</t>
        </is>
      </c>
      <c r="E4649" t="inlineStr">
        <is>
          <t>NYBRO</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29737-2021</t>
        </is>
      </c>
      <c r="B4650" s="1" t="n">
        <v>44362</v>
      </c>
      <c r="C4650" s="1" t="n">
        <v>45715</v>
      </c>
      <c r="D4650" t="inlineStr">
        <is>
          <t>KALMAR LÄN</t>
        </is>
      </c>
      <c r="E4650" t="inlineStr">
        <is>
          <t>NYBRO</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29747-2021</t>
        </is>
      </c>
      <c r="B4651" s="1" t="n">
        <v>44362</v>
      </c>
      <c r="C4651" s="1" t="n">
        <v>45715</v>
      </c>
      <c r="D4651" t="inlineStr">
        <is>
          <t>KALMAR LÄN</t>
        </is>
      </c>
      <c r="E4651" t="inlineStr">
        <is>
          <t>NYBRO</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29826-2021</t>
        </is>
      </c>
      <c r="B4652" s="1" t="n">
        <v>44362</v>
      </c>
      <c r="C4652" s="1" t="n">
        <v>45715</v>
      </c>
      <c r="D4652" t="inlineStr">
        <is>
          <t>KALMAR LÄN</t>
        </is>
      </c>
      <c r="E4652" t="inlineStr">
        <is>
          <t>NYBRO</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30136-2021</t>
        </is>
      </c>
      <c r="B4653" s="1" t="n">
        <v>44363</v>
      </c>
      <c r="C4653" s="1" t="n">
        <v>45715</v>
      </c>
      <c r="D4653" t="inlineStr">
        <is>
          <t>KALMAR LÄN</t>
        </is>
      </c>
      <c r="E4653" t="inlineStr">
        <is>
          <t>TORSÅS</t>
        </is>
      </c>
      <c r="G4653" t="n">
        <v>12.2</v>
      </c>
      <c r="H4653" t="n">
        <v>0</v>
      </c>
      <c r="I4653" t="n">
        <v>0</v>
      </c>
      <c r="J4653" t="n">
        <v>0</v>
      </c>
      <c r="K4653" t="n">
        <v>0</v>
      </c>
      <c r="L4653" t="n">
        <v>0</v>
      </c>
      <c r="M4653" t="n">
        <v>0</v>
      </c>
      <c r="N4653" t="n">
        <v>0</v>
      </c>
      <c r="O4653" t="n">
        <v>0</v>
      </c>
      <c r="P4653" t="n">
        <v>0</v>
      </c>
      <c r="Q4653" t="n">
        <v>0</v>
      </c>
      <c r="R4653" s="2" t="inlineStr"/>
    </row>
    <row r="4654" ht="15" customHeight="1">
      <c r="A4654" t="inlineStr">
        <is>
          <t>A 30031-2021</t>
        </is>
      </c>
      <c r="B4654" s="1" t="n">
        <v>44363</v>
      </c>
      <c r="C4654" s="1" t="n">
        <v>45715</v>
      </c>
      <c r="D4654" t="inlineStr">
        <is>
          <t>KALMAR LÄN</t>
        </is>
      </c>
      <c r="E4654" t="inlineStr">
        <is>
          <t>HÖGSBY</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30183-2021</t>
        </is>
      </c>
      <c r="B4655" s="1" t="n">
        <v>44363</v>
      </c>
      <c r="C4655" s="1" t="n">
        <v>45715</v>
      </c>
      <c r="D4655" t="inlineStr">
        <is>
          <t>KALMAR LÄN</t>
        </is>
      </c>
      <c r="E4655" t="inlineStr">
        <is>
          <t>KALMAR</t>
        </is>
      </c>
      <c r="G4655" t="n">
        <v>10.1</v>
      </c>
      <c r="H4655" t="n">
        <v>0</v>
      </c>
      <c r="I4655" t="n">
        <v>0</v>
      </c>
      <c r="J4655" t="n">
        <v>0</v>
      </c>
      <c r="K4655" t="n">
        <v>0</v>
      </c>
      <c r="L4655" t="n">
        <v>0</v>
      </c>
      <c r="M4655" t="n">
        <v>0</v>
      </c>
      <c r="N4655" t="n">
        <v>0</v>
      </c>
      <c r="O4655" t="n">
        <v>0</v>
      </c>
      <c r="P4655" t="n">
        <v>0</v>
      </c>
      <c r="Q4655" t="n">
        <v>0</v>
      </c>
      <c r="R4655" s="2" t="inlineStr"/>
    </row>
    <row r="4656" ht="15" customHeight="1">
      <c r="A4656" t="inlineStr">
        <is>
          <t>A 30238-2021</t>
        </is>
      </c>
      <c r="B4656" s="1" t="n">
        <v>44363</v>
      </c>
      <c r="C4656" s="1" t="n">
        <v>45715</v>
      </c>
      <c r="D4656" t="inlineStr">
        <is>
          <t>KALMAR LÄN</t>
        </is>
      </c>
      <c r="E4656" t="inlineStr">
        <is>
          <t>NYBRO</t>
        </is>
      </c>
      <c r="G4656" t="n">
        <v>6.4</v>
      </c>
      <c r="H4656" t="n">
        <v>0</v>
      </c>
      <c r="I4656" t="n">
        <v>0</v>
      </c>
      <c r="J4656" t="n">
        <v>0</v>
      </c>
      <c r="K4656" t="n">
        <v>0</v>
      </c>
      <c r="L4656" t="n">
        <v>0</v>
      </c>
      <c r="M4656" t="n">
        <v>0</v>
      </c>
      <c r="N4656" t="n">
        <v>0</v>
      </c>
      <c r="O4656" t="n">
        <v>0</v>
      </c>
      <c r="P4656" t="n">
        <v>0</v>
      </c>
      <c r="Q4656" t="n">
        <v>0</v>
      </c>
      <c r="R4656" s="2" t="inlineStr"/>
    </row>
    <row r="4657" ht="15" customHeight="1">
      <c r="A4657" t="inlineStr">
        <is>
          <t>A 30243-2021</t>
        </is>
      </c>
      <c r="B4657" s="1" t="n">
        <v>44363</v>
      </c>
      <c r="C4657" s="1" t="n">
        <v>45715</v>
      </c>
      <c r="D4657" t="inlineStr">
        <is>
          <t>KALMAR LÄN</t>
        </is>
      </c>
      <c r="E4657" t="inlineStr">
        <is>
          <t>NYBRO</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30242-2021</t>
        </is>
      </c>
      <c r="B4658" s="1" t="n">
        <v>44363</v>
      </c>
      <c r="C4658" s="1" t="n">
        <v>45715</v>
      </c>
      <c r="D4658" t="inlineStr">
        <is>
          <t>KALMAR LÄN</t>
        </is>
      </c>
      <c r="E4658" t="inlineStr">
        <is>
          <t>NYBRO</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30240-2021</t>
        </is>
      </c>
      <c r="B4659" s="1" t="n">
        <v>44363</v>
      </c>
      <c r="C4659" s="1" t="n">
        <v>45715</v>
      </c>
      <c r="D4659" t="inlineStr">
        <is>
          <t>KALMAR LÄN</t>
        </is>
      </c>
      <c r="E4659" t="inlineStr">
        <is>
          <t>NYBRO</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30547-2021</t>
        </is>
      </c>
      <c r="B4660" s="1" t="n">
        <v>44364</v>
      </c>
      <c r="C4660" s="1" t="n">
        <v>45715</v>
      </c>
      <c r="D4660" t="inlineStr">
        <is>
          <t>KALMAR LÄN</t>
        </is>
      </c>
      <c r="E4660" t="inlineStr">
        <is>
          <t>NYBRO</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30563-2021</t>
        </is>
      </c>
      <c r="B4661" s="1" t="n">
        <v>44364</v>
      </c>
      <c r="C4661" s="1" t="n">
        <v>45715</v>
      </c>
      <c r="D4661" t="inlineStr">
        <is>
          <t>KALMAR LÄN</t>
        </is>
      </c>
      <c r="E4661" t="inlineStr">
        <is>
          <t>TORSÅS</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30560-2021</t>
        </is>
      </c>
      <c r="B4662" s="1" t="n">
        <v>44364</v>
      </c>
      <c r="C4662" s="1" t="n">
        <v>45715</v>
      </c>
      <c r="D4662" t="inlineStr">
        <is>
          <t>KALMAR LÄN</t>
        </is>
      </c>
      <c r="E4662" t="inlineStr">
        <is>
          <t>KALMAR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30617-2021</t>
        </is>
      </c>
      <c r="B4663" s="1" t="n">
        <v>44364</v>
      </c>
      <c r="C4663" s="1" t="n">
        <v>45715</v>
      </c>
      <c r="D4663" t="inlineStr">
        <is>
          <t>KALMAR LÄN</t>
        </is>
      </c>
      <c r="E4663" t="inlineStr">
        <is>
          <t>NYBRO</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30682-2021</t>
        </is>
      </c>
      <c r="B4664" s="1" t="n">
        <v>44365</v>
      </c>
      <c r="C4664" s="1" t="n">
        <v>45715</v>
      </c>
      <c r="D4664" t="inlineStr">
        <is>
          <t>KALMAR LÄN</t>
        </is>
      </c>
      <c r="E4664" t="inlineStr">
        <is>
          <t>VIMMERBY</t>
        </is>
      </c>
      <c r="F4664" t="inlineStr">
        <is>
          <t>Sveaskog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30600-2021</t>
        </is>
      </c>
      <c r="B4665" s="1" t="n">
        <v>44365</v>
      </c>
      <c r="C4665" s="1" t="n">
        <v>45715</v>
      </c>
      <c r="D4665" t="inlineStr">
        <is>
          <t>KALMAR LÄN</t>
        </is>
      </c>
      <c r="E4665" t="inlineStr">
        <is>
          <t>NYBRO</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30703-2021</t>
        </is>
      </c>
      <c r="B4666" s="1" t="n">
        <v>44365</v>
      </c>
      <c r="C4666" s="1" t="n">
        <v>45715</v>
      </c>
      <c r="D4666" t="inlineStr">
        <is>
          <t>KALMAR LÄN</t>
        </is>
      </c>
      <c r="E4666" t="inlineStr">
        <is>
          <t>NYBRO</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30736-2021</t>
        </is>
      </c>
      <c r="B4667" s="1" t="n">
        <v>44365</v>
      </c>
      <c r="C4667" s="1" t="n">
        <v>45715</v>
      </c>
      <c r="D4667" t="inlineStr">
        <is>
          <t>KALMAR LÄN</t>
        </is>
      </c>
      <c r="E4667" t="inlineStr">
        <is>
          <t>NYBRO</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30707-2021</t>
        </is>
      </c>
      <c r="B4668" s="1" t="n">
        <v>44365</v>
      </c>
      <c r="C4668" s="1" t="n">
        <v>45715</v>
      </c>
      <c r="D4668" t="inlineStr">
        <is>
          <t>KALMAR LÄN</t>
        </is>
      </c>
      <c r="E4668" t="inlineStr">
        <is>
          <t>NYBRO</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30697-2021</t>
        </is>
      </c>
      <c r="B4669" s="1" t="n">
        <v>44365</v>
      </c>
      <c r="C4669" s="1" t="n">
        <v>45715</v>
      </c>
      <c r="D4669" t="inlineStr">
        <is>
          <t>KALMAR LÄN</t>
        </is>
      </c>
      <c r="E4669" t="inlineStr">
        <is>
          <t>NYBRO</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30714-2021</t>
        </is>
      </c>
      <c r="B4670" s="1" t="n">
        <v>44365</v>
      </c>
      <c r="C4670" s="1" t="n">
        <v>45715</v>
      </c>
      <c r="D4670" t="inlineStr">
        <is>
          <t>KALMAR LÄN</t>
        </is>
      </c>
      <c r="E4670" t="inlineStr">
        <is>
          <t>NYBRO</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30775-2021</t>
        </is>
      </c>
      <c r="B4671" s="1" t="n">
        <v>44365</v>
      </c>
      <c r="C4671" s="1" t="n">
        <v>45715</v>
      </c>
      <c r="D4671" t="inlineStr">
        <is>
          <t>KALMAR LÄN</t>
        </is>
      </c>
      <c r="E4671" t="inlineStr">
        <is>
          <t>HÖGSBY</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30887-2021</t>
        </is>
      </c>
      <c r="B4672" s="1" t="n">
        <v>44365</v>
      </c>
      <c r="C4672" s="1" t="n">
        <v>45715</v>
      </c>
      <c r="D4672" t="inlineStr">
        <is>
          <t>KALMAR LÄN</t>
        </is>
      </c>
      <c r="E4672" t="inlineStr">
        <is>
          <t>MÖNSTERÅS</t>
        </is>
      </c>
      <c r="G4672" t="n">
        <v>7.2</v>
      </c>
      <c r="H4672" t="n">
        <v>0</v>
      </c>
      <c r="I4672" t="n">
        <v>0</v>
      </c>
      <c r="J4672" t="n">
        <v>0</v>
      </c>
      <c r="K4672" t="n">
        <v>0</v>
      </c>
      <c r="L4672" t="n">
        <v>0</v>
      </c>
      <c r="M4672" t="n">
        <v>0</v>
      </c>
      <c r="N4672" t="n">
        <v>0</v>
      </c>
      <c r="O4672" t="n">
        <v>0</v>
      </c>
      <c r="P4672" t="n">
        <v>0</v>
      </c>
      <c r="Q4672" t="n">
        <v>0</v>
      </c>
      <c r="R4672" s="2" t="inlineStr"/>
    </row>
    <row r="4673" ht="15" customHeight="1">
      <c r="A4673" t="inlineStr">
        <is>
          <t>A 30946-2021</t>
        </is>
      </c>
      <c r="B4673" s="1" t="n">
        <v>44365</v>
      </c>
      <c r="C4673" s="1" t="n">
        <v>45715</v>
      </c>
      <c r="D4673" t="inlineStr">
        <is>
          <t>KALMAR LÄN</t>
        </is>
      </c>
      <c r="E4673" t="inlineStr">
        <is>
          <t>OSKARSHAMN</t>
        </is>
      </c>
      <c r="G4673" t="n">
        <v>7.7</v>
      </c>
      <c r="H4673" t="n">
        <v>0</v>
      </c>
      <c r="I4673" t="n">
        <v>0</v>
      </c>
      <c r="J4673" t="n">
        <v>0</v>
      </c>
      <c r="K4673" t="n">
        <v>0</v>
      </c>
      <c r="L4673" t="n">
        <v>0</v>
      </c>
      <c r="M4673" t="n">
        <v>0</v>
      </c>
      <c r="N4673" t="n">
        <v>0</v>
      </c>
      <c r="O4673" t="n">
        <v>0</v>
      </c>
      <c r="P4673" t="n">
        <v>0</v>
      </c>
      <c r="Q4673" t="n">
        <v>0</v>
      </c>
      <c r="R4673" s="2" t="inlineStr"/>
    </row>
    <row r="4674" ht="15" customHeight="1">
      <c r="A4674" t="inlineStr">
        <is>
          <t>A 31061-2021</t>
        </is>
      </c>
      <c r="B4674" s="1" t="n">
        <v>44368</v>
      </c>
      <c r="C4674" s="1" t="n">
        <v>45715</v>
      </c>
      <c r="D4674" t="inlineStr">
        <is>
          <t>KALMAR LÄN</t>
        </is>
      </c>
      <c r="E4674" t="inlineStr">
        <is>
          <t>VÄSTERVIK</t>
        </is>
      </c>
      <c r="G4674" t="n">
        <v>8.1</v>
      </c>
      <c r="H4674" t="n">
        <v>0</v>
      </c>
      <c r="I4674" t="n">
        <v>0</v>
      </c>
      <c r="J4674" t="n">
        <v>0</v>
      </c>
      <c r="K4674" t="n">
        <v>0</v>
      </c>
      <c r="L4674" t="n">
        <v>0</v>
      </c>
      <c r="M4674" t="n">
        <v>0</v>
      </c>
      <c r="N4674" t="n">
        <v>0</v>
      </c>
      <c r="O4674" t="n">
        <v>0</v>
      </c>
      <c r="P4674" t="n">
        <v>0</v>
      </c>
      <c r="Q4674" t="n">
        <v>0</v>
      </c>
      <c r="R4674" s="2" t="inlineStr"/>
    </row>
    <row r="4675" ht="15" customHeight="1">
      <c r="A4675" t="inlineStr">
        <is>
          <t>A 31081-2021</t>
        </is>
      </c>
      <c r="B4675" s="1" t="n">
        <v>44368</v>
      </c>
      <c r="C4675" s="1" t="n">
        <v>45715</v>
      </c>
      <c r="D4675" t="inlineStr">
        <is>
          <t>KALMAR LÄN</t>
        </is>
      </c>
      <c r="E4675" t="inlineStr">
        <is>
          <t>NYBRO</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31084-2021</t>
        </is>
      </c>
      <c r="B4676" s="1" t="n">
        <v>44368</v>
      </c>
      <c r="C4676" s="1" t="n">
        <v>45715</v>
      </c>
      <c r="D4676" t="inlineStr">
        <is>
          <t>KALMAR LÄN</t>
        </is>
      </c>
      <c r="E4676" t="inlineStr">
        <is>
          <t>NYBRO</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31095-2021</t>
        </is>
      </c>
      <c r="B4677" s="1" t="n">
        <v>44368</v>
      </c>
      <c r="C4677" s="1" t="n">
        <v>45715</v>
      </c>
      <c r="D4677" t="inlineStr">
        <is>
          <t>KALMAR LÄN</t>
        </is>
      </c>
      <c r="E4677" t="inlineStr">
        <is>
          <t>NYBRO</t>
        </is>
      </c>
      <c r="G4677" t="n">
        <v>7</v>
      </c>
      <c r="H4677" t="n">
        <v>0</v>
      </c>
      <c r="I4677" t="n">
        <v>0</v>
      </c>
      <c r="J4677" t="n">
        <v>0</v>
      </c>
      <c r="K4677" t="n">
        <v>0</v>
      </c>
      <c r="L4677" t="n">
        <v>0</v>
      </c>
      <c r="M4677" t="n">
        <v>0</v>
      </c>
      <c r="N4677" t="n">
        <v>0</v>
      </c>
      <c r="O4677" t="n">
        <v>0</v>
      </c>
      <c r="P4677" t="n">
        <v>0</v>
      </c>
      <c r="Q4677" t="n">
        <v>0</v>
      </c>
      <c r="R4677" s="2" t="inlineStr"/>
    </row>
    <row r="4678" ht="15" customHeight="1">
      <c r="A4678" t="inlineStr">
        <is>
          <t>A 31107-2021</t>
        </is>
      </c>
      <c r="B4678" s="1" t="n">
        <v>44368</v>
      </c>
      <c r="C4678" s="1" t="n">
        <v>45715</v>
      </c>
      <c r="D4678" t="inlineStr">
        <is>
          <t>KALMAR LÄN</t>
        </is>
      </c>
      <c r="E4678" t="inlineStr">
        <is>
          <t>NYBRO</t>
        </is>
      </c>
      <c r="G4678" t="n">
        <v>7.1</v>
      </c>
      <c r="H4678" t="n">
        <v>0</v>
      </c>
      <c r="I4678" t="n">
        <v>0</v>
      </c>
      <c r="J4678" t="n">
        <v>0</v>
      </c>
      <c r="K4678" t="n">
        <v>0</v>
      </c>
      <c r="L4678" t="n">
        <v>0</v>
      </c>
      <c r="M4678" t="n">
        <v>0</v>
      </c>
      <c r="N4678" t="n">
        <v>0</v>
      </c>
      <c r="O4678" t="n">
        <v>0</v>
      </c>
      <c r="P4678" t="n">
        <v>0</v>
      </c>
      <c r="Q4678" t="n">
        <v>0</v>
      </c>
      <c r="R4678" s="2" t="inlineStr"/>
    </row>
    <row r="4679" ht="15" customHeight="1">
      <c r="A4679" t="inlineStr">
        <is>
          <t>A 31069-2021</t>
        </is>
      </c>
      <c r="B4679" s="1" t="n">
        <v>44368</v>
      </c>
      <c r="C4679" s="1" t="n">
        <v>45715</v>
      </c>
      <c r="D4679" t="inlineStr">
        <is>
          <t>KALMAR LÄN</t>
        </is>
      </c>
      <c r="E4679" t="inlineStr">
        <is>
          <t>TORSÅS</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31076-2021</t>
        </is>
      </c>
      <c r="B4680" s="1" t="n">
        <v>44368</v>
      </c>
      <c r="C4680" s="1" t="n">
        <v>45715</v>
      </c>
      <c r="D4680" t="inlineStr">
        <is>
          <t>KALMAR LÄN</t>
        </is>
      </c>
      <c r="E4680" t="inlineStr">
        <is>
          <t>NYBRO</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31318-2021</t>
        </is>
      </c>
      <c r="B4681" s="1" t="n">
        <v>44368</v>
      </c>
      <c r="C4681" s="1" t="n">
        <v>45715</v>
      </c>
      <c r="D4681" t="inlineStr">
        <is>
          <t>KALMAR LÄN</t>
        </is>
      </c>
      <c r="E4681" t="inlineStr">
        <is>
          <t>VÄSTERVIK</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31319-2021</t>
        </is>
      </c>
      <c r="B4682" s="1" t="n">
        <v>44368</v>
      </c>
      <c r="C4682" s="1" t="n">
        <v>45715</v>
      </c>
      <c r="D4682" t="inlineStr">
        <is>
          <t>KALMAR LÄN</t>
        </is>
      </c>
      <c r="E4682" t="inlineStr">
        <is>
          <t>VÄSTERVIK</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31317-2021</t>
        </is>
      </c>
      <c r="B4683" s="1" t="n">
        <v>44368</v>
      </c>
      <c r="C4683" s="1" t="n">
        <v>45715</v>
      </c>
      <c r="D4683" t="inlineStr">
        <is>
          <t>KALMAR LÄN</t>
        </is>
      </c>
      <c r="E4683" t="inlineStr">
        <is>
          <t>VÄSTERVIK</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31053-2021</t>
        </is>
      </c>
      <c r="B4684" s="1" t="n">
        <v>44368</v>
      </c>
      <c r="C4684" s="1" t="n">
        <v>45715</v>
      </c>
      <c r="D4684" t="inlineStr">
        <is>
          <t>KALMAR LÄN</t>
        </is>
      </c>
      <c r="E4684" t="inlineStr">
        <is>
          <t>HULTSFRED</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31410-2021</t>
        </is>
      </c>
      <c r="B4685" s="1" t="n">
        <v>44369</v>
      </c>
      <c r="C4685" s="1" t="n">
        <v>45715</v>
      </c>
      <c r="D4685" t="inlineStr">
        <is>
          <t>KALMAR LÄN</t>
        </is>
      </c>
      <c r="E4685" t="inlineStr">
        <is>
          <t>NYBRO</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31499-2021</t>
        </is>
      </c>
      <c r="B4686" s="1" t="n">
        <v>44369</v>
      </c>
      <c r="C4686" s="1" t="n">
        <v>45715</v>
      </c>
      <c r="D4686" t="inlineStr">
        <is>
          <t>KALMAR LÄN</t>
        </is>
      </c>
      <c r="E4686" t="inlineStr">
        <is>
          <t>NYBRO</t>
        </is>
      </c>
      <c r="G4686" t="n">
        <v>7.5</v>
      </c>
      <c r="H4686" t="n">
        <v>0</v>
      </c>
      <c r="I4686" t="n">
        <v>0</v>
      </c>
      <c r="J4686" t="n">
        <v>0</v>
      </c>
      <c r="K4686" t="n">
        <v>0</v>
      </c>
      <c r="L4686" t="n">
        <v>0</v>
      </c>
      <c r="M4686" t="n">
        <v>0</v>
      </c>
      <c r="N4686" t="n">
        <v>0</v>
      </c>
      <c r="O4686" t="n">
        <v>0</v>
      </c>
      <c r="P4686" t="n">
        <v>0</v>
      </c>
      <c r="Q4686" t="n">
        <v>0</v>
      </c>
      <c r="R4686" s="2" t="inlineStr"/>
    </row>
    <row r="4687" ht="15" customHeight="1">
      <c r="A4687" t="inlineStr">
        <is>
          <t>A 31479-2021</t>
        </is>
      </c>
      <c r="B4687" s="1" t="n">
        <v>44369</v>
      </c>
      <c r="C4687" s="1" t="n">
        <v>45715</v>
      </c>
      <c r="D4687" t="inlineStr">
        <is>
          <t>KALMAR LÄN</t>
        </is>
      </c>
      <c r="E4687" t="inlineStr">
        <is>
          <t>VÄSTERVIK</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31558-2021</t>
        </is>
      </c>
      <c r="B4688" s="1" t="n">
        <v>44369</v>
      </c>
      <c r="C4688" s="1" t="n">
        <v>45715</v>
      </c>
      <c r="D4688" t="inlineStr">
        <is>
          <t>KALMAR LÄN</t>
        </is>
      </c>
      <c r="E4688" t="inlineStr">
        <is>
          <t>VÄSTERVIK</t>
        </is>
      </c>
      <c r="G4688" t="n">
        <v>22.9</v>
      </c>
      <c r="H4688" t="n">
        <v>0</v>
      </c>
      <c r="I4688" t="n">
        <v>0</v>
      </c>
      <c r="J4688" t="n">
        <v>0</v>
      </c>
      <c r="K4688" t="n">
        <v>0</v>
      </c>
      <c r="L4688" t="n">
        <v>0</v>
      </c>
      <c r="M4688" t="n">
        <v>0</v>
      </c>
      <c r="N4688" t="n">
        <v>0</v>
      </c>
      <c r="O4688" t="n">
        <v>0</v>
      </c>
      <c r="P4688" t="n">
        <v>0</v>
      </c>
      <c r="Q4688" t="n">
        <v>0</v>
      </c>
      <c r="R4688" s="2" t="inlineStr"/>
    </row>
    <row r="4689" ht="15" customHeight="1">
      <c r="A4689" t="inlineStr">
        <is>
          <t>A 31545-2021</t>
        </is>
      </c>
      <c r="B4689" s="1" t="n">
        <v>44369</v>
      </c>
      <c r="C4689" s="1" t="n">
        <v>45715</v>
      </c>
      <c r="D4689" t="inlineStr">
        <is>
          <t>KALMAR LÄN</t>
        </is>
      </c>
      <c r="E4689" t="inlineStr">
        <is>
          <t>VÄSTERVIK</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31633-2021</t>
        </is>
      </c>
      <c r="B4690" s="1" t="n">
        <v>44369</v>
      </c>
      <c r="C4690" s="1" t="n">
        <v>45715</v>
      </c>
      <c r="D4690" t="inlineStr">
        <is>
          <t>KALMAR LÄN</t>
        </is>
      </c>
      <c r="E4690" t="inlineStr">
        <is>
          <t>VÄSTERVIK</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31716-2021</t>
        </is>
      </c>
      <c r="B4691" s="1" t="n">
        <v>44369</v>
      </c>
      <c r="C4691" s="1" t="n">
        <v>45715</v>
      </c>
      <c r="D4691" t="inlineStr">
        <is>
          <t>KALMAR LÄN</t>
        </is>
      </c>
      <c r="E4691" t="inlineStr">
        <is>
          <t>MÖRBYLÅNGA</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31588-2021</t>
        </is>
      </c>
      <c r="B4692" s="1" t="n">
        <v>44369</v>
      </c>
      <c r="C4692" s="1" t="n">
        <v>45715</v>
      </c>
      <c r="D4692" t="inlineStr">
        <is>
          <t>KALMAR LÄN</t>
        </is>
      </c>
      <c r="E4692" t="inlineStr">
        <is>
          <t>EMMABODA</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31592-2021</t>
        </is>
      </c>
      <c r="B4693" s="1" t="n">
        <v>44369</v>
      </c>
      <c r="C4693" s="1" t="n">
        <v>45715</v>
      </c>
      <c r="D4693" t="inlineStr">
        <is>
          <t>KALMAR LÄN</t>
        </is>
      </c>
      <c r="E4693" t="inlineStr">
        <is>
          <t>VÄSTERVIK</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31665-2021</t>
        </is>
      </c>
      <c r="B4694" s="1" t="n">
        <v>44369</v>
      </c>
      <c r="C4694" s="1" t="n">
        <v>45715</v>
      </c>
      <c r="D4694" t="inlineStr">
        <is>
          <t>KALMAR LÄN</t>
        </is>
      </c>
      <c r="E4694" t="inlineStr">
        <is>
          <t>KALMAR</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31660-2021</t>
        </is>
      </c>
      <c r="B4695" s="1" t="n">
        <v>44369</v>
      </c>
      <c r="C4695" s="1" t="n">
        <v>45715</v>
      </c>
      <c r="D4695" t="inlineStr">
        <is>
          <t>KALMAR LÄN</t>
        </is>
      </c>
      <c r="E4695" t="inlineStr">
        <is>
          <t>VIMMERBY</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31762-2021</t>
        </is>
      </c>
      <c r="B4696" s="1" t="n">
        <v>44370</v>
      </c>
      <c r="C4696" s="1" t="n">
        <v>45715</v>
      </c>
      <c r="D4696" t="inlineStr">
        <is>
          <t>KALMAR LÄN</t>
        </is>
      </c>
      <c r="E4696" t="inlineStr">
        <is>
          <t>NYBRO</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31840-2021</t>
        </is>
      </c>
      <c r="B4697" s="1" t="n">
        <v>44370</v>
      </c>
      <c r="C4697" s="1" t="n">
        <v>45715</v>
      </c>
      <c r="D4697" t="inlineStr">
        <is>
          <t>KALMAR LÄN</t>
        </is>
      </c>
      <c r="E4697" t="inlineStr">
        <is>
          <t>BORGHOLM</t>
        </is>
      </c>
      <c r="F4697" t="inlineStr">
        <is>
          <t>Sveaskog</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31860-2021</t>
        </is>
      </c>
      <c r="B4698" s="1" t="n">
        <v>44370</v>
      </c>
      <c r="C4698" s="1" t="n">
        <v>45715</v>
      </c>
      <c r="D4698" t="inlineStr">
        <is>
          <t>KALMAR LÄN</t>
        </is>
      </c>
      <c r="E4698" t="inlineStr">
        <is>
          <t>TORSÅS</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31790-2021</t>
        </is>
      </c>
      <c r="B4699" s="1" t="n">
        <v>44370</v>
      </c>
      <c r="C4699" s="1" t="n">
        <v>45715</v>
      </c>
      <c r="D4699" t="inlineStr">
        <is>
          <t>KALMAR LÄN</t>
        </is>
      </c>
      <c r="E4699" t="inlineStr">
        <is>
          <t>BORGHOLM</t>
        </is>
      </c>
      <c r="F4699" t="inlineStr">
        <is>
          <t>Sveaskog</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32034-2021</t>
        </is>
      </c>
      <c r="B4700" s="1" t="n">
        <v>44370</v>
      </c>
      <c r="C4700" s="1" t="n">
        <v>45715</v>
      </c>
      <c r="D4700" t="inlineStr">
        <is>
          <t>KALMAR LÄN</t>
        </is>
      </c>
      <c r="E4700" t="inlineStr">
        <is>
          <t>MÖNSTERÅS</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31952-2021</t>
        </is>
      </c>
      <c r="B4701" s="1" t="n">
        <v>44370</v>
      </c>
      <c r="C4701" s="1" t="n">
        <v>45715</v>
      </c>
      <c r="D4701" t="inlineStr">
        <is>
          <t>KALMAR LÄN</t>
        </is>
      </c>
      <c r="E4701" t="inlineStr">
        <is>
          <t>VÄSTERVIK</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32171-2021</t>
        </is>
      </c>
      <c r="B4702" s="1" t="n">
        <v>44371</v>
      </c>
      <c r="C4702" s="1" t="n">
        <v>45715</v>
      </c>
      <c r="D4702" t="inlineStr">
        <is>
          <t>KALMAR LÄN</t>
        </is>
      </c>
      <c r="E4702" t="inlineStr">
        <is>
          <t>MÖNSTERÅS</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32107-2021</t>
        </is>
      </c>
      <c r="B4703" s="1" t="n">
        <v>44371</v>
      </c>
      <c r="C4703" s="1" t="n">
        <v>45715</v>
      </c>
      <c r="D4703" t="inlineStr">
        <is>
          <t>KALMAR LÄN</t>
        </is>
      </c>
      <c r="E4703" t="inlineStr">
        <is>
          <t>KALMAR</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32386-2021</t>
        </is>
      </c>
      <c r="B4704" s="1" t="n">
        <v>44371</v>
      </c>
      <c r="C4704" s="1" t="n">
        <v>45715</v>
      </c>
      <c r="D4704" t="inlineStr">
        <is>
          <t>KALMAR LÄN</t>
        </is>
      </c>
      <c r="E4704" t="inlineStr">
        <is>
          <t>VIMMERBY</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32394-2021</t>
        </is>
      </c>
      <c r="B4705" s="1" t="n">
        <v>44371</v>
      </c>
      <c r="C4705" s="1" t="n">
        <v>45715</v>
      </c>
      <c r="D4705" t="inlineStr">
        <is>
          <t>KALMAR LÄN</t>
        </is>
      </c>
      <c r="E4705" t="inlineStr">
        <is>
          <t>VÄSTERVIK</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32497-2021</t>
        </is>
      </c>
      <c r="B4706" s="1" t="n">
        <v>44373</v>
      </c>
      <c r="C4706" s="1" t="n">
        <v>45715</v>
      </c>
      <c r="D4706" t="inlineStr">
        <is>
          <t>KALMAR LÄN</t>
        </is>
      </c>
      <c r="E4706" t="inlineStr">
        <is>
          <t>HULTSFRED</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32609-2021</t>
        </is>
      </c>
      <c r="B4707" s="1" t="n">
        <v>44375</v>
      </c>
      <c r="C4707" s="1" t="n">
        <v>45715</v>
      </c>
      <c r="D4707" t="inlineStr">
        <is>
          <t>KALMAR LÄN</t>
        </is>
      </c>
      <c r="E4707" t="inlineStr">
        <is>
          <t>NYBRO</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32627-2021</t>
        </is>
      </c>
      <c r="B4708" s="1" t="n">
        <v>44375</v>
      </c>
      <c r="C4708" s="1" t="n">
        <v>45715</v>
      </c>
      <c r="D4708" t="inlineStr">
        <is>
          <t>KALMAR LÄN</t>
        </is>
      </c>
      <c r="E4708" t="inlineStr">
        <is>
          <t>NYBRO</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32583-2021</t>
        </is>
      </c>
      <c r="B4709" s="1" t="n">
        <v>44375</v>
      </c>
      <c r="C4709" s="1" t="n">
        <v>45715</v>
      </c>
      <c r="D4709" t="inlineStr">
        <is>
          <t>KALMAR LÄN</t>
        </is>
      </c>
      <c r="E4709" t="inlineStr">
        <is>
          <t>VÄSTERVIK</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32607-2021</t>
        </is>
      </c>
      <c r="B4710" s="1" t="n">
        <v>44375</v>
      </c>
      <c r="C4710" s="1" t="n">
        <v>45715</v>
      </c>
      <c r="D4710" t="inlineStr">
        <is>
          <t>KALMAR LÄN</t>
        </is>
      </c>
      <c r="E4710" t="inlineStr">
        <is>
          <t>VIMMERBY</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32783-2021</t>
        </is>
      </c>
      <c r="B4711" s="1" t="n">
        <v>44375</v>
      </c>
      <c r="C4711" s="1" t="n">
        <v>45715</v>
      </c>
      <c r="D4711" t="inlineStr">
        <is>
          <t>KALMAR LÄN</t>
        </is>
      </c>
      <c r="E4711" t="inlineStr">
        <is>
          <t>HULTSFRED</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32945-2021</t>
        </is>
      </c>
      <c r="B4712" s="1" t="n">
        <v>44375</v>
      </c>
      <c r="C4712" s="1" t="n">
        <v>45715</v>
      </c>
      <c r="D4712" t="inlineStr">
        <is>
          <t>KALMAR LÄN</t>
        </is>
      </c>
      <c r="E4712" t="inlineStr">
        <is>
          <t>KALMAR</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32603-2021</t>
        </is>
      </c>
      <c r="B4713" s="1" t="n">
        <v>44375</v>
      </c>
      <c r="C4713" s="1" t="n">
        <v>45715</v>
      </c>
      <c r="D4713" t="inlineStr">
        <is>
          <t>KALMAR LÄN</t>
        </is>
      </c>
      <c r="E4713" t="inlineStr">
        <is>
          <t>VIMMERBY</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32822-2021</t>
        </is>
      </c>
      <c r="B4714" s="1" t="n">
        <v>44375</v>
      </c>
      <c r="C4714" s="1" t="n">
        <v>45715</v>
      </c>
      <c r="D4714" t="inlineStr">
        <is>
          <t>KALMAR LÄN</t>
        </is>
      </c>
      <c r="E4714" t="inlineStr">
        <is>
          <t>VÄSTERVIK</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32927-2021</t>
        </is>
      </c>
      <c r="B4715" s="1" t="n">
        <v>44375</v>
      </c>
      <c r="C4715" s="1" t="n">
        <v>45715</v>
      </c>
      <c r="D4715" t="inlineStr">
        <is>
          <t>KALMAR LÄN</t>
        </is>
      </c>
      <c r="E4715" t="inlineStr">
        <is>
          <t>NYBRO</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32770-2021</t>
        </is>
      </c>
      <c r="B4716" s="1" t="n">
        <v>44375</v>
      </c>
      <c r="C4716" s="1" t="n">
        <v>45715</v>
      </c>
      <c r="D4716" t="inlineStr">
        <is>
          <t>KALMAR LÄN</t>
        </is>
      </c>
      <c r="E4716" t="inlineStr">
        <is>
          <t>HULTSFRED</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32777-2021</t>
        </is>
      </c>
      <c r="B4717" s="1" t="n">
        <v>44375</v>
      </c>
      <c r="C4717" s="1" t="n">
        <v>45715</v>
      </c>
      <c r="D4717" t="inlineStr">
        <is>
          <t>KALMAR LÄN</t>
        </is>
      </c>
      <c r="E4717" t="inlineStr">
        <is>
          <t>HULTSFRED</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32786-2021</t>
        </is>
      </c>
      <c r="B4718" s="1" t="n">
        <v>44375</v>
      </c>
      <c r="C4718" s="1" t="n">
        <v>45715</v>
      </c>
      <c r="D4718" t="inlineStr">
        <is>
          <t>KALMAR LÄN</t>
        </is>
      </c>
      <c r="E4718" t="inlineStr">
        <is>
          <t>HULTSFRED</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32791-2021</t>
        </is>
      </c>
      <c r="B4719" s="1" t="n">
        <v>44375</v>
      </c>
      <c r="C4719" s="1" t="n">
        <v>45715</v>
      </c>
      <c r="D4719" t="inlineStr">
        <is>
          <t>KALMAR LÄN</t>
        </is>
      </c>
      <c r="E4719" t="inlineStr">
        <is>
          <t>HULTSFRED</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32936-2021</t>
        </is>
      </c>
      <c r="B4720" s="1" t="n">
        <v>44375</v>
      </c>
      <c r="C4720" s="1" t="n">
        <v>45715</v>
      </c>
      <c r="D4720" t="inlineStr">
        <is>
          <t>KALMAR LÄN</t>
        </is>
      </c>
      <c r="E4720" t="inlineStr">
        <is>
          <t>NYBRO</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33010-2021</t>
        </is>
      </c>
      <c r="B4721" s="1" t="n">
        <v>44376</v>
      </c>
      <c r="C4721" s="1" t="n">
        <v>45715</v>
      </c>
      <c r="D4721" t="inlineStr">
        <is>
          <t>KALMAR LÄN</t>
        </is>
      </c>
      <c r="E4721" t="inlineStr">
        <is>
          <t>NYBRO</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33017-2021</t>
        </is>
      </c>
      <c r="B4722" s="1" t="n">
        <v>44376</v>
      </c>
      <c r="C4722" s="1" t="n">
        <v>45715</v>
      </c>
      <c r="D4722" t="inlineStr">
        <is>
          <t>KALMAR LÄN</t>
        </is>
      </c>
      <c r="E4722" t="inlineStr">
        <is>
          <t>NYBRO</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33119-2021</t>
        </is>
      </c>
      <c r="B4723" s="1" t="n">
        <v>44376</v>
      </c>
      <c r="C4723" s="1" t="n">
        <v>45715</v>
      </c>
      <c r="D4723" t="inlineStr">
        <is>
          <t>KALMAR LÄN</t>
        </is>
      </c>
      <c r="E4723" t="inlineStr">
        <is>
          <t>TORSÅS</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33185-2021</t>
        </is>
      </c>
      <c r="B4724" s="1" t="n">
        <v>44376</v>
      </c>
      <c r="C4724" s="1" t="n">
        <v>45715</v>
      </c>
      <c r="D4724" t="inlineStr">
        <is>
          <t>KALMAR LÄN</t>
        </is>
      </c>
      <c r="E4724" t="inlineStr">
        <is>
          <t>EMMABODA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33308-2021</t>
        </is>
      </c>
      <c r="B4725" s="1" t="n">
        <v>44376</v>
      </c>
      <c r="C4725" s="1" t="n">
        <v>45715</v>
      </c>
      <c r="D4725" t="inlineStr">
        <is>
          <t>KALMAR LÄN</t>
        </is>
      </c>
      <c r="E4725" t="inlineStr">
        <is>
          <t>NYBRO</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33306-2021</t>
        </is>
      </c>
      <c r="B4726" s="1" t="n">
        <v>44377</v>
      </c>
      <c r="C4726" s="1" t="n">
        <v>45715</v>
      </c>
      <c r="D4726" t="inlineStr">
        <is>
          <t>KALMAR LÄN</t>
        </is>
      </c>
      <c r="E4726" t="inlineStr">
        <is>
          <t>OSKARSHAMN</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33359-2021</t>
        </is>
      </c>
      <c r="B4727" s="1" t="n">
        <v>44377</v>
      </c>
      <c r="C4727" s="1" t="n">
        <v>45715</v>
      </c>
      <c r="D4727" t="inlineStr">
        <is>
          <t>KALMAR LÄN</t>
        </is>
      </c>
      <c r="E4727" t="inlineStr">
        <is>
          <t>VIMMERBY</t>
        </is>
      </c>
      <c r="F4727" t="inlineStr">
        <is>
          <t>Kommuner</t>
        </is>
      </c>
      <c r="G4727" t="n">
        <v>8</v>
      </c>
      <c r="H4727" t="n">
        <v>0</v>
      </c>
      <c r="I4727" t="n">
        <v>0</v>
      </c>
      <c r="J4727" t="n">
        <v>0</v>
      </c>
      <c r="K4727" t="n">
        <v>0</v>
      </c>
      <c r="L4727" t="n">
        <v>0</v>
      </c>
      <c r="M4727" t="n">
        <v>0</v>
      </c>
      <c r="N4727" t="n">
        <v>0</v>
      </c>
      <c r="O4727" t="n">
        <v>0</v>
      </c>
      <c r="P4727" t="n">
        <v>0</v>
      </c>
      <c r="Q4727" t="n">
        <v>0</v>
      </c>
      <c r="R4727" s="2" t="inlineStr"/>
    </row>
    <row r="4728" ht="15" customHeight="1">
      <c r="A4728" t="inlineStr">
        <is>
          <t>A 33374-2021</t>
        </is>
      </c>
      <c r="B4728" s="1" t="n">
        <v>44377</v>
      </c>
      <c r="C4728" s="1" t="n">
        <v>45715</v>
      </c>
      <c r="D4728" t="inlineStr">
        <is>
          <t>KALMAR LÄN</t>
        </is>
      </c>
      <c r="E4728" t="inlineStr">
        <is>
          <t>VIMMERBY</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33446-2021</t>
        </is>
      </c>
      <c r="B4729" s="1" t="n">
        <v>44377</v>
      </c>
      <c r="C4729" s="1" t="n">
        <v>45715</v>
      </c>
      <c r="D4729" t="inlineStr">
        <is>
          <t>KALMAR LÄN</t>
        </is>
      </c>
      <c r="E4729" t="inlineStr">
        <is>
          <t>VIMMERBY</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35198-2021</t>
        </is>
      </c>
      <c r="B4730" s="1" t="n">
        <v>44377</v>
      </c>
      <c r="C4730" s="1" t="n">
        <v>45715</v>
      </c>
      <c r="D4730" t="inlineStr">
        <is>
          <t>KALMAR LÄN</t>
        </is>
      </c>
      <c r="E4730" t="inlineStr">
        <is>
          <t>VIMMERBY</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33580-2021</t>
        </is>
      </c>
      <c r="B4731" s="1" t="n">
        <v>44378</v>
      </c>
      <c r="C4731" s="1" t="n">
        <v>45715</v>
      </c>
      <c r="D4731" t="inlineStr">
        <is>
          <t>KALMAR LÄN</t>
        </is>
      </c>
      <c r="E4731" t="inlineStr">
        <is>
          <t>KALMAR</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33589-2021</t>
        </is>
      </c>
      <c r="B4732" s="1" t="n">
        <v>44378</v>
      </c>
      <c r="C4732" s="1" t="n">
        <v>45715</v>
      </c>
      <c r="D4732" t="inlineStr">
        <is>
          <t>KALMAR LÄN</t>
        </is>
      </c>
      <c r="E4732" t="inlineStr">
        <is>
          <t>NYBRO</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33588-2021</t>
        </is>
      </c>
      <c r="B4733" s="1" t="n">
        <v>44378</v>
      </c>
      <c r="C4733" s="1" t="n">
        <v>45715</v>
      </c>
      <c r="D4733" t="inlineStr">
        <is>
          <t>KALMAR LÄN</t>
        </is>
      </c>
      <c r="E4733" t="inlineStr">
        <is>
          <t>NYBRO</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33856-2021</t>
        </is>
      </c>
      <c r="B4734" s="1" t="n">
        <v>44378</v>
      </c>
      <c r="C4734" s="1" t="n">
        <v>45715</v>
      </c>
      <c r="D4734" t="inlineStr">
        <is>
          <t>KALMAR LÄN</t>
        </is>
      </c>
      <c r="E4734" t="inlineStr">
        <is>
          <t>NYBRO</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33946-2021</t>
        </is>
      </c>
      <c r="B4735" s="1" t="n">
        <v>44378</v>
      </c>
      <c r="C4735" s="1" t="n">
        <v>45715</v>
      </c>
      <c r="D4735" t="inlineStr">
        <is>
          <t>KALMAR LÄN</t>
        </is>
      </c>
      <c r="E4735" t="inlineStr">
        <is>
          <t>OSKARSHAMN</t>
        </is>
      </c>
      <c r="F4735" t="inlineStr">
        <is>
          <t>Sveaskog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34025-2021</t>
        </is>
      </c>
      <c r="B4736" s="1" t="n">
        <v>44379</v>
      </c>
      <c r="C4736" s="1" t="n">
        <v>45715</v>
      </c>
      <c r="D4736" t="inlineStr">
        <is>
          <t>KALMAR LÄN</t>
        </is>
      </c>
      <c r="E4736" t="inlineStr">
        <is>
          <t>NYBRO</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34040-2021</t>
        </is>
      </c>
      <c r="B4737" s="1" t="n">
        <v>44379</v>
      </c>
      <c r="C4737" s="1" t="n">
        <v>45715</v>
      </c>
      <c r="D4737" t="inlineStr">
        <is>
          <t>KALMAR LÄN</t>
        </is>
      </c>
      <c r="E4737" t="inlineStr">
        <is>
          <t>VIMMERBY</t>
        </is>
      </c>
      <c r="F4737" t="inlineStr">
        <is>
          <t>Sveaskog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34036-2021</t>
        </is>
      </c>
      <c r="B4738" s="1" t="n">
        <v>44379</v>
      </c>
      <c r="C4738" s="1" t="n">
        <v>45715</v>
      </c>
      <c r="D4738" t="inlineStr">
        <is>
          <t>KALMAR LÄN</t>
        </is>
      </c>
      <c r="E4738" t="inlineStr">
        <is>
          <t>VIMMERBY</t>
        </is>
      </c>
      <c r="F4738" t="inlineStr">
        <is>
          <t>Sveaskog</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34125-2021</t>
        </is>
      </c>
      <c r="B4739" s="1" t="n">
        <v>44379</v>
      </c>
      <c r="C4739" s="1" t="n">
        <v>45715</v>
      </c>
      <c r="D4739" t="inlineStr">
        <is>
          <t>KALMAR LÄN</t>
        </is>
      </c>
      <c r="E4739" t="inlineStr">
        <is>
          <t>VÄSTERVIK</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34269-2021</t>
        </is>
      </c>
      <c r="B4740" s="1" t="n">
        <v>44379</v>
      </c>
      <c r="C4740" s="1" t="n">
        <v>45715</v>
      </c>
      <c r="D4740" t="inlineStr">
        <is>
          <t>KALMAR LÄN</t>
        </is>
      </c>
      <c r="E4740" t="inlineStr">
        <is>
          <t>TORSÅS</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34154-2021</t>
        </is>
      </c>
      <c r="B4741" s="1" t="n">
        <v>44379</v>
      </c>
      <c r="C4741" s="1" t="n">
        <v>45715</v>
      </c>
      <c r="D4741" t="inlineStr">
        <is>
          <t>KALMAR LÄN</t>
        </is>
      </c>
      <c r="E4741" t="inlineStr">
        <is>
          <t>NYBRO</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34241-2021</t>
        </is>
      </c>
      <c r="B4742" s="1" t="n">
        <v>44379</v>
      </c>
      <c r="C4742" s="1" t="n">
        <v>45715</v>
      </c>
      <c r="D4742" t="inlineStr">
        <is>
          <t>KALMAR LÄN</t>
        </is>
      </c>
      <c r="E4742" t="inlineStr">
        <is>
          <t>KALMAR</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34267-2021</t>
        </is>
      </c>
      <c r="B4743" s="1" t="n">
        <v>44379</v>
      </c>
      <c r="C4743" s="1" t="n">
        <v>45715</v>
      </c>
      <c r="D4743" t="inlineStr">
        <is>
          <t>KALMAR LÄN</t>
        </is>
      </c>
      <c r="E4743" t="inlineStr">
        <is>
          <t>EMMABODA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34251-2021</t>
        </is>
      </c>
      <c r="B4744" s="1" t="n">
        <v>44379</v>
      </c>
      <c r="C4744" s="1" t="n">
        <v>45715</v>
      </c>
      <c r="D4744" t="inlineStr">
        <is>
          <t>KALMAR LÄN</t>
        </is>
      </c>
      <c r="E4744" t="inlineStr">
        <is>
          <t>EMMABODA</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34118-2021</t>
        </is>
      </c>
      <c r="B4745" s="1" t="n">
        <v>44379</v>
      </c>
      <c r="C4745" s="1" t="n">
        <v>45715</v>
      </c>
      <c r="D4745" t="inlineStr">
        <is>
          <t>KALMAR LÄN</t>
        </is>
      </c>
      <c r="E4745" t="inlineStr">
        <is>
          <t>VÄSTERVIK</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34502-2021</t>
        </is>
      </c>
      <c r="B4746" s="1" t="n">
        <v>44382</v>
      </c>
      <c r="C4746" s="1" t="n">
        <v>45715</v>
      </c>
      <c r="D4746" t="inlineStr">
        <is>
          <t>KALMAR LÄN</t>
        </is>
      </c>
      <c r="E4746" t="inlineStr">
        <is>
          <t>HULTSFRED</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34489-2021</t>
        </is>
      </c>
      <c r="B4747" s="1" t="n">
        <v>44382</v>
      </c>
      <c r="C4747" s="1" t="n">
        <v>45715</v>
      </c>
      <c r="D4747" t="inlineStr">
        <is>
          <t>KALMAR LÄN</t>
        </is>
      </c>
      <c r="E4747" t="inlineStr">
        <is>
          <t>KALMAR</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34528-2021</t>
        </is>
      </c>
      <c r="B4748" s="1" t="n">
        <v>44382</v>
      </c>
      <c r="C4748" s="1" t="n">
        <v>45715</v>
      </c>
      <c r="D4748" t="inlineStr">
        <is>
          <t>KALMAR LÄN</t>
        </is>
      </c>
      <c r="E4748" t="inlineStr">
        <is>
          <t>EMMABODA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34493-2021</t>
        </is>
      </c>
      <c r="B4749" s="1" t="n">
        <v>44382</v>
      </c>
      <c r="C4749" s="1" t="n">
        <v>45715</v>
      </c>
      <c r="D4749" t="inlineStr">
        <is>
          <t>KALMAR LÄN</t>
        </is>
      </c>
      <c r="E4749" t="inlineStr">
        <is>
          <t>VÄSTERVIK</t>
        </is>
      </c>
      <c r="F4749" t="inlineStr">
        <is>
          <t>Övriga Aktiebolag</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34559-2021</t>
        </is>
      </c>
      <c r="B4750" s="1" t="n">
        <v>44382</v>
      </c>
      <c r="C4750" s="1" t="n">
        <v>45715</v>
      </c>
      <c r="D4750" t="inlineStr">
        <is>
          <t>KALMAR LÄN</t>
        </is>
      </c>
      <c r="E4750" t="inlineStr">
        <is>
          <t>NYBRO</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34721-2021</t>
        </is>
      </c>
      <c r="B4751" s="1" t="n">
        <v>44382</v>
      </c>
      <c r="C4751" s="1" t="n">
        <v>45715</v>
      </c>
      <c r="D4751" t="inlineStr">
        <is>
          <t>KALMAR LÄN</t>
        </is>
      </c>
      <c r="E4751" t="inlineStr">
        <is>
          <t>MÖNSTERÅS</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34735-2021</t>
        </is>
      </c>
      <c r="B4752" s="1" t="n">
        <v>44382</v>
      </c>
      <c r="C4752" s="1" t="n">
        <v>45715</v>
      </c>
      <c r="D4752" t="inlineStr">
        <is>
          <t>KALMAR LÄN</t>
        </is>
      </c>
      <c r="E4752" t="inlineStr">
        <is>
          <t>EMMABODA</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34740-2021</t>
        </is>
      </c>
      <c r="B4753" s="1" t="n">
        <v>44382</v>
      </c>
      <c r="C4753" s="1" t="n">
        <v>45715</v>
      </c>
      <c r="D4753" t="inlineStr">
        <is>
          <t>KALMAR LÄN</t>
        </is>
      </c>
      <c r="E4753" t="inlineStr">
        <is>
          <t>EMMABODA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34927-2021</t>
        </is>
      </c>
      <c r="B4754" s="1" t="n">
        <v>44383</v>
      </c>
      <c r="C4754" s="1" t="n">
        <v>45715</v>
      </c>
      <c r="D4754" t="inlineStr">
        <is>
          <t>KALMAR LÄN</t>
        </is>
      </c>
      <c r="E4754" t="inlineStr">
        <is>
          <t>EMMABODA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34847-2021</t>
        </is>
      </c>
      <c r="B4755" s="1" t="n">
        <v>44383</v>
      </c>
      <c r="C4755" s="1" t="n">
        <v>45715</v>
      </c>
      <c r="D4755" t="inlineStr">
        <is>
          <t>KALMAR LÄN</t>
        </is>
      </c>
      <c r="E4755" t="inlineStr">
        <is>
          <t>NYBRO</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34922-2021</t>
        </is>
      </c>
      <c r="B4756" s="1" t="n">
        <v>44383</v>
      </c>
      <c r="C4756" s="1" t="n">
        <v>45715</v>
      </c>
      <c r="D4756" t="inlineStr">
        <is>
          <t>KALMAR LÄN</t>
        </is>
      </c>
      <c r="E4756" t="inlineStr">
        <is>
          <t>EMMABODA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34976-2021</t>
        </is>
      </c>
      <c r="B4757" s="1" t="n">
        <v>44383</v>
      </c>
      <c r="C4757" s="1" t="n">
        <v>45715</v>
      </c>
      <c r="D4757" t="inlineStr">
        <is>
          <t>KALMAR LÄN</t>
        </is>
      </c>
      <c r="E4757" t="inlineStr">
        <is>
          <t>EMMABODA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34953-2021</t>
        </is>
      </c>
      <c r="B4758" s="1" t="n">
        <v>44383</v>
      </c>
      <c r="C4758" s="1" t="n">
        <v>45715</v>
      </c>
      <c r="D4758" t="inlineStr">
        <is>
          <t>KALMAR LÄN</t>
        </is>
      </c>
      <c r="E4758" t="inlineStr">
        <is>
          <t>VÄSTERVIK</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34973-2021</t>
        </is>
      </c>
      <c r="B4759" s="1" t="n">
        <v>44383</v>
      </c>
      <c r="C4759" s="1" t="n">
        <v>45715</v>
      </c>
      <c r="D4759" t="inlineStr">
        <is>
          <t>KALMAR LÄN</t>
        </is>
      </c>
      <c r="E4759" t="inlineStr">
        <is>
          <t>EMMABODA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34958-2021</t>
        </is>
      </c>
      <c r="B4760" s="1" t="n">
        <v>44383</v>
      </c>
      <c r="C4760" s="1" t="n">
        <v>45715</v>
      </c>
      <c r="D4760" t="inlineStr">
        <is>
          <t>KALMAR LÄN</t>
        </is>
      </c>
      <c r="E4760" t="inlineStr">
        <is>
          <t>VÄSTERVIK</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34975-2021</t>
        </is>
      </c>
      <c r="B4761" s="1" t="n">
        <v>44383</v>
      </c>
      <c r="C4761" s="1" t="n">
        <v>45715</v>
      </c>
      <c r="D4761" t="inlineStr">
        <is>
          <t>KALMAR LÄN</t>
        </is>
      </c>
      <c r="E4761" t="inlineStr">
        <is>
          <t>EMMABODA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35001-2021</t>
        </is>
      </c>
      <c r="B4762" s="1" t="n">
        <v>44383</v>
      </c>
      <c r="C4762" s="1" t="n">
        <v>45715</v>
      </c>
      <c r="D4762" t="inlineStr">
        <is>
          <t>KALMAR LÄN</t>
        </is>
      </c>
      <c r="E4762" t="inlineStr">
        <is>
          <t>VIMMERBY</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35209-2021</t>
        </is>
      </c>
      <c r="B4763" s="1" t="n">
        <v>44384</v>
      </c>
      <c r="C4763" s="1" t="n">
        <v>45715</v>
      </c>
      <c r="D4763" t="inlineStr">
        <is>
          <t>KALMAR LÄN</t>
        </is>
      </c>
      <c r="E4763" t="inlineStr">
        <is>
          <t>KALMAR</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35321-2021</t>
        </is>
      </c>
      <c r="B4764" s="1" t="n">
        <v>44384</v>
      </c>
      <c r="C4764" s="1" t="n">
        <v>45715</v>
      </c>
      <c r="D4764" t="inlineStr">
        <is>
          <t>KALMAR LÄN</t>
        </is>
      </c>
      <c r="E4764" t="inlineStr">
        <is>
          <t>EMMABODA</t>
        </is>
      </c>
      <c r="F4764" t="inlineStr">
        <is>
          <t>Sveaskog</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35332-2021</t>
        </is>
      </c>
      <c r="B4765" s="1" t="n">
        <v>44384</v>
      </c>
      <c r="C4765" s="1" t="n">
        <v>45715</v>
      </c>
      <c r="D4765" t="inlineStr">
        <is>
          <t>KALMAR LÄN</t>
        </is>
      </c>
      <c r="E4765" t="inlineStr">
        <is>
          <t>NYBRO</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35324-2021</t>
        </is>
      </c>
      <c r="B4766" s="1" t="n">
        <v>44384</v>
      </c>
      <c r="C4766" s="1" t="n">
        <v>45715</v>
      </c>
      <c r="D4766" t="inlineStr">
        <is>
          <t>KALMAR LÄN</t>
        </is>
      </c>
      <c r="E4766" t="inlineStr">
        <is>
          <t>EMMABODA</t>
        </is>
      </c>
      <c r="F4766" t="inlineStr">
        <is>
          <t>Sveaskog</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35316-2021</t>
        </is>
      </c>
      <c r="B4767" s="1" t="n">
        <v>44384</v>
      </c>
      <c r="C4767" s="1" t="n">
        <v>45715</v>
      </c>
      <c r="D4767" t="inlineStr">
        <is>
          <t>KALMAR LÄN</t>
        </is>
      </c>
      <c r="E4767" t="inlineStr">
        <is>
          <t>VIMMERBY</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35387-2021</t>
        </is>
      </c>
      <c r="B4768" s="1" t="n">
        <v>44385</v>
      </c>
      <c r="C4768" s="1" t="n">
        <v>45715</v>
      </c>
      <c r="D4768" t="inlineStr">
        <is>
          <t>KALMAR LÄN</t>
        </is>
      </c>
      <c r="E4768" t="inlineStr">
        <is>
          <t>HULTSFRED</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35421-2021</t>
        </is>
      </c>
      <c r="B4769" s="1" t="n">
        <v>44385</v>
      </c>
      <c r="C4769" s="1" t="n">
        <v>45715</v>
      </c>
      <c r="D4769" t="inlineStr">
        <is>
          <t>KALMAR LÄN</t>
        </is>
      </c>
      <c r="E4769" t="inlineStr">
        <is>
          <t>KALMAR</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35392-2021</t>
        </is>
      </c>
      <c r="B4770" s="1" t="n">
        <v>44385</v>
      </c>
      <c r="C4770" s="1" t="n">
        <v>45715</v>
      </c>
      <c r="D4770" t="inlineStr">
        <is>
          <t>KALMAR LÄN</t>
        </is>
      </c>
      <c r="E4770" t="inlineStr">
        <is>
          <t>HULTSFRED</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35423-2021</t>
        </is>
      </c>
      <c r="B4771" s="1" t="n">
        <v>44385</v>
      </c>
      <c r="C4771" s="1" t="n">
        <v>45715</v>
      </c>
      <c r="D4771" t="inlineStr">
        <is>
          <t>KALMAR LÄN</t>
        </is>
      </c>
      <c r="E4771" t="inlineStr">
        <is>
          <t>HÖGSBY</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35380-2021</t>
        </is>
      </c>
      <c r="B4772" s="1" t="n">
        <v>44385</v>
      </c>
      <c r="C4772" s="1" t="n">
        <v>45715</v>
      </c>
      <c r="D4772" t="inlineStr">
        <is>
          <t>KALMAR LÄN</t>
        </is>
      </c>
      <c r="E4772" t="inlineStr">
        <is>
          <t>HULTSFRED</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35414-2021</t>
        </is>
      </c>
      <c r="B4773" s="1" t="n">
        <v>44385</v>
      </c>
      <c r="C4773" s="1" t="n">
        <v>45715</v>
      </c>
      <c r="D4773" t="inlineStr">
        <is>
          <t>KALMAR LÄN</t>
        </is>
      </c>
      <c r="E4773" t="inlineStr">
        <is>
          <t>KALMAR</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35531-2021</t>
        </is>
      </c>
      <c r="B4774" s="1" t="n">
        <v>44385</v>
      </c>
      <c r="C4774" s="1" t="n">
        <v>45715</v>
      </c>
      <c r="D4774" t="inlineStr">
        <is>
          <t>KALMAR LÄN</t>
        </is>
      </c>
      <c r="E4774" t="inlineStr">
        <is>
          <t>VIMMERBY</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35402-2021</t>
        </is>
      </c>
      <c r="B4775" s="1" t="n">
        <v>44385</v>
      </c>
      <c r="C4775" s="1" t="n">
        <v>45715</v>
      </c>
      <c r="D4775" t="inlineStr">
        <is>
          <t>KALMAR LÄN</t>
        </is>
      </c>
      <c r="E4775" t="inlineStr">
        <is>
          <t>NYBRO</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35424-2021</t>
        </is>
      </c>
      <c r="B4776" s="1" t="n">
        <v>44385</v>
      </c>
      <c r="C4776" s="1" t="n">
        <v>45715</v>
      </c>
      <c r="D4776" t="inlineStr">
        <is>
          <t>KALMAR LÄN</t>
        </is>
      </c>
      <c r="E4776" t="inlineStr">
        <is>
          <t>KALMAR</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35699-2021</t>
        </is>
      </c>
      <c r="B4777" s="1" t="n">
        <v>44385</v>
      </c>
      <c r="C4777" s="1" t="n">
        <v>45715</v>
      </c>
      <c r="D4777" t="inlineStr">
        <is>
          <t>KALMAR LÄN</t>
        </is>
      </c>
      <c r="E4777" t="inlineStr">
        <is>
          <t>EMMABODA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35732-2021</t>
        </is>
      </c>
      <c r="B4778" s="1" t="n">
        <v>44385</v>
      </c>
      <c r="C4778" s="1" t="n">
        <v>45715</v>
      </c>
      <c r="D4778" t="inlineStr">
        <is>
          <t>KALMAR LÄN</t>
        </is>
      </c>
      <c r="E4778" t="inlineStr">
        <is>
          <t>EMMABODA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35623-2021</t>
        </is>
      </c>
      <c r="B4779" s="1" t="n">
        <v>44386</v>
      </c>
      <c r="C4779" s="1" t="n">
        <v>45715</v>
      </c>
      <c r="D4779" t="inlineStr">
        <is>
          <t>KALMAR LÄN</t>
        </is>
      </c>
      <c r="E4779" t="inlineStr">
        <is>
          <t>HULTSFRED</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35633-2021</t>
        </is>
      </c>
      <c r="B4780" s="1" t="n">
        <v>44386</v>
      </c>
      <c r="C4780" s="1" t="n">
        <v>45715</v>
      </c>
      <c r="D4780" t="inlineStr">
        <is>
          <t>KALMAR LÄN</t>
        </is>
      </c>
      <c r="E4780" t="inlineStr">
        <is>
          <t>VIMMERBY</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35757-2021</t>
        </is>
      </c>
      <c r="B4781" s="1" t="n">
        <v>44386</v>
      </c>
      <c r="C4781" s="1" t="n">
        <v>45715</v>
      </c>
      <c r="D4781" t="inlineStr">
        <is>
          <t>KALMAR LÄN</t>
        </is>
      </c>
      <c r="E4781" t="inlineStr">
        <is>
          <t>KALMAR</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35588-2021</t>
        </is>
      </c>
      <c r="B4782" s="1" t="n">
        <v>44386</v>
      </c>
      <c r="C4782" s="1" t="n">
        <v>45715</v>
      </c>
      <c r="D4782" t="inlineStr">
        <is>
          <t>KALMAR LÄN</t>
        </is>
      </c>
      <c r="E4782" t="inlineStr">
        <is>
          <t>KALMAR</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35706-2021</t>
        </is>
      </c>
      <c r="B4783" s="1" t="n">
        <v>44386</v>
      </c>
      <c r="C4783" s="1" t="n">
        <v>45715</v>
      </c>
      <c r="D4783" t="inlineStr">
        <is>
          <t>KALMAR LÄN</t>
        </is>
      </c>
      <c r="E4783" t="inlineStr">
        <is>
          <t>NYBRO</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35752-2021</t>
        </is>
      </c>
      <c r="B4784" s="1" t="n">
        <v>44386</v>
      </c>
      <c r="C4784" s="1" t="n">
        <v>45715</v>
      </c>
      <c r="D4784" t="inlineStr">
        <is>
          <t>KALMAR LÄN</t>
        </is>
      </c>
      <c r="E4784" t="inlineStr">
        <is>
          <t>NYBRO</t>
        </is>
      </c>
      <c r="G4784" t="n">
        <v>9.5</v>
      </c>
      <c r="H4784" t="n">
        <v>0</v>
      </c>
      <c r="I4784" t="n">
        <v>0</v>
      </c>
      <c r="J4784" t="n">
        <v>0</v>
      </c>
      <c r="K4784" t="n">
        <v>0</v>
      </c>
      <c r="L4784" t="n">
        <v>0</v>
      </c>
      <c r="M4784" t="n">
        <v>0</v>
      </c>
      <c r="N4784" t="n">
        <v>0</v>
      </c>
      <c r="O4784" t="n">
        <v>0</v>
      </c>
      <c r="P4784" t="n">
        <v>0</v>
      </c>
      <c r="Q4784" t="n">
        <v>0</v>
      </c>
      <c r="R4784" s="2" t="inlineStr"/>
    </row>
    <row r="4785" ht="15" customHeight="1">
      <c r="A4785" t="inlineStr">
        <is>
          <t>A 36117-2021</t>
        </is>
      </c>
      <c r="B4785" s="1" t="n">
        <v>44386</v>
      </c>
      <c r="C4785" s="1" t="n">
        <v>45715</v>
      </c>
      <c r="D4785" t="inlineStr">
        <is>
          <t>KALMAR LÄN</t>
        </is>
      </c>
      <c r="E4785" t="inlineStr">
        <is>
          <t>VIMMERBY</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36121-2021</t>
        </is>
      </c>
      <c r="B4786" s="1" t="n">
        <v>44386</v>
      </c>
      <c r="C4786" s="1" t="n">
        <v>45715</v>
      </c>
      <c r="D4786" t="inlineStr">
        <is>
          <t>KALMAR LÄN</t>
        </is>
      </c>
      <c r="E4786" t="inlineStr">
        <is>
          <t>VIMMERBY</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36125-2021</t>
        </is>
      </c>
      <c r="B4787" s="1" t="n">
        <v>44386</v>
      </c>
      <c r="C4787" s="1" t="n">
        <v>45715</v>
      </c>
      <c r="D4787" t="inlineStr">
        <is>
          <t>KALMAR LÄN</t>
        </is>
      </c>
      <c r="E4787" t="inlineStr">
        <is>
          <t>VÄSTERVIK</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36206-2021</t>
        </is>
      </c>
      <c r="B4788" s="1" t="n">
        <v>44387</v>
      </c>
      <c r="C4788" s="1" t="n">
        <v>45715</v>
      </c>
      <c r="D4788" t="inlineStr">
        <is>
          <t>KALMAR LÄN</t>
        </is>
      </c>
      <c r="E4788" t="inlineStr">
        <is>
          <t>EMMABODA</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35906-2021</t>
        </is>
      </c>
      <c r="B4789" s="1" t="n">
        <v>44387</v>
      </c>
      <c r="C4789" s="1" t="n">
        <v>45715</v>
      </c>
      <c r="D4789" t="inlineStr">
        <is>
          <t>KALMAR LÄN</t>
        </is>
      </c>
      <c r="E4789" t="inlineStr">
        <is>
          <t>VÄSTERVIK</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36215-2021</t>
        </is>
      </c>
      <c r="B4790" s="1" t="n">
        <v>44388</v>
      </c>
      <c r="C4790" s="1" t="n">
        <v>45715</v>
      </c>
      <c r="D4790" t="inlineStr">
        <is>
          <t>KALMAR LÄN</t>
        </is>
      </c>
      <c r="E4790" t="inlineStr">
        <is>
          <t>HÖGSBY</t>
        </is>
      </c>
      <c r="G4790" t="n">
        <v>6</v>
      </c>
      <c r="H4790" t="n">
        <v>0</v>
      </c>
      <c r="I4790" t="n">
        <v>0</v>
      </c>
      <c r="J4790" t="n">
        <v>0</v>
      </c>
      <c r="K4790" t="n">
        <v>0</v>
      </c>
      <c r="L4790" t="n">
        <v>0</v>
      </c>
      <c r="M4790" t="n">
        <v>0</v>
      </c>
      <c r="N4790" t="n">
        <v>0</v>
      </c>
      <c r="O4790" t="n">
        <v>0</v>
      </c>
      <c r="P4790" t="n">
        <v>0</v>
      </c>
      <c r="Q4790" t="n">
        <v>0</v>
      </c>
      <c r="R4790" s="2" t="inlineStr"/>
    </row>
    <row r="4791" ht="15" customHeight="1">
      <c r="A4791" t="inlineStr">
        <is>
          <t>A 35980-2021</t>
        </is>
      </c>
      <c r="B4791" s="1" t="n">
        <v>44389</v>
      </c>
      <c r="C4791" s="1" t="n">
        <v>45715</v>
      </c>
      <c r="D4791" t="inlineStr">
        <is>
          <t>KALMAR LÄN</t>
        </is>
      </c>
      <c r="E4791" t="inlineStr">
        <is>
          <t>OSKARSHAMN</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36250-2021</t>
        </is>
      </c>
      <c r="B4792" s="1" t="n">
        <v>44389</v>
      </c>
      <c r="C4792" s="1" t="n">
        <v>45715</v>
      </c>
      <c r="D4792" t="inlineStr">
        <is>
          <t>KALMAR LÄN</t>
        </is>
      </c>
      <c r="E4792" t="inlineStr">
        <is>
          <t>MÖNSTERÅS</t>
        </is>
      </c>
      <c r="F4792" t="inlineStr">
        <is>
          <t>Kyrkan</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36309-2021</t>
        </is>
      </c>
      <c r="B4793" s="1" t="n">
        <v>44390</v>
      </c>
      <c r="C4793" s="1" t="n">
        <v>45715</v>
      </c>
      <c r="D4793" t="inlineStr">
        <is>
          <t>KALMAR LÄN</t>
        </is>
      </c>
      <c r="E4793" t="inlineStr">
        <is>
          <t>NYBRO</t>
        </is>
      </c>
      <c r="F4793" t="inlineStr">
        <is>
          <t>Sveaskog</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36383-2021</t>
        </is>
      </c>
      <c r="B4794" s="1" t="n">
        <v>44390</v>
      </c>
      <c r="C4794" s="1" t="n">
        <v>45715</v>
      </c>
      <c r="D4794" t="inlineStr">
        <is>
          <t>KALMAR LÄN</t>
        </is>
      </c>
      <c r="E4794" t="inlineStr">
        <is>
          <t>NYBRO</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36785-2021</t>
        </is>
      </c>
      <c r="B4795" s="1" t="n">
        <v>44392</v>
      </c>
      <c r="C4795" s="1" t="n">
        <v>45715</v>
      </c>
      <c r="D4795" t="inlineStr">
        <is>
          <t>KALMAR LÄN</t>
        </is>
      </c>
      <c r="E4795" t="inlineStr">
        <is>
          <t>NYBRO</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36802-2021</t>
        </is>
      </c>
      <c r="B4796" s="1" t="n">
        <v>44392</v>
      </c>
      <c r="C4796" s="1" t="n">
        <v>45715</v>
      </c>
      <c r="D4796" t="inlineStr">
        <is>
          <t>KALMAR LÄN</t>
        </is>
      </c>
      <c r="E4796" t="inlineStr">
        <is>
          <t>VIMMERBY</t>
        </is>
      </c>
      <c r="F4796" t="inlineStr">
        <is>
          <t>Sveaskog</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36670-2021</t>
        </is>
      </c>
      <c r="B4797" s="1" t="n">
        <v>44392</v>
      </c>
      <c r="C4797" s="1" t="n">
        <v>45715</v>
      </c>
      <c r="D4797" t="inlineStr">
        <is>
          <t>KALMAR LÄN</t>
        </is>
      </c>
      <c r="E4797" t="inlineStr">
        <is>
          <t>EMMABODA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36782-2021</t>
        </is>
      </c>
      <c r="B4798" s="1" t="n">
        <v>44392</v>
      </c>
      <c r="C4798" s="1" t="n">
        <v>45715</v>
      </c>
      <c r="D4798" t="inlineStr">
        <is>
          <t>KALMAR LÄN</t>
        </is>
      </c>
      <c r="E4798" t="inlineStr">
        <is>
          <t>NYBRO</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36787-2021</t>
        </is>
      </c>
      <c r="B4799" s="1" t="n">
        <v>44392</v>
      </c>
      <c r="C4799" s="1" t="n">
        <v>45715</v>
      </c>
      <c r="D4799" t="inlineStr">
        <is>
          <t>KALMAR LÄN</t>
        </is>
      </c>
      <c r="E4799" t="inlineStr">
        <is>
          <t>NYBRO</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37036-2021</t>
        </is>
      </c>
      <c r="B4800" s="1" t="n">
        <v>44393</v>
      </c>
      <c r="C4800" s="1" t="n">
        <v>45715</v>
      </c>
      <c r="D4800" t="inlineStr">
        <is>
          <t>KALMAR LÄN</t>
        </is>
      </c>
      <c r="E4800" t="inlineStr">
        <is>
          <t>VÄSTERVIK</t>
        </is>
      </c>
      <c r="G4800" t="n">
        <v>16.1</v>
      </c>
      <c r="H4800" t="n">
        <v>0</v>
      </c>
      <c r="I4800" t="n">
        <v>0</v>
      </c>
      <c r="J4800" t="n">
        <v>0</v>
      </c>
      <c r="K4800" t="n">
        <v>0</v>
      </c>
      <c r="L4800" t="n">
        <v>0</v>
      </c>
      <c r="M4800" t="n">
        <v>0</v>
      </c>
      <c r="N4800" t="n">
        <v>0</v>
      </c>
      <c r="O4800" t="n">
        <v>0</v>
      </c>
      <c r="P4800" t="n">
        <v>0</v>
      </c>
      <c r="Q4800" t="n">
        <v>0</v>
      </c>
      <c r="R4800" s="2" t="inlineStr"/>
    </row>
    <row r="4801" ht="15" customHeight="1">
      <c r="A4801" t="inlineStr">
        <is>
          <t>A 37033-2021</t>
        </is>
      </c>
      <c r="B4801" s="1" t="n">
        <v>44393</v>
      </c>
      <c r="C4801" s="1" t="n">
        <v>45715</v>
      </c>
      <c r="D4801" t="inlineStr">
        <is>
          <t>KALMAR LÄN</t>
        </is>
      </c>
      <c r="E4801" t="inlineStr">
        <is>
          <t>VÄSTERVIK</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37064-2021</t>
        </is>
      </c>
      <c r="B4802" s="1" t="n">
        <v>44394</v>
      </c>
      <c r="C4802" s="1" t="n">
        <v>45715</v>
      </c>
      <c r="D4802" t="inlineStr">
        <is>
          <t>KALMAR LÄN</t>
        </is>
      </c>
      <c r="E4802" t="inlineStr">
        <is>
          <t>MÖNSTERÅS</t>
        </is>
      </c>
      <c r="G4802" t="n">
        <v>9.199999999999999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37090-2021</t>
        </is>
      </c>
      <c r="B4803" s="1" t="n">
        <v>44395</v>
      </c>
      <c r="C4803" s="1" t="n">
        <v>45715</v>
      </c>
      <c r="D4803" t="inlineStr">
        <is>
          <t>KALMAR LÄN</t>
        </is>
      </c>
      <c r="E4803" t="inlineStr">
        <is>
          <t>OSKARSHAMN</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37441-2021</t>
        </is>
      </c>
      <c r="B4804" s="1" t="n">
        <v>44398</v>
      </c>
      <c r="C4804" s="1" t="n">
        <v>45715</v>
      </c>
      <c r="D4804" t="inlineStr">
        <is>
          <t>KALMAR LÄN</t>
        </is>
      </c>
      <c r="E4804" t="inlineStr">
        <is>
          <t>VÄSTERVIK</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37536-2021</t>
        </is>
      </c>
      <c r="B4805" s="1" t="n">
        <v>44399</v>
      </c>
      <c r="C4805" s="1" t="n">
        <v>45715</v>
      </c>
      <c r="D4805" t="inlineStr">
        <is>
          <t>KALMAR LÄN</t>
        </is>
      </c>
      <c r="E4805" t="inlineStr">
        <is>
          <t>OSKARSHAMN</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37545-2021</t>
        </is>
      </c>
      <c r="B4806" s="1" t="n">
        <v>44399</v>
      </c>
      <c r="C4806" s="1" t="n">
        <v>45715</v>
      </c>
      <c r="D4806" t="inlineStr">
        <is>
          <t>KALMAR LÄN</t>
        </is>
      </c>
      <c r="E4806" t="inlineStr">
        <is>
          <t>VÄSTERVIK</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37550-2021</t>
        </is>
      </c>
      <c r="B4807" s="1" t="n">
        <v>44399</v>
      </c>
      <c r="C4807" s="1" t="n">
        <v>45715</v>
      </c>
      <c r="D4807" t="inlineStr">
        <is>
          <t>KALMAR LÄN</t>
        </is>
      </c>
      <c r="E4807" t="inlineStr">
        <is>
          <t>VÄSTERVIK</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37595-2021</t>
        </is>
      </c>
      <c r="B4808" s="1" t="n">
        <v>44399</v>
      </c>
      <c r="C4808" s="1" t="n">
        <v>45715</v>
      </c>
      <c r="D4808" t="inlineStr">
        <is>
          <t>KALMAR LÄN</t>
        </is>
      </c>
      <c r="E4808" t="inlineStr">
        <is>
          <t>OSKARSHAMN</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37650-2021</t>
        </is>
      </c>
      <c r="B4809" s="1" t="n">
        <v>44400</v>
      </c>
      <c r="C4809" s="1" t="n">
        <v>45715</v>
      </c>
      <c r="D4809" t="inlineStr">
        <is>
          <t>KALMAR LÄN</t>
        </is>
      </c>
      <c r="E4809" t="inlineStr">
        <is>
          <t>EMMABODA</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37717-2021</t>
        </is>
      </c>
      <c r="B4810" s="1" t="n">
        <v>44400</v>
      </c>
      <c r="C4810" s="1" t="n">
        <v>45715</v>
      </c>
      <c r="D4810" t="inlineStr">
        <is>
          <t>KALMAR LÄN</t>
        </is>
      </c>
      <c r="E4810" t="inlineStr">
        <is>
          <t>VÄSTERVIK</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37748-2021</t>
        </is>
      </c>
      <c r="B4811" s="1" t="n">
        <v>44400</v>
      </c>
      <c r="C4811" s="1" t="n">
        <v>45715</v>
      </c>
      <c r="D4811" t="inlineStr">
        <is>
          <t>KALMAR LÄN</t>
        </is>
      </c>
      <c r="E4811" t="inlineStr">
        <is>
          <t>VÄSTERVIK</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37753-2021</t>
        </is>
      </c>
      <c r="B4812" s="1" t="n">
        <v>44400</v>
      </c>
      <c r="C4812" s="1" t="n">
        <v>45715</v>
      </c>
      <c r="D4812" t="inlineStr">
        <is>
          <t>KALMAR LÄN</t>
        </is>
      </c>
      <c r="E4812" t="inlineStr">
        <is>
          <t>VÄSTERVIK</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37894-2021</t>
        </is>
      </c>
      <c r="B4813" s="1" t="n">
        <v>44403</v>
      </c>
      <c r="C4813" s="1" t="n">
        <v>45715</v>
      </c>
      <c r="D4813" t="inlineStr">
        <is>
          <t>KALMAR LÄN</t>
        </is>
      </c>
      <c r="E4813" t="inlineStr">
        <is>
          <t>OSKARSHAMN</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37996-2021</t>
        </is>
      </c>
      <c r="B4814" s="1" t="n">
        <v>44404</v>
      </c>
      <c r="C4814" s="1" t="n">
        <v>45715</v>
      </c>
      <c r="D4814" t="inlineStr">
        <is>
          <t>KALMAR LÄN</t>
        </is>
      </c>
      <c r="E4814" t="inlineStr">
        <is>
          <t>EMMABODA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38020-2021</t>
        </is>
      </c>
      <c r="B4815" s="1" t="n">
        <v>44404</v>
      </c>
      <c r="C4815" s="1" t="n">
        <v>45715</v>
      </c>
      <c r="D4815" t="inlineStr">
        <is>
          <t>KALMAR LÄN</t>
        </is>
      </c>
      <c r="E4815" t="inlineStr">
        <is>
          <t>EMMABODA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38086-2021</t>
        </is>
      </c>
      <c r="B4816" s="1" t="n">
        <v>44404</v>
      </c>
      <c r="C4816" s="1" t="n">
        <v>45715</v>
      </c>
      <c r="D4816" t="inlineStr">
        <is>
          <t>KALMAR LÄN</t>
        </is>
      </c>
      <c r="E4816" t="inlineStr">
        <is>
          <t>VIMMERBY</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38096-2021</t>
        </is>
      </c>
      <c r="B4817" s="1" t="n">
        <v>44405</v>
      </c>
      <c r="C4817" s="1" t="n">
        <v>45715</v>
      </c>
      <c r="D4817" t="inlineStr">
        <is>
          <t>KALMAR LÄN</t>
        </is>
      </c>
      <c r="E4817" t="inlineStr">
        <is>
          <t>EMMABODA</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38100-2021</t>
        </is>
      </c>
      <c r="B4818" s="1" t="n">
        <v>44405</v>
      </c>
      <c r="C4818" s="1" t="n">
        <v>45715</v>
      </c>
      <c r="D4818" t="inlineStr">
        <is>
          <t>KALMAR LÄN</t>
        </is>
      </c>
      <c r="E4818" t="inlineStr">
        <is>
          <t>EMMABODA</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38106-2021</t>
        </is>
      </c>
      <c r="B4819" s="1" t="n">
        <v>44405</v>
      </c>
      <c r="C4819" s="1" t="n">
        <v>45715</v>
      </c>
      <c r="D4819" t="inlineStr">
        <is>
          <t>KALMAR LÄN</t>
        </is>
      </c>
      <c r="E4819" t="inlineStr">
        <is>
          <t>EMMABODA</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38146-2021</t>
        </is>
      </c>
      <c r="B4820" s="1" t="n">
        <v>44405</v>
      </c>
      <c r="C4820" s="1" t="n">
        <v>45715</v>
      </c>
      <c r="D4820" t="inlineStr">
        <is>
          <t>KALMAR LÄN</t>
        </is>
      </c>
      <c r="E4820" t="inlineStr">
        <is>
          <t>EMMABODA</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38180-2021</t>
        </is>
      </c>
      <c r="B4821" s="1" t="n">
        <v>44405</v>
      </c>
      <c r="C4821" s="1" t="n">
        <v>45715</v>
      </c>
      <c r="D4821" t="inlineStr">
        <is>
          <t>KALMAR LÄN</t>
        </is>
      </c>
      <c r="E4821" t="inlineStr">
        <is>
          <t>KALMAR</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38099-2021</t>
        </is>
      </c>
      <c r="B4822" s="1" t="n">
        <v>44405</v>
      </c>
      <c r="C4822" s="1" t="n">
        <v>45715</v>
      </c>
      <c r="D4822" t="inlineStr">
        <is>
          <t>KALMAR LÄN</t>
        </is>
      </c>
      <c r="E4822" t="inlineStr">
        <is>
          <t>EMMABODA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38104-2021</t>
        </is>
      </c>
      <c r="B4823" s="1" t="n">
        <v>44405</v>
      </c>
      <c r="C4823" s="1" t="n">
        <v>45715</v>
      </c>
      <c r="D4823" t="inlineStr">
        <is>
          <t>KALMAR LÄN</t>
        </is>
      </c>
      <c r="E4823" t="inlineStr">
        <is>
          <t>EMMABODA</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38097-2021</t>
        </is>
      </c>
      <c r="B4824" s="1" t="n">
        <v>44405</v>
      </c>
      <c r="C4824" s="1" t="n">
        <v>45715</v>
      </c>
      <c r="D4824" t="inlineStr">
        <is>
          <t>KALMAR LÄN</t>
        </is>
      </c>
      <c r="E4824" t="inlineStr">
        <is>
          <t>EMMABODA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38102-2021</t>
        </is>
      </c>
      <c r="B4825" s="1" t="n">
        <v>44405</v>
      </c>
      <c r="C4825" s="1" t="n">
        <v>45715</v>
      </c>
      <c r="D4825" t="inlineStr">
        <is>
          <t>KALMAR LÄN</t>
        </is>
      </c>
      <c r="E4825" t="inlineStr">
        <is>
          <t>EMMABODA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38147-2021</t>
        </is>
      </c>
      <c r="B4826" s="1" t="n">
        <v>44405</v>
      </c>
      <c r="C4826" s="1" t="n">
        <v>45715</v>
      </c>
      <c r="D4826" t="inlineStr">
        <is>
          <t>KALMAR LÄN</t>
        </is>
      </c>
      <c r="E4826" t="inlineStr">
        <is>
          <t>EMMABODA</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38098-2021</t>
        </is>
      </c>
      <c r="B4827" s="1" t="n">
        <v>44405</v>
      </c>
      <c r="C4827" s="1" t="n">
        <v>45715</v>
      </c>
      <c r="D4827" t="inlineStr">
        <is>
          <t>KALMAR LÄN</t>
        </is>
      </c>
      <c r="E4827" t="inlineStr">
        <is>
          <t>EMMABODA</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38103-2021</t>
        </is>
      </c>
      <c r="B4828" s="1" t="n">
        <v>44405</v>
      </c>
      <c r="C4828" s="1" t="n">
        <v>45715</v>
      </c>
      <c r="D4828" t="inlineStr">
        <is>
          <t>KALMAR LÄN</t>
        </is>
      </c>
      <c r="E4828" t="inlineStr">
        <is>
          <t>EMMABODA</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38323-2021</t>
        </is>
      </c>
      <c r="B4829" s="1" t="n">
        <v>44406</v>
      </c>
      <c r="C4829" s="1" t="n">
        <v>45715</v>
      </c>
      <c r="D4829" t="inlineStr">
        <is>
          <t>KALMAR LÄN</t>
        </is>
      </c>
      <c r="E4829" t="inlineStr">
        <is>
          <t>OSKARSHAMN</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38348-2021</t>
        </is>
      </c>
      <c r="B4830" s="1" t="n">
        <v>44406</v>
      </c>
      <c r="C4830" s="1" t="n">
        <v>45715</v>
      </c>
      <c r="D4830" t="inlineStr">
        <is>
          <t>KALMAR LÄN</t>
        </is>
      </c>
      <c r="E4830" t="inlineStr">
        <is>
          <t>VIMMERBY</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38442-2021</t>
        </is>
      </c>
      <c r="B4831" s="1" t="n">
        <v>44407</v>
      </c>
      <c r="C4831" s="1" t="n">
        <v>45715</v>
      </c>
      <c r="D4831" t="inlineStr">
        <is>
          <t>KALMAR LÄN</t>
        </is>
      </c>
      <c r="E4831" t="inlineStr">
        <is>
          <t>NYBRO</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38451-2021</t>
        </is>
      </c>
      <c r="B4832" s="1" t="n">
        <v>44407</v>
      </c>
      <c r="C4832" s="1" t="n">
        <v>45715</v>
      </c>
      <c r="D4832" t="inlineStr">
        <is>
          <t>KALMAR LÄN</t>
        </is>
      </c>
      <c r="E4832" t="inlineStr">
        <is>
          <t>NYBRO</t>
        </is>
      </c>
      <c r="G4832" t="n">
        <v>10.7</v>
      </c>
      <c r="H4832" t="n">
        <v>0</v>
      </c>
      <c r="I4832" t="n">
        <v>0</v>
      </c>
      <c r="J4832" t="n">
        <v>0</v>
      </c>
      <c r="K4832" t="n">
        <v>0</v>
      </c>
      <c r="L4832" t="n">
        <v>0</v>
      </c>
      <c r="M4832" t="n">
        <v>0</v>
      </c>
      <c r="N4832" t="n">
        <v>0</v>
      </c>
      <c r="O4832" t="n">
        <v>0</v>
      </c>
      <c r="P4832" t="n">
        <v>0</v>
      </c>
      <c r="Q4832" t="n">
        <v>0</v>
      </c>
      <c r="R4832" s="2" t="inlineStr"/>
    </row>
    <row r="4833" ht="15" customHeight="1">
      <c r="A4833" t="inlineStr">
        <is>
          <t>A 38455-2021</t>
        </is>
      </c>
      <c r="B4833" s="1" t="n">
        <v>44407</v>
      </c>
      <c r="C4833" s="1" t="n">
        <v>45715</v>
      </c>
      <c r="D4833" t="inlineStr">
        <is>
          <t>KALMAR LÄN</t>
        </is>
      </c>
      <c r="E4833" t="inlineStr">
        <is>
          <t>KALMAR</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38461-2021</t>
        </is>
      </c>
      <c r="B4834" s="1" t="n">
        <v>44407</v>
      </c>
      <c r="C4834" s="1" t="n">
        <v>45715</v>
      </c>
      <c r="D4834" t="inlineStr">
        <is>
          <t>KALMAR LÄN</t>
        </is>
      </c>
      <c r="E4834" t="inlineStr">
        <is>
          <t>NYBRO</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38521-2021</t>
        </is>
      </c>
      <c r="B4835" s="1" t="n">
        <v>44407</v>
      </c>
      <c r="C4835" s="1" t="n">
        <v>45715</v>
      </c>
      <c r="D4835" t="inlineStr">
        <is>
          <t>KALMAR LÄN</t>
        </is>
      </c>
      <c r="E4835" t="inlineStr">
        <is>
          <t>TORSÅS</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38441-2021</t>
        </is>
      </c>
      <c r="B4836" s="1" t="n">
        <v>44407</v>
      </c>
      <c r="C4836" s="1" t="n">
        <v>45715</v>
      </c>
      <c r="D4836" t="inlineStr">
        <is>
          <t>KALMAR LÄN</t>
        </is>
      </c>
      <c r="E4836" t="inlineStr">
        <is>
          <t>NYBRO</t>
        </is>
      </c>
      <c r="G4836" t="n">
        <v>7.5</v>
      </c>
      <c r="H4836" t="n">
        <v>0</v>
      </c>
      <c r="I4836" t="n">
        <v>0</v>
      </c>
      <c r="J4836" t="n">
        <v>0</v>
      </c>
      <c r="K4836" t="n">
        <v>0</v>
      </c>
      <c r="L4836" t="n">
        <v>0</v>
      </c>
      <c r="M4836" t="n">
        <v>0</v>
      </c>
      <c r="N4836" t="n">
        <v>0</v>
      </c>
      <c r="O4836" t="n">
        <v>0</v>
      </c>
      <c r="P4836" t="n">
        <v>0</v>
      </c>
      <c r="Q4836" t="n">
        <v>0</v>
      </c>
      <c r="R4836" s="2" t="inlineStr"/>
    </row>
    <row r="4837" ht="15" customHeight="1">
      <c r="A4837" t="inlineStr">
        <is>
          <t>A 38448-2021</t>
        </is>
      </c>
      <c r="B4837" s="1" t="n">
        <v>44407</v>
      </c>
      <c r="C4837" s="1" t="n">
        <v>45715</v>
      </c>
      <c r="D4837" t="inlineStr">
        <is>
          <t>KALMAR LÄN</t>
        </is>
      </c>
      <c r="E4837" t="inlineStr">
        <is>
          <t>NYBRO</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38460-2021</t>
        </is>
      </c>
      <c r="B4838" s="1" t="n">
        <v>44407</v>
      </c>
      <c r="C4838" s="1" t="n">
        <v>45715</v>
      </c>
      <c r="D4838" t="inlineStr">
        <is>
          <t>KALMAR LÄN</t>
        </is>
      </c>
      <c r="E4838" t="inlineStr">
        <is>
          <t>NYBRO</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38446-2021</t>
        </is>
      </c>
      <c r="B4839" s="1" t="n">
        <v>44407</v>
      </c>
      <c r="C4839" s="1" t="n">
        <v>45715</v>
      </c>
      <c r="D4839" t="inlineStr">
        <is>
          <t>KALMAR LÄN</t>
        </is>
      </c>
      <c r="E4839" t="inlineStr">
        <is>
          <t>NYBRO</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38453-2021</t>
        </is>
      </c>
      <c r="B4840" s="1" t="n">
        <v>44407</v>
      </c>
      <c r="C4840" s="1" t="n">
        <v>45715</v>
      </c>
      <c r="D4840" t="inlineStr">
        <is>
          <t>KALMAR LÄN</t>
        </is>
      </c>
      <c r="E4840" t="inlineStr">
        <is>
          <t>KALMAR</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38444-2021</t>
        </is>
      </c>
      <c r="B4841" s="1" t="n">
        <v>44407</v>
      </c>
      <c r="C4841" s="1" t="n">
        <v>45715</v>
      </c>
      <c r="D4841" t="inlineStr">
        <is>
          <t>KALMAR LÄN</t>
        </is>
      </c>
      <c r="E4841" t="inlineStr">
        <is>
          <t>NYBRO</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38452-2021</t>
        </is>
      </c>
      <c r="B4842" s="1" t="n">
        <v>44407</v>
      </c>
      <c r="C4842" s="1" t="n">
        <v>45715</v>
      </c>
      <c r="D4842" t="inlineStr">
        <is>
          <t>KALMAR LÄN</t>
        </is>
      </c>
      <c r="E4842" t="inlineStr">
        <is>
          <t>NYBRO</t>
        </is>
      </c>
      <c r="G4842" t="n">
        <v>14.1</v>
      </c>
      <c r="H4842" t="n">
        <v>0</v>
      </c>
      <c r="I4842" t="n">
        <v>0</v>
      </c>
      <c r="J4842" t="n">
        <v>0</v>
      </c>
      <c r="K4842" t="n">
        <v>0</v>
      </c>
      <c r="L4842" t="n">
        <v>0</v>
      </c>
      <c r="M4842" t="n">
        <v>0</v>
      </c>
      <c r="N4842" t="n">
        <v>0</v>
      </c>
      <c r="O4842" t="n">
        <v>0</v>
      </c>
      <c r="P4842" t="n">
        <v>0</v>
      </c>
      <c r="Q4842" t="n">
        <v>0</v>
      </c>
      <c r="R4842" s="2" t="inlineStr"/>
    </row>
    <row r="4843" ht="15" customHeight="1">
      <c r="A4843" t="inlineStr">
        <is>
          <t>A 38457-2021</t>
        </is>
      </c>
      <c r="B4843" s="1" t="n">
        <v>44407</v>
      </c>
      <c r="C4843" s="1" t="n">
        <v>45715</v>
      </c>
      <c r="D4843" t="inlineStr">
        <is>
          <t>KALMAR LÄN</t>
        </is>
      </c>
      <c r="E4843" t="inlineStr">
        <is>
          <t>NYBRO</t>
        </is>
      </c>
      <c r="G4843" t="n">
        <v>8.199999999999999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38462-2021</t>
        </is>
      </c>
      <c r="B4844" s="1" t="n">
        <v>44407</v>
      </c>
      <c r="C4844" s="1" t="n">
        <v>45715</v>
      </c>
      <c r="D4844" t="inlineStr">
        <is>
          <t>KALMAR LÄN</t>
        </is>
      </c>
      <c r="E4844" t="inlineStr">
        <is>
          <t>NYBRO</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38459-2021</t>
        </is>
      </c>
      <c r="B4845" s="1" t="n">
        <v>44407</v>
      </c>
      <c r="C4845" s="1" t="n">
        <v>45715</v>
      </c>
      <c r="D4845" t="inlineStr">
        <is>
          <t>KALMAR LÄN</t>
        </is>
      </c>
      <c r="E4845" t="inlineStr">
        <is>
          <t>NYBRO</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38613-2021</t>
        </is>
      </c>
      <c r="B4846" s="1" t="n">
        <v>44409</v>
      </c>
      <c r="C4846" s="1" t="n">
        <v>45715</v>
      </c>
      <c r="D4846" t="inlineStr">
        <is>
          <t>KALMAR LÄN</t>
        </is>
      </c>
      <c r="E4846" t="inlineStr">
        <is>
          <t>VÄSTERVIK</t>
        </is>
      </c>
      <c r="G4846" t="n">
        <v>7</v>
      </c>
      <c r="H4846" t="n">
        <v>0</v>
      </c>
      <c r="I4846" t="n">
        <v>0</v>
      </c>
      <c r="J4846" t="n">
        <v>0</v>
      </c>
      <c r="K4846" t="n">
        <v>0</v>
      </c>
      <c r="L4846" t="n">
        <v>0</v>
      </c>
      <c r="M4846" t="n">
        <v>0</v>
      </c>
      <c r="N4846" t="n">
        <v>0</v>
      </c>
      <c r="O4846" t="n">
        <v>0</v>
      </c>
      <c r="P4846" t="n">
        <v>0</v>
      </c>
      <c r="Q4846" t="n">
        <v>0</v>
      </c>
      <c r="R4846" s="2" t="inlineStr"/>
    </row>
    <row r="4847" ht="15" customHeight="1">
      <c r="A4847" t="inlineStr">
        <is>
          <t>A 38628-2021</t>
        </is>
      </c>
      <c r="B4847" s="1" t="n">
        <v>44409</v>
      </c>
      <c r="C4847" s="1" t="n">
        <v>45715</v>
      </c>
      <c r="D4847" t="inlineStr">
        <is>
          <t>KALMAR LÄN</t>
        </is>
      </c>
      <c r="E4847" t="inlineStr">
        <is>
          <t>NYBRO</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38780-2021</t>
        </is>
      </c>
      <c r="B4848" s="1" t="n">
        <v>44410</v>
      </c>
      <c r="C4848" s="1" t="n">
        <v>45715</v>
      </c>
      <c r="D4848" t="inlineStr">
        <is>
          <t>KALMAR LÄN</t>
        </is>
      </c>
      <c r="E4848" t="inlineStr">
        <is>
          <t>VIMMERBY</t>
        </is>
      </c>
      <c r="G4848" t="n">
        <v>9.699999999999999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38789-2021</t>
        </is>
      </c>
      <c r="B4849" s="1" t="n">
        <v>44410</v>
      </c>
      <c r="C4849" s="1" t="n">
        <v>45715</v>
      </c>
      <c r="D4849" t="inlineStr">
        <is>
          <t>KALMAR LÄN</t>
        </is>
      </c>
      <c r="E4849" t="inlineStr">
        <is>
          <t>VIMMERBY</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38937-2021</t>
        </is>
      </c>
      <c r="B4850" s="1" t="n">
        <v>44410</v>
      </c>
      <c r="C4850" s="1" t="n">
        <v>45715</v>
      </c>
      <c r="D4850" t="inlineStr">
        <is>
          <t>KALMAR LÄN</t>
        </is>
      </c>
      <c r="E4850" t="inlineStr">
        <is>
          <t>EMMABODA</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38858-2021</t>
        </is>
      </c>
      <c r="B4851" s="1" t="n">
        <v>44411</v>
      </c>
      <c r="C4851" s="1" t="n">
        <v>45715</v>
      </c>
      <c r="D4851" t="inlineStr">
        <is>
          <t>KALMAR LÄN</t>
        </is>
      </c>
      <c r="E4851" t="inlineStr">
        <is>
          <t>MÖNSTERÅS</t>
        </is>
      </c>
      <c r="G4851" t="n">
        <v>5.7</v>
      </c>
      <c r="H4851" t="n">
        <v>0</v>
      </c>
      <c r="I4851" t="n">
        <v>0</v>
      </c>
      <c r="J4851" t="n">
        <v>0</v>
      </c>
      <c r="K4851" t="n">
        <v>0</v>
      </c>
      <c r="L4851" t="n">
        <v>0</v>
      </c>
      <c r="M4851" t="n">
        <v>0</v>
      </c>
      <c r="N4851" t="n">
        <v>0</v>
      </c>
      <c r="O4851" t="n">
        <v>0</v>
      </c>
      <c r="P4851" t="n">
        <v>0</v>
      </c>
      <c r="Q4851" t="n">
        <v>0</v>
      </c>
      <c r="R4851" s="2" t="inlineStr"/>
    </row>
    <row r="4852" ht="15" customHeight="1">
      <c r="A4852" t="inlineStr">
        <is>
          <t>A 38823-2021</t>
        </is>
      </c>
      <c r="B4852" s="1" t="n">
        <v>44411</v>
      </c>
      <c r="C4852" s="1" t="n">
        <v>45715</v>
      </c>
      <c r="D4852" t="inlineStr">
        <is>
          <t>KALMAR LÄN</t>
        </is>
      </c>
      <c r="E4852" t="inlineStr">
        <is>
          <t>TORSÅS</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38955-2021</t>
        </is>
      </c>
      <c r="B4853" s="1" t="n">
        <v>44411</v>
      </c>
      <c r="C4853" s="1" t="n">
        <v>45715</v>
      </c>
      <c r="D4853" t="inlineStr">
        <is>
          <t>KALMAR LÄN</t>
        </is>
      </c>
      <c r="E4853" t="inlineStr">
        <is>
          <t>TORSÅS</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38971-2021</t>
        </is>
      </c>
      <c r="B4854" s="1" t="n">
        <v>44411</v>
      </c>
      <c r="C4854" s="1" t="n">
        <v>45715</v>
      </c>
      <c r="D4854" t="inlineStr">
        <is>
          <t>KALMAR LÄN</t>
        </is>
      </c>
      <c r="E4854" t="inlineStr">
        <is>
          <t>HULTSFRED</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39051-2021</t>
        </is>
      </c>
      <c r="B4855" s="1" t="n">
        <v>44412</v>
      </c>
      <c r="C4855" s="1" t="n">
        <v>45715</v>
      </c>
      <c r="D4855" t="inlineStr">
        <is>
          <t>KALMAR LÄN</t>
        </is>
      </c>
      <c r="E4855" t="inlineStr">
        <is>
          <t>EMMABODA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39120-2021</t>
        </is>
      </c>
      <c r="B4856" s="1" t="n">
        <v>44412</v>
      </c>
      <c r="C4856" s="1" t="n">
        <v>45715</v>
      </c>
      <c r="D4856" t="inlineStr">
        <is>
          <t>KALMAR LÄN</t>
        </is>
      </c>
      <c r="E4856" t="inlineStr">
        <is>
          <t>EMMABODA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38976-2021</t>
        </is>
      </c>
      <c r="B4857" s="1" t="n">
        <v>44412</v>
      </c>
      <c r="C4857" s="1" t="n">
        <v>45715</v>
      </c>
      <c r="D4857" t="inlineStr">
        <is>
          <t>KALMAR LÄN</t>
        </is>
      </c>
      <c r="E4857" t="inlineStr">
        <is>
          <t>NYBRO</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39253-2021</t>
        </is>
      </c>
      <c r="B4858" s="1" t="n">
        <v>44413</v>
      </c>
      <c r="C4858" s="1" t="n">
        <v>45715</v>
      </c>
      <c r="D4858" t="inlineStr">
        <is>
          <t>KALMAR LÄN</t>
        </is>
      </c>
      <c r="E4858" t="inlineStr">
        <is>
          <t>KALMAR</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39235-2021</t>
        </is>
      </c>
      <c r="B4859" s="1" t="n">
        <v>44413</v>
      </c>
      <c r="C4859" s="1" t="n">
        <v>45715</v>
      </c>
      <c r="D4859" t="inlineStr">
        <is>
          <t>KALMAR LÄN</t>
        </is>
      </c>
      <c r="E4859" t="inlineStr">
        <is>
          <t>HÖGSBY</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39237-2021</t>
        </is>
      </c>
      <c r="B4860" s="1" t="n">
        <v>44413</v>
      </c>
      <c r="C4860" s="1" t="n">
        <v>45715</v>
      </c>
      <c r="D4860" t="inlineStr">
        <is>
          <t>KALMAR LÄN</t>
        </is>
      </c>
      <c r="E4860" t="inlineStr">
        <is>
          <t>HÖGSBY</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39560-2021</t>
        </is>
      </c>
      <c r="B4861" s="1" t="n">
        <v>44416</v>
      </c>
      <c r="C4861" s="1" t="n">
        <v>45715</v>
      </c>
      <c r="D4861" t="inlineStr">
        <is>
          <t>KALMAR LÄN</t>
        </is>
      </c>
      <c r="E4861" t="inlineStr">
        <is>
          <t>EMMABODA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39567-2021</t>
        </is>
      </c>
      <c r="B4862" s="1" t="n">
        <v>44416</v>
      </c>
      <c r="C4862" s="1" t="n">
        <v>45715</v>
      </c>
      <c r="D4862" t="inlineStr">
        <is>
          <t>KALMAR LÄN</t>
        </is>
      </c>
      <c r="E4862" t="inlineStr">
        <is>
          <t>EMMABODA</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39557-2021</t>
        </is>
      </c>
      <c r="B4863" s="1" t="n">
        <v>44416</v>
      </c>
      <c r="C4863" s="1" t="n">
        <v>45715</v>
      </c>
      <c r="D4863" t="inlineStr">
        <is>
          <t>KALMAR LÄN</t>
        </is>
      </c>
      <c r="E4863" t="inlineStr">
        <is>
          <t>EMMABODA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39566-2021</t>
        </is>
      </c>
      <c r="B4864" s="1" t="n">
        <v>44416</v>
      </c>
      <c r="C4864" s="1" t="n">
        <v>45715</v>
      </c>
      <c r="D4864" t="inlineStr">
        <is>
          <t>KALMAR LÄN</t>
        </is>
      </c>
      <c r="E4864" t="inlineStr">
        <is>
          <t>EMMABODA</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39565-2021</t>
        </is>
      </c>
      <c r="B4865" s="1" t="n">
        <v>44416</v>
      </c>
      <c r="C4865" s="1" t="n">
        <v>45715</v>
      </c>
      <c r="D4865" t="inlineStr">
        <is>
          <t>KALMAR LÄN</t>
        </is>
      </c>
      <c r="E4865" t="inlineStr">
        <is>
          <t>EMMABODA</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39564-2021</t>
        </is>
      </c>
      <c r="B4866" s="1" t="n">
        <v>44416</v>
      </c>
      <c r="C4866" s="1" t="n">
        <v>45715</v>
      </c>
      <c r="D4866" t="inlineStr">
        <is>
          <t>KALMAR LÄN</t>
        </is>
      </c>
      <c r="E4866" t="inlineStr">
        <is>
          <t>EMMABODA</t>
        </is>
      </c>
      <c r="G4866" t="n">
        <v>9</v>
      </c>
      <c r="H4866" t="n">
        <v>0</v>
      </c>
      <c r="I4866" t="n">
        <v>0</v>
      </c>
      <c r="J4866" t="n">
        <v>0</v>
      </c>
      <c r="K4866" t="n">
        <v>0</v>
      </c>
      <c r="L4866" t="n">
        <v>0</v>
      </c>
      <c r="M4866" t="n">
        <v>0</v>
      </c>
      <c r="N4866" t="n">
        <v>0</v>
      </c>
      <c r="O4866" t="n">
        <v>0</v>
      </c>
      <c r="P4866" t="n">
        <v>0</v>
      </c>
      <c r="Q4866" t="n">
        <v>0</v>
      </c>
      <c r="R4866" s="2" t="inlineStr"/>
    </row>
    <row r="4867" ht="15" customHeight="1">
      <c r="A4867" t="inlineStr">
        <is>
          <t>A 39624-2021</t>
        </is>
      </c>
      <c r="B4867" s="1" t="n">
        <v>44417</v>
      </c>
      <c r="C4867" s="1" t="n">
        <v>45715</v>
      </c>
      <c r="D4867" t="inlineStr">
        <is>
          <t>KALMAR LÄN</t>
        </is>
      </c>
      <c r="E4867" t="inlineStr">
        <is>
          <t>KALMAR</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40017-2021</t>
        </is>
      </c>
      <c r="B4868" s="1" t="n">
        <v>44418</v>
      </c>
      <c r="C4868" s="1" t="n">
        <v>45715</v>
      </c>
      <c r="D4868" t="inlineStr">
        <is>
          <t>KALMAR LÄN</t>
        </is>
      </c>
      <c r="E4868" t="inlineStr">
        <is>
          <t>NYBRO</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40073-2021</t>
        </is>
      </c>
      <c r="B4869" s="1" t="n">
        <v>44418</v>
      </c>
      <c r="C4869" s="1" t="n">
        <v>45715</v>
      </c>
      <c r="D4869" t="inlineStr">
        <is>
          <t>KALMAR LÄN</t>
        </is>
      </c>
      <c r="E4869" t="inlineStr">
        <is>
          <t>VIMMERBY</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40013-2021</t>
        </is>
      </c>
      <c r="B4870" s="1" t="n">
        <v>44418</v>
      </c>
      <c r="C4870" s="1" t="n">
        <v>45715</v>
      </c>
      <c r="D4870" t="inlineStr">
        <is>
          <t>KALMAR LÄN</t>
        </is>
      </c>
      <c r="E4870" t="inlineStr">
        <is>
          <t>EMMABODA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40086-2021</t>
        </is>
      </c>
      <c r="B4871" s="1" t="n">
        <v>44418</v>
      </c>
      <c r="C4871" s="1" t="n">
        <v>45715</v>
      </c>
      <c r="D4871" t="inlineStr">
        <is>
          <t>KALMAR LÄN</t>
        </is>
      </c>
      <c r="E4871" t="inlineStr">
        <is>
          <t>NYBRO</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39986-2021</t>
        </is>
      </c>
      <c r="B4872" s="1" t="n">
        <v>44418</v>
      </c>
      <c r="C4872" s="1" t="n">
        <v>45715</v>
      </c>
      <c r="D4872" t="inlineStr">
        <is>
          <t>KALMAR LÄN</t>
        </is>
      </c>
      <c r="E4872" t="inlineStr">
        <is>
          <t>NYBRO</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40076-2021</t>
        </is>
      </c>
      <c r="B4873" s="1" t="n">
        <v>44418</v>
      </c>
      <c r="C4873" s="1" t="n">
        <v>45715</v>
      </c>
      <c r="D4873" t="inlineStr">
        <is>
          <t>KALMAR LÄN</t>
        </is>
      </c>
      <c r="E4873" t="inlineStr">
        <is>
          <t>VIMMERBY</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40171-2021</t>
        </is>
      </c>
      <c r="B4874" s="1" t="n">
        <v>44418</v>
      </c>
      <c r="C4874" s="1" t="n">
        <v>45715</v>
      </c>
      <c r="D4874" t="inlineStr">
        <is>
          <t>KALMAR LÄN</t>
        </is>
      </c>
      <c r="E4874" t="inlineStr">
        <is>
          <t>KALMAR</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40071-2021</t>
        </is>
      </c>
      <c r="B4875" s="1" t="n">
        <v>44418</v>
      </c>
      <c r="C4875" s="1" t="n">
        <v>45715</v>
      </c>
      <c r="D4875" t="inlineStr">
        <is>
          <t>KALMAR LÄN</t>
        </is>
      </c>
      <c r="E4875" t="inlineStr">
        <is>
          <t>VIMMERBY</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40077-2021</t>
        </is>
      </c>
      <c r="B4876" s="1" t="n">
        <v>44418</v>
      </c>
      <c r="C4876" s="1" t="n">
        <v>45715</v>
      </c>
      <c r="D4876" t="inlineStr">
        <is>
          <t>KALMAR LÄN</t>
        </is>
      </c>
      <c r="E4876" t="inlineStr">
        <is>
          <t>VIMMERBY</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40218-2021</t>
        </is>
      </c>
      <c r="B4877" s="1" t="n">
        <v>44419</v>
      </c>
      <c r="C4877" s="1" t="n">
        <v>45715</v>
      </c>
      <c r="D4877" t="inlineStr">
        <is>
          <t>KALMAR LÄN</t>
        </is>
      </c>
      <c r="E4877" t="inlineStr">
        <is>
          <t>KALMAR</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40376-2021</t>
        </is>
      </c>
      <c r="B4878" s="1" t="n">
        <v>44419</v>
      </c>
      <c r="C4878" s="1" t="n">
        <v>45715</v>
      </c>
      <c r="D4878" t="inlineStr">
        <is>
          <t>KALMAR LÄN</t>
        </is>
      </c>
      <c r="E4878" t="inlineStr">
        <is>
          <t>NYBRO</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40428-2021</t>
        </is>
      </c>
      <c r="B4879" s="1" t="n">
        <v>44419</v>
      </c>
      <c r="C4879" s="1" t="n">
        <v>45715</v>
      </c>
      <c r="D4879" t="inlineStr">
        <is>
          <t>KALMAR LÄN</t>
        </is>
      </c>
      <c r="E4879" t="inlineStr">
        <is>
          <t>HULTSFRED</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40375-2021</t>
        </is>
      </c>
      <c r="B4880" s="1" t="n">
        <v>44419</v>
      </c>
      <c r="C4880" s="1" t="n">
        <v>45715</v>
      </c>
      <c r="D4880" t="inlineStr">
        <is>
          <t>KALMAR LÄN</t>
        </is>
      </c>
      <c r="E4880" t="inlineStr">
        <is>
          <t>NYBRO</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40405-2021</t>
        </is>
      </c>
      <c r="B4881" s="1" t="n">
        <v>44419</v>
      </c>
      <c r="C4881" s="1" t="n">
        <v>45715</v>
      </c>
      <c r="D4881" t="inlineStr">
        <is>
          <t>KALMAR LÄN</t>
        </is>
      </c>
      <c r="E4881" t="inlineStr">
        <is>
          <t>MÖNSTERÅS</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40557-2021</t>
        </is>
      </c>
      <c r="B4882" s="1" t="n">
        <v>44420</v>
      </c>
      <c r="C4882" s="1" t="n">
        <v>45715</v>
      </c>
      <c r="D4882" t="inlineStr">
        <is>
          <t>KALMAR LÄN</t>
        </is>
      </c>
      <c r="E4882" t="inlineStr">
        <is>
          <t>HÖGSBY</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40617-2021</t>
        </is>
      </c>
      <c r="B4883" s="1" t="n">
        <v>44420</v>
      </c>
      <c r="C4883" s="1" t="n">
        <v>45715</v>
      </c>
      <c r="D4883" t="inlineStr">
        <is>
          <t>KALMAR LÄN</t>
        </is>
      </c>
      <c r="E4883" t="inlineStr">
        <is>
          <t>HULTSFRED</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40569-2021</t>
        </is>
      </c>
      <c r="B4884" s="1" t="n">
        <v>44420</v>
      </c>
      <c r="C4884" s="1" t="n">
        <v>45715</v>
      </c>
      <c r="D4884" t="inlineStr">
        <is>
          <t>KALMAR LÄN</t>
        </is>
      </c>
      <c r="E4884" t="inlineStr">
        <is>
          <t>TORSÅS</t>
        </is>
      </c>
      <c r="G4884" t="n">
        <v>6.1</v>
      </c>
      <c r="H4884" t="n">
        <v>0</v>
      </c>
      <c r="I4884" t="n">
        <v>0</v>
      </c>
      <c r="J4884" t="n">
        <v>0</v>
      </c>
      <c r="K4884" t="n">
        <v>0</v>
      </c>
      <c r="L4884" t="n">
        <v>0</v>
      </c>
      <c r="M4884" t="n">
        <v>0</v>
      </c>
      <c r="N4884" t="n">
        <v>0</v>
      </c>
      <c r="O4884" t="n">
        <v>0</v>
      </c>
      <c r="P4884" t="n">
        <v>0</v>
      </c>
      <c r="Q4884" t="n">
        <v>0</v>
      </c>
      <c r="R4884" s="2" t="inlineStr"/>
    </row>
    <row r="4885" ht="15" customHeight="1">
      <c r="A4885" t="inlineStr">
        <is>
          <t>A 40598-2021</t>
        </is>
      </c>
      <c r="B4885" s="1" t="n">
        <v>44420</v>
      </c>
      <c r="C4885" s="1" t="n">
        <v>45715</v>
      </c>
      <c r="D4885" t="inlineStr">
        <is>
          <t>KALMAR LÄN</t>
        </is>
      </c>
      <c r="E4885" t="inlineStr">
        <is>
          <t>HULTSFRED</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40596-2021</t>
        </is>
      </c>
      <c r="B4886" s="1" t="n">
        <v>44420</v>
      </c>
      <c r="C4886" s="1" t="n">
        <v>45715</v>
      </c>
      <c r="D4886" t="inlineStr">
        <is>
          <t>KALMAR LÄN</t>
        </is>
      </c>
      <c r="E4886" t="inlineStr">
        <is>
          <t>HULTSFRED</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40686-2021</t>
        </is>
      </c>
      <c r="B4887" s="1" t="n">
        <v>44420</v>
      </c>
      <c r="C4887" s="1" t="n">
        <v>45715</v>
      </c>
      <c r="D4887" t="inlineStr">
        <is>
          <t>KALMAR LÄN</t>
        </is>
      </c>
      <c r="E4887" t="inlineStr">
        <is>
          <t>HÖGSBY</t>
        </is>
      </c>
      <c r="G4887" t="n">
        <v>8.1</v>
      </c>
      <c r="H4887" t="n">
        <v>0</v>
      </c>
      <c r="I4887" t="n">
        <v>0</v>
      </c>
      <c r="J4887" t="n">
        <v>0</v>
      </c>
      <c r="K4887" t="n">
        <v>0</v>
      </c>
      <c r="L4887" t="n">
        <v>0</v>
      </c>
      <c r="M4887" t="n">
        <v>0</v>
      </c>
      <c r="N4887" t="n">
        <v>0</v>
      </c>
      <c r="O4887" t="n">
        <v>0</v>
      </c>
      <c r="P4887" t="n">
        <v>0</v>
      </c>
      <c r="Q4887" t="n">
        <v>0</v>
      </c>
      <c r="R4887" s="2" t="inlineStr"/>
    </row>
    <row r="4888" ht="15" customHeight="1">
      <c r="A4888" t="inlineStr">
        <is>
          <t>A 40786-2021</t>
        </is>
      </c>
      <c r="B4888" s="1" t="n">
        <v>44421</v>
      </c>
      <c r="C4888" s="1" t="n">
        <v>45715</v>
      </c>
      <c r="D4888" t="inlineStr">
        <is>
          <t>KALMAR LÄN</t>
        </is>
      </c>
      <c r="E4888" t="inlineStr">
        <is>
          <t>NYBRO</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40971-2021</t>
        </is>
      </c>
      <c r="B4889" s="1" t="n">
        <v>44421</v>
      </c>
      <c r="C4889" s="1" t="n">
        <v>45715</v>
      </c>
      <c r="D4889" t="inlineStr">
        <is>
          <t>KALMAR LÄN</t>
        </is>
      </c>
      <c r="E4889" t="inlineStr">
        <is>
          <t>VIMMERBY</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40920-2021</t>
        </is>
      </c>
      <c r="B4890" s="1" t="n">
        <v>44421</v>
      </c>
      <c r="C4890" s="1" t="n">
        <v>45715</v>
      </c>
      <c r="D4890" t="inlineStr">
        <is>
          <t>KALMAR LÄN</t>
        </is>
      </c>
      <c r="E4890" t="inlineStr">
        <is>
          <t>HÖGSBY</t>
        </is>
      </c>
      <c r="F4890" t="inlineStr">
        <is>
          <t>Sveaskog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40838-2021</t>
        </is>
      </c>
      <c r="B4891" s="1" t="n">
        <v>44421</v>
      </c>
      <c r="C4891" s="1" t="n">
        <v>45715</v>
      </c>
      <c r="D4891" t="inlineStr">
        <is>
          <t>KALMAR LÄN</t>
        </is>
      </c>
      <c r="E4891" t="inlineStr">
        <is>
          <t>KALMAR</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41002-2021</t>
        </is>
      </c>
      <c r="B4892" s="1" t="n">
        <v>44421</v>
      </c>
      <c r="C4892" s="1" t="n">
        <v>45715</v>
      </c>
      <c r="D4892" t="inlineStr">
        <is>
          <t>KALMAR LÄN</t>
        </is>
      </c>
      <c r="E4892" t="inlineStr">
        <is>
          <t>EMMABODA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41006-2021</t>
        </is>
      </c>
      <c r="B4893" s="1" t="n">
        <v>44421</v>
      </c>
      <c r="C4893" s="1" t="n">
        <v>45715</v>
      </c>
      <c r="D4893" t="inlineStr">
        <is>
          <t>KALMAR LÄN</t>
        </is>
      </c>
      <c r="E4893" t="inlineStr">
        <is>
          <t>EMMABODA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41446-2021</t>
        </is>
      </c>
      <c r="B4894" s="1" t="n">
        <v>44424</v>
      </c>
      <c r="C4894" s="1" t="n">
        <v>45715</v>
      </c>
      <c r="D4894" t="inlineStr">
        <is>
          <t>KALMAR LÄN</t>
        </is>
      </c>
      <c r="E4894" t="inlineStr">
        <is>
          <t>EMMABODA</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41393-2021</t>
        </is>
      </c>
      <c r="B4895" s="1" t="n">
        <v>44424</v>
      </c>
      <c r="C4895" s="1" t="n">
        <v>45715</v>
      </c>
      <c r="D4895" t="inlineStr">
        <is>
          <t>KALMAR LÄN</t>
        </is>
      </c>
      <c r="E4895" t="inlineStr">
        <is>
          <t>EMMABODA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41444-2021</t>
        </is>
      </c>
      <c r="B4896" s="1" t="n">
        <v>44424</v>
      </c>
      <c r="C4896" s="1" t="n">
        <v>45715</v>
      </c>
      <c r="D4896" t="inlineStr">
        <is>
          <t>KALMAR LÄN</t>
        </is>
      </c>
      <c r="E4896" t="inlineStr">
        <is>
          <t>EMMABODA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41937-2021</t>
        </is>
      </c>
      <c r="B4897" s="1" t="n">
        <v>44426</v>
      </c>
      <c r="C4897" s="1" t="n">
        <v>45715</v>
      </c>
      <c r="D4897" t="inlineStr">
        <is>
          <t>KALMAR LÄN</t>
        </is>
      </c>
      <c r="E4897" t="inlineStr">
        <is>
          <t>OSKARSHAMN</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41936-2021</t>
        </is>
      </c>
      <c r="B4898" s="1" t="n">
        <v>44426</v>
      </c>
      <c r="C4898" s="1" t="n">
        <v>45715</v>
      </c>
      <c r="D4898" t="inlineStr">
        <is>
          <t>KALMAR LÄN</t>
        </is>
      </c>
      <c r="E4898" t="inlineStr">
        <is>
          <t>OSKARSHAMN</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42039-2021</t>
        </is>
      </c>
      <c r="B4899" s="1" t="n">
        <v>44426</v>
      </c>
      <c r="C4899" s="1" t="n">
        <v>45715</v>
      </c>
      <c r="D4899" t="inlineStr">
        <is>
          <t>KALMAR LÄN</t>
        </is>
      </c>
      <c r="E4899" t="inlineStr">
        <is>
          <t>OSKARSHAMN</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42052-2021</t>
        </is>
      </c>
      <c r="B4900" s="1" t="n">
        <v>44426</v>
      </c>
      <c r="C4900" s="1" t="n">
        <v>45715</v>
      </c>
      <c r="D4900" t="inlineStr">
        <is>
          <t>KALMAR LÄN</t>
        </is>
      </c>
      <c r="E4900" t="inlineStr">
        <is>
          <t>VÄSTERVIK</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42055-2021</t>
        </is>
      </c>
      <c r="B4901" s="1" t="n">
        <v>44426</v>
      </c>
      <c r="C4901" s="1" t="n">
        <v>45715</v>
      </c>
      <c r="D4901" t="inlineStr">
        <is>
          <t>KALMAR LÄN</t>
        </is>
      </c>
      <c r="E4901" t="inlineStr">
        <is>
          <t>HULTSFRED</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42112-2021</t>
        </is>
      </c>
      <c r="B4902" s="1" t="n">
        <v>44426</v>
      </c>
      <c r="C4902" s="1" t="n">
        <v>45715</v>
      </c>
      <c r="D4902" t="inlineStr">
        <is>
          <t>KALMAR LÄN</t>
        </is>
      </c>
      <c r="E4902" t="inlineStr">
        <is>
          <t>VÄSTERVIK</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42139-2021</t>
        </is>
      </c>
      <c r="B4903" s="1" t="n">
        <v>44426</v>
      </c>
      <c r="C4903" s="1" t="n">
        <v>45715</v>
      </c>
      <c r="D4903" t="inlineStr">
        <is>
          <t>KALMAR LÄN</t>
        </is>
      </c>
      <c r="E4903" t="inlineStr">
        <is>
          <t>MÖNSTERÅS</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42111-2021</t>
        </is>
      </c>
      <c r="B4904" s="1" t="n">
        <v>44426</v>
      </c>
      <c r="C4904" s="1" t="n">
        <v>45715</v>
      </c>
      <c r="D4904" t="inlineStr">
        <is>
          <t>KALMAR LÄN</t>
        </is>
      </c>
      <c r="E4904" t="inlineStr">
        <is>
          <t>MÖNSTERÅS</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42131-2021</t>
        </is>
      </c>
      <c r="B4905" s="1" t="n">
        <v>44426</v>
      </c>
      <c r="C4905" s="1" t="n">
        <v>45715</v>
      </c>
      <c r="D4905" t="inlineStr">
        <is>
          <t>KALMAR LÄN</t>
        </is>
      </c>
      <c r="E4905" t="inlineStr">
        <is>
          <t>VÄSTERVIK</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42150-2021</t>
        </is>
      </c>
      <c r="B4906" s="1" t="n">
        <v>44426</v>
      </c>
      <c r="C4906" s="1" t="n">
        <v>45715</v>
      </c>
      <c r="D4906" t="inlineStr">
        <is>
          <t>KALMAR LÄN</t>
        </is>
      </c>
      <c r="E4906" t="inlineStr">
        <is>
          <t>VÄSTERVIK</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42125-2021</t>
        </is>
      </c>
      <c r="B4907" s="1" t="n">
        <v>44426</v>
      </c>
      <c r="C4907" s="1" t="n">
        <v>45715</v>
      </c>
      <c r="D4907" t="inlineStr">
        <is>
          <t>KALMAR LÄN</t>
        </is>
      </c>
      <c r="E4907" t="inlineStr">
        <is>
          <t>MÖNSTERÅS</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42137-2021</t>
        </is>
      </c>
      <c r="B4908" s="1" t="n">
        <v>44426</v>
      </c>
      <c r="C4908" s="1" t="n">
        <v>45715</v>
      </c>
      <c r="D4908" t="inlineStr">
        <is>
          <t>KALMAR LÄN</t>
        </is>
      </c>
      <c r="E4908" t="inlineStr">
        <is>
          <t>VÄSTERVIK</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42134-2021</t>
        </is>
      </c>
      <c r="B4909" s="1" t="n">
        <v>44426</v>
      </c>
      <c r="C4909" s="1" t="n">
        <v>45715</v>
      </c>
      <c r="D4909" t="inlineStr">
        <is>
          <t>KALMAR LÄN</t>
        </is>
      </c>
      <c r="E4909" t="inlineStr">
        <is>
          <t>MÖNSTERÅS</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42164-2021</t>
        </is>
      </c>
      <c r="B4910" s="1" t="n">
        <v>44426</v>
      </c>
      <c r="C4910" s="1" t="n">
        <v>45715</v>
      </c>
      <c r="D4910" t="inlineStr">
        <is>
          <t>KALMAR LÄN</t>
        </is>
      </c>
      <c r="E4910" t="inlineStr">
        <is>
          <t>VÄSTERVIK</t>
        </is>
      </c>
      <c r="G4910" t="n">
        <v>5.5</v>
      </c>
      <c r="H4910" t="n">
        <v>0</v>
      </c>
      <c r="I4910" t="n">
        <v>0</v>
      </c>
      <c r="J4910" t="n">
        <v>0</v>
      </c>
      <c r="K4910" t="n">
        <v>0</v>
      </c>
      <c r="L4910" t="n">
        <v>0</v>
      </c>
      <c r="M4910" t="n">
        <v>0</v>
      </c>
      <c r="N4910" t="n">
        <v>0</v>
      </c>
      <c r="O4910" t="n">
        <v>0</v>
      </c>
      <c r="P4910" t="n">
        <v>0</v>
      </c>
      <c r="Q4910" t="n">
        <v>0</v>
      </c>
      <c r="R4910" s="2" t="inlineStr"/>
      <c r="U4910">
        <f>HYPERLINK("https://klasma.github.io/Logging_0883/knärot/A 42164-2021 karta knärot.png", "A 42164-2021")</f>
        <v/>
      </c>
      <c r="V4910">
        <f>HYPERLINK("https://klasma.github.io/Logging_0883/klagomål/A 42164-2021 FSC-klagomål.docx", "A 42164-2021")</f>
        <v/>
      </c>
      <c r="W4910">
        <f>HYPERLINK("https://klasma.github.io/Logging_0883/klagomålsmail/A 42164-2021 FSC-klagomål mail.docx", "A 42164-2021")</f>
        <v/>
      </c>
      <c r="X4910">
        <f>HYPERLINK("https://klasma.github.io/Logging_0883/tillsyn/A 42164-2021 tillsynsbegäran.docx", "A 42164-2021")</f>
        <v/>
      </c>
      <c r="Y4910">
        <f>HYPERLINK("https://klasma.github.io/Logging_0883/tillsynsmail/A 42164-2021 tillsynsbegäran mail.docx", "A 42164-2021")</f>
        <v/>
      </c>
    </row>
    <row r="4911" ht="15" customHeight="1">
      <c r="A4911" t="inlineStr">
        <is>
          <t>A 42353-2021</t>
        </is>
      </c>
      <c r="B4911" s="1" t="n">
        <v>44427</v>
      </c>
      <c r="C4911" s="1" t="n">
        <v>45715</v>
      </c>
      <c r="D4911" t="inlineStr">
        <is>
          <t>KALMAR LÄN</t>
        </is>
      </c>
      <c r="E4911" t="inlineStr">
        <is>
          <t>VÄSTERVIK</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42439-2021</t>
        </is>
      </c>
      <c r="B4912" s="1" t="n">
        <v>44427</v>
      </c>
      <c r="C4912" s="1" t="n">
        <v>45715</v>
      </c>
      <c r="D4912" t="inlineStr">
        <is>
          <t>KALMAR LÄN</t>
        </is>
      </c>
      <c r="E4912" t="inlineStr">
        <is>
          <t>OSKARSHAMN</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42521-2021</t>
        </is>
      </c>
      <c r="B4913" s="1" t="n">
        <v>44427</v>
      </c>
      <c r="C4913" s="1" t="n">
        <v>45715</v>
      </c>
      <c r="D4913" t="inlineStr">
        <is>
          <t>KALMAR LÄN</t>
        </is>
      </c>
      <c r="E4913" t="inlineStr">
        <is>
          <t>VIMMERBY</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42574-2021</t>
        </is>
      </c>
      <c r="B4914" s="1" t="n">
        <v>44428</v>
      </c>
      <c r="C4914" s="1" t="n">
        <v>45715</v>
      </c>
      <c r="D4914" t="inlineStr">
        <is>
          <t>KALMAR LÄN</t>
        </is>
      </c>
      <c r="E4914" t="inlineStr">
        <is>
          <t>EMMABODA</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42594-2021</t>
        </is>
      </c>
      <c r="B4915" s="1" t="n">
        <v>44428</v>
      </c>
      <c r="C4915" s="1" t="n">
        <v>45715</v>
      </c>
      <c r="D4915" t="inlineStr">
        <is>
          <t>KALMAR LÄN</t>
        </is>
      </c>
      <c r="E4915" t="inlineStr">
        <is>
          <t>OSKARSHAMN</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42761-2021</t>
        </is>
      </c>
      <c r="B4916" s="1" t="n">
        <v>44428</v>
      </c>
      <c r="C4916" s="1" t="n">
        <v>45715</v>
      </c>
      <c r="D4916" t="inlineStr">
        <is>
          <t>KALMAR LÄN</t>
        </is>
      </c>
      <c r="E4916" t="inlineStr">
        <is>
          <t>BORGHOLM</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42785-2021</t>
        </is>
      </c>
      <c r="B4917" s="1" t="n">
        <v>44428</v>
      </c>
      <c r="C4917" s="1" t="n">
        <v>45715</v>
      </c>
      <c r="D4917" t="inlineStr">
        <is>
          <t>KALMAR LÄN</t>
        </is>
      </c>
      <c r="E4917" t="inlineStr">
        <is>
          <t>BORGHOLM</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42792-2021</t>
        </is>
      </c>
      <c r="B4918" s="1" t="n">
        <v>44428</v>
      </c>
      <c r="C4918" s="1" t="n">
        <v>45715</v>
      </c>
      <c r="D4918" t="inlineStr">
        <is>
          <t>KALMAR LÄN</t>
        </is>
      </c>
      <c r="E4918" t="inlineStr">
        <is>
          <t>HULTSFRED</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42918-2021</t>
        </is>
      </c>
      <c r="B4919" s="1" t="n">
        <v>44431</v>
      </c>
      <c r="C4919" s="1" t="n">
        <v>45715</v>
      </c>
      <c r="D4919" t="inlineStr">
        <is>
          <t>KALMAR LÄN</t>
        </is>
      </c>
      <c r="E4919" t="inlineStr">
        <is>
          <t>VIMMERBY</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42965-2021</t>
        </is>
      </c>
      <c r="B4920" s="1" t="n">
        <v>44431</v>
      </c>
      <c r="C4920" s="1" t="n">
        <v>45715</v>
      </c>
      <c r="D4920" t="inlineStr">
        <is>
          <t>KALMAR LÄN</t>
        </is>
      </c>
      <c r="E4920" t="inlineStr">
        <is>
          <t>NYBRO</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42891-2021</t>
        </is>
      </c>
      <c r="B4921" s="1" t="n">
        <v>44431</v>
      </c>
      <c r="C4921" s="1" t="n">
        <v>45715</v>
      </c>
      <c r="D4921" t="inlineStr">
        <is>
          <t>KALMAR LÄN</t>
        </is>
      </c>
      <c r="E4921" t="inlineStr">
        <is>
          <t>EMMABODA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42961-2021</t>
        </is>
      </c>
      <c r="B4922" s="1" t="n">
        <v>44431</v>
      </c>
      <c r="C4922" s="1" t="n">
        <v>45715</v>
      </c>
      <c r="D4922" t="inlineStr">
        <is>
          <t>KALMAR LÄN</t>
        </is>
      </c>
      <c r="E4922" t="inlineStr">
        <is>
          <t>EMMABODA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42955-2021</t>
        </is>
      </c>
      <c r="B4923" s="1" t="n">
        <v>44431</v>
      </c>
      <c r="C4923" s="1" t="n">
        <v>45715</v>
      </c>
      <c r="D4923" t="inlineStr">
        <is>
          <t>KALMAR LÄN</t>
        </is>
      </c>
      <c r="E4923" t="inlineStr">
        <is>
          <t>NYBRO</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43186-2021</t>
        </is>
      </c>
      <c r="B4924" s="1" t="n">
        <v>44431</v>
      </c>
      <c r="C4924" s="1" t="n">
        <v>45715</v>
      </c>
      <c r="D4924" t="inlineStr">
        <is>
          <t>KALMAR LÄN</t>
        </is>
      </c>
      <c r="E4924" t="inlineStr">
        <is>
          <t>VIMMERBY</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43187-2021</t>
        </is>
      </c>
      <c r="B4925" s="1" t="n">
        <v>44431</v>
      </c>
      <c r="C4925" s="1" t="n">
        <v>45715</v>
      </c>
      <c r="D4925" t="inlineStr">
        <is>
          <t>KALMAR LÄN</t>
        </is>
      </c>
      <c r="E4925" t="inlineStr">
        <is>
          <t>OSKARSHAMN</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43260-2021</t>
        </is>
      </c>
      <c r="B4926" s="1" t="n">
        <v>44432</v>
      </c>
      <c r="C4926" s="1" t="n">
        <v>45715</v>
      </c>
      <c r="D4926" t="inlineStr">
        <is>
          <t>KALMAR LÄN</t>
        </is>
      </c>
      <c r="E4926" t="inlineStr">
        <is>
          <t>KALMAR</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43344-2021</t>
        </is>
      </c>
      <c r="B4927" s="1" t="n">
        <v>44432</v>
      </c>
      <c r="C4927" s="1" t="n">
        <v>45715</v>
      </c>
      <c r="D4927" t="inlineStr">
        <is>
          <t>KALMAR LÄN</t>
        </is>
      </c>
      <c r="E4927" t="inlineStr">
        <is>
          <t>HULTSFRED</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43477-2021</t>
        </is>
      </c>
      <c r="B4928" s="1" t="n">
        <v>44432</v>
      </c>
      <c r="C4928" s="1" t="n">
        <v>45715</v>
      </c>
      <c r="D4928" t="inlineStr">
        <is>
          <t>KALMAR LÄN</t>
        </is>
      </c>
      <c r="E4928" t="inlineStr">
        <is>
          <t>MÖNSTERÅS</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43616-2021</t>
        </is>
      </c>
      <c r="B4929" s="1" t="n">
        <v>44433</v>
      </c>
      <c r="C4929" s="1" t="n">
        <v>45715</v>
      </c>
      <c r="D4929" t="inlineStr">
        <is>
          <t>KALMAR LÄN</t>
        </is>
      </c>
      <c r="E4929" t="inlineStr">
        <is>
          <t>EMMABODA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43574-2021</t>
        </is>
      </c>
      <c r="B4930" s="1" t="n">
        <v>44433</v>
      </c>
      <c r="C4930" s="1" t="n">
        <v>45715</v>
      </c>
      <c r="D4930" t="inlineStr">
        <is>
          <t>KALMAR LÄN</t>
        </is>
      </c>
      <c r="E4930" t="inlineStr">
        <is>
          <t>HULTSFRED</t>
        </is>
      </c>
      <c r="F4930" t="inlineStr">
        <is>
          <t>Sveaskog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43619-2021</t>
        </is>
      </c>
      <c r="B4931" s="1" t="n">
        <v>44433</v>
      </c>
      <c r="C4931" s="1" t="n">
        <v>45715</v>
      </c>
      <c r="D4931" t="inlineStr">
        <is>
          <t>KALMAR LÄN</t>
        </is>
      </c>
      <c r="E4931" t="inlineStr">
        <is>
          <t>KALMAR</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43747-2021</t>
        </is>
      </c>
      <c r="B4932" s="1" t="n">
        <v>44433</v>
      </c>
      <c r="C4932" s="1" t="n">
        <v>45715</v>
      </c>
      <c r="D4932" t="inlineStr">
        <is>
          <t>KALMAR LÄN</t>
        </is>
      </c>
      <c r="E4932" t="inlineStr">
        <is>
          <t>EMMABODA</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43759-2021</t>
        </is>
      </c>
      <c r="B4933" s="1" t="n">
        <v>44433</v>
      </c>
      <c r="C4933" s="1" t="n">
        <v>45715</v>
      </c>
      <c r="D4933" t="inlineStr">
        <is>
          <t>KALMAR LÄN</t>
        </is>
      </c>
      <c r="E4933" t="inlineStr">
        <is>
          <t>VÄSTERVIK</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43774-2021</t>
        </is>
      </c>
      <c r="B4934" s="1" t="n">
        <v>44433</v>
      </c>
      <c r="C4934" s="1" t="n">
        <v>45715</v>
      </c>
      <c r="D4934" t="inlineStr">
        <is>
          <t>KALMAR LÄN</t>
        </is>
      </c>
      <c r="E4934" t="inlineStr">
        <is>
          <t>MÖNSTERÅS</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43801-2021</t>
        </is>
      </c>
      <c r="B4935" s="1" t="n">
        <v>44433</v>
      </c>
      <c r="C4935" s="1" t="n">
        <v>45715</v>
      </c>
      <c r="D4935" t="inlineStr">
        <is>
          <t>KALMAR LÄN</t>
        </is>
      </c>
      <c r="E4935" t="inlineStr">
        <is>
          <t>OSKARSHAMN</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43828-2021</t>
        </is>
      </c>
      <c r="B4936" s="1" t="n">
        <v>44433</v>
      </c>
      <c r="C4936" s="1" t="n">
        <v>45715</v>
      </c>
      <c r="D4936" t="inlineStr">
        <is>
          <t>KALMAR LÄN</t>
        </is>
      </c>
      <c r="E4936" t="inlineStr">
        <is>
          <t>VÄSTERVIK</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43805-2021</t>
        </is>
      </c>
      <c r="B4937" s="1" t="n">
        <v>44433</v>
      </c>
      <c r="C4937" s="1" t="n">
        <v>45715</v>
      </c>
      <c r="D4937" t="inlineStr">
        <is>
          <t>KALMAR LÄN</t>
        </is>
      </c>
      <c r="E4937" t="inlineStr">
        <is>
          <t>VÄSTERVIK</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43810-2021</t>
        </is>
      </c>
      <c r="B4938" s="1" t="n">
        <v>44433</v>
      </c>
      <c r="C4938" s="1" t="n">
        <v>45715</v>
      </c>
      <c r="D4938" t="inlineStr">
        <is>
          <t>KALMAR LÄN</t>
        </is>
      </c>
      <c r="E4938" t="inlineStr">
        <is>
          <t>VÄSTERVIK</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43826-2021</t>
        </is>
      </c>
      <c r="B4939" s="1" t="n">
        <v>44433</v>
      </c>
      <c r="C4939" s="1" t="n">
        <v>45715</v>
      </c>
      <c r="D4939" t="inlineStr">
        <is>
          <t>KALMAR LÄN</t>
        </is>
      </c>
      <c r="E4939" t="inlineStr">
        <is>
          <t>VÄSTERVIK</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43803-2021</t>
        </is>
      </c>
      <c r="B4940" s="1" t="n">
        <v>44433</v>
      </c>
      <c r="C4940" s="1" t="n">
        <v>45715</v>
      </c>
      <c r="D4940" t="inlineStr">
        <is>
          <t>KALMAR LÄN</t>
        </is>
      </c>
      <c r="E4940" t="inlineStr">
        <is>
          <t>VÄSTERVIK</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43802-2021</t>
        </is>
      </c>
      <c r="B4941" s="1" t="n">
        <v>44433</v>
      </c>
      <c r="C4941" s="1" t="n">
        <v>45715</v>
      </c>
      <c r="D4941" t="inlineStr">
        <is>
          <t>KALMAR LÄN</t>
        </is>
      </c>
      <c r="E4941" t="inlineStr">
        <is>
          <t>VÄSTERVIK</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43808-2021</t>
        </is>
      </c>
      <c r="B4942" s="1" t="n">
        <v>44433</v>
      </c>
      <c r="C4942" s="1" t="n">
        <v>45715</v>
      </c>
      <c r="D4942" t="inlineStr">
        <is>
          <t>KALMAR LÄN</t>
        </is>
      </c>
      <c r="E4942" t="inlineStr">
        <is>
          <t>VÄSTERVIK</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43807-2021</t>
        </is>
      </c>
      <c r="B4943" s="1" t="n">
        <v>44433</v>
      </c>
      <c r="C4943" s="1" t="n">
        <v>45715</v>
      </c>
      <c r="D4943" t="inlineStr">
        <is>
          <t>KALMAR LÄN</t>
        </is>
      </c>
      <c r="E4943" t="inlineStr">
        <is>
          <t>VÄSTERVIK</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43953-2021</t>
        </is>
      </c>
      <c r="B4944" s="1" t="n">
        <v>44434</v>
      </c>
      <c r="C4944" s="1" t="n">
        <v>45715</v>
      </c>
      <c r="D4944" t="inlineStr">
        <is>
          <t>KALMAR LÄN</t>
        </is>
      </c>
      <c r="E4944" t="inlineStr">
        <is>
          <t>VÄSTERVIK</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43986-2021</t>
        </is>
      </c>
      <c r="B4945" s="1" t="n">
        <v>44434</v>
      </c>
      <c r="C4945" s="1" t="n">
        <v>45715</v>
      </c>
      <c r="D4945" t="inlineStr">
        <is>
          <t>KALMAR LÄN</t>
        </is>
      </c>
      <c r="E4945" t="inlineStr">
        <is>
          <t>KALMAR</t>
        </is>
      </c>
      <c r="F4945" t="inlineStr">
        <is>
          <t>Sveaskog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43949-2021</t>
        </is>
      </c>
      <c r="B4946" s="1" t="n">
        <v>44434</v>
      </c>
      <c r="C4946" s="1" t="n">
        <v>45715</v>
      </c>
      <c r="D4946" t="inlineStr">
        <is>
          <t>KALMAR LÄN</t>
        </is>
      </c>
      <c r="E4946" t="inlineStr">
        <is>
          <t>OSKARSHAMN</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44103-2021</t>
        </is>
      </c>
      <c r="B4947" s="1" t="n">
        <v>44434</v>
      </c>
      <c r="C4947" s="1" t="n">
        <v>45715</v>
      </c>
      <c r="D4947" t="inlineStr">
        <is>
          <t>KALMAR LÄN</t>
        </is>
      </c>
      <c r="E4947" t="inlineStr">
        <is>
          <t>TORSÅS</t>
        </is>
      </c>
      <c r="G4947" t="n">
        <v>6.2</v>
      </c>
      <c r="H4947" t="n">
        <v>0</v>
      </c>
      <c r="I4947" t="n">
        <v>0</v>
      </c>
      <c r="J4947" t="n">
        <v>0</v>
      </c>
      <c r="K4947" t="n">
        <v>0</v>
      </c>
      <c r="L4947" t="n">
        <v>0</v>
      </c>
      <c r="M4947" t="n">
        <v>0</v>
      </c>
      <c r="N4947" t="n">
        <v>0</v>
      </c>
      <c r="O4947" t="n">
        <v>0</v>
      </c>
      <c r="P4947" t="n">
        <v>0</v>
      </c>
      <c r="Q4947" t="n">
        <v>0</v>
      </c>
      <c r="R4947" s="2" t="inlineStr"/>
    </row>
    <row r="4948" ht="15" customHeight="1">
      <c r="A4948" t="inlineStr">
        <is>
          <t>A 44139-2021</t>
        </is>
      </c>
      <c r="B4948" s="1" t="n">
        <v>44434</v>
      </c>
      <c r="C4948" s="1" t="n">
        <v>45715</v>
      </c>
      <c r="D4948" t="inlineStr">
        <is>
          <t>KALMAR LÄN</t>
        </is>
      </c>
      <c r="E4948" t="inlineStr">
        <is>
          <t>HULTSFRED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44213-2021</t>
        </is>
      </c>
      <c r="B4949" s="1" t="n">
        <v>44434</v>
      </c>
      <c r="C4949" s="1" t="n">
        <v>45715</v>
      </c>
      <c r="D4949" t="inlineStr">
        <is>
          <t>KALMAR LÄN</t>
        </is>
      </c>
      <c r="E4949" t="inlineStr">
        <is>
          <t>TORSÅS</t>
        </is>
      </c>
      <c r="F4949" t="inlineStr">
        <is>
          <t>Övriga Aktiebolag</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44455-2021</t>
        </is>
      </c>
      <c r="B4950" s="1" t="n">
        <v>44435</v>
      </c>
      <c r="C4950" s="1" t="n">
        <v>45715</v>
      </c>
      <c r="D4950" t="inlineStr">
        <is>
          <t>KALMAR LÄN</t>
        </is>
      </c>
      <c r="E4950" t="inlineStr">
        <is>
          <t>KALMAR</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44454-2021</t>
        </is>
      </c>
      <c r="B4951" s="1" t="n">
        <v>44435</v>
      </c>
      <c r="C4951" s="1" t="n">
        <v>45715</v>
      </c>
      <c r="D4951" t="inlineStr">
        <is>
          <t>KALMAR LÄN</t>
        </is>
      </c>
      <c r="E4951" t="inlineStr">
        <is>
          <t>VÄSTERVIK</t>
        </is>
      </c>
      <c r="G4951" t="n">
        <v>1.7</v>
      </c>
      <c r="H4951" t="n">
        <v>0</v>
      </c>
      <c r="I4951" t="n">
        <v>0</v>
      </c>
      <c r="J4951" t="n">
        <v>0</v>
      </c>
      <c r="K4951" t="n">
        <v>0</v>
      </c>
      <c r="L4951" t="n">
        <v>0</v>
      </c>
      <c r="M4951" t="n">
        <v>0</v>
      </c>
      <c r="N4951" t="n">
        <v>0</v>
      </c>
      <c r="O4951" t="n">
        <v>0</v>
      </c>
      <c r="P4951" t="n">
        <v>0</v>
      </c>
      <c r="Q4951" t="n">
        <v>0</v>
      </c>
      <c r="R4951" s="2" t="inlineStr"/>
      <c r="U4951">
        <f>HYPERLINK("https://klasma.github.io/Logging_0883/knärot/A 44454-2021 karta knärot.png", "A 44454-2021")</f>
        <v/>
      </c>
      <c r="V4951">
        <f>HYPERLINK("https://klasma.github.io/Logging_0883/klagomål/A 44454-2021 FSC-klagomål.docx", "A 44454-2021")</f>
        <v/>
      </c>
      <c r="W4951">
        <f>HYPERLINK("https://klasma.github.io/Logging_0883/klagomålsmail/A 44454-2021 FSC-klagomål mail.docx", "A 44454-2021")</f>
        <v/>
      </c>
      <c r="X4951">
        <f>HYPERLINK("https://klasma.github.io/Logging_0883/tillsyn/A 44454-2021 tillsynsbegäran.docx", "A 44454-2021")</f>
        <v/>
      </c>
      <c r="Y4951">
        <f>HYPERLINK("https://klasma.github.io/Logging_0883/tillsynsmail/A 44454-2021 tillsynsbegäran mail.docx", "A 44454-2021")</f>
        <v/>
      </c>
    </row>
    <row r="4952" ht="15" customHeight="1">
      <c r="A4952" t="inlineStr">
        <is>
          <t>A 44547-2021</t>
        </is>
      </c>
      <c r="B4952" s="1" t="n">
        <v>44435</v>
      </c>
      <c r="C4952" s="1" t="n">
        <v>45715</v>
      </c>
      <c r="D4952" t="inlineStr">
        <is>
          <t>KALMAR LÄN</t>
        </is>
      </c>
      <c r="E4952" t="inlineStr">
        <is>
          <t>BORGHOLM</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44631-2021</t>
        </is>
      </c>
      <c r="B4953" s="1" t="n">
        <v>44437</v>
      </c>
      <c r="C4953" s="1" t="n">
        <v>45715</v>
      </c>
      <c r="D4953" t="inlineStr">
        <is>
          <t>KALMAR LÄN</t>
        </is>
      </c>
      <c r="E4953" t="inlineStr">
        <is>
          <t>KALMAR</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44626-2021</t>
        </is>
      </c>
      <c r="B4954" s="1" t="n">
        <v>44437</v>
      </c>
      <c r="C4954" s="1" t="n">
        <v>45715</v>
      </c>
      <c r="D4954" t="inlineStr">
        <is>
          <t>KALMAR LÄN</t>
        </is>
      </c>
      <c r="E4954" t="inlineStr">
        <is>
          <t>HULTSFRED</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44668-2021</t>
        </is>
      </c>
      <c r="B4955" s="1" t="n">
        <v>44438</v>
      </c>
      <c r="C4955" s="1" t="n">
        <v>45715</v>
      </c>
      <c r="D4955" t="inlineStr">
        <is>
          <t>KALMAR LÄN</t>
        </is>
      </c>
      <c r="E4955" t="inlineStr">
        <is>
          <t>VÄSTERVIK</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44803-2021</t>
        </is>
      </c>
      <c r="B4956" s="1" t="n">
        <v>44438</v>
      </c>
      <c r="C4956" s="1" t="n">
        <v>45715</v>
      </c>
      <c r="D4956" t="inlineStr">
        <is>
          <t>KALMAR LÄN</t>
        </is>
      </c>
      <c r="E4956" t="inlineStr">
        <is>
          <t>HULTSFRED</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44977-2021</t>
        </is>
      </c>
      <c r="B4957" s="1" t="n">
        <v>44438</v>
      </c>
      <c r="C4957" s="1" t="n">
        <v>45715</v>
      </c>
      <c r="D4957" t="inlineStr">
        <is>
          <t>KALMAR LÄN</t>
        </is>
      </c>
      <c r="E4957" t="inlineStr">
        <is>
          <t>HULTSFRED</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44981-2021</t>
        </is>
      </c>
      <c r="B4958" s="1" t="n">
        <v>44438</v>
      </c>
      <c r="C4958" s="1" t="n">
        <v>45715</v>
      </c>
      <c r="D4958" t="inlineStr">
        <is>
          <t>KALMAR LÄN</t>
        </is>
      </c>
      <c r="E4958" t="inlineStr">
        <is>
          <t>KALMAR</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44980-2021</t>
        </is>
      </c>
      <c r="B4959" s="1" t="n">
        <v>44438</v>
      </c>
      <c r="C4959" s="1" t="n">
        <v>45715</v>
      </c>
      <c r="D4959" t="inlineStr">
        <is>
          <t>KALMAR LÄN</t>
        </is>
      </c>
      <c r="E4959" t="inlineStr">
        <is>
          <t>KALMAR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45306-2021</t>
        </is>
      </c>
      <c r="B4960" s="1" t="n">
        <v>44439</v>
      </c>
      <c r="C4960" s="1" t="n">
        <v>45715</v>
      </c>
      <c r="D4960" t="inlineStr">
        <is>
          <t>KALMAR LÄN</t>
        </is>
      </c>
      <c r="E4960" t="inlineStr">
        <is>
          <t>MÖNSTERÅS</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45236-2021</t>
        </is>
      </c>
      <c r="B4961" s="1" t="n">
        <v>44439</v>
      </c>
      <c r="C4961" s="1" t="n">
        <v>45715</v>
      </c>
      <c r="D4961" t="inlineStr">
        <is>
          <t>KALMAR LÄN</t>
        </is>
      </c>
      <c r="E4961" t="inlineStr">
        <is>
          <t>HULTSFRED</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45528-2021</t>
        </is>
      </c>
      <c r="B4962" s="1" t="n">
        <v>44440</v>
      </c>
      <c r="C4962" s="1" t="n">
        <v>45715</v>
      </c>
      <c r="D4962" t="inlineStr">
        <is>
          <t>KALMAR LÄN</t>
        </is>
      </c>
      <c r="E4962" t="inlineStr">
        <is>
          <t>VIMMERBY</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45390-2021</t>
        </is>
      </c>
      <c r="B4963" s="1" t="n">
        <v>44440</v>
      </c>
      <c r="C4963" s="1" t="n">
        <v>45715</v>
      </c>
      <c r="D4963" t="inlineStr">
        <is>
          <t>KALMAR LÄN</t>
        </is>
      </c>
      <c r="E4963" t="inlineStr">
        <is>
          <t>VIMMERBY</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45493-2021</t>
        </is>
      </c>
      <c r="B4964" s="1" t="n">
        <v>44440</v>
      </c>
      <c r="C4964" s="1" t="n">
        <v>45715</v>
      </c>
      <c r="D4964" t="inlineStr">
        <is>
          <t>KALMAR LÄN</t>
        </is>
      </c>
      <c r="E4964" t="inlineStr">
        <is>
          <t>OSKARSHAMN</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45417-2021</t>
        </is>
      </c>
      <c r="B4965" s="1" t="n">
        <v>44440</v>
      </c>
      <c r="C4965" s="1" t="n">
        <v>45715</v>
      </c>
      <c r="D4965" t="inlineStr">
        <is>
          <t>KALMAR LÄN</t>
        </is>
      </c>
      <c r="E4965" t="inlineStr">
        <is>
          <t>MÖNSTERÅS</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45560-2021</t>
        </is>
      </c>
      <c r="B4966" s="1" t="n">
        <v>44440</v>
      </c>
      <c r="C4966" s="1" t="n">
        <v>45715</v>
      </c>
      <c r="D4966" t="inlineStr">
        <is>
          <t>KALMAR LÄN</t>
        </is>
      </c>
      <c r="E4966" t="inlineStr">
        <is>
          <t>VIMMERBY</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45804-2021</t>
        </is>
      </c>
      <c r="B4967" s="1" t="n">
        <v>44441</v>
      </c>
      <c r="C4967" s="1" t="n">
        <v>45715</v>
      </c>
      <c r="D4967" t="inlineStr">
        <is>
          <t>KALMAR LÄN</t>
        </is>
      </c>
      <c r="E4967" t="inlineStr">
        <is>
          <t>EMMABODA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45689-2021</t>
        </is>
      </c>
      <c r="B4968" s="1" t="n">
        <v>44441</v>
      </c>
      <c r="C4968" s="1" t="n">
        <v>45715</v>
      </c>
      <c r="D4968" t="inlineStr">
        <is>
          <t>KALMAR LÄN</t>
        </is>
      </c>
      <c r="E4968" t="inlineStr">
        <is>
          <t>MÖNSTERÅS</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45954-2021</t>
        </is>
      </c>
      <c r="B4969" s="1" t="n">
        <v>44441</v>
      </c>
      <c r="C4969" s="1" t="n">
        <v>45715</v>
      </c>
      <c r="D4969" t="inlineStr">
        <is>
          <t>KALMAR LÄN</t>
        </is>
      </c>
      <c r="E4969" t="inlineStr">
        <is>
          <t>HÖGSBY</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46060-2021</t>
        </is>
      </c>
      <c r="B4970" s="1" t="n">
        <v>44441</v>
      </c>
      <c r="C4970" s="1" t="n">
        <v>45715</v>
      </c>
      <c r="D4970" t="inlineStr">
        <is>
          <t>KALMAR LÄN</t>
        </is>
      </c>
      <c r="E4970" t="inlineStr">
        <is>
          <t>HULTSFRED</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46313-2021</t>
        </is>
      </c>
      <c r="B4971" s="1" t="n">
        <v>44442</v>
      </c>
      <c r="C4971" s="1" t="n">
        <v>45715</v>
      </c>
      <c r="D4971" t="inlineStr">
        <is>
          <t>KALMAR LÄN</t>
        </is>
      </c>
      <c r="E4971" t="inlineStr">
        <is>
          <t>EMMABODA</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46312-2021</t>
        </is>
      </c>
      <c r="B4972" s="1" t="n">
        <v>44442</v>
      </c>
      <c r="C4972" s="1" t="n">
        <v>45715</v>
      </c>
      <c r="D4972" t="inlineStr">
        <is>
          <t>KALMAR LÄN</t>
        </is>
      </c>
      <c r="E4972" t="inlineStr">
        <is>
          <t>EMMABODA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46361-2021</t>
        </is>
      </c>
      <c r="B4973" s="1" t="n">
        <v>44442</v>
      </c>
      <c r="C4973" s="1" t="n">
        <v>45715</v>
      </c>
      <c r="D4973" t="inlineStr">
        <is>
          <t>KALMAR LÄN</t>
        </is>
      </c>
      <c r="E4973" t="inlineStr">
        <is>
          <t>TORSÅS</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46392-2021</t>
        </is>
      </c>
      <c r="B4974" s="1" t="n">
        <v>44443</v>
      </c>
      <c r="C4974" s="1" t="n">
        <v>45715</v>
      </c>
      <c r="D4974" t="inlineStr">
        <is>
          <t>KALMAR LÄN</t>
        </is>
      </c>
      <c r="E4974" t="inlineStr">
        <is>
          <t>OSKARSHAMN</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46507-2021</t>
        </is>
      </c>
      <c r="B4975" s="1" t="n">
        <v>44445</v>
      </c>
      <c r="C4975" s="1" t="n">
        <v>45715</v>
      </c>
      <c r="D4975" t="inlineStr">
        <is>
          <t>KALMAR LÄN</t>
        </is>
      </c>
      <c r="E4975" t="inlineStr">
        <is>
          <t>EMMABODA</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46526-2021</t>
        </is>
      </c>
      <c r="B4976" s="1" t="n">
        <v>44445</v>
      </c>
      <c r="C4976" s="1" t="n">
        <v>45715</v>
      </c>
      <c r="D4976" t="inlineStr">
        <is>
          <t>KALMAR LÄN</t>
        </is>
      </c>
      <c r="E4976" t="inlineStr">
        <is>
          <t>NYBRO</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46495-2021</t>
        </is>
      </c>
      <c r="B4977" s="1" t="n">
        <v>44445</v>
      </c>
      <c r="C4977" s="1" t="n">
        <v>45715</v>
      </c>
      <c r="D4977" t="inlineStr">
        <is>
          <t>KALMAR LÄN</t>
        </is>
      </c>
      <c r="E4977" t="inlineStr">
        <is>
          <t>TORSÅS</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46859-2021</t>
        </is>
      </c>
      <c r="B4978" s="1" t="n">
        <v>44446</v>
      </c>
      <c r="C4978" s="1" t="n">
        <v>45715</v>
      </c>
      <c r="D4978" t="inlineStr">
        <is>
          <t>KALMAR LÄN</t>
        </is>
      </c>
      <c r="E4978" t="inlineStr">
        <is>
          <t>HÖGSBY</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46855-2021</t>
        </is>
      </c>
      <c r="B4979" s="1" t="n">
        <v>44446</v>
      </c>
      <c r="C4979" s="1" t="n">
        <v>45715</v>
      </c>
      <c r="D4979" t="inlineStr">
        <is>
          <t>KALMAR LÄN</t>
        </is>
      </c>
      <c r="E4979" t="inlineStr">
        <is>
          <t>HÖGSBY</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46977-2021</t>
        </is>
      </c>
      <c r="B4980" s="1" t="n">
        <v>44446</v>
      </c>
      <c r="C4980" s="1" t="n">
        <v>45715</v>
      </c>
      <c r="D4980" t="inlineStr">
        <is>
          <t>KALMAR LÄN</t>
        </is>
      </c>
      <c r="E4980" t="inlineStr">
        <is>
          <t>OSKARSHAMN</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46981-2021</t>
        </is>
      </c>
      <c r="B4981" s="1" t="n">
        <v>44446</v>
      </c>
      <c r="C4981" s="1" t="n">
        <v>45715</v>
      </c>
      <c r="D4981" t="inlineStr">
        <is>
          <t>KALMAR LÄN</t>
        </is>
      </c>
      <c r="E4981" t="inlineStr">
        <is>
          <t>KALMAR</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46968-2021</t>
        </is>
      </c>
      <c r="B4982" s="1" t="n">
        <v>44446</v>
      </c>
      <c r="C4982" s="1" t="n">
        <v>45715</v>
      </c>
      <c r="D4982" t="inlineStr">
        <is>
          <t>KALMAR LÄN</t>
        </is>
      </c>
      <c r="E4982" t="inlineStr">
        <is>
          <t>OSKARSHAMN</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47208-2021</t>
        </is>
      </c>
      <c r="B4983" s="1" t="n">
        <v>44447</v>
      </c>
      <c r="C4983" s="1" t="n">
        <v>45715</v>
      </c>
      <c r="D4983" t="inlineStr">
        <is>
          <t>KALMAR LÄN</t>
        </is>
      </c>
      <c r="E4983" t="inlineStr">
        <is>
          <t>VIMMERBY</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47205-2021</t>
        </is>
      </c>
      <c r="B4984" s="1" t="n">
        <v>44447</v>
      </c>
      <c r="C4984" s="1" t="n">
        <v>45715</v>
      </c>
      <c r="D4984" t="inlineStr">
        <is>
          <t>KALMAR LÄN</t>
        </is>
      </c>
      <c r="E4984" t="inlineStr">
        <is>
          <t>VIMMERBY</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47219-2021</t>
        </is>
      </c>
      <c r="B4985" s="1" t="n">
        <v>44447</v>
      </c>
      <c r="C4985" s="1" t="n">
        <v>45715</v>
      </c>
      <c r="D4985" t="inlineStr">
        <is>
          <t>KALMAR LÄN</t>
        </is>
      </c>
      <c r="E4985" t="inlineStr">
        <is>
          <t>EMMABODA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47350-2021</t>
        </is>
      </c>
      <c r="B4986" s="1" t="n">
        <v>44447</v>
      </c>
      <c r="C4986" s="1" t="n">
        <v>45715</v>
      </c>
      <c r="D4986" t="inlineStr">
        <is>
          <t>KALMAR LÄN</t>
        </is>
      </c>
      <c r="E4986" t="inlineStr">
        <is>
          <t>HULTSFRED</t>
        </is>
      </c>
      <c r="F4986" t="inlineStr">
        <is>
          <t>Kommuner</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47371-2021</t>
        </is>
      </c>
      <c r="B4987" s="1" t="n">
        <v>44447</v>
      </c>
      <c r="C4987" s="1" t="n">
        <v>45715</v>
      </c>
      <c r="D4987" t="inlineStr">
        <is>
          <t>KALMAR LÄN</t>
        </is>
      </c>
      <c r="E4987" t="inlineStr">
        <is>
          <t>HULTSFRED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47404-2021</t>
        </is>
      </c>
      <c r="B4988" s="1" t="n">
        <v>44447</v>
      </c>
      <c r="C4988" s="1" t="n">
        <v>45715</v>
      </c>
      <c r="D4988" t="inlineStr">
        <is>
          <t>KALMAR LÄN</t>
        </is>
      </c>
      <c r="E4988" t="inlineStr">
        <is>
          <t>VÄSTERVIK</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47433-2021</t>
        </is>
      </c>
      <c r="B4989" s="1" t="n">
        <v>44447</v>
      </c>
      <c r="C4989" s="1" t="n">
        <v>45715</v>
      </c>
      <c r="D4989" t="inlineStr">
        <is>
          <t>KALMAR LÄN</t>
        </is>
      </c>
      <c r="E4989" t="inlineStr">
        <is>
          <t>OSKARSHAMN</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47527-2021</t>
        </is>
      </c>
      <c r="B4990" s="1" t="n">
        <v>44447</v>
      </c>
      <c r="C4990" s="1" t="n">
        <v>45715</v>
      </c>
      <c r="D4990" t="inlineStr">
        <is>
          <t>KALMAR LÄN</t>
        </is>
      </c>
      <c r="E4990" t="inlineStr">
        <is>
          <t>VÄSTERVIK</t>
        </is>
      </c>
      <c r="F4990" t="inlineStr">
        <is>
          <t>Sveaskog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47473-2021</t>
        </is>
      </c>
      <c r="B4991" s="1" t="n">
        <v>44447</v>
      </c>
      <c r="C4991" s="1" t="n">
        <v>45715</v>
      </c>
      <c r="D4991" t="inlineStr">
        <is>
          <t>KALMAR LÄN</t>
        </is>
      </c>
      <c r="E4991" t="inlineStr">
        <is>
          <t>VIMMERBY</t>
        </is>
      </c>
      <c r="F4991" t="inlineStr">
        <is>
          <t>Sveaskog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47444-2021</t>
        </is>
      </c>
      <c r="B4992" s="1" t="n">
        <v>44447</v>
      </c>
      <c r="C4992" s="1" t="n">
        <v>45715</v>
      </c>
      <c r="D4992" t="inlineStr">
        <is>
          <t>KALMAR LÄN</t>
        </is>
      </c>
      <c r="E4992" t="inlineStr">
        <is>
          <t>TORSÅS</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47525-2021</t>
        </is>
      </c>
      <c r="B4993" s="1" t="n">
        <v>44447</v>
      </c>
      <c r="C4993" s="1" t="n">
        <v>45715</v>
      </c>
      <c r="D4993" t="inlineStr">
        <is>
          <t>KALMAR LÄN</t>
        </is>
      </c>
      <c r="E4993" t="inlineStr">
        <is>
          <t>VÄSTERVIK</t>
        </is>
      </c>
      <c r="F4993" t="inlineStr">
        <is>
          <t>Sveaskog</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47507-2021</t>
        </is>
      </c>
      <c r="B4994" s="1" t="n">
        <v>44447</v>
      </c>
      <c r="C4994" s="1" t="n">
        <v>45715</v>
      </c>
      <c r="D4994" t="inlineStr">
        <is>
          <t>KALMAR LÄN</t>
        </is>
      </c>
      <c r="E4994" t="inlineStr">
        <is>
          <t>TORSÅS</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47516-2021</t>
        </is>
      </c>
      <c r="B4995" s="1" t="n">
        <v>44447</v>
      </c>
      <c r="C4995" s="1" t="n">
        <v>45715</v>
      </c>
      <c r="D4995" t="inlineStr">
        <is>
          <t>KALMAR LÄN</t>
        </is>
      </c>
      <c r="E4995" t="inlineStr">
        <is>
          <t>KALMAR</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47530-2021</t>
        </is>
      </c>
      <c r="B4996" s="1" t="n">
        <v>44447</v>
      </c>
      <c r="C4996" s="1" t="n">
        <v>45715</v>
      </c>
      <c r="D4996" t="inlineStr">
        <is>
          <t>KALMAR LÄN</t>
        </is>
      </c>
      <c r="E4996" t="inlineStr">
        <is>
          <t>VÄSTERVIK</t>
        </is>
      </c>
      <c r="F4996" t="inlineStr">
        <is>
          <t>Sveaskog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47665-2021</t>
        </is>
      </c>
      <c r="B4997" s="1" t="n">
        <v>44448</v>
      </c>
      <c r="C4997" s="1" t="n">
        <v>45715</v>
      </c>
      <c r="D4997" t="inlineStr">
        <is>
          <t>KALMAR LÄN</t>
        </is>
      </c>
      <c r="E4997" t="inlineStr">
        <is>
          <t>KALMAR</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47674-2021</t>
        </is>
      </c>
      <c r="B4998" s="1" t="n">
        <v>44448</v>
      </c>
      <c r="C4998" s="1" t="n">
        <v>45715</v>
      </c>
      <c r="D4998" t="inlineStr">
        <is>
          <t>KALMAR LÄN</t>
        </is>
      </c>
      <c r="E4998" t="inlineStr">
        <is>
          <t>KALMAR</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47622-2021</t>
        </is>
      </c>
      <c r="B4999" s="1" t="n">
        <v>44448</v>
      </c>
      <c r="C4999" s="1" t="n">
        <v>45715</v>
      </c>
      <c r="D4999" t="inlineStr">
        <is>
          <t>KALMAR LÄN</t>
        </is>
      </c>
      <c r="E4999" t="inlineStr">
        <is>
          <t>KALMAR</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47612-2021</t>
        </is>
      </c>
      <c r="B5000" s="1" t="n">
        <v>44448</v>
      </c>
      <c r="C5000" s="1" t="n">
        <v>45715</v>
      </c>
      <c r="D5000" t="inlineStr">
        <is>
          <t>KALMAR LÄN</t>
        </is>
      </c>
      <c r="E5000" t="inlineStr">
        <is>
          <t>NYBRO</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48021-2021</t>
        </is>
      </c>
      <c r="B5001" s="1" t="n">
        <v>44449</v>
      </c>
      <c r="C5001" s="1" t="n">
        <v>45715</v>
      </c>
      <c r="D5001" t="inlineStr">
        <is>
          <t>KALMAR LÄN</t>
        </is>
      </c>
      <c r="E5001" t="inlineStr">
        <is>
          <t>VÄSTERVIK</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47999-2021</t>
        </is>
      </c>
      <c r="B5002" s="1" t="n">
        <v>44449</v>
      </c>
      <c r="C5002" s="1" t="n">
        <v>45715</v>
      </c>
      <c r="D5002" t="inlineStr">
        <is>
          <t>KALMAR LÄN</t>
        </is>
      </c>
      <c r="E5002" t="inlineStr">
        <is>
          <t>EMMABODA</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48018-2021</t>
        </is>
      </c>
      <c r="B5003" s="1" t="n">
        <v>44449</v>
      </c>
      <c r="C5003" s="1" t="n">
        <v>45715</v>
      </c>
      <c r="D5003" t="inlineStr">
        <is>
          <t>KALMAR LÄN</t>
        </is>
      </c>
      <c r="E5003" t="inlineStr">
        <is>
          <t>VÄSTERVIK</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48041-2021</t>
        </is>
      </c>
      <c r="B5004" s="1" t="n">
        <v>44449</v>
      </c>
      <c r="C5004" s="1" t="n">
        <v>45715</v>
      </c>
      <c r="D5004" t="inlineStr">
        <is>
          <t>KALMAR LÄN</t>
        </is>
      </c>
      <c r="E5004" t="inlineStr">
        <is>
          <t>VÄSTERVIK</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48113-2021</t>
        </is>
      </c>
      <c r="B5005" s="1" t="n">
        <v>44449</v>
      </c>
      <c r="C5005" s="1" t="n">
        <v>45715</v>
      </c>
      <c r="D5005" t="inlineStr">
        <is>
          <t>KALMAR LÄN</t>
        </is>
      </c>
      <c r="E5005" t="inlineStr">
        <is>
          <t>EMMABODA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48217-2021</t>
        </is>
      </c>
      <c r="B5006" s="1" t="n">
        <v>44449</v>
      </c>
      <c r="C5006" s="1" t="n">
        <v>45715</v>
      </c>
      <c r="D5006" t="inlineStr">
        <is>
          <t>KALMAR LÄN</t>
        </is>
      </c>
      <c r="E5006" t="inlineStr">
        <is>
          <t>NYBRO</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48227-2021</t>
        </is>
      </c>
      <c r="B5007" s="1" t="n">
        <v>44449</v>
      </c>
      <c r="C5007" s="1" t="n">
        <v>45715</v>
      </c>
      <c r="D5007" t="inlineStr">
        <is>
          <t>KALMAR LÄN</t>
        </is>
      </c>
      <c r="E5007" t="inlineStr">
        <is>
          <t>NYBRO</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48194-2021</t>
        </is>
      </c>
      <c r="B5008" s="1" t="n">
        <v>44449</v>
      </c>
      <c r="C5008" s="1" t="n">
        <v>45715</v>
      </c>
      <c r="D5008" t="inlineStr">
        <is>
          <t>KALMAR LÄN</t>
        </is>
      </c>
      <c r="E5008" t="inlineStr">
        <is>
          <t>NYBRO</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48215-2021</t>
        </is>
      </c>
      <c r="B5009" s="1" t="n">
        <v>44449</v>
      </c>
      <c r="C5009" s="1" t="n">
        <v>45715</v>
      </c>
      <c r="D5009" t="inlineStr">
        <is>
          <t>KALMAR LÄN</t>
        </is>
      </c>
      <c r="E5009" t="inlineStr">
        <is>
          <t>NYBRO</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48209-2021</t>
        </is>
      </c>
      <c r="B5010" s="1" t="n">
        <v>44449</v>
      </c>
      <c r="C5010" s="1" t="n">
        <v>45715</v>
      </c>
      <c r="D5010" t="inlineStr">
        <is>
          <t>KALMAR LÄN</t>
        </is>
      </c>
      <c r="E5010" t="inlineStr">
        <is>
          <t>MÖNSTERÅS</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48226-2021</t>
        </is>
      </c>
      <c r="B5011" s="1" t="n">
        <v>44449</v>
      </c>
      <c r="C5011" s="1" t="n">
        <v>45715</v>
      </c>
      <c r="D5011" t="inlineStr">
        <is>
          <t>KALMAR LÄN</t>
        </is>
      </c>
      <c r="E5011" t="inlineStr">
        <is>
          <t>NYBRO</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48249-2021</t>
        </is>
      </c>
      <c r="B5012" s="1" t="n">
        <v>44449</v>
      </c>
      <c r="C5012" s="1" t="n">
        <v>45715</v>
      </c>
      <c r="D5012" t="inlineStr">
        <is>
          <t>KALMAR LÄN</t>
        </is>
      </c>
      <c r="E5012" t="inlineStr">
        <is>
          <t>HULTSFRED</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48219-2021</t>
        </is>
      </c>
      <c r="B5013" s="1" t="n">
        <v>44449</v>
      </c>
      <c r="C5013" s="1" t="n">
        <v>45715</v>
      </c>
      <c r="D5013" t="inlineStr">
        <is>
          <t>KALMAR LÄN</t>
        </is>
      </c>
      <c r="E5013" t="inlineStr">
        <is>
          <t>NYBRO</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48254-2021</t>
        </is>
      </c>
      <c r="B5014" s="1" t="n">
        <v>44449</v>
      </c>
      <c r="C5014" s="1" t="n">
        <v>45715</v>
      </c>
      <c r="D5014" t="inlineStr">
        <is>
          <t>KALMAR LÄN</t>
        </is>
      </c>
      <c r="E5014" t="inlineStr">
        <is>
          <t>VÄSTERVIK</t>
        </is>
      </c>
      <c r="F5014" t="inlineStr">
        <is>
          <t>Kyrkan</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48377-2021</t>
        </is>
      </c>
      <c r="B5015" s="1" t="n">
        <v>44451</v>
      </c>
      <c r="C5015" s="1" t="n">
        <v>45715</v>
      </c>
      <c r="D5015" t="inlineStr">
        <is>
          <t>KALMAR LÄN</t>
        </is>
      </c>
      <c r="E5015" t="inlineStr">
        <is>
          <t>VIMMERBY</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48373-2021</t>
        </is>
      </c>
      <c r="B5016" s="1" t="n">
        <v>44451</v>
      </c>
      <c r="C5016" s="1" t="n">
        <v>45715</v>
      </c>
      <c r="D5016" t="inlineStr">
        <is>
          <t>KALMAR LÄN</t>
        </is>
      </c>
      <c r="E5016" t="inlineStr">
        <is>
          <t>VIMMERBY</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48394-2021</t>
        </is>
      </c>
      <c r="B5017" s="1" t="n">
        <v>44452</v>
      </c>
      <c r="C5017" s="1" t="n">
        <v>45715</v>
      </c>
      <c r="D5017" t="inlineStr">
        <is>
          <t>KALMAR LÄN</t>
        </is>
      </c>
      <c r="E5017" t="inlineStr">
        <is>
          <t>EMMABODA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48582-2021</t>
        </is>
      </c>
      <c r="B5018" s="1" t="n">
        <v>44452</v>
      </c>
      <c r="C5018" s="1" t="n">
        <v>45715</v>
      </c>
      <c r="D5018" t="inlineStr">
        <is>
          <t>KALMAR LÄN</t>
        </is>
      </c>
      <c r="E5018" t="inlineStr">
        <is>
          <t>OSKARSHAMN</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48686-2021</t>
        </is>
      </c>
      <c r="B5019" s="1" t="n">
        <v>44452</v>
      </c>
      <c r="C5019" s="1" t="n">
        <v>45715</v>
      </c>
      <c r="D5019" t="inlineStr">
        <is>
          <t>KALMAR LÄN</t>
        </is>
      </c>
      <c r="E5019" t="inlineStr">
        <is>
          <t>TORSÅS</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48673-2021</t>
        </is>
      </c>
      <c r="B5020" s="1" t="n">
        <v>44452</v>
      </c>
      <c r="C5020" s="1" t="n">
        <v>45715</v>
      </c>
      <c r="D5020" t="inlineStr">
        <is>
          <t>KALMAR LÄN</t>
        </is>
      </c>
      <c r="E5020" t="inlineStr">
        <is>
          <t>VIMMERBY</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48732-2021</t>
        </is>
      </c>
      <c r="B5021" s="1" t="n">
        <v>44452</v>
      </c>
      <c r="C5021" s="1" t="n">
        <v>45715</v>
      </c>
      <c r="D5021" t="inlineStr">
        <is>
          <t>KALMAR LÄN</t>
        </is>
      </c>
      <c r="E5021" t="inlineStr">
        <is>
          <t>HULTSFRED</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48729-2021</t>
        </is>
      </c>
      <c r="B5022" s="1" t="n">
        <v>44452</v>
      </c>
      <c r="C5022" s="1" t="n">
        <v>45715</v>
      </c>
      <c r="D5022" t="inlineStr">
        <is>
          <t>KALMAR LÄN</t>
        </is>
      </c>
      <c r="E5022" t="inlineStr">
        <is>
          <t>HULTSFRED</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48735-2021</t>
        </is>
      </c>
      <c r="B5023" s="1" t="n">
        <v>44452</v>
      </c>
      <c r="C5023" s="1" t="n">
        <v>45715</v>
      </c>
      <c r="D5023" t="inlineStr">
        <is>
          <t>KALMAR LÄN</t>
        </is>
      </c>
      <c r="E5023" t="inlineStr">
        <is>
          <t>HULTSFRED</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49039-2021</t>
        </is>
      </c>
      <c r="B5024" s="1" t="n">
        <v>44453</v>
      </c>
      <c r="C5024" s="1" t="n">
        <v>45715</v>
      </c>
      <c r="D5024" t="inlineStr">
        <is>
          <t>KALMAR LÄN</t>
        </is>
      </c>
      <c r="E5024" t="inlineStr">
        <is>
          <t>VIMMERBY</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49051-2021</t>
        </is>
      </c>
      <c r="B5025" s="1" t="n">
        <v>44453</v>
      </c>
      <c r="C5025" s="1" t="n">
        <v>45715</v>
      </c>
      <c r="D5025" t="inlineStr">
        <is>
          <t>KALMAR LÄN</t>
        </is>
      </c>
      <c r="E5025" t="inlineStr">
        <is>
          <t>NYBRO</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49066-2021</t>
        </is>
      </c>
      <c r="B5026" s="1" t="n">
        <v>44453</v>
      </c>
      <c r="C5026" s="1" t="n">
        <v>45715</v>
      </c>
      <c r="D5026" t="inlineStr">
        <is>
          <t>KALMAR LÄN</t>
        </is>
      </c>
      <c r="E5026" t="inlineStr">
        <is>
          <t>EMMABODA</t>
        </is>
      </c>
      <c r="G5026" t="n">
        <v>8.6</v>
      </c>
      <c r="H5026" t="n">
        <v>0</v>
      </c>
      <c r="I5026" t="n">
        <v>0</v>
      </c>
      <c r="J5026" t="n">
        <v>0</v>
      </c>
      <c r="K5026" t="n">
        <v>0</v>
      </c>
      <c r="L5026" t="n">
        <v>0</v>
      </c>
      <c r="M5026" t="n">
        <v>0</v>
      </c>
      <c r="N5026" t="n">
        <v>0</v>
      </c>
      <c r="O5026" t="n">
        <v>0</v>
      </c>
      <c r="P5026" t="n">
        <v>0</v>
      </c>
      <c r="Q5026" t="n">
        <v>0</v>
      </c>
      <c r="R5026" s="2" t="inlineStr"/>
    </row>
    <row r="5027" ht="15" customHeight="1">
      <c r="A5027" t="inlineStr">
        <is>
          <t>A 49054-2021</t>
        </is>
      </c>
      <c r="B5027" s="1" t="n">
        <v>44453</v>
      </c>
      <c r="C5027" s="1" t="n">
        <v>45715</v>
      </c>
      <c r="D5027" t="inlineStr">
        <is>
          <t>KALMAR LÄN</t>
        </is>
      </c>
      <c r="E5027" t="inlineStr">
        <is>
          <t>TORSÅS</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49205-2021</t>
        </is>
      </c>
      <c r="B5028" s="1" t="n">
        <v>44454</v>
      </c>
      <c r="C5028" s="1" t="n">
        <v>45715</v>
      </c>
      <c r="D5028" t="inlineStr">
        <is>
          <t>KALMAR LÄN</t>
        </is>
      </c>
      <c r="E5028" t="inlineStr">
        <is>
          <t>MÖNSTERÅS</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49307-2021</t>
        </is>
      </c>
      <c r="B5029" s="1" t="n">
        <v>44454</v>
      </c>
      <c r="C5029" s="1" t="n">
        <v>45715</v>
      </c>
      <c r="D5029" t="inlineStr">
        <is>
          <t>KALMAR LÄN</t>
        </is>
      </c>
      <c r="E5029" t="inlineStr">
        <is>
          <t>EMMABODA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49282-2021</t>
        </is>
      </c>
      <c r="B5030" s="1" t="n">
        <v>44454</v>
      </c>
      <c r="C5030" s="1" t="n">
        <v>45715</v>
      </c>
      <c r="D5030" t="inlineStr">
        <is>
          <t>KALMAR LÄN</t>
        </is>
      </c>
      <c r="E5030" t="inlineStr">
        <is>
          <t>KALMAR</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49304-2021</t>
        </is>
      </c>
      <c r="B5031" s="1" t="n">
        <v>44454</v>
      </c>
      <c r="C5031" s="1" t="n">
        <v>45715</v>
      </c>
      <c r="D5031" t="inlineStr">
        <is>
          <t>KALMAR LÄN</t>
        </is>
      </c>
      <c r="E5031" t="inlineStr">
        <is>
          <t>EMMABODA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49183-2021</t>
        </is>
      </c>
      <c r="B5032" s="1" t="n">
        <v>44454</v>
      </c>
      <c r="C5032" s="1" t="n">
        <v>45715</v>
      </c>
      <c r="D5032" t="inlineStr">
        <is>
          <t>KALMAR LÄN</t>
        </is>
      </c>
      <c r="E5032" t="inlineStr">
        <is>
          <t>EMMABODA</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49283-2021</t>
        </is>
      </c>
      <c r="B5033" s="1" t="n">
        <v>44454</v>
      </c>
      <c r="C5033" s="1" t="n">
        <v>45715</v>
      </c>
      <c r="D5033" t="inlineStr">
        <is>
          <t>KALMAR LÄN</t>
        </is>
      </c>
      <c r="E5033" t="inlineStr">
        <is>
          <t>KALMAR</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49402-2021</t>
        </is>
      </c>
      <c r="B5034" s="1" t="n">
        <v>44454</v>
      </c>
      <c r="C5034" s="1" t="n">
        <v>45715</v>
      </c>
      <c r="D5034" t="inlineStr">
        <is>
          <t>KALMAR LÄN</t>
        </is>
      </c>
      <c r="E5034" t="inlineStr">
        <is>
          <t>VÄSTERVIK</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49407-2021</t>
        </is>
      </c>
      <c r="B5035" s="1" t="n">
        <v>44454</v>
      </c>
      <c r="C5035" s="1" t="n">
        <v>45715</v>
      </c>
      <c r="D5035" t="inlineStr">
        <is>
          <t>KALMAR LÄN</t>
        </is>
      </c>
      <c r="E5035" t="inlineStr">
        <is>
          <t>VÄSTERVIK</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49398-2021</t>
        </is>
      </c>
      <c r="B5036" s="1" t="n">
        <v>44454</v>
      </c>
      <c r="C5036" s="1" t="n">
        <v>45715</v>
      </c>
      <c r="D5036" t="inlineStr">
        <is>
          <t>KALMAR LÄN</t>
        </is>
      </c>
      <c r="E5036" t="inlineStr">
        <is>
          <t>VÄSTERVIK</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49404-2021</t>
        </is>
      </c>
      <c r="B5037" s="1" t="n">
        <v>44454</v>
      </c>
      <c r="C5037" s="1" t="n">
        <v>45715</v>
      </c>
      <c r="D5037" t="inlineStr">
        <is>
          <t>KALMAR LÄN</t>
        </is>
      </c>
      <c r="E5037" t="inlineStr">
        <is>
          <t>VÄSTERVIK</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49471-2021</t>
        </is>
      </c>
      <c r="B5038" s="1" t="n">
        <v>44454</v>
      </c>
      <c r="C5038" s="1" t="n">
        <v>45715</v>
      </c>
      <c r="D5038" t="inlineStr">
        <is>
          <t>KALMAR LÄN</t>
        </is>
      </c>
      <c r="E5038" t="inlineStr">
        <is>
          <t>EMMABODA</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49632-2021</t>
        </is>
      </c>
      <c r="B5039" s="1" t="n">
        <v>44455</v>
      </c>
      <c r="C5039" s="1" t="n">
        <v>45715</v>
      </c>
      <c r="D5039" t="inlineStr">
        <is>
          <t>KALMAR LÄN</t>
        </is>
      </c>
      <c r="E5039" t="inlineStr">
        <is>
          <t>OSKARSHAMN</t>
        </is>
      </c>
      <c r="F5039" t="inlineStr">
        <is>
          <t>Sveaskog</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49639-2021</t>
        </is>
      </c>
      <c r="B5040" s="1" t="n">
        <v>44455</v>
      </c>
      <c r="C5040" s="1" t="n">
        <v>45715</v>
      </c>
      <c r="D5040" t="inlineStr">
        <is>
          <t>KALMAR LÄN</t>
        </is>
      </c>
      <c r="E5040" t="inlineStr">
        <is>
          <t>OSKARSHAMN</t>
        </is>
      </c>
      <c r="F5040" t="inlineStr">
        <is>
          <t>Sveaskog</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49499-2021</t>
        </is>
      </c>
      <c r="B5041" s="1" t="n">
        <v>44455</v>
      </c>
      <c r="C5041" s="1" t="n">
        <v>45715</v>
      </c>
      <c r="D5041" t="inlineStr">
        <is>
          <t>KALMAR LÄN</t>
        </is>
      </c>
      <c r="E5041" t="inlineStr">
        <is>
          <t>KALMAR</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49592-2021</t>
        </is>
      </c>
      <c r="B5042" s="1" t="n">
        <v>44455</v>
      </c>
      <c r="C5042" s="1" t="n">
        <v>45715</v>
      </c>
      <c r="D5042" t="inlineStr">
        <is>
          <t>KALMAR LÄN</t>
        </is>
      </c>
      <c r="E5042" t="inlineStr">
        <is>
          <t>OSKARSHAMN</t>
        </is>
      </c>
      <c r="F5042" t="inlineStr">
        <is>
          <t>Sveaskog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49498-2021</t>
        </is>
      </c>
      <c r="B5043" s="1" t="n">
        <v>44455</v>
      </c>
      <c r="C5043" s="1" t="n">
        <v>45715</v>
      </c>
      <c r="D5043" t="inlineStr">
        <is>
          <t>KALMAR LÄN</t>
        </is>
      </c>
      <c r="E5043" t="inlineStr">
        <is>
          <t>MÖNSTERÅS</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49545-2021</t>
        </is>
      </c>
      <c r="B5044" s="1" t="n">
        <v>44455</v>
      </c>
      <c r="C5044" s="1" t="n">
        <v>45715</v>
      </c>
      <c r="D5044" t="inlineStr">
        <is>
          <t>KALMAR LÄN</t>
        </is>
      </c>
      <c r="E5044" t="inlineStr">
        <is>
          <t>TORSÅS</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49626-2021</t>
        </is>
      </c>
      <c r="B5045" s="1" t="n">
        <v>44455</v>
      </c>
      <c r="C5045" s="1" t="n">
        <v>45715</v>
      </c>
      <c r="D5045" t="inlineStr">
        <is>
          <t>KALMAR LÄN</t>
        </is>
      </c>
      <c r="E5045" t="inlineStr">
        <is>
          <t>OSKARSHAMN</t>
        </is>
      </c>
      <c r="F5045" t="inlineStr">
        <is>
          <t>Sveaskog</t>
        </is>
      </c>
      <c r="G5045" t="n">
        <v>8.300000000000001</v>
      </c>
      <c r="H5045" t="n">
        <v>0</v>
      </c>
      <c r="I5045" t="n">
        <v>0</v>
      </c>
      <c r="J5045" t="n">
        <v>0</v>
      </c>
      <c r="K5045" t="n">
        <v>0</v>
      </c>
      <c r="L5045" t="n">
        <v>0</v>
      </c>
      <c r="M5045" t="n">
        <v>0</v>
      </c>
      <c r="N5045" t="n">
        <v>0</v>
      </c>
      <c r="O5045" t="n">
        <v>0</v>
      </c>
      <c r="P5045" t="n">
        <v>0</v>
      </c>
      <c r="Q5045" t="n">
        <v>0</v>
      </c>
      <c r="R5045" s="2" t="inlineStr"/>
    </row>
    <row r="5046" ht="15" customHeight="1">
      <c r="A5046" t="inlineStr">
        <is>
          <t>A 49634-2021</t>
        </is>
      </c>
      <c r="B5046" s="1" t="n">
        <v>44455</v>
      </c>
      <c r="C5046" s="1" t="n">
        <v>45715</v>
      </c>
      <c r="D5046" t="inlineStr">
        <is>
          <t>KALMAR LÄN</t>
        </is>
      </c>
      <c r="E5046" t="inlineStr">
        <is>
          <t>OSKARSHAMN</t>
        </is>
      </c>
      <c r="F5046" t="inlineStr">
        <is>
          <t>Sveaskog</t>
        </is>
      </c>
      <c r="G5046" t="n">
        <v>9.199999999999999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49669-2021</t>
        </is>
      </c>
      <c r="B5047" s="1" t="n">
        <v>44455</v>
      </c>
      <c r="C5047" s="1" t="n">
        <v>45715</v>
      </c>
      <c r="D5047" t="inlineStr">
        <is>
          <t>KALMAR LÄN</t>
        </is>
      </c>
      <c r="E5047" t="inlineStr">
        <is>
          <t>HÖGSBY</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49751-2021</t>
        </is>
      </c>
      <c r="B5048" s="1" t="n">
        <v>44455</v>
      </c>
      <c r="C5048" s="1" t="n">
        <v>45715</v>
      </c>
      <c r="D5048" t="inlineStr">
        <is>
          <t>KALMAR LÄN</t>
        </is>
      </c>
      <c r="E5048" t="inlineStr">
        <is>
          <t>KALMAR</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49809-2021</t>
        </is>
      </c>
      <c r="B5049" s="1" t="n">
        <v>44455</v>
      </c>
      <c r="C5049" s="1" t="n">
        <v>45715</v>
      </c>
      <c r="D5049" t="inlineStr">
        <is>
          <t>KALMAR LÄN</t>
        </is>
      </c>
      <c r="E5049" t="inlineStr">
        <is>
          <t>MÖNSTERÅS</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49806-2021</t>
        </is>
      </c>
      <c r="B5050" s="1" t="n">
        <v>44455</v>
      </c>
      <c r="C5050" s="1" t="n">
        <v>45715</v>
      </c>
      <c r="D5050" t="inlineStr">
        <is>
          <t>KALMAR LÄN</t>
        </is>
      </c>
      <c r="E5050" t="inlineStr">
        <is>
          <t>MÖNSTERÅS</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49889-2021</t>
        </is>
      </c>
      <c r="B5051" s="1" t="n">
        <v>44455</v>
      </c>
      <c r="C5051" s="1" t="n">
        <v>45715</v>
      </c>
      <c r="D5051" t="inlineStr">
        <is>
          <t>KALMAR LÄN</t>
        </is>
      </c>
      <c r="E5051" t="inlineStr">
        <is>
          <t>OSKARSHAMN</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50467-2021</t>
        </is>
      </c>
      <c r="B5052" s="1" t="n">
        <v>44455</v>
      </c>
      <c r="C5052" s="1" t="n">
        <v>45715</v>
      </c>
      <c r="D5052" t="inlineStr">
        <is>
          <t>KALMAR LÄN</t>
        </is>
      </c>
      <c r="E5052" t="inlineStr">
        <is>
          <t>EMMABODA</t>
        </is>
      </c>
      <c r="F5052" t="inlineStr">
        <is>
          <t>Övriga Aktiebolag</t>
        </is>
      </c>
      <c r="G5052" t="n">
        <v>6.9</v>
      </c>
      <c r="H5052" t="n">
        <v>0</v>
      </c>
      <c r="I5052" t="n">
        <v>0</v>
      </c>
      <c r="J5052" t="n">
        <v>0</v>
      </c>
      <c r="K5052" t="n">
        <v>0</v>
      </c>
      <c r="L5052" t="n">
        <v>0</v>
      </c>
      <c r="M5052" t="n">
        <v>0</v>
      </c>
      <c r="N5052" t="n">
        <v>0</v>
      </c>
      <c r="O5052" t="n">
        <v>0</v>
      </c>
      <c r="P5052" t="n">
        <v>0</v>
      </c>
      <c r="Q5052" t="n">
        <v>0</v>
      </c>
      <c r="R5052" s="2" t="inlineStr"/>
    </row>
    <row r="5053" ht="15" customHeight="1">
      <c r="A5053" t="inlineStr">
        <is>
          <t>A 49989-2021</t>
        </is>
      </c>
      <c r="B5053" s="1" t="n">
        <v>44456</v>
      </c>
      <c r="C5053" s="1" t="n">
        <v>45715</v>
      </c>
      <c r="D5053" t="inlineStr">
        <is>
          <t>KALMAR LÄN</t>
        </is>
      </c>
      <c r="E5053" t="inlineStr">
        <is>
          <t>HULTSFRED</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50105-2021</t>
        </is>
      </c>
      <c r="B5054" s="1" t="n">
        <v>44456</v>
      </c>
      <c r="C5054" s="1" t="n">
        <v>45715</v>
      </c>
      <c r="D5054" t="inlineStr">
        <is>
          <t>KALMAR LÄN</t>
        </is>
      </c>
      <c r="E5054" t="inlineStr">
        <is>
          <t>KALMAR</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50129-2021</t>
        </is>
      </c>
      <c r="B5055" s="1" t="n">
        <v>44456</v>
      </c>
      <c r="C5055" s="1" t="n">
        <v>45715</v>
      </c>
      <c r="D5055" t="inlineStr">
        <is>
          <t>KALMAR LÄN</t>
        </is>
      </c>
      <c r="E5055" t="inlineStr">
        <is>
          <t>BORGHOLM</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50212-2021</t>
        </is>
      </c>
      <c r="B5056" s="1" t="n">
        <v>44457</v>
      </c>
      <c r="C5056" s="1" t="n">
        <v>45715</v>
      </c>
      <c r="D5056" t="inlineStr">
        <is>
          <t>KALMAR LÄN</t>
        </is>
      </c>
      <c r="E5056" t="inlineStr">
        <is>
          <t>KALMAR</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50226-2021</t>
        </is>
      </c>
      <c r="B5057" s="1" t="n">
        <v>44457</v>
      </c>
      <c r="C5057" s="1" t="n">
        <v>45715</v>
      </c>
      <c r="D5057" t="inlineStr">
        <is>
          <t>KALMAR LÄN</t>
        </is>
      </c>
      <c r="E5057" t="inlineStr">
        <is>
          <t>TORSÅS</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50208-2021</t>
        </is>
      </c>
      <c r="B5058" s="1" t="n">
        <v>44457</v>
      </c>
      <c r="C5058" s="1" t="n">
        <v>45715</v>
      </c>
      <c r="D5058" t="inlineStr">
        <is>
          <t>KALMAR LÄN</t>
        </is>
      </c>
      <c r="E5058" t="inlineStr">
        <is>
          <t>TORSÅS</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50209-2021</t>
        </is>
      </c>
      <c r="B5059" s="1" t="n">
        <v>44457</v>
      </c>
      <c r="C5059" s="1" t="n">
        <v>45715</v>
      </c>
      <c r="D5059" t="inlineStr">
        <is>
          <t>KALMAR LÄN</t>
        </is>
      </c>
      <c r="E5059" t="inlineStr">
        <is>
          <t>TORSÅS</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50211-2021</t>
        </is>
      </c>
      <c r="B5060" s="1" t="n">
        <v>44457</v>
      </c>
      <c r="C5060" s="1" t="n">
        <v>45715</v>
      </c>
      <c r="D5060" t="inlineStr">
        <is>
          <t>KALMAR LÄN</t>
        </is>
      </c>
      <c r="E5060" t="inlineStr">
        <is>
          <t>TORSÅS</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50348-2021</t>
        </is>
      </c>
      <c r="B5061" s="1" t="n">
        <v>44459</v>
      </c>
      <c r="C5061" s="1" t="n">
        <v>45715</v>
      </c>
      <c r="D5061" t="inlineStr">
        <is>
          <t>KALMAR LÄN</t>
        </is>
      </c>
      <c r="E5061" t="inlineStr">
        <is>
          <t>EMMABODA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50361-2021</t>
        </is>
      </c>
      <c r="B5062" s="1" t="n">
        <v>44459</v>
      </c>
      <c r="C5062" s="1" t="n">
        <v>45715</v>
      </c>
      <c r="D5062" t="inlineStr">
        <is>
          <t>KALMAR LÄN</t>
        </is>
      </c>
      <c r="E5062" t="inlineStr">
        <is>
          <t>HÖGSBY</t>
        </is>
      </c>
      <c r="F5062" t="inlineStr">
        <is>
          <t>Sveaskog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50489-2021</t>
        </is>
      </c>
      <c r="B5063" s="1" t="n">
        <v>44459</v>
      </c>
      <c r="C5063" s="1" t="n">
        <v>45715</v>
      </c>
      <c r="D5063" t="inlineStr">
        <is>
          <t>KALMAR LÄN</t>
        </is>
      </c>
      <c r="E5063" t="inlineStr">
        <is>
          <t>MÖNSTERÅS</t>
        </is>
      </c>
      <c r="G5063" t="n">
        <v>7.2</v>
      </c>
      <c r="H5063" t="n">
        <v>0</v>
      </c>
      <c r="I5063" t="n">
        <v>0</v>
      </c>
      <c r="J5063" t="n">
        <v>0</v>
      </c>
      <c r="K5063" t="n">
        <v>0</v>
      </c>
      <c r="L5063" t="n">
        <v>0</v>
      </c>
      <c r="M5063" t="n">
        <v>0</v>
      </c>
      <c r="N5063" t="n">
        <v>0</v>
      </c>
      <c r="O5063" t="n">
        <v>0</v>
      </c>
      <c r="P5063" t="n">
        <v>0</v>
      </c>
      <c r="Q5063" t="n">
        <v>0</v>
      </c>
      <c r="R5063" s="2" t="inlineStr"/>
    </row>
    <row r="5064" ht="15" customHeight="1">
      <c r="A5064" t="inlineStr">
        <is>
          <t>A 50605-2021</t>
        </is>
      </c>
      <c r="B5064" s="1" t="n">
        <v>44459</v>
      </c>
      <c r="C5064" s="1" t="n">
        <v>45715</v>
      </c>
      <c r="D5064" t="inlineStr">
        <is>
          <t>KALMAR LÄN</t>
        </is>
      </c>
      <c r="E5064" t="inlineStr">
        <is>
          <t>TORSÅS</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50539-2021</t>
        </is>
      </c>
      <c r="B5065" s="1" t="n">
        <v>44459</v>
      </c>
      <c r="C5065" s="1" t="n">
        <v>45715</v>
      </c>
      <c r="D5065" t="inlineStr">
        <is>
          <t>KALMAR LÄN</t>
        </is>
      </c>
      <c r="E5065" t="inlineStr">
        <is>
          <t>TORSÅS</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50576-2021</t>
        </is>
      </c>
      <c r="B5066" s="1" t="n">
        <v>44459</v>
      </c>
      <c r="C5066" s="1" t="n">
        <v>45715</v>
      </c>
      <c r="D5066" t="inlineStr">
        <is>
          <t>KALMAR LÄN</t>
        </is>
      </c>
      <c r="E5066" t="inlineStr">
        <is>
          <t>TORSÅS</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50683-2021</t>
        </is>
      </c>
      <c r="B5067" s="1" t="n">
        <v>44459</v>
      </c>
      <c r="C5067" s="1" t="n">
        <v>45715</v>
      </c>
      <c r="D5067" t="inlineStr">
        <is>
          <t>KALMAR LÄN</t>
        </is>
      </c>
      <c r="E5067" t="inlineStr">
        <is>
          <t>EMMABODA</t>
        </is>
      </c>
      <c r="F5067" t="inlineStr">
        <is>
          <t>Övriga Aktiebolag</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51049-2021</t>
        </is>
      </c>
      <c r="B5068" s="1" t="n">
        <v>44459</v>
      </c>
      <c r="C5068" s="1" t="n">
        <v>45715</v>
      </c>
      <c r="D5068" t="inlineStr">
        <is>
          <t>KALMAR LÄN</t>
        </is>
      </c>
      <c r="E5068" t="inlineStr">
        <is>
          <t>NYBRO</t>
        </is>
      </c>
      <c r="F5068" t="inlineStr">
        <is>
          <t>Kyrkan</t>
        </is>
      </c>
      <c r="G5068" t="n">
        <v>7.2</v>
      </c>
      <c r="H5068" t="n">
        <v>0</v>
      </c>
      <c r="I5068" t="n">
        <v>0</v>
      </c>
      <c r="J5068" t="n">
        <v>0</v>
      </c>
      <c r="K5068" t="n">
        <v>0</v>
      </c>
      <c r="L5068" t="n">
        <v>0</v>
      </c>
      <c r="M5068" t="n">
        <v>0</v>
      </c>
      <c r="N5068" t="n">
        <v>0</v>
      </c>
      <c r="O5068" t="n">
        <v>0</v>
      </c>
      <c r="P5068" t="n">
        <v>0</v>
      </c>
      <c r="Q5068" t="n">
        <v>0</v>
      </c>
      <c r="R5068" s="2" t="inlineStr"/>
    </row>
    <row r="5069" ht="15" customHeight="1">
      <c r="A5069" t="inlineStr">
        <is>
          <t>A 50871-2021</t>
        </is>
      </c>
      <c r="B5069" s="1" t="n">
        <v>44460</v>
      </c>
      <c r="C5069" s="1" t="n">
        <v>45715</v>
      </c>
      <c r="D5069" t="inlineStr">
        <is>
          <t>KALMAR LÄN</t>
        </is>
      </c>
      <c r="E5069" t="inlineStr">
        <is>
          <t>KALMAR</t>
        </is>
      </c>
      <c r="G5069" t="n">
        <v>5.8</v>
      </c>
      <c r="H5069" t="n">
        <v>0</v>
      </c>
      <c r="I5069" t="n">
        <v>0</v>
      </c>
      <c r="J5069" t="n">
        <v>0</v>
      </c>
      <c r="K5069" t="n">
        <v>0</v>
      </c>
      <c r="L5069" t="n">
        <v>0</v>
      </c>
      <c r="M5069" t="n">
        <v>0</v>
      </c>
      <c r="N5069" t="n">
        <v>0</v>
      </c>
      <c r="O5069" t="n">
        <v>0</v>
      </c>
      <c r="P5069" t="n">
        <v>0</v>
      </c>
      <c r="Q5069" t="n">
        <v>0</v>
      </c>
      <c r="R5069" s="2" t="inlineStr"/>
    </row>
    <row r="5070" ht="15" customHeight="1">
      <c r="A5070" t="inlineStr">
        <is>
          <t>A 50789-2021</t>
        </is>
      </c>
      <c r="B5070" s="1" t="n">
        <v>44460</v>
      </c>
      <c r="C5070" s="1" t="n">
        <v>45715</v>
      </c>
      <c r="D5070" t="inlineStr">
        <is>
          <t>KALMAR LÄN</t>
        </is>
      </c>
      <c r="E5070" t="inlineStr">
        <is>
          <t>TORSÅS</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50985-2021</t>
        </is>
      </c>
      <c r="B5071" s="1" t="n">
        <v>44460</v>
      </c>
      <c r="C5071" s="1" t="n">
        <v>45715</v>
      </c>
      <c r="D5071" t="inlineStr">
        <is>
          <t>KALMAR LÄN</t>
        </is>
      </c>
      <c r="E5071" t="inlineStr">
        <is>
          <t>NYBRO</t>
        </is>
      </c>
      <c r="G5071" t="n">
        <v>9.5</v>
      </c>
      <c r="H5071" t="n">
        <v>0</v>
      </c>
      <c r="I5071" t="n">
        <v>0</v>
      </c>
      <c r="J5071" t="n">
        <v>0</v>
      </c>
      <c r="K5071" t="n">
        <v>0</v>
      </c>
      <c r="L5071" t="n">
        <v>0</v>
      </c>
      <c r="M5071" t="n">
        <v>0</v>
      </c>
      <c r="N5071" t="n">
        <v>0</v>
      </c>
      <c r="O5071" t="n">
        <v>0</v>
      </c>
      <c r="P5071" t="n">
        <v>0</v>
      </c>
      <c r="Q5071" t="n">
        <v>0</v>
      </c>
      <c r="R5071" s="2" t="inlineStr"/>
    </row>
    <row r="5072" ht="15" customHeight="1">
      <c r="A5072" t="inlineStr">
        <is>
          <t>A 50977-2021</t>
        </is>
      </c>
      <c r="B5072" s="1" t="n">
        <v>44460</v>
      </c>
      <c r="C5072" s="1" t="n">
        <v>45715</v>
      </c>
      <c r="D5072" t="inlineStr">
        <is>
          <t>KALMAR LÄN</t>
        </is>
      </c>
      <c r="E5072" t="inlineStr">
        <is>
          <t>VÄSTERVIK</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51267-2021</t>
        </is>
      </c>
      <c r="B5073" s="1" t="n">
        <v>44460</v>
      </c>
      <c r="C5073" s="1" t="n">
        <v>45715</v>
      </c>
      <c r="D5073" t="inlineStr">
        <is>
          <t>KALMAR LÄN</t>
        </is>
      </c>
      <c r="E5073" t="inlineStr">
        <is>
          <t>EMMABODA</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51142-2021</t>
        </is>
      </c>
      <c r="B5074" s="1" t="n">
        <v>44461</v>
      </c>
      <c r="C5074" s="1" t="n">
        <v>45715</v>
      </c>
      <c r="D5074" t="inlineStr">
        <is>
          <t>KALMAR LÄN</t>
        </is>
      </c>
      <c r="E5074" t="inlineStr">
        <is>
          <t>KALMAR</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51088-2021</t>
        </is>
      </c>
      <c r="B5075" s="1" t="n">
        <v>44461</v>
      </c>
      <c r="C5075" s="1" t="n">
        <v>45715</v>
      </c>
      <c r="D5075" t="inlineStr">
        <is>
          <t>KALMAR LÄN</t>
        </is>
      </c>
      <c r="E5075" t="inlineStr">
        <is>
          <t>HÖGSBY</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51134-2021</t>
        </is>
      </c>
      <c r="B5076" s="1" t="n">
        <v>44461</v>
      </c>
      <c r="C5076" s="1" t="n">
        <v>45715</v>
      </c>
      <c r="D5076" t="inlineStr">
        <is>
          <t>KALMAR LÄN</t>
        </is>
      </c>
      <c r="E5076" t="inlineStr">
        <is>
          <t>KALMAR</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51285-2021</t>
        </is>
      </c>
      <c r="B5077" s="1" t="n">
        <v>44461</v>
      </c>
      <c r="C5077" s="1" t="n">
        <v>45715</v>
      </c>
      <c r="D5077" t="inlineStr">
        <is>
          <t>KALMAR LÄN</t>
        </is>
      </c>
      <c r="E5077" t="inlineStr">
        <is>
          <t>NYBRO</t>
        </is>
      </c>
      <c r="G5077" t="n">
        <v>6.8</v>
      </c>
      <c r="H5077" t="n">
        <v>0</v>
      </c>
      <c r="I5077" t="n">
        <v>0</v>
      </c>
      <c r="J5077" t="n">
        <v>0</v>
      </c>
      <c r="K5077" t="n">
        <v>0</v>
      </c>
      <c r="L5077" t="n">
        <v>0</v>
      </c>
      <c r="M5077" t="n">
        <v>0</v>
      </c>
      <c r="N5077" t="n">
        <v>0</v>
      </c>
      <c r="O5077" t="n">
        <v>0</v>
      </c>
      <c r="P5077" t="n">
        <v>0</v>
      </c>
      <c r="Q5077" t="n">
        <v>0</v>
      </c>
      <c r="R5077" s="2" t="inlineStr"/>
    </row>
    <row r="5078" ht="15" customHeight="1">
      <c r="A5078" t="inlineStr">
        <is>
          <t>A 51358-2021</t>
        </is>
      </c>
      <c r="B5078" s="1" t="n">
        <v>44461</v>
      </c>
      <c r="C5078" s="1" t="n">
        <v>45715</v>
      </c>
      <c r="D5078" t="inlineStr">
        <is>
          <t>KALMAR LÄN</t>
        </is>
      </c>
      <c r="E5078" t="inlineStr">
        <is>
          <t>MÖNSTERÅS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51355-2021</t>
        </is>
      </c>
      <c r="B5079" s="1" t="n">
        <v>44461</v>
      </c>
      <c r="C5079" s="1" t="n">
        <v>45715</v>
      </c>
      <c r="D5079" t="inlineStr">
        <is>
          <t>KALMAR LÄN</t>
        </is>
      </c>
      <c r="E5079" t="inlineStr">
        <is>
          <t>MÖNSTERÅS</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51379-2021</t>
        </is>
      </c>
      <c r="B5080" s="1" t="n">
        <v>44461</v>
      </c>
      <c r="C5080" s="1" t="n">
        <v>45715</v>
      </c>
      <c r="D5080" t="inlineStr">
        <is>
          <t>KALMAR LÄN</t>
        </is>
      </c>
      <c r="E5080" t="inlineStr">
        <is>
          <t>OSKARSHAMN</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51504-2021</t>
        </is>
      </c>
      <c r="B5081" s="1" t="n">
        <v>44461</v>
      </c>
      <c r="C5081" s="1" t="n">
        <v>45715</v>
      </c>
      <c r="D5081" t="inlineStr">
        <is>
          <t>KALMAR LÄN</t>
        </is>
      </c>
      <c r="E5081" t="inlineStr">
        <is>
          <t>VÄSTERVIK</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51766-2021</t>
        </is>
      </c>
      <c r="B5082" s="1" t="n">
        <v>44461</v>
      </c>
      <c r="C5082" s="1" t="n">
        <v>45715</v>
      </c>
      <c r="D5082" t="inlineStr">
        <is>
          <t>KALMAR LÄN</t>
        </is>
      </c>
      <c r="E5082" t="inlineStr">
        <is>
          <t>NYBRO</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51383-2021</t>
        </is>
      </c>
      <c r="B5083" s="1" t="n">
        <v>44461</v>
      </c>
      <c r="C5083" s="1" t="n">
        <v>45715</v>
      </c>
      <c r="D5083" t="inlineStr">
        <is>
          <t>KALMAR LÄN</t>
        </is>
      </c>
      <c r="E5083" t="inlineStr">
        <is>
          <t>OSKARSHAMN</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51799-2021</t>
        </is>
      </c>
      <c r="B5084" s="1" t="n">
        <v>44462</v>
      </c>
      <c r="C5084" s="1" t="n">
        <v>45715</v>
      </c>
      <c r="D5084" t="inlineStr">
        <is>
          <t>KALMAR LÄN</t>
        </is>
      </c>
      <c r="E5084" t="inlineStr">
        <is>
          <t>NYBRO</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51853-2021</t>
        </is>
      </c>
      <c r="B5085" s="1" t="n">
        <v>44462</v>
      </c>
      <c r="C5085" s="1" t="n">
        <v>45715</v>
      </c>
      <c r="D5085" t="inlineStr">
        <is>
          <t>KALMAR LÄN</t>
        </is>
      </c>
      <c r="E5085" t="inlineStr">
        <is>
          <t>EMMABODA</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51451-2021</t>
        </is>
      </c>
      <c r="B5086" s="1" t="n">
        <v>44462</v>
      </c>
      <c r="C5086" s="1" t="n">
        <v>45715</v>
      </c>
      <c r="D5086" t="inlineStr">
        <is>
          <t>KALMAR LÄN</t>
        </is>
      </c>
      <c r="E5086" t="inlineStr">
        <is>
          <t>EMMABODA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51511-2021</t>
        </is>
      </c>
      <c r="B5087" s="1" t="n">
        <v>44462</v>
      </c>
      <c r="C5087" s="1" t="n">
        <v>45715</v>
      </c>
      <c r="D5087" t="inlineStr">
        <is>
          <t>KALMAR LÄN</t>
        </is>
      </c>
      <c r="E5087" t="inlineStr">
        <is>
          <t>KALMAR</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51585-2021</t>
        </is>
      </c>
      <c r="B5088" s="1" t="n">
        <v>44462</v>
      </c>
      <c r="C5088" s="1" t="n">
        <v>45715</v>
      </c>
      <c r="D5088" t="inlineStr">
        <is>
          <t>KALMAR LÄN</t>
        </is>
      </c>
      <c r="E5088" t="inlineStr">
        <is>
          <t>HULTSFRED</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51471-2021</t>
        </is>
      </c>
      <c r="B5089" s="1" t="n">
        <v>44462</v>
      </c>
      <c r="C5089" s="1" t="n">
        <v>45715</v>
      </c>
      <c r="D5089" t="inlineStr">
        <is>
          <t>KALMAR LÄN</t>
        </is>
      </c>
      <c r="E5089" t="inlineStr">
        <is>
          <t>NYBRO</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51883-2021</t>
        </is>
      </c>
      <c r="B5090" s="1" t="n">
        <v>44462</v>
      </c>
      <c r="C5090" s="1" t="n">
        <v>45715</v>
      </c>
      <c r="D5090" t="inlineStr">
        <is>
          <t>KALMAR LÄN</t>
        </is>
      </c>
      <c r="E5090" t="inlineStr">
        <is>
          <t>VÄSTERVIK</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51884-2021</t>
        </is>
      </c>
      <c r="B5091" s="1" t="n">
        <v>44462</v>
      </c>
      <c r="C5091" s="1" t="n">
        <v>45715</v>
      </c>
      <c r="D5091" t="inlineStr">
        <is>
          <t>KALMAR LÄN</t>
        </is>
      </c>
      <c r="E5091" t="inlineStr">
        <is>
          <t>VÄSTERVIK</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52133-2021</t>
        </is>
      </c>
      <c r="B5092" s="1" t="n">
        <v>44462</v>
      </c>
      <c r="C5092" s="1" t="n">
        <v>45715</v>
      </c>
      <c r="D5092" t="inlineStr">
        <is>
          <t>KALMAR LÄN</t>
        </is>
      </c>
      <c r="E5092" t="inlineStr">
        <is>
          <t>NYBRO</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51972-2021</t>
        </is>
      </c>
      <c r="B5093" s="1" t="n">
        <v>44463</v>
      </c>
      <c r="C5093" s="1" t="n">
        <v>45715</v>
      </c>
      <c r="D5093" t="inlineStr">
        <is>
          <t>KALMAR LÄN</t>
        </is>
      </c>
      <c r="E5093" t="inlineStr">
        <is>
          <t>VIMMERBY</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52137-2021</t>
        </is>
      </c>
      <c r="B5094" s="1" t="n">
        <v>44463</v>
      </c>
      <c r="C5094" s="1" t="n">
        <v>45715</v>
      </c>
      <c r="D5094" t="inlineStr">
        <is>
          <t>KALMAR LÄN</t>
        </is>
      </c>
      <c r="E5094" t="inlineStr">
        <is>
          <t>NYBRO</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52155-2021</t>
        </is>
      </c>
      <c r="B5095" s="1" t="n">
        <v>44463</v>
      </c>
      <c r="C5095" s="1" t="n">
        <v>45715</v>
      </c>
      <c r="D5095" t="inlineStr">
        <is>
          <t>KALMAR LÄN</t>
        </is>
      </c>
      <c r="E5095" t="inlineStr">
        <is>
          <t>VÄSTERVIK</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52135-2021</t>
        </is>
      </c>
      <c r="B5096" s="1" t="n">
        <v>44463</v>
      </c>
      <c r="C5096" s="1" t="n">
        <v>45715</v>
      </c>
      <c r="D5096" t="inlineStr">
        <is>
          <t>KALMAR LÄN</t>
        </is>
      </c>
      <c r="E5096" t="inlineStr">
        <is>
          <t>NYBRO</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52367-2021</t>
        </is>
      </c>
      <c r="B5097" s="1" t="n">
        <v>44465</v>
      </c>
      <c r="C5097" s="1" t="n">
        <v>45715</v>
      </c>
      <c r="D5097" t="inlineStr">
        <is>
          <t>KALMAR LÄN</t>
        </is>
      </c>
      <c r="E5097" t="inlineStr">
        <is>
          <t>NYBRO</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52392-2021</t>
        </is>
      </c>
      <c r="B5098" s="1" t="n">
        <v>44466</v>
      </c>
      <c r="C5098" s="1" t="n">
        <v>45715</v>
      </c>
      <c r="D5098" t="inlineStr">
        <is>
          <t>KALMAR LÄN</t>
        </is>
      </c>
      <c r="E5098" t="inlineStr">
        <is>
          <t>EMMABODA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52470-2021</t>
        </is>
      </c>
      <c r="B5099" s="1" t="n">
        <v>44466</v>
      </c>
      <c r="C5099" s="1" t="n">
        <v>45715</v>
      </c>
      <c r="D5099" t="inlineStr">
        <is>
          <t>KALMAR LÄN</t>
        </is>
      </c>
      <c r="E5099" t="inlineStr">
        <is>
          <t>TORSÅS</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52433-2021</t>
        </is>
      </c>
      <c r="B5100" s="1" t="n">
        <v>44466</v>
      </c>
      <c r="C5100" s="1" t="n">
        <v>45715</v>
      </c>
      <c r="D5100" t="inlineStr">
        <is>
          <t>KALMAR LÄN</t>
        </is>
      </c>
      <c r="E5100" t="inlineStr">
        <is>
          <t>VIMMERBY</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52473-2021</t>
        </is>
      </c>
      <c r="B5101" s="1" t="n">
        <v>44466</v>
      </c>
      <c r="C5101" s="1" t="n">
        <v>45715</v>
      </c>
      <c r="D5101" t="inlineStr">
        <is>
          <t>KALMAR LÄN</t>
        </is>
      </c>
      <c r="E5101" t="inlineStr">
        <is>
          <t>EMMABODA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52645-2021</t>
        </is>
      </c>
      <c r="B5102" s="1" t="n">
        <v>44466</v>
      </c>
      <c r="C5102" s="1" t="n">
        <v>45715</v>
      </c>
      <c r="D5102" t="inlineStr">
        <is>
          <t>KALMAR LÄN</t>
        </is>
      </c>
      <c r="E5102" t="inlineStr">
        <is>
          <t>VÄSTERVIK</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53370-2021</t>
        </is>
      </c>
      <c r="B5103" s="1" t="n">
        <v>44466</v>
      </c>
      <c r="C5103" s="1" t="n">
        <v>45715</v>
      </c>
      <c r="D5103" t="inlineStr">
        <is>
          <t>KALMAR LÄN</t>
        </is>
      </c>
      <c r="E5103" t="inlineStr">
        <is>
          <t>TORSÅS</t>
        </is>
      </c>
      <c r="G5103" t="n">
        <v>9</v>
      </c>
      <c r="H5103" t="n">
        <v>0</v>
      </c>
      <c r="I5103" t="n">
        <v>0</v>
      </c>
      <c r="J5103" t="n">
        <v>0</v>
      </c>
      <c r="K5103" t="n">
        <v>0</v>
      </c>
      <c r="L5103" t="n">
        <v>0</v>
      </c>
      <c r="M5103" t="n">
        <v>0</v>
      </c>
      <c r="N5103" t="n">
        <v>0</v>
      </c>
      <c r="O5103" t="n">
        <v>0</v>
      </c>
      <c r="P5103" t="n">
        <v>0</v>
      </c>
      <c r="Q5103" t="n">
        <v>0</v>
      </c>
      <c r="R5103" s="2" t="inlineStr"/>
    </row>
    <row r="5104" ht="15" customHeight="1">
      <c r="A5104" t="inlineStr">
        <is>
          <t>A 52435-2021</t>
        </is>
      </c>
      <c r="B5104" s="1" t="n">
        <v>44466</v>
      </c>
      <c r="C5104" s="1" t="n">
        <v>45715</v>
      </c>
      <c r="D5104" t="inlineStr">
        <is>
          <t>KALMAR LÄN</t>
        </is>
      </c>
      <c r="E5104" t="inlineStr">
        <is>
          <t>VIMMERBY</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52745-2021</t>
        </is>
      </c>
      <c r="B5105" s="1" t="n">
        <v>44467</v>
      </c>
      <c r="C5105" s="1" t="n">
        <v>45715</v>
      </c>
      <c r="D5105" t="inlineStr">
        <is>
          <t>KALMAR LÄN</t>
        </is>
      </c>
      <c r="E5105" t="inlineStr">
        <is>
          <t>NYBRO</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52860-2021</t>
        </is>
      </c>
      <c r="B5106" s="1" t="n">
        <v>44467</v>
      </c>
      <c r="C5106" s="1" t="n">
        <v>45715</v>
      </c>
      <c r="D5106" t="inlineStr">
        <is>
          <t>KALMAR LÄN</t>
        </is>
      </c>
      <c r="E5106" t="inlineStr">
        <is>
          <t>KALMAR</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53024-2021</t>
        </is>
      </c>
      <c r="B5107" s="1" t="n">
        <v>44467</v>
      </c>
      <c r="C5107" s="1" t="n">
        <v>45715</v>
      </c>
      <c r="D5107" t="inlineStr">
        <is>
          <t>KALMAR LÄN</t>
        </is>
      </c>
      <c r="E5107" t="inlineStr">
        <is>
          <t>OSKARSHAMN</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52886-2021</t>
        </is>
      </c>
      <c r="B5108" s="1" t="n">
        <v>44467</v>
      </c>
      <c r="C5108" s="1" t="n">
        <v>45715</v>
      </c>
      <c r="D5108" t="inlineStr">
        <is>
          <t>KALMAR LÄN</t>
        </is>
      </c>
      <c r="E5108" t="inlineStr">
        <is>
          <t>TORSÅS</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53047-2021</t>
        </is>
      </c>
      <c r="B5109" s="1" t="n">
        <v>44467</v>
      </c>
      <c r="C5109" s="1" t="n">
        <v>45715</v>
      </c>
      <c r="D5109" t="inlineStr">
        <is>
          <t>KALMAR LÄN</t>
        </is>
      </c>
      <c r="E5109" t="inlineStr">
        <is>
          <t>MÖRBYLÅNGA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53083-2021</t>
        </is>
      </c>
      <c r="B5110" s="1" t="n">
        <v>44467</v>
      </c>
      <c r="C5110" s="1" t="n">
        <v>45715</v>
      </c>
      <c r="D5110" t="inlineStr">
        <is>
          <t>KALMAR LÄN</t>
        </is>
      </c>
      <c r="E5110" t="inlineStr">
        <is>
          <t>VIMMERBY</t>
        </is>
      </c>
      <c r="G5110" t="n">
        <v>6.8</v>
      </c>
      <c r="H5110" t="n">
        <v>0</v>
      </c>
      <c r="I5110" t="n">
        <v>0</v>
      </c>
      <c r="J5110" t="n">
        <v>0</v>
      </c>
      <c r="K5110" t="n">
        <v>0</v>
      </c>
      <c r="L5110" t="n">
        <v>0</v>
      </c>
      <c r="M5110" t="n">
        <v>0</v>
      </c>
      <c r="N5110" t="n">
        <v>0</v>
      </c>
      <c r="O5110" t="n">
        <v>0</v>
      </c>
      <c r="P5110" t="n">
        <v>0</v>
      </c>
      <c r="Q5110" t="n">
        <v>0</v>
      </c>
      <c r="R5110" s="2" t="inlineStr"/>
    </row>
    <row r="5111" ht="15" customHeight="1">
      <c r="A5111" t="inlineStr">
        <is>
          <t>A 52889-2021</t>
        </is>
      </c>
      <c r="B5111" s="1" t="n">
        <v>44467</v>
      </c>
      <c r="C5111" s="1" t="n">
        <v>45715</v>
      </c>
      <c r="D5111" t="inlineStr">
        <is>
          <t>KALMAR LÄN</t>
        </is>
      </c>
      <c r="E5111" t="inlineStr">
        <is>
          <t>TORSÅS</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53050-2021</t>
        </is>
      </c>
      <c r="B5112" s="1" t="n">
        <v>44467</v>
      </c>
      <c r="C5112" s="1" t="n">
        <v>45715</v>
      </c>
      <c r="D5112" t="inlineStr">
        <is>
          <t>KALMAR LÄN</t>
        </is>
      </c>
      <c r="E5112" t="inlineStr">
        <is>
          <t>BORGHOLM</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53080-2021</t>
        </is>
      </c>
      <c r="B5113" s="1" t="n">
        <v>44467</v>
      </c>
      <c r="C5113" s="1" t="n">
        <v>45715</v>
      </c>
      <c r="D5113" t="inlineStr">
        <is>
          <t>KALMAR LÄN</t>
        </is>
      </c>
      <c r="E5113" t="inlineStr">
        <is>
          <t>VIMMERBY</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53259-2021</t>
        </is>
      </c>
      <c r="B5114" s="1" t="n">
        <v>44468</v>
      </c>
      <c r="C5114" s="1" t="n">
        <v>45715</v>
      </c>
      <c r="D5114" t="inlineStr">
        <is>
          <t>KALMAR LÄN</t>
        </is>
      </c>
      <c r="E5114" t="inlineStr">
        <is>
          <t>VÄSTERVIK</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53198-2021</t>
        </is>
      </c>
      <c r="B5115" s="1" t="n">
        <v>44468</v>
      </c>
      <c r="C5115" s="1" t="n">
        <v>45715</v>
      </c>
      <c r="D5115" t="inlineStr">
        <is>
          <t>KALMAR LÄN</t>
        </is>
      </c>
      <c r="E5115" t="inlineStr">
        <is>
          <t>NYBRO</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53291-2021</t>
        </is>
      </c>
      <c r="B5116" s="1" t="n">
        <v>44468</v>
      </c>
      <c r="C5116" s="1" t="n">
        <v>45715</v>
      </c>
      <c r="D5116" t="inlineStr">
        <is>
          <t>KALMAR LÄN</t>
        </is>
      </c>
      <c r="E5116" t="inlineStr">
        <is>
          <t>HULTSFRED</t>
        </is>
      </c>
      <c r="F5116" t="inlineStr">
        <is>
          <t>Sveaskog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53254-2021</t>
        </is>
      </c>
      <c r="B5117" s="1" t="n">
        <v>44468</v>
      </c>
      <c r="C5117" s="1" t="n">
        <v>45715</v>
      </c>
      <c r="D5117" t="inlineStr">
        <is>
          <t>KALMAR LÄN</t>
        </is>
      </c>
      <c r="E5117" t="inlineStr">
        <is>
          <t>VÄSTERVIK</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53296-2021</t>
        </is>
      </c>
      <c r="B5118" s="1" t="n">
        <v>44468</v>
      </c>
      <c r="C5118" s="1" t="n">
        <v>45715</v>
      </c>
      <c r="D5118" t="inlineStr">
        <is>
          <t>KALMAR LÄN</t>
        </is>
      </c>
      <c r="E5118" t="inlineStr">
        <is>
          <t>HULTSFRED</t>
        </is>
      </c>
      <c r="F5118" t="inlineStr">
        <is>
          <t>Sveaskog</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53571-2021</t>
        </is>
      </c>
      <c r="B5119" s="1" t="n">
        <v>44468</v>
      </c>
      <c r="C5119" s="1" t="n">
        <v>45715</v>
      </c>
      <c r="D5119" t="inlineStr">
        <is>
          <t>KALMAR LÄN</t>
        </is>
      </c>
      <c r="E5119" t="inlineStr">
        <is>
          <t>TORSÅS</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53682-2021</t>
        </is>
      </c>
      <c r="B5120" s="1" t="n">
        <v>44469</v>
      </c>
      <c r="C5120" s="1" t="n">
        <v>45715</v>
      </c>
      <c r="D5120" t="inlineStr">
        <is>
          <t>KALMAR LÄN</t>
        </is>
      </c>
      <c r="E5120" t="inlineStr">
        <is>
          <t>OSKARSHAMN</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53913-2021</t>
        </is>
      </c>
      <c r="B5121" s="1" t="n">
        <v>44469</v>
      </c>
      <c r="C5121" s="1" t="n">
        <v>45715</v>
      </c>
      <c r="D5121" t="inlineStr">
        <is>
          <t>KALMAR LÄN</t>
        </is>
      </c>
      <c r="E5121" t="inlineStr">
        <is>
          <t>VÄSTERVIK</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53985-2021</t>
        </is>
      </c>
      <c r="B5122" s="1" t="n">
        <v>44470</v>
      </c>
      <c r="C5122" s="1" t="n">
        <v>45715</v>
      </c>
      <c r="D5122" t="inlineStr">
        <is>
          <t>KALMAR LÄN</t>
        </is>
      </c>
      <c r="E5122" t="inlineStr">
        <is>
          <t>EMMABODA</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54065-2021</t>
        </is>
      </c>
      <c r="B5123" s="1" t="n">
        <v>44470</v>
      </c>
      <c r="C5123" s="1" t="n">
        <v>45715</v>
      </c>
      <c r="D5123" t="inlineStr">
        <is>
          <t>KALMAR LÄN</t>
        </is>
      </c>
      <c r="E5123" t="inlineStr">
        <is>
          <t>VIMMERBY</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54209-2021</t>
        </is>
      </c>
      <c r="B5124" s="1" t="n">
        <v>44470</v>
      </c>
      <c r="C5124" s="1" t="n">
        <v>45715</v>
      </c>
      <c r="D5124" t="inlineStr">
        <is>
          <t>KALMAR LÄN</t>
        </is>
      </c>
      <c r="E5124" t="inlineStr">
        <is>
          <t>HULTSFRED</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54277-2021</t>
        </is>
      </c>
      <c r="B5125" s="1" t="n">
        <v>44470</v>
      </c>
      <c r="C5125" s="1" t="n">
        <v>45715</v>
      </c>
      <c r="D5125" t="inlineStr">
        <is>
          <t>KALMAR LÄN</t>
        </is>
      </c>
      <c r="E5125" t="inlineStr">
        <is>
          <t>OSKARSHAMN</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54238-2021</t>
        </is>
      </c>
      <c r="B5126" s="1" t="n">
        <v>44470</v>
      </c>
      <c r="C5126" s="1" t="n">
        <v>45715</v>
      </c>
      <c r="D5126" t="inlineStr">
        <is>
          <t>KALMAR LÄN</t>
        </is>
      </c>
      <c r="E5126" t="inlineStr">
        <is>
          <t>HÖGSBY</t>
        </is>
      </c>
      <c r="F5126" t="inlineStr">
        <is>
          <t>Sveaskog</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54369-2021</t>
        </is>
      </c>
      <c r="B5127" s="1" t="n">
        <v>44473</v>
      </c>
      <c r="C5127" s="1" t="n">
        <v>45715</v>
      </c>
      <c r="D5127" t="inlineStr">
        <is>
          <t>KALMAR LÄN</t>
        </is>
      </c>
      <c r="E5127" t="inlineStr">
        <is>
          <t>HULTSFRED</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54449-2021</t>
        </is>
      </c>
      <c r="B5128" s="1" t="n">
        <v>44473</v>
      </c>
      <c r="C5128" s="1" t="n">
        <v>45715</v>
      </c>
      <c r="D5128" t="inlineStr">
        <is>
          <t>KALMAR LÄN</t>
        </is>
      </c>
      <c r="E5128" t="inlineStr">
        <is>
          <t>TORSÅS</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54482-2021</t>
        </is>
      </c>
      <c r="B5129" s="1" t="n">
        <v>44473</v>
      </c>
      <c r="C5129" s="1" t="n">
        <v>45715</v>
      </c>
      <c r="D5129" t="inlineStr">
        <is>
          <t>KALMAR LÄN</t>
        </is>
      </c>
      <c r="E5129" t="inlineStr">
        <is>
          <t>EMMABODA</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54712-2021</t>
        </is>
      </c>
      <c r="B5130" s="1" t="n">
        <v>44473</v>
      </c>
      <c r="C5130" s="1" t="n">
        <v>45715</v>
      </c>
      <c r="D5130" t="inlineStr">
        <is>
          <t>KALMAR LÄN</t>
        </is>
      </c>
      <c r="E5130" t="inlineStr">
        <is>
          <t>HULTSFRED</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54733-2021</t>
        </is>
      </c>
      <c r="B5131" s="1" t="n">
        <v>44473</v>
      </c>
      <c r="C5131" s="1" t="n">
        <v>45715</v>
      </c>
      <c r="D5131" t="inlineStr">
        <is>
          <t>KALMAR LÄN</t>
        </is>
      </c>
      <c r="E5131" t="inlineStr">
        <is>
          <t>HULTSFRED</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55008-2021</t>
        </is>
      </c>
      <c r="B5132" s="1" t="n">
        <v>44474</v>
      </c>
      <c r="C5132" s="1" t="n">
        <v>45715</v>
      </c>
      <c r="D5132" t="inlineStr">
        <is>
          <t>KALMAR LÄN</t>
        </is>
      </c>
      <c r="E5132" t="inlineStr">
        <is>
          <t>VÄSTERVIK</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55103-2021</t>
        </is>
      </c>
      <c r="B5133" s="1" t="n">
        <v>44474</v>
      </c>
      <c r="C5133" s="1" t="n">
        <v>45715</v>
      </c>
      <c r="D5133" t="inlineStr">
        <is>
          <t>KALMAR LÄN</t>
        </is>
      </c>
      <c r="E5133" t="inlineStr">
        <is>
          <t>NYBRO</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55023-2021</t>
        </is>
      </c>
      <c r="B5134" s="1" t="n">
        <v>44474</v>
      </c>
      <c r="C5134" s="1" t="n">
        <v>45715</v>
      </c>
      <c r="D5134" t="inlineStr">
        <is>
          <t>KALMAR LÄN</t>
        </is>
      </c>
      <c r="E5134" t="inlineStr">
        <is>
          <t>VÄSTERVIK</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55090-2021</t>
        </is>
      </c>
      <c r="B5135" s="1" t="n">
        <v>44474</v>
      </c>
      <c r="C5135" s="1" t="n">
        <v>45715</v>
      </c>
      <c r="D5135" t="inlineStr">
        <is>
          <t>KALMAR LÄN</t>
        </is>
      </c>
      <c r="E5135" t="inlineStr">
        <is>
          <t>KALMAR</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55101-2021</t>
        </is>
      </c>
      <c r="B5136" s="1" t="n">
        <v>44474</v>
      </c>
      <c r="C5136" s="1" t="n">
        <v>45715</v>
      </c>
      <c r="D5136" t="inlineStr">
        <is>
          <t>KALMAR LÄN</t>
        </is>
      </c>
      <c r="E5136" t="inlineStr">
        <is>
          <t>TORSÅS</t>
        </is>
      </c>
      <c r="G5136" t="n">
        <v>5.3</v>
      </c>
      <c r="H5136" t="n">
        <v>0</v>
      </c>
      <c r="I5136" t="n">
        <v>0</v>
      </c>
      <c r="J5136" t="n">
        <v>0</v>
      </c>
      <c r="K5136" t="n">
        <v>0</v>
      </c>
      <c r="L5136" t="n">
        <v>0</v>
      </c>
      <c r="M5136" t="n">
        <v>0</v>
      </c>
      <c r="N5136" t="n">
        <v>0</v>
      </c>
      <c r="O5136" t="n">
        <v>0</v>
      </c>
      <c r="P5136" t="n">
        <v>0</v>
      </c>
      <c r="Q5136" t="n">
        <v>0</v>
      </c>
      <c r="R5136" s="2" t="inlineStr"/>
    </row>
    <row r="5137" ht="15" customHeight="1">
      <c r="A5137" t="inlineStr">
        <is>
          <t>A 54823-2021</t>
        </is>
      </c>
      <c r="B5137" s="1" t="n">
        <v>44474</v>
      </c>
      <c r="C5137" s="1" t="n">
        <v>45715</v>
      </c>
      <c r="D5137" t="inlineStr">
        <is>
          <t>KALMAR LÄN</t>
        </is>
      </c>
      <c r="E5137" t="inlineStr">
        <is>
          <t>EMMABODA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54944-2021</t>
        </is>
      </c>
      <c r="B5138" s="1" t="n">
        <v>44474</v>
      </c>
      <c r="C5138" s="1" t="n">
        <v>45715</v>
      </c>
      <c r="D5138" t="inlineStr">
        <is>
          <t>KALMAR LÄN</t>
        </is>
      </c>
      <c r="E5138" t="inlineStr">
        <is>
          <t>HULTSFRED</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55237-2021</t>
        </is>
      </c>
      <c r="B5139" s="1" t="n">
        <v>44475</v>
      </c>
      <c r="C5139" s="1" t="n">
        <v>45715</v>
      </c>
      <c r="D5139" t="inlineStr">
        <is>
          <t>KALMAR LÄN</t>
        </is>
      </c>
      <c r="E5139" t="inlineStr">
        <is>
          <t>KALMAR</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55279-2021</t>
        </is>
      </c>
      <c r="B5140" s="1" t="n">
        <v>44475</v>
      </c>
      <c r="C5140" s="1" t="n">
        <v>45715</v>
      </c>
      <c r="D5140" t="inlineStr">
        <is>
          <t>KALMAR LÄN</t>
        </is>
      </c>
      <c r="E5140" t="inlineStr">
        <is>
          <t>NYBRO</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55292-2021</t>
        </is>
      </c>
      <c r="B5141" s="1" t="n">
        <v>44475</v>
      </c>
      <c r="C5141" s="1" t="n">
        <v>45715</v>
      </c>
      <c r="D5141" t="inlineStr">
        <is>
          <t>KALMAR LÄN</t>
        </is>
      </c>
      <c r="E5141" t="inlineStr">
        <is>
          <t>TORSÅS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55288-2021</t>
        </is>
      </c>
      <c r="B5142" s="1" t="n">
        <v>44475</v>
      </c>
      <c r="C5142" s="1" t="n">
        <v>45715</v>
      </c>
      <c r="D5142" t="inlineStr">
        <is>
          <t>KALMAR LÄN</t>
        </is>
      </c>
      <c r="E5142" t="inlineStr">
        <is>
          <t>TORSÅS</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55300-2021</t>
        </is>
      </c>
      <c r="B5143" s="1" t="n">
        <v>44475</v>
      </c>
      <c r="C5143" s="1" t="n">
        <v>45715</v>
      </c>
      <c r="D5143" t="inlineStr">
        <is>
          <t>KALMAR LÄN</t>
        </is>
      </c>
      <c r="E5143" t="inlineStr">
        <is>
          <t>VIMMERBY</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55297-2021</t>
        </is>
      </c>
      <c r="B5144" s="1" t="n">
        <v>44475</v>
      </c>
      <c r="C5144" s="1" t="n">
        <v>45715</v>
      </c>
      <c r="D5144" t="inlineStr">
        <is>
          <t>KALMAR LÄN</t>
        </is>
      </c>
      <c r="E5144" t="inlineStr">
        <is>
          <t>VIMMERBY</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55419-2021</t>
        </is>
      </c>
      <c r="B5145" s="1" t="n">
        <v>44475</v>
      </c>
      <c r="C5145" s="1" t="n">
        <v>45715</v>
      </c>
      <c r="D5145" t="inlineStr">
        <is>
          <t>KALMAR LÄN</t>
        </is>
      </c>
      <c r="E5145" t="inlineStr">
        <is>
          <t>MÖNSTERÅS</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55531-2021</t>
        </is>
      </c>
      <c r="B5146" s="1" t="n">
        <v>44475</v>
      </c>
      <c r="C5146" s="1" t="n">
        <v>45715</v>
      </c>
      <c r="D5146" t="inlineStr">
        <is>
          <t>KALMAR LÄN</t>
        </is>
      </c>
      <c r="E5146" t="inlineStr">
        <is>
          <t>KALMAR</t>
        </is>
      </c>
      <c r="F5146" t="inlineStr">
        <is>
          <t>Kommuner</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55685-2021</t>
        </is>
      </c>
      <c r="B5147" s="1" t="n">
        <v>44475</v>
      </c>
      <c r="C5147" s="1" t="n">
        <v>45715</v>
      </c>
      <c r="D5147" t="inlineStr">
        <is>
          <t>KALMAR LÄN</t>
        </is>
      </c>
      <c r="E5147" t="inlineStr">
        <is>
          <t>NYBRO</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55674-2021</t>
        </is>
      </c>
      <c r="B5148" s="1" t="n">
        <v>44476</v>
      </c>
      <c r="C5148" s="1" t="n">
        <v>45715</v>
      </c>
      <c r="D5148" t="inlineStr">
        <is>
          <t>KALMAR LÄN</t>
        </is>
      </c>
      <c r="E5148" t="inlineStr">
        <is>
          <t>VIMMERBY</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55754-2021</t>
        </is>
      </c>
      <c r="B5149" s="1" t="n">
        <v>44476</v>
      </c>
      <c r="C5149" s="1" t="n">
        <v>45715</v>
      </c>
      <c r="D5149" t="inlineStr">
        <is>
          <t>KALMAR LÄN</t>
        </is>
      </c>
      <c r="E5149" t="inlineStr">
        <is>
          <t>TORSÅS</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55675-2021</t>
        </is>
      </c>
      <c r="B5150" s="1" t="n">
        <v>44476</v>
      </c>
      <c r="C5150" s="1" t="n">
        <v>45715</v>
      </c>
      <c r="D5150" t="inlineStr">
        <is>
          <t>KALMAR LÄN</t>
        </is>
      </c>
      <c r="E5150" t="inlineStr">
        <is>
          <t>TORSÅS</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55702-2021</t>
        </is>
      </c>
      <c r="B5151" s="1" t="n">
        <v>44476</v>
      </c>
      <c r="C5151" s="1" t="n">
        <v>45715</v>
      </c>
      <c r="D5151" t="inlineStr">
        <is>
          <t>KALMAR LÄN</t>
        </is>
      </c>
      <c r="E5151" t="inlineStr">
        <is>
          <t>OSKARSHAMN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55789-2021</t>
        </is>
      </c>
      <c r="B5152" s="1" t="n">
        <v>44476</v>
      </c>
      <c r="C5152" s="1" t="n">
        <v>45715</v>
      </c>
      <c r="D5152" t="inlineStr">
        <is>
          <t>KALMAR LÄN</t>
        </is>
      </c>
      <c r="E5152" t="inlineStr">
        <is>
          <t>KALMAR</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56030-2021</t>
        </is>
      </c>
      <c r="B5153" s="1" t="n">
        <v>44477</v>
      </c>
      <c r="C5153" s="1" t="n">
        <v>45715</v>
      </c>
      <c r="D5153" t="inlineStr">
        <is>
          <t>KALMAR LÄN</t>
        </is>
      </c>
      <c r="E5153" t="inlineStr">
        <is>
          <t>OSKARSHAMN</t>
        </is>
      </c>
      <c r="F5153" t="inlineStr">
        <is>
          <t>Övriga Aktiebolag</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56046-2021</t>
        </is>
      </c>
      <c r="B5154" s="1" t="n">
        <v>44477</v>
      </c>
      <c r="C5154" s="1" t="n">
        <v>45715</v>
      </c>
      <c r="D5154" t="inlineStr">
        <is>
          <t>KALMAR LÄN</t>
        </is>
      </c>
      <c r="E5154" t="inlineStr">
        <is>
          <t>OSKARSHAMN</t>
        </is>
      </c>
      <c r="F5154" t="inlineStr">
        <is>
          <t>Övriga Aktiebolag</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56031-2021</t>
        </is>
      </c>
      <c r="B5155" s="1" t="n">
        <v>44477</v>
      </c>
      <c r="C5155" s="1" t="n">
        <v>45715</v>
      </c>
      <c r="D5155" t="inlineStr">
        <is>
          <t>KALMAR LÄN</t>
        </is>
      </c>
      <c r="E5155" t="inlineStr">
        <is>
          <t>KALMAR</t>
        </is>
      </c>
      <c r="G5155" t="n">
        <v>9</v>
      </c>
      <c r="H5155" t="n">
        <v>0</v>
      </c>
      <c r="I5155" t="n">
        <v>0</v>
      </c>
      <c r="J5155" t="n">
        <v>0</v>
      </c>
      <c r="K5155" t="n">
        <v>0</v>
      </c>
      <c r="L5155" t="n">
        <v>0</v>
      </c>
      <c r="M5155" t="n">
        <v>0</v>
      </c>
      <c r="N5155" t="n">
        <v>0</v>
      </c>
      <c r="O5155" t="n">
        <v>0</v>
      </c>
      <c r="P5155" t="n">
        <v>0</v>
      </c>
      <c r="Q5155" t="n">
        <v>0</v>
      </c>
      <c r="R5155" s="2" t="inlineStr"/>
    </row>
    <row r="5156" ht="15" customHeight="1">
      <c r="A5156" t="inlineStr">
        <is>
          <t>A 56029-2021</t>
        </is>
      </c>
      <c r="B5156" s="1" t="n">
        <v>44477</v>
      </c>
      <c r="C5156" s="1" t="n">
        <v>45715</v>
      </c>
      <c r="D5156" t="inlineStr">
        <is>
          <t>KALMAR LÄN</t>
        </is>
      </c>
      <c r="E5156" t="inlineStr">
        <is>
          <t>VIMMERBY</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56091-2021</t>
        </is>
      </c>
      <c r="B5157" s="1" t="n">
        <v>44477</v>
      </c>
      <c r="C5157" s="1" t="n">
        <v>45715</v>
      </c>
      <c r="D5157" t="inlineStr">
        <is>
          <t>KALMAR LÄN</t>
        </is>
      </c>
      <c r="E5157" t="inlineStr">
        <is>
          <t>KALMAR</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56188-2021</t>
        </is>
      </c>
      <c r="B5158" s="1" t="n">
        <v>44477</v>
      </c>
      <c r="C5158" s="1" t="n">
        <v>45715</v>
      </c>
      <c r="D5158" t="inlineStr">
        <is>
          <t>KALMAR LÄN</t>
        </is>
      </c>
      <c r="E5158" t="inlineStr">
        <is>
          <t>BORGHOLM</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56140-2021</t>
        </is>
      </c>
      <c r="B5159" s="1" t="n">
        <v>44477</v>
      </c>
      <c r="C5159" s="1" t="n">
        <v>45715</v>
      </c>
      <c r="D5159" t="inlineStr">
        <is>
          <t>KALMAR LÄN</t>
        </is>
      </c>
      <c r="E5159" t="inlineStr">
        <is>
          <t>HULTSFRED</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56010-2021</t>
        </is>
      </c>
      <c r="B5160" s="1" t="n">
        <v>44477</v>
      </c>
      <c r="C5160" s="1" t="n">
        <v>45715</v>
      </c>
      <c r="D5160" t="inlineStr">
        <is>
          <t>KALMAR LÄN</t>
        </is>
      </c>
      <c r="E5160" t="inlineStr">
        <is>
          <t>KALMAR</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56343-2021</t>
        </is>
      </c>
      <c r="B5161" s="1" t="n">
        <v>44480</v>
      </c>
      <c r="C5161" s="1" t="n">
        <v>45715</v>
      </c>
      <c r="D5161" t="inlineStr">
        <is>
          <t>KALMAR LÄN</t>
        </is>
      </c>
      <c r="E5161" t="inlineStr">
        <is>
          <t>VIMMERBY</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56368-2021</t>
        </is>
      </c>
      <c r="B5162" s="1" t="n">
        <v>44480</v>
      </c>
      <c r="C5162" s="1" t="n">
        <v>45715</v>
      </c>
      <c r="D5162" t="inlineStr">
        <is>
          <t>KALMAR LÄN</t>
        </is>
      </c>
      <c r="E5162" t="inlineStr">
        <is>
          <t>HULTSFRED</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56308-2021</t>
        </is>
      </c>
      <c r="B5163" s="1" t="n">
        <v>44480</v>
      </c>
      <c r="C5163" s="1" t="n">
        <v>45715</v>
      </c>
      <c r="D5163" t="inlineStr">
        <is>
          <t>KALMAR LÄN</t>
        </is>
      </c>
      <c r="E5163" t="inlineStr">
        <is>
          <t>KALMAR</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56385-2021</t>
        </is>
      </c>
      <c r="B5164" s="1" t="n">
        <v>44480</v>
      </c>
      <c r="C5164" s="1" t="n">
        <v>45715</v>
      </c>
      <c r="D5164" t="inlineStr">
        <is>
          <t>KALMAR LÄN</t>
        </is>
      </c>
      <c r="E5164" t="inlineStr">
        <is>
          <t>VIMMERBY</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56347-2021</t>
        </is>
      </c>
      <c r="B5165" s="1" t="n">
        <v>44480</v>
      </c>
      <c r="C5165" s="1" t="n">
        <v>45715</v>
      </c>
      <c r="D5165" t="inlineStr">
        <is>
          <t>KALMAR LÄN</t>
        </is>
      </c>
      <c r="E5165" t="inlineStr">
        <is>
          <t>VIMMERBY</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56378-2021</t>
        </is>
      </c>
      <c r="B5166" s="1" t="n">
        <v>44480</v>
      </c>
      <c r="C5166" s="1" t="n">
        <v>45715</v>
      </c>
      <c r="D5166" t="inlineStr">
        <is>
          <t>KALMAR LÄN</t>
        </is>
      </c>
      <c r="E5166" t="inlineStr">
        <is>
          <t>VIMMERBY</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56398-2021</t>
        </is>
      </c>
      <c r="B5167" s="1" t="n">
        <v>44480</v>
      </c>
      <c r="C5167" s="1" t="n">
        <v>45715</v>
      </c>
      <c r="D5167" t="inlineStr">
        <is>
          <t>KALMAR LÄN</t>
        </is>
      </c>
      <c r="E5167" t="inlineStr">
        <is>
          <t>VIMMERBY</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56389-2021</t>
        </is>
      </c>
      <c r="B5168" s="1" t="n">
        <v>44480</v>
      </c>
      <c r="C5168" s="1" t="n">
        <v>45715</v>
      </c>
      <c r="D5168" t="inlineStr">
        <is>
          <t>KALMAR LÄN</t>
        </is>
      </c>
      <c r="E5168" t="inlineStr">
        <is>
          <t>VIMMERBY</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56617-2021</t>
        </is>
      </c>
      <c r="B5169" s="1" t="n">
        <v>44480</v>
      </c>
      <c r="C5169" s="1" t="n">
        <v>45715</v>
      </c>
      <c r="D5169" t="inlineStr">
        <is>
          <t>KALMAR LÄN</t>
        </is>
      </c>
      <c r="E5169" t="inlineStr">
        <is>
          <t>VÄSTERVIK</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56620-2021</t>
        </is>
      </c>
      <c r="B5170" s="1" t="n">
        <v>44480</v>
      </c>
      <c r="C5170" s="1" t="n">
        <v>45715</v>
      </c>
      <c r="D5170" t="inlineStr">
        <is>
          <t>KALMAR LÄN</t>
        </is>
      </c>
      <c r="E5170" t="inlineStr">
        <is>
          <t>VÄSTERVIK</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56619-2021</t>
        </is>
      </c>
      <c r="B5171" s="1" t="n">
        <v>44480</v>
      </c>
      <c r="C5171" s="1" t="n">
        <v>45715</v>
      </c>
      <c r="D5171" t="inlineStr">
        <is>
          <t>KALMAR LÄN</t>
        </is>
      </c>
      <c r="E5171" t="inlineStr">
        <is>
          <t>VÄSTERVIK</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56754-2021</t>
        </is>
      </c>
      <c r="B5172" s="1" t="n">
        <v>44481</v>
      </c>
      <c r="C5172" s="1" t="n">
        <v>45715</v>
      </c>
      <c r="D5172" t="inlineStr">
        <is>
          <t>KALMAR LÄN</t>
        </is>
      </c>
      <c r="E5172" t="inlineStr">
        <is>
          <t>VIMMERBY</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56944-2021</t>
        </is>
      </c>
      <c r="B5173" s="1" t="n">
        <v>44482</v>
      </c>
      <c r="C5173" s="1" t="n">
        <v>45715</v>
      </c>
      <c r="D5173" t="inlineStr">
        <is>
          <t>KALMAR LÄN</t>
        </is>
      </c>
      <c r="E5173" t="inlineStr">
        <is>
          <t>HULTSFRED</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57026-2021</t>
        </is>
      </c>
      <c r="B5174" s="1" t="n">
        <v>44482</v>
      </c>
      <c r="C5174" s="1" t="n">
        <v>45715</v>
      </c>
      <c r="D5174" t="inlineStr">
        <is>
          <t>KALMAR LÄN</t>
        </is>
      </c>
      <c r="E5174" t="inlineStr">
        <is>
          <t>KALMAR</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57063-2021</t>
        </is>
      </c>
      <c r="B5175" s="1" t="n">
        <v>44482</v>
      </c>
      <c r="C5175" s="1" t="n">
        <v>45715</v>
      </c>
      <c r="D5175" t="inlineStr">
        <is>
          <t>KALMAR LÄN</t>
        </is>
      </c>
      <c r="E5175" t="inlineStr">
        <is>
          <t>TORSÅS</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57011-2021</t>
        </is>
      </c>
      <c r="B5176" s="1" t="n">
        <v>44482</v>
      </c>
      <c r="C5176" s="1" t="n">
        <v>45715</v>
      </c>
      <c r="D5176" t="inlineStr">
        <is>
          <t>KALMAR LÄN</t>
        </is>
      </c>
      <c r="E5176" t="inlineStr">
        <is>
          <t>KALMAR</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57018-2021</t>
        </is>
      </c>
      <c r="B5177" s="1" t="n">
        <v>44482</v>
      </c>
      <c r="C5177" s="1" t="n">
        <v>45715</v>
      </c>
      <c r="D5177" t="inlineStr">
        <is>
          <t>KALMAR LÄN</t>
        </is>
      </c>
      <c r="E5177" t="inlineStr">
        <is>
          <t>KALMAR</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57027-2021</t>
        </is>
      </c>
      <c r="B5178" s="1" t="n">
        <v>44482</v>
      </c>
      <c r="C5178" s="1" t="n">
        <v>45715</v>
      </c>
      <c r="D5178" t="inlineStr">
        <is>
          <t>KALMAR LÄN</t>
        </is>
      </c>
      <c r="E5178" t="inlineStr">
        <is>
          <t>KALMAR</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56924-2021</t>
        </is>
      </c>
      <c r="B5179" s="1" t="n">
        <v>44482</v>
      </c>
      <c r="C5179" s="1" t="n">
        <v>45715</v>
      </c>
      <c r="D5179" t="inlineStr">
        <is>
          <t>KALMAR LÄN</t>
        </is>
      </c>
      <c r="E5179" t="inlineStr">
        <is>
          <t>NYBRO</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56983-2021</t>
        </is>
      </c>
      <c r="B5180" s="1" t="n">
        <v>44482</v>
      </c>
      <c r="C5180" s="1" t="n">
        <v>45715</v>
      </c>
      <c r="D5180" t="inlineStr">
        <is>
          <t>KALMAR LÄN</t>
        </is>
      </c>
      <c r="E5180" t="inlineStr">
        <is>
          <t>BORGHOLM</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57036-2021</t>
        </is>
      </c>
      <c r="B5181" s="1" t="n">
        <v>44482</v>
      </c>
      <c r="C5181" s="1" t="n">
        <v>45715</v>
      </c>
      <c r="D5181" t="inlineStr">
        <is>
          <t>KALMAR LÄN</t>
        </is>
      </c>
      <c r="E5181" t="inlineStr">
        <is>
          <t>KALMAR</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57149-2021</t>
        </is>
      </c>
      <c r="B5182" s="1" t="n">
        <v>44482</v>
      </c>
      <c r="C5182" s="1" t="n">
        <v>45715</v>
      </c>
      <c r="D5182" t="inlineStr">
        <is>
          <t>KALMAR LÄN</t>
        </is>
      </c>
      <c r="E5182" t="inlineStr">
        <is>
          <t>EMMABODA</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57099-2021</t>
        </is>
      </c>
      <c r="B5183" s="1" t="n">
        <v>44482</v>
      </c>
      <c r="C5183" s="1" t="n">
        <v>45715</v>
      </c>
      <c r="D5183" t="inlineStr">
        <is>
          <t>KALMAR LÄN</t>
        </is>
      </c>
      <c r="E5183" t="inlineStr">
        <is>
          <t>TORSÅS</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57184-2021</t>
        </is>
      </c>
      <c r="B5184" s="1" t="n">
        <v>44482</v>
      </c>
      <c r="C5184" s="1" t="n">
        <v>45715</v>
      </c>
      <c r="D5184" t="inlineStr">
        <is>
          <t>KALMAR LÄN</t>
        </is>
      </c>
      <c r="E5184" t="inlineStr">
        <is>
          <t>HULTSFRED</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57390-2021</t>
        </is>
      </c>
      <c r="B5185" s="1" t="n">
        <v>44482</v>
      </c>
      <c r="C5185" s="1" t="n">
        <v>45715</v>
      </c>
      <c r="D5185" t="inlineStr">
        <is>
          <t>KALMAR LÄN</t>
        </is>
      </c>
      <c r="E5185" t="inlineStr">
        <is>
          <t>KALMAR</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57372-2021</t>
        </is>
      </c>
      <c r="B5186" s="1" t="n">
        <v>44482</v>
      </c>
      <c r="C5186" s="1" t="n">
        <v>45715</v>
      </c>
      <c r="D5186" t="inlineStr">
        <is>
          <t>KALMAR LÄN</t>
        </is>
      </c>
      <c r="E5186" t="inlineStr">
        <is>
          <t>HÖGSBY</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57318-2021</t>
        </is>
      </c>
      <c r="B5187" s="1" t="n">
        <v>44483</v>
      </c>
      <c r="C5187" s="1" t="n">
        <v>45715</v>
      </c>
      <c r="D5187" t="inlineStr">
        <is>
          <t>KALMAR LÄN</t>
        </is>
      </c>
      <c r="E5187" t="inlineStr">
        <is>
          <t>OSKARSHAMN</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57416-2021</t>
        </is>
      </c>
      <c r="B5188" s="1" t="n">
        <v>44483</v>
      </c>
      <c r="C5188" s="1" t="n">
        <v>45715</v>
      </c>
      <c r="D5188" t="inlineStr">
        <is>
          <t>KALMAR LÄN</t>
        </is>
      </c>
      <c r="E5188" t="inlineStr">
        <is>
          <t>VIMMERBY</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57483-2021</t>
        </is>
      </c>
      <c r="B5189" s="1" t="n">
        <v>44483</v>
      </c>
      <c r="C5189" s="1" t="n">
        <v>45715</v>
      </c>
      <c r="D5189" t="inlineStr">
        <is>
          <t>KALMAR LÄN</t>
        </is>
      </c>
      <c r="E5189" t="inlineStr">
        <is>
          <t>OSKARSHAMN</t>
        </is>
      </c>
      <c r="G5189" t="n">
        <v>6.2</v>
      </c>
      <c r="H5189" t="n">
        <v>0</v>
      </c>
      <c r="I5189" t="n">
        <v>0</v>
      </c>
      <c r="J5189" t="n">
        <v>0</v>
      </c>
      <c r="K5189" t="n">
        <v>0</v>
      </c>
      <c r="L5189" t="n">
        <v>0</v>
      </c>
      <c r="M5189" t="n">
        <v>0</v>
      </c>
      <c r="N5189" t="n">
        <v>0</v>
      </c>
      <c r="O5189" t="n">
        <v>0</v>
      </c>
      <c r="P5189" t="n">
        <v>0</v>
      </c>
      <c r="Q5189" t="n">
        <v>0</v>
      </c>
      <c r="R5189" s="2" t="inlineStr"/>
    </row>
    <row r="5190" ht="15" customHeight="1">
      <c r="A5190" t="inlineStr">
        <is>
          <t>A 57605-2021</t>
        </is>
      </c>
      <c r="B5190" s="1" t="n">
        <v>44483</v>
      </c>
      <c r="C5190" s="1" t="n">
        <v>45715</v>
      </c>
      <c r="D5190" t="inlineStr">
        <is>
          <t>KALMAR LÄN</t>
        </is>
      </c>
      <c r="E5190" t="inlineStr">
        <is>
          <t>VIMMERBY</t>
        </is>
      </c>
      <c r="G5190" t="n">
        <v>13.1</v>
      </c>
      <c r="H5190" t="n">
        <v>0</v>
      </c>
      <c r="I5190" t="n">
        <v>0</v>
      </c>
      <c r="J5190" t="n">
        <v>0</v>
      </c>
      <c r="K5190" t="n">
        <v>0</v>
      </c>
      <c r="L5190" t="n">
        <v>0</v>
      </c>
      <c r="M5190" t="n">
        <v>0</v>
      </c>
      <c r="N5190" t="n">
        <v>0</v>
      </c>
      <c r="O5190" t="n">
        <v>0</v>
      </c>
      <c r="P5190" t="n">
        <v>0</v>
      </c>
      <c r="Q5190" t="n">
        <v>0</v>
      </c>
      <c r="R5190" s="2" t="inlineStr"/>
    </row>
    <row r="5191" ht="15" customHeight="1">
      <c r="A5191" t="inlineStr">
        <is>
          <t>A 57689-2021</t>
        </is>
      </c>
      <c r="B5191" s="1" t="n">
        <v>44484</v>
      </c>
      <c r="C5191" s="1" t="n">
        <v>45715</v>
      </c>
      <c r="D5191" t="inlineStr">
        <is>
          <t>KALMAR LÄN</t>
        </is>
      </c>
      <c r="E5191" t="inlineStr">
        <is>
          <t>HULTSFRED</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57707-2021</t>
        </is>
      </c>
      <c r="B5192" s="1" t="n">
        <v>44484</v>
      </c>
      <c r="C5192" s="1" t="n">
        <v>45715</v>
      </c>
      <c r="D5192" t="inlineStr">
        <is>
          <t>KALMAR LÄN</t>
        </is>
      </c>
      <c r="E5192" t="inlineStr">
        <is>
          <t>HULTSFRED</t>
        </is>
      </c>
      <c r="F5192" t="inlineStr">
        <is>
          <t>Kyrkan</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57588-2021</t>
        </is>
      </c>
      <c r="B5193" s="1" t="n">
        <v>44484</v>
      </c>
      <c r="C5193" s="1" t="n">
        <v>45715</v>
      </c>
      <c r="D5193" t="inlineStr">
        <is>
          <t>KALMAR LÄN</t>
        </is>
      </c>
      <c r="E5193" t="inlineStr">
        <is>
          <t>NYBRO</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57682-2021</t>
        </is>
      </c>
      <c r="B5194" s="1" t="n">
        <v>44484</v>
      </c>
      <c r="C5194" s="1" t="n">
        <v>45715</v>
      </c>
      <c r="D5194" t="inlineStr">
        <is>
          <t>KALMAR LÄN</t>
        </is>
      </c>
      <c r="E5194" t="inlineStr">
        <is>
          <t>KALMAR</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57804-2021</t>
        </is>
      </c>
      <c r="B5195" s="1" t="n">
        <v>44484</v>
      </c>
      <c r="C5195" s="1" t="n">
        <v>45715</v>
      </c>
      <c r="D5195" t="inlineStr">
        <is>
          <t>KALMAR LÄN</t>
        </is>
      </c>
      <c r="E5195" t="inlineStr">
        <is>
          <t>VÄSTERVIK</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57808-2021</t>
        </is>
      </c>
      <c r="B5196" s="1" t="n">
        <v>44484</v>
      </c>
      <c r="C5196" s="1" t="n">
        <v>45715</v>
      </c>
      <c r="D5196" t="inlineStr">
        <is>
          <t>KALMAR LÄN</t>
        </is>
      </c>
      <c r="E5196" t="inlineStr">
        <is>
          <t>VÄSTERVIK</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57983-2021</t>
        </is>
      </c>
      <c r="B5197" s="1" t="n">
        <v>44487</v>
      </c>
      <c r="C5197" s="1" t="n">
        <v>45715</v>
      </c>
      <c r="D5197" t="inlineStr">
        <is>
          <t>KALMAR LÄN</t>
        </is>
      </c>
      <c r="E5197" t="inlineStr">
        <is>
          <t>VÄSTERVIK</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58126-2021</t>
        </is>
      </c>
      <c r="B5198" s="1" t="n">
        <v>44487</v>
      </c>
      <c r="C5198" s="1" t="n">
        <v>45715</v>
      </c>
      <c r="D5198" t="inlineStr">
        <is>
          <t>KALMAR LÄN</t>
        </is>
      </c>
      <c r="E5198" t="inlineStr">
        <is>
          <t>EMMABODA</t>
        </is>
      </c>
      <c r="F5198" t="inlineStr">
        <is>
          <t>Kommuner</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58136-2021</t>
        </is>
      </c>
      <c r="B5199" s="1" t="n">
        <v>44487</v>
      </c>
      <c r="C5199" s="1" t="n">
        <v>45715</v>
      </c>
      <c r="D5199" t="inlineStr">
        <is>
          <t>KALMAR LÄN</t>
        </is>
      </c>
      <c r="E5199" t="inlineStr">
        <is>
          <t>EMMABODA</t>
        </is>
      </c>
      <c r="F5199" t="inlineStr">
        <is>
          <t>Kommuner</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57928-2021</t>
        </is>
      </c>
      <c r="B5200" s="1" t="n">
        <v>44487</v>
      </c>
      <c r="C5200" s="1" t="n">
        <v>45715</v>
      </c>
      <c r="D5200" t="inlineStr">
        <is>
          <t>KALMAR LÄN</t>
        </is>
      </c>
      <c r="E5200" t="inlineStr">
        <is>
          <t>VÄSTERVIK</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57937-2021</t>
        </is>
      </c>
      <c r="B5201" s="1" t="n">
        <v>44487</v>
      </c>
      <c r="C5201" s="1" t="n">
        <v>45715</v>
      </c>
      <c r="D5201" t="inlineStr">
        <is>
          <t>KALMAR LÄN</t>
        </is>
      </c>
      <c r="E5201" t="inlineStr">
        <is>
          <t>VÄSTERVIK</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57944-2021</t>
        </is>
      </c>
      <c r="B5202" s="1" t="n">
        <v>44487</v>
      </c>
      <c r="C5202" s="1" t="n">
        <v>45715</v>
      </c>
      <c r="D5202" t="inlineStr">
        <is>
          <t>KALMAR LÄN</t>
        </is>
      </c>
      <c r="E5202" t="inlineStr">
        <is>
          <t>TORSÅS</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58090-2021</t>
        </is>
      </c>
      <c r="B5203" s="1" t="n">
        <v>44487</v>
      </c>
      <c r="C5203" s="1" t="n">
        <v>45715</v>
      </c>
      <c r="D5203" t="inlineStr">
        <is>
          <t>KALMAR LÄN</t>
        </is>
      </c>
      <c r="E5203" t="inlineStr">
        <is>
          <t>VÄSTERVIK</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58156-2021</t>
        </is>
      </c>
      <c r="B5204" s="1" t="n">
        <v>44487</v>
      </c>
      <c r="C5204" s="1" t="n">
        <v>45715</v>
      </c>
      <c r="D5204" t="inlineStr">
        <is>
          <t>KALMAR LÄN</t>
        </is>
      </c>
      <c r="E5204" t="inlineStr">
        <is>
          <t>EMMABODA</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58244-2021</t>
        </is>
      </c>
      <c r="B5205" s="1" t="n">
        <v>44487</v>
      </c>
      <c r="C5205" s="1" t="n">
        <v>45715</v>
      </c>
      <c r="D5205" t="inlineStr">
        <is>
          <t>KALMAR LÄN</t>
        </is>
      </c>
      <c r="E5205" t="inlineStr">
        <is>
          <t>MÖNSTERÅS</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58294-2021</t>
        </is>
      </c>
      <c r="B5206" s="1" t="n">
        <v>44488</v>
      </c>
      <c r="C5206" s="1" t="n">
        <v>45715</v>
      </c>
      <c r="D5206" t="inlineStr">
        <is>
          <t>KALMAR LÄN</t>
        </is>
      </c>
      <c r="E5206" t="inlineStr">
        <is>
          <t>HULTSFRED</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58312-2021</t>
        </is>
      </c>
      <c r="B5207" s="1" t="n">
        <v>44488</v>
      </c>
      <c r="C5207" s="1" t="n">
        <v>45715</v>
      </c>
      <c r="D5207" t="inlineStr">
        <is>
          <t>KALMAR LÄN</t>
        </is>
      </c>
      <c r="E5207" t="inlineStr">
        <is>
          <t>EMMABODA</t>
        </is>
      </c>
      <c r="F5207" t="inlineStr">
        <is>
          <t>Kommuner</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58406-2021</t>
        </is>
      </c>
      <c r="B5208" s="1" t="n">
        <v>44488</v>
      </c>
      <c r="C5208" s="1" t="n">
        <v>45715</v>
      </c>
      <c r="D5208" t="inlineStr">
        <is>
          <t>KALMAR LÄN</t>
        </is>
      </c>
      <c r="E5208" t="inlineStr">
        <is>
          <t>OSKARSHAMN</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58302-2021</t>
        </is>
      </c>
      <c r="B5209" s="1" t="n">
        <v>44488</v>
      </c>
      <c r="C5209" s="1" t="n">
        <v>45715</v>
      </c>
      <c r="D5209" t="inlineStr">
        <is>
          <t>KALMAR LÄN</t>
        </is>
      </c>
      <c r="E5209" t="inlineStr">
        <is>
          <t>EMMABODA</t>
        </is>
      </c>
      <c r="F5209" t="inlineStr">
        <is>
          <t>Kommuner</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58318-2021</t>
        </is>
      </c>
      <c r="B5210" s="1" t="n">
        <v>44488</v>
      </c>
      <c r="C5210" s="1" t="n">
        <v>45715</v>
      </c>
      <c r="D5210" t="inlineStr">
        <is>
          <t>KALMAR LÄN</t>
        </is>
      </c>
      <c r="E5210" t="inlineStr">
        <is>
          <t>VIMMERBY</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58348-2021</t>
        </is>
      </c>
      <c r="B5211" s="1" t="n">
        <v>44488</v>
      </c>
      <c r="C5211" s="1" t="n">
        <v>45715</v>
      </c>
      <c r="D5211" t="inlineStr">
        <is>
          <t>KALMAR LÄN</t>
        </is>
      </c>
      <c r="E5211" t="inlineStr">
        <is>
          <t>HULTSFRED</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58395-2021</t>
        </is>
      </c>
      <c r="B5212" s="1" t="n">
        <v>44488</v>
      </c>
      <c r="C5212" s="1" t="n">
        <v>45715</v>
      </c>
      <c r="D5212" t="inlineStr">
        <is>
          <t>KALMAR LÄN</t>
        </is>
      </c>
      <c r="E5212" t="inlineStr">
        <is>
          <t>OSKARSHAMN</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58401-2021</t>
        </is>
      </c>
      <c r="B5213" s="1" t="n">
        <v>44488</v>
      </c>
      <c r="C5213" s="1" t="n">
        <v>45715</v>
      </c>
      <c r="D5213" t="inlineStr">
        <is>
          <t>KALMAR LÄN</t>
        </is>
      </c>
      <c r="E5213" t="inlineStr">
        <is>
          <t>OSKARSHAMN</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58408-2021</t>
        </is>
      </c>
      <c r="B5214" s="1" t="n">
        <v>44488</v>
      </c>
      <c r="C5214" s="1" t="n">
        <v>45715</v>
      </c>
      <c r="D5214" t="inlineStr">
        <is>
          <t>KALMAR LÄN</t>
        </is>
      </c>
      <c r="E5214" t="inlineStr">
        <is>
          <t>EMMABODA</t>
        </is>
      </c>
      <c r="F5214" t="inlineStr">
        <is>
          <t>Kommuner</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58455-2021</t>
        </is>
      </c>
      <c r="B5215" s="1" t="n">
        <v>44488</v>
      </c>
      <c r="C5215" s="1" t="n">
        <v>45715</v>
      </c>
      <c r="D5215" t="inlineStr">
        <is>
          <t>KALMAR LÄN</t>
        </is>
      </c>
      <c r="E5215" t="inlineStr">
        <is>
          <t>NYBRO</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58463-2021</t>
        </is>
      </c>
      <c r="B5216" s="1" t="n">
        <v>44488</v>
      </c>
      <c r="C5216" s="1" t="n">
        <v>45715</v>
      </c>
      <c r="D5216" t="inlineStr">
        <is>
          <t>KALMAR LÄN</t>
        </is>
      </c>
      <c r="E5216" t="inlineStr">
        <is>
          <t>EMMABODA</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58555-2021</t>
        </is>
      </c>
      <c r="B5217" s="1" t="n">
        <v>44488</v>
      </c>
      <c r="C5217" s="1" t="n">
        <v>45715</v>
      </c>
      <c r="D5217" t="inlineStr">
        <is>
          <t>KALMAR LÄN</t>
        </is>
      </c>
      <c r="E5217" t="inlineStr">
        <is>
          <t>VÄSTERVIK</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58575-2021</t>
        </is>
      </c>
      <c r="B5218" s="1" t="n">
        <v>44489</v>
      </c>
      <c r="C5218" s="1" t="n">
        <v>45715</v>
      </c>
      <c r="D5218" t="inlineStr">
        <is>
          <t>KALMAR LÄN</t>
        </is>
      </c>
      <c r="E5218" t="inlineStr">
        <is>
          <t>NYBRO</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58577-2021</t>
        </is>
      </c>
      <c r="B5219" s="1" t="n">
        <v>44489</v>
      </c>
      <c r="C5219" s="1" t="n">
        <v>45715</v>
      </c>
      <c r="D5219" t="inlineStr">
        <is>
          <t>KALMAR LÄN</t>
        </is>
      </c>
      <c r="E5219" t="inlineStr">
        <is>
          <t>NYBRO</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58592-2021</t>
        </is>
      </c>
      <c r="B5220" s="1" t="n">
        <v>44488</v>
      </c>
      <c r="C5220" s="1" t="n">
        <v>45715</v>
      </c>
      <c r="D5220" t="inlineStr">
        <is>
          <t>KALMAR LÄN</t>
        </is>
      </c>
      <c r="E5220" t="inlineStr">
        <is>
          <t>EMMABODA</t>
        </is>
      </c>
      <c r="F5220" t="inlineStr">
        <is>
          <t>Kommuner</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58776-2021</t>
        </is>
      </c>
      <c r="B5221" s="1" t="n">
        <v>44489</v>
      </c>
      <c r="C5221" s="1" t="n">
        <v>45715</v>
      </c>
      <c r="D5221" t="inlineStr">
        <is>
          <t>KALMAR LÄN</t>
        </is>
      </c>
      <c r="E5221" t="inlineStr">
        <is>
          <t>TORSÅS</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58601-2021</t>
        </is>
      </c>
      <c r="B5222" s="1" t="n">
        <v>44489</v>
      </c>
      <c r="C5222" s="1" t="n">
        <v>45715</v>
      </c>
      <c r="D5222" t="inlineStr">
        <is>
          <t>KALMAR LÄN</t>
        </is>
      </c>
      <c r="E5222" t="inlineStr">
        <is>
          <t>HÖGSBY</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58761-2021</t>
        </is>
      </c>
      <c r="B5223" s="1" t="n">
        <v>44489</v>
      </c>
      <c r="C5223" s="1" t="n">
        <v>45715</v>
      </c>
      <c r="D5223" t="inlineStr">
        <is>
          <t>KALMAR LÄN</t>
        </is>
      </c>
      <c r="E5223" t="inlineStr">
        <is>
          <t>NYBRO</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58768-2021</t>
        </is>
      </c>
      <c r="B5224" s="1" t="n">
        <v>44489</v>
      </c>
      <c r="C5224" s="1" t="n">
        <v>45715</v>
      </c>
      <c r="D5224" t="inlineStr">
        <is>
          <t>KALMAR LÄN</t>
        </is>
      </c>
      <c r="E5224" t="inlineStr">
        <is>
          <t>TORSÅS</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58848-2021</t>
        </is>
      </c>
      <c r="B5225" s="1" t="n">
        <v>44489</v>
      </c>
      <c r="C5225" s="1" t="n">
        <v>45715</v>
      </c>
      <c r="D5225" t="inlineStr">
        <is>
          <t>KALMAR LÄN</t>
        </is>
      </c>
      <c r="E5225" t="inlineStr">
        <is>
          <t>KALMAR</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58920-2021</t>
        </is>
      </c>
      <c r="B5226" s="1" t="n">
        <v>44489</v>
      </c>
      <c r="C5226" s="1" t="n">
        <v>45715</v>
      </c>
      <c r="D5226" t="inlineStr">
        <is>
          <t>KALMAR LÄN</t>
        </is>
      </c>
      <c r="E5226" t="inlineStr">
        <is>
          <t>TORSÅS</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59068-2021</t>
        </is>
      </c>
      <c r="B5227" s="1" t="n">
        <v>44489</v>
      </c>
      <c r="C5227" s="1" t="n">
        <v>45715</v>
      </c>
      <c r="D5227" t="inlineStr">
        <is>
          <t>KALMAR LÄN</t>
        </is>
      </c>
      <c r="E5227" t="inlineStr">
        <is>
          <t>OSKARSHAMN</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58772-2021</t>
        </is>
      </c>
      <c r="B5228" s="1" t="n">
        <v>44489</v>
      </c>
      <c r="C5228" s="1" t="n">
        <v>45715</v>
      </c>
      <c r="D5228" t="inlineStr">
        <is>
          <t>KALMAR LÄN</t>
        </is>
      </c>
      <c r="E5228" t="inlineStr">
        <is>
          <t>MÖNSTERÅS</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59075-2021</t>
        </is>
      </c>
      <c r="B5229" s="1" t="n">
        <v>44489</v>
      </c>
      <c r="C5229" s="1" t="n">
        <v>45715</v>
      </c>
      <c r="D5229" t="inlineStr">
        <is>
          <t>KALMAR LÄN</t>
        </is>
      </c>
      <c r="E5229" t="inlineStr">
        <is>
          <t>OSKARSHAMN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58845-2021</t>
        </is>
      </c>
      <c r="B5230" s="1" t="n">
        <v>44489</v>
      </c>
      <c r="C5230" s="1" t="n">
        <v>45715</v>
      </c>
      <c r="D5230" t="inlineStr">
        <is>
          <t>KALMAR LÄN</t>
        </is>
      </c>
      <c r="E5230" t="inlineStr">
        <is>
          <t>KALMAR</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59055-2021</t>
        </is>
      </c>
      <c r="B5231" s="1" t="n">
        <v>44489</v>
      </c>
      <c r="C5231" s="1" t="n">
        <v>45715</v>
      </c>
      <c r="D5231" t="inlineStr">
        <is>
          <t>KALMAR LÄN</t>
        </is>
      </c>
      <c r="E5231" t="inlineStr">
        <is>
          <t>OSKARSHAMN</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59058-2021</t>
        </is>
      </c>
      <c r="B5232" s="1" t="n">
        <v>44490</v>
      </c>
      <c r="C5232" s="1" t="n">
        <v>45715</v>
      </c>
      <c r="D5232" t="inlineStr">
        <is>
          <t>KALMAR LÄN</t>
        </is>
      </c>
      <c r="E5232" t="inlineStr">
        <is>
          <t>OSKARSHAMN</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59002-2021</t>
        </is>
      </c>
      <c r="B5233" s="1" t="n">
        <v>44490</v>
      </c>
      <c r="C5233" s="1" t="n">
        <v>45715</v>
      </c>
      <c r="D5233" t="inlineStr">
        <is>
          <t>KALMAR LÄN</t>
        </is>
      </c>
      <c r="E5233" t="inlineStr">
        <is>
          <t>OSKARSHAMN</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59012-2021</t>
        </is>
      </c>
      <c r="B5234" s="1" t="n">
        <v>44490</v>
      </c>
      <c r="C5234" s="1" t="n">
        <v>45715</v>
      </c>
      <c r="D5234" t="inlineStr">
        <is>
          <t>KALMAR LÄN</t>
        </is>
      </c>
      <c r="E5234" t="inlineStr">
        <is>
          <t>EMMABODA</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59134-2021</t>
        </is>
      </c>
      <c r="B5235" s="1" t="n">
        <v>44490</v>
      </c>
      <c r="C5235" s="1" t="n">
        <v>45715</v>
      </c>
      <c r="D5235" t="inlineStr">
        <is>
          <t>KALMAR LÄN</t>
        </is>
      </c>
      <c r="E5235" t="inlineStr">
        <is>
          <t>HULTSFRED</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59032-2021</t>
        </is>
      </c>
      <c r="B5236" s="1" t="n">
        <v>44490</v>
      </c>
      <c r="C5236" s="1" t="n">
        <v>45715</v>
      </c>
      <c r="D5236" t="inlineStr">
        <is>
          <t>KALMAR LÄN</t>
        </is>
      </c>
      <c r="E5236" t="inlineStr">
        <is>
          <t>HULTSFRED</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59070-2021</t>
        </is>
      </c>
      <c r="B5237" s="1" t="n">
        <v>44490</v>
      </c>
      <c r="C5237" s="1" t="n">
        <v>45715</v>
      </c>
      <c r="D5237" t="inlineStr">
        <is>
          <t>KALMAR LÄN</t>
        </is>
      </c>
      <c r="E5237" t="inlineStr">
        <is>
          <t>VIMMERBY</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59150-2021</t>
        </is>
      </c>
      <c r="B5238" s="1" t="n">
        <v>44490</v>
      </c>
      <c r="C5238" s="1" t="n">
        <v>45715</v>
      </c>
      <c r="D5238" t="inlineStr">
        <is>
          <t>KALMAR LÄN</t>
        </is>
      </c>
      <c r="E5238" t="inlineStr">
        <is>
          <t>HULTSFRED</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59203-2021</t>
        </is>
      </c>
      <c r="B5239" s="1" t="n">
        <v>44490</v>
      </c>
      <c r="C5239" s="1" t="n">
        <v>45715</v>
      </c>
      <c r="D5239" t="inlineStr">
        <is>
          <t>KALMAR LÄN</t>
        </is>
      </c>
      <c r="E5239" t="inlineStr">
        <is>
          <t>HULTSFRED</t>
        </is>
      </c>
      <c r="F5239" t="inlineStr">
        <is>
          <t>Sveaskog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59284-2021</t>
        </is>
      </c>
      <c r="B5240" s="1" t="n">
        <v>44490</v>
      </c>
      <c r="C5240" s="1" t="n">
        <v>45715</v>
      </c>
      <c r="D5240" t="inlineStr">
        <is>
          <t>KALMAR LÄN</t>
        </is>
      </c>
      <c r="E5240" t="inlineStr">
        <is>
          <t>TORSÅS</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59567-2021</t>
        </is>
      </c>
      <c r="B5241" s="1" t="n">
        <v>44491</v>
      </c>
      <c r="C5241" s="1" t="n">
        <v>45715</v>
      </c>
      <c r="D5241" t="inlineStr">
        <is>
          <t>KALMAR LÄN</t>
        </is>
      </c>
      <c r="E5241" t="inlineStr">
        <is>
          <t>NYBRO</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59646-2021</t>
        </is>
      </c>
      <c r="B5242" s="1" t="n">
        <v>44493</v>
      </c>
      <c r="C5242" s="1" t="n">
        <v>45715</v>
      </c>
      <c r="D5242" t="inlineStr">
        <is>
          <t>KALMAR LÄN</t>
        </is>
      </c>
      <c r="E5242" t="inlineStr">
        <is>
          <t>NYBRO</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59689-2021</t>
        </is>
      </c>
      <c r="B5243" s="1" t="n">
        <v>44494</v>
      </c>
      <c r="C5243" s="1" t="n">
        <v>45715</v>
      </c>
      <c r="D5243" t="inlineStr">
        <is>
          <t>KALMAR LÄN</t>
        </is>
      </c>
      <c r="E5243" t="inlineStr">
        <is>
          <t>NYBRO</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59737-2021</t>
        </is>
      </c>
      <c r="B5244" s="1" t="n">
        <v>44494</v>
      </c>
      <c r="C5244" s="1" t="n">
        <v>45715</v>
      </c>
      <c r="D5244" t="inlineStr">
        <is>
          <t>KALMAR LÄN</t>
        </is>
      </c>
      <c r="E5244" t="inlineStr">
        <is>
          <t>EMMABODA</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59684-2021</t>
        </is>
      </c>
      <c r="B5245" s="1" t="n">
        <v>44494</v>
      </c>
      <c r="C5245" s="1" t="n">
        <v>45715</v>
      </c>
      <c r="D5245" t="inlineStr">
        <is>
          <t>KALMAR LÄN</t>
        </is>
      </c>
      <c r="E5245" t="inlineStr">
        <is>
          <t>NYBRO</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59781-2021</t>
        </is>
      </c>
      <c r="B5246" s="1" t="n">
        <v>44494</v>
      </c>
      <c r="C5246" s="1" t="n">
        <v>45715</v>
      </c>
      <c r="D5246" t="inlineStr">
        <is>
          <t>KALMAR LÄN</t>
        </is>
      </c>
      <c r="E5246" t="inlineStr">
        <is>
          <t>VIMMERBY</t>
        </is>
      </c>
      <c r="G5246" t="n">
        <v>5.6</v>
      </c>
      <c r="H5246" t="n">
        <v>0</v>
      </c>
      <c r="I5246" t="n">
        <v>0</v>
      </c>
      <c r="J5246" t="n">
        <v>0</v>
      </c>
      <c r="K5246" t="n">
        <v>0</v>
      </c>
      <c r="L5246" t="n">
        <v>0</v>
      </c>
      <c r="M5246" t="n">
        <v>0</v>
      </c>
      <c r="N5246" t="n">
        <v>0</v>
      </c>
      <c r="O5246" t="n">
        <v>0</v>
      </c>
      <c r="P5246" t="n">
        <v>0</v>
      </c>
      <c r="Q5246" t="n">
        <v>0</v>
      </c>
      <c r="R5246" s="2" t="inlineStr"/>
    </row>
    <row r="5247" ht="15" customHeight="1">
      <c r="A5247" t="inlineStr">
        <is>
          <t>A 59687-2021</t>
        </is>
      </c>
      <c r="B5247" s="1" t="n">
        <v>44494</v>
      </c>
      <c r="C5247" s="1" t="n">
        <v>45715</v>
      </c>
      <c r="D5247" t="inlineStr">
        <is>
          <t>KALMAR LÄN</t>
        </is>
      </c>
      <c r="E5247" t="inlineStr">
        <is>
          <t>NYBRO</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59710-2021</t>
        </is>
      </c>
      <c r="B5248" s="1" t="n">
        <v>44494</v>
      </c>
      <c r="C5248" s="1" t="n">
        <v>45715</v>
      </c>
      <c r="D5248" t="inlineStr">
        <is>
          <t>KALMAR LÄN</t>
        </is>
      </c>
      <c r="E5248" t="inlineStr">
        <is>
          <t>OSKARSHAMN</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59791-2021</t>
        </is>
      </c>
      <c r="B5249" s="1" t="n">
        <v>44494</v>
      </c>
      <c r="C5249" s="1" t="n">
        <v>45715</v>
      </c>
      <c r="D5249" t="inlineStr">
        <is>
          <t>KALMAR LÄN</t>
        </is>
      </c>
      <c r="E5249" t="inlineStr">
        <is>
          <t>VIMMERBY</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60274-2021</t>
        </is>
      </c>
      <c r="B5250" s="1" t="n">
        <v>44495</v>
      </c>
      <c r="C5250" s="1" t="n">
        <v>45715</v>
      </c>
      <c r="D5250" t="inlineStr">
        <is>
          <t>KALMAR LÄN</t>
        </is>
      </c>
      <c r="E5250" t="inlineStr">
        <is>
          <t>MÖNSTERÅS</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60055-2021</t>
        </is>
      </c>
      <c r="B5251" s="1" t="n">
        <v>44495</v>
      </c>
      <c r="C5251" s="1" t="n">
        <v>45715</v>
      </c>
      <c r="D5251" t="inlineStr">
        <is>
          <t>KALMAR LÄN</t>
        </is>
      </c>
      <c r="E5251" t="inlineStr">
        <is>
          <t>TORSÅS</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60228-2021</t>
        </is>
      </c>
      <c r="B5252" s="1" t="n">
        <v>44495</v>
      </c>
      <c r="C5252" s="1" t="n">
        <v>45715</v>
      </c>
      <c r="D5252" t="inlineStr">
        <is>
          <t>KALMAR LÄN</t>
        </is>
      </c>
      <c r="E5252" t="inlineStr">
        <is>
          <t>VIMMERBY</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60225-2021</t>
        </is>
      </c>
      <c r="B5253" s="1" t="n">
        <v>44495</v>
      </c>
      <c r="C5253" s="1" t="n">
        <v>45715</v>
      </c>
      <c r="D5253" t="inlineStr">
        <is>
          <t>KALMAR LÄN</t>
        </is>
      </c>
      <c r="E5253" t="inlineStr">
        <is>
          <t>VIMMERBY</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60285-2021</t>
        </is>
      </c>
      <c r="B5254" s="1" t="n">
        <v>44495</v>
      </c>
      <c r="C5254" s="1" t="n">
        <v>45715</v>
      </c>
      <c r="D5254" t="inlineStr">
        <is>
          <t>KALMAR LÄN</t>
        </is>
      </c>
      <c r="E5254" t="inlineStr">
        <is>
          <t>NYBRO</t>
        </is>
      </c>
      <c r="G5254" t="n">
        <v>6.4</v>
      </c>
      <c r="H5254" t="n">
        <v>0</v>
      </c>
      <c r="I5254" t="n">
        <v>0</v>
      </c>
      <c r="J5254" t="n">
        <v>0</v>
      </c>
      <c r="K5254" t="n">
        <v>0</v>
      </c>
      <c r="L5254" t="n">
        <v>0</v>
      </c>
      <c r="M5254" t="n">
        <v>0</v>
      </c>
      <c r="N5254" t="n">
        <v>0</v>
      </c>
      <c r="O5254" t="n">
        <v>0</v>
      </c>
      <c r="P5254" t="n">
        <v>0</v>
      </c>
      <c r="Q5254" t="n">
        <v>0</v>
      </c>
      <c r="R5254" s="2" t="inlineStr"/>
    </row>
    <row r="5255" ht="15" customHeight="1">
      <c r="A5255" t="inlineStr">
        <is>
          <t>A 60288-2021</t>
        </is>
      </c>
      <c r="B5255" s="1" t="n">
        <v>44495</v>
      </c>
      <c r="C5255" s="1" t="n">
        <v>45715</v>
      </c>
      <c r="D5255" t="inlineStr">
        <is>
          <t>KALMAR LÄN</t>
        </is>
      </c>
      <c r="E5255" t="inlineStr">
        <is>
          <t>NYBRO</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62775-2021</t>
        </is>
      </c>
      <c r="B5256" s="1" t="n">
        <v>44495</v>
      </c>
      <c r="C5256" s="1" t="n">
        <v>45715</v>
      </c>
      <c r="D5256" t="inlineStr">
        <is>
          <t>KALMAR LÄN</t>
        </is>
      </c>
      <c r="E5256" t="inlineStr">
        <is>
          <t>MÖNSTERÅS</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60399-2021</t>
        </is>
      </c>
      <c r="B5257" s="1" t="n">
        <v>44496</v>
      </c>
      <c r="C5257" s="1" t="n">
        <v>45715</v>
      </c>
      <c r="D5257" t="inlineStr">
        <is>
          <t>KALMAR LÄN</t>
        </is>
      </c>
      <c r="E5257" t="inlineStr">
        <is>
          <t>KALMAR</t>
        </is>
      </c>
      <c r="G5257" t="n">
        <v>10</v>
      </c>
      <c r="H5257" t="n">
        <v>0</v>
      </c>
      <c r="I5257" t="n">
        <v>0</v>
      </c>
      <c r="J5257" t="n">
        <v>0</v>
      </c>
      <c r="K5257" t="n">
        <v>0</v>
      </c>
      <c r="L5257" t="n">
        <v>0</v>
      </c>
      <c r="M5257" t="n">
        <v>0</v>
      </c>
      <c r="N5257" t="n">
        <v>0</v>
      </c>
      <c r="O5257" t="n">
        <v>0</v>
      </c>
      <c r="P5257" t="n">
        <v>0</v>
      </c>
      <c r="Q5257" t="n">
        <v>0</v>
      </c>
      <c r="R5257" s="2" t="inlineStr"/>
    </row>
    <row r="5258" ht="15" customHeight="1">
      <c r="A5258" t="inlineStr">
        <is>
          <t>A 60519-2021</t>
        </is>
      </c>
      <c r="B5258" s="1" t="n">
        <v>44496</v>
      </c>
      <c r="C5258" s="1" t="n">
        <v>45715</v>
      </c>
      <c r="D5258" t="inlineStr">
        <is>
          <t>KALMAR LÄN</t>
        </is>
      </c>
      <c r="E5258" t="inlineStr">
        <is>
          <t>NYBRO</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60513-2021</t>
        </is>
      </c>
      <c r="B5259" s="1" t="n">
        <v>44496</v>
      </c>
      <c r="C5259" s="1" t="n">
        <v>45715</v>
      </c>
      <c r="D5259" t="inlineStr">
        <is>
          <t>KALMAR LÄN</t>
        </is>
      </c>
      <c r="E5259" t="inlineStr">
        <is>
          <t>NYBRO</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60525-2021</t>
        </is>
      </c>
      <c r="B5260" s="1" t="n">
        <v>44496</v>
      </c>
      <c r="C5260" s="1" t="n">
        <v>45715</v>
      </c>
      <c r="D5260" t="inlineStr">
        <is>
          <t>KALMAR LÄN</t>
        </is>
      </c>
      <c r="E5260" t="inlineStr">
        <is>
          <t>HULTSFRED</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60541-2021</t>
        </is>
      </c>
      <c r="B5261" s="1" t="n">
        <v>44496</v>
      </c>
      <c r="C5261" s="1" t="n">
        <v>45715</v>
      </c>
      <c r="D5261" t="inlineStr">
        <is>
          <t>KALMAR LÄN</t>
        </is>
      </c>
      <c r="E5261" t="inlineStr">
        <is>
          <t>EMMABODA</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60719-2021</t>
        </is>
      </c>
      <c r="B5262" s="1" t="n">
        <v>44496</v>
      </c>
      <c r="C5262" s="1" t="n">
        <v>45715</v>
      </c>
      <c r="D5262" t="inlineStr">
        <is>
          <t>KALMAR LÄN</t>
        </is>
      </c>
      <c r="E5262" t="inlineStr">
        <is>
          <t>HULTSFRED</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60523-2021</t>
        </is>
      </c>
      <c r="B5263" s="1" t="n">
        <v>44496</v>
      </c>
      <c r="C5263" s="1" t="n">
        <v>45715</v>
      </c>
      <c r="D5263" t="inlineStr">
        <is>
          <t>KALMAR LÄN</t>
        </is>
      </c>
      <c r="E5263" t="inlineStr">
        <is>
          <t>NYBRO</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60528-2021</t>
        </is>
      </c>
      <c r="B5264" s="1" t="n">
        <v>44496</v>
      </c>
      <c r="C5264" s="1" t="n">
        <v>45715</v>
      </c>
      <c r="D5264" t="inlineStr">
        <is>
          <t>KALMAR LÄN</t>
        </is>
      </c>
      <c r="E5264" t="inlineStr">
        <is>
          <t>EMMABODA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60532-2021</t>
        </is>
      </c>
      <c r="B5265" s="1" t="n">
        <v>44496</v>
      </c>
      <c r="C5265" s="1" t="n">
        <v>45715</v>
      </c>
      <c r="D5265" t="inlineStr">
        <is>
          <t>KALMAR LÄN</t>
        </is>
      </c>
      <c r="E5265" t="inlineStr">
        <is>
          <t>EMMABODA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60540-2021</t>
        </is>
      </c>
      <c r="B5266" s="1" t="n">
        <v>44496</v>
      </c>
      <c r="C5266" s="1" t="n">
        <v>45715</v>
      </c>
      <c r="D5266" t="inlineStr">
        <is>
          <t>KALMAR LÄN</t>
        </is>
      </c>
      <c r="E5266" t="inlineStr">
        <is>
          <t>EMMABODA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60555-2021</t>
        </is>
      </c>
      <c r="B5267" s="1" t="n">
        <v>44496</v>
      </c>
      <c r="C5267" s="1" t="n">
        <v>45715</v>
      </c>
      <c r="D5267" t="inlineStr">
        <is>
          <t>KALMAR LÄN</t>
        </is>
      </c>
      <c r="E5267" t="inlineStr">
        <is>
          <t>HÖGSBY</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60836-2021</t>
        </is>
      </c>
      <c r="B5268" s="1" t="n">
        <v>44496</v>
      </c>
      <c r="C5268" s="1" t="n">
        <v>45715</v>
      </c>
      <c r="D5268" t="inlineStr">
        <is>
          <t>KALMAR LÄN</t>
        </is>
      </c>
      <c r="E5268" t="inlineStr">
        <is>
          <t>HÖGSBY</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60853-2021</t>
        </is>
      </c>
      <c r="B5269" s="1" t="n">
        <v>44496</v>
      </c>
      <c r="C5269" s="1" t="n">
        <v>45715</v>
      </c>
      <c r="D5269" t="inlineStr">
        <is>
          <t>KALMAR LÄN</t>
        </is>
      </c>
      <c r="E5269" t="inlineStr">
        <is>
          <t>HÖGSBY</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61060-2021</t>
        </is>
      </c>
      <c r="B5270" s="1" t="n">
        <v>44497</v>
      </c>
      <c r="C5270" s="1" t="n">
        <v>45715</v>
      </c>
      <c r="D5270" t="inlineStr">
        <is>
          <t>KALMAR LÄN</t>
        </is>
      </c>
      <c r="E5270" t="inlineStr">
        <is>
          <t>NYBRO</t>
        </is>
      </c>
      <c r="G5270" t="n">
        <v>6.4</v>
      </c>
      <c r="H5270" t="n">
        <v>0</v>
      </c>
      <c r="I5270" t="n">
        <v>0</v>
      </c>
      <c r="J5270" t="n">
        <v>0</v>
      </c>
      <c r="K5270" t="n">
        <v>0</v>
      </c>
      <c r="L5270" t="n">
        <v>0</v>
      </c>
      <c r="M5270" t="n">
        <v>0</v>
      </c>
      <c r="N5270" t="n">
        <v>0</v>
      </c>
      <c r="O5270" t="n">
        <v>0</v>
      </c>
      <c r="P5270" t="n">
        <v>0</v>
      </c>
      <c r="Q5270" t="n">
        <v>0</v>
      </c>
      <c r="R5270" s="2" t="inlineStr"/>
    </row>
    <row r="5271" ht="15" customHeight="1">
      <c r="A5271" t="inlineStr">
        <is>
          <t>A 60928-2021</t>
        </is>
      </c>
      <c r="B5271" s="1" t="n">
        <v>44497</v>
      </c>
      <c r="C5271" s="1" t="n">
        <v>45715</v>
      </c>
      <c r="D5271" t="inlineStr">
        <is>
          <t>KALMAR LÄN</t>
        </is>
      </c>
      <c r="E5271" t="inlineStr">
        <is>
          <t>KALMAR</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60794-2021</t>
        </is>
      </c>
      <c r="B5272" s="1" t="n">
        <v>44497</v>
      </c>
      <c r="C5272" s="1" t="n">
        <v>45715</v>
      </c>
      <c r="D5272" t="inlineStr">
        <is>
          <t>KALMAR LÄN</t>
        </is>
      </c>
      <c r="E5272" t="inlineStr">
        <is>
          <t>NYBRO</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60869-2021</t>
        </is>
      </c>
      <c r="B5273" s="1" t="n">
        <v>44497</v>
      </c>
      <c r="C5273" s="1" t="n">
        <v>45715</v>
      </c>
      <c r="D5273" t="inlineStr">
        <is>
          <t>KALMAR LÄN</t>
        </is>
      </c>
      <c r="E5273" t="inlineStr">
        <is>
          <t>KALMAR</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60873-2021</t>
        </is>
      </c>
      <c r="B5274" s="1" t="n">
        <v>44497</v>
      </c>
      <c r="C5274" s="1" t="n">
        <v>45715</v>
      </c>
      <c r="D5274" t="inlineStr">
        <is>
          <t>KALMAR LÄN</t>
        </is>
      </c>
      <c r="E5274" t="inlineStr">
        <is>
          <t>KALMAR</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60913-2021</t>
        </is>
      </c>
      <c r="B5275" s="1" t="n">
        <v>44497</v>
      </c>
      <c r="C5275" s="1" t="n">
        <v>45715</v>
      </c>
      <c r="D5275" t="inlineStr">
        <is>
          <t>KALMAR LÄN</t>
        </is>
      </c>
      <c r="E5275" t="inlineStr">
        <is>
          <t>OSKARSHAMN</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60871-2021</t>
        </is>
      </c>
      <c r="B5276" s="1" t="n">
        <v>44497</v>
      </c>
      <c r="C5276" s="1" t="n">
        <v>45715</v>
      </c>
      <c r="D5276" t="inlineStr">
        <is>
          <t>KALMAR LÄN</t>
        </is>
      </c>
      <c r="E5276" t="inlineStr">
        <is>
          <t>KALMAR</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60994-2021</t>
        </is>
      </c>
      <c r="B5277" s="1" t="n">
        <v>44497</v>
      </c>
      <c r="C5277" s="1" t="n">
        <v>45715</v>
      </c>
      <c r="D5277" t="inlineStr">
        <is>
          <t>KALMAR LÄN</t>
        </is>
      </c>
      <c r="E5277" t="inlineStr">
        <is>
          <t>VIMMERBY</t>
        </is>
      </c>
      <c r="F5277" t="inlineStr">
        <is>
          <t>Sveaskog</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61085-2021</t>
        </is>
      </c>
      <c r="B5278" s="1" t="n">
        <v>44498</v>
      </c>
      <c r="C5278" s="1" t="n">
        <v>45715</v>
      </c>
      <c r="D5278" t="inlineStr">
        <is>
          <t>KALMAR LÄN</t>
        </is>
      </c>
      <c r="E5278" t="inlineStr">
        <is>
          <t>KALMAR</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61086-2021</t>
        </is>
      </c>
      <c r="B5279" s="1" t="n">
        <v>44498</v>
      </c>
      <c r="C5279" s="1" t="n">
        <v>45715</v>
      </c>
      <c r="D5279" t="inlineStr">
        <is>
          <t>KALMAR LÄN</t>
        </is>
      </c>
      <c r="E5279" t="inlineStr">
        <is>
          <t>KALMAR</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61180-2021</t>
        </is>
      </c>
      <c r="B5280" s="1" t="n">
        <v>44498</v>
      </c>
      <c r="C5280" s="1" t="n">
        <v>45715</v>
      </c>
      <c r="D5280" t="inlineStr">
        <is>
          <t>KALMAR LÄN</t>
        </is>
      </c>
      <c r="E5280" t="inlineStr">
        <is>
          <t>EMMABODA</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61211-2021</t>
        </is>
      </c>
      <c r="B5281" s="1" t="n">
        <v>44498</v>
      </c>
      <c r="C5281" s="1" t="n">
        <v>45715</v>
      </c>
      <c r="D5281" t="inlineStr">
        <is>
          <t>KALMAR LÄN</t>
        </is>
      </c>
      <c r="E5281" t="inlineStr">
        <is>
          <t>HULTSFRED</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61317-2021</t>
        </is>
      </c>
      <c r="B5282" s="1" t="n">
        <v>44498</v>
      </c>
      <c r="C5282" s="1" t="n">
        <v>45715</v>
      </c>
      <c r="D5282" t="inlineStr">
        <is>
          <t>KALMAR LÄN</t>
        </is>
      </c>
      <c r="E5282" t="inlineStr">
        <is>
          <t>VÄSTERVIK</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61584-2021</t>
        </is>
      </c>
      <c r="B5283" s="1" t="n">
        <v>44501</v>
      </c>
      <c r="C5283" s="1" t="n">
        <v>45715</v>
      </c>
      <c r="D5283" t="inlineStr">
        <is>
          <t>KALMAR LÄN</t>
        </is>
      </c>
      <c r="E5283" t="inlineStr">
        <is>
          <t>VÄSTERVIK</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61590-2021</t>
        </is>
      </c>
      <c r="B5284" s="1" t="n">
        <v>44501</v>
      </c>
      <c r="C5284" s="1" t="n">
        <v>45715</v>
      </c>
      <c r="D5284" t="inlineStr">
        <is>
          <t>KALMAR LÄN</t>
        </is>
      </c>
      <c r="E5284" t="inlineStr">
        <is>
          <t>EMMABODA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61828-2021</t>
        </is>
      </c>
      <c r="B5285" s="1" t="n">
        <v>44501</v>
      </c>
      <c r="C5285" s="1" t="n">
        <v>45715</v>
      </c>
      <c r="D5285" t="inlineStr">
        <is>
          <t>KALMAR LÄN</t>
        </is>
      </c>
      <c r="E5285" t="inlineStr">
        <is>
          <t>BORGHOLM</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61901-2021</t>
        </is>
      </c>
      <c r="B5286" s="1" t="n">
        <v>44501</v>
      </c>
      <c r="C5286" s="1" t="n">
        <v>45715</v>
      </c>
      <c r="D5286" t="inlineStr">
        <is>
          <t>KALMAR LÄN</t>
        </is>
      </c>
      <c r="E5286" t="inlineStr">
        <is>
          <t>OSKARSHAMN</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61740-2021</t>
        </is>
      </c>
      <c r="B5287" s="1" t="n">
        <v>44501</v>
      </c>
      <c r="C5287" s="1" t="n">
        <v>45715</v>
      </c>
      <c r="D5287" t="inlineStr">
        <is>
          <t>KALMAR LÄN</t>
        </is>
      </c>
      <c r="E5287" t="inlineStr">
        <is>
          <t>HÖGSBY</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61939-2021</t>
        </is>
      </c>
      <c r="B5288" s="1" t="n">
        <v>44502</v>
      </c>
      <c r="C5288" s="1" t="n">
        <v>45715</v>
      </c>
      <c r="D5288" t="inlineStr">
        <is>
          <t>KALMAR LÄN</t>
        </is>
      </c>
      <c r="E5288" t="inlineStr">
        <is>
          <t>VIMMERBY</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61925-2021</t>
        </is>
      </c>
      <c r="B5289" s="1" t="n">
        <v>44502</v>
      </c>
      <c r="C5289" s="1" t="n">
        <v>45715</v>
      </c>
      <c r="D5289" t="inlineStr">
        <is>
          <t>KALMAR LÄN</t>
        </is>
      </c>
      <c r="E5289" t="inlineStr">
        <is>
          <t>KALMAR</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61927-2021</t>
        </is>
      </c>
      <c r="B5290" s="1" t="n">
        <v>44502</v>
      </c>
      <c r="C5290" s="1" t="n">
        <v>45715</v>
      </c>
      <c r="D5290" t="inlineStr">
        <is>
          <t>KALMAR LÄN</t>
        </is>
      </c>
      <c r="E5290" t="inlineStr">
        <is>
          <t>KALMAR</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62101-2021</t>
        </is>
      </c>
      <c r="B5291" s="1" t="n">
        <v>44502</v>
      </c>
      <c r="C5291" s="1" t="n">
        <v>45715</v>
      </c>
      <c r="D5291" t="inlineStr">
        <is>
          <t>KALMAR LÄN</t>
        </is>
      </c>
      <c r="E5291" t="inlineStr">
        <is>
          <t>TORSÅS</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61961-2021</t>
        </is>
      </c>
      <c r="B5292" s="1" t="n">
        <v>44502</v>
      </c>
      <c r="C5292" s="1" t="n">
        <v>45715</v>
      </c>
      <c r="D5292" t="inlineStr">
        <is>
          <t>KALMAR LÄN</t>
        </is>
      </c>
      <c r="E5292" t="inlineStr">
        <is>
          <t>KALMAR</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62361-2021</t>
        </is>
      </c>
      <c r="B5293" s="1" t="n">
        <v>44502</v>
      </c>
      <c r="C5293" s="1" t="n">
        <v>45715</v>
      </c>
      <c r="D5293" t="inlineStr">
        <is>
          <t>KALMAR LÄN</t>
        </is>
      </c>
      <c r="E5293" t="inlineStr">
        <is>
          <t>HULTSFRED</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62274-2021</t>
        </is>
      </c>
      <c r="B5294" s="1" t="n">
        <v>44503</v>
      </c>
      <c r="C5294" s="1" t="n">
        <v>45715</v>
      </c>
      <c r="D5294" t="inlineStr">
        <is>
          <t>KALMAR LÄN</t>
        </is>
      </c>
      <c r="E5294" t="inlineStr">
        <is>
          <t>HÖGSBY</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62623-2021</t>
        </is>
      </c>
      <c r="B5295" s="1" t="n">
        <v>44503</v>
      </c>
      <c r="C5295" s="1" t="n">
        <v>45715</v>
      </c>
      <c r="D5295" t="inlineStr">
        <is>
          <t>KALMAR LÄN</t>
        </is>
      </c>
      <c r="E5295" t="inlineStr">
        <is>
          <t>OSKARSHAMN</t>
        </is>
      </c>
      <c r="G5295" t="n">
        <v>0</v>
      </c>
      <c r="H5295" t="n">
        <v>0</v>
      </c>
      <c r="I5295" t="n">
        <v>0</v>
      </c>
      <c r="J5295" t="n">
        <v>0</v>
      </c>
      <c r="K5295" t="n">
        <v>0</v>
      </c>
      <c r="L5295" t="n">
        <v>0</v>
      </c>
      <c r="M5295" t="n">
        <v>0</v>
      </c>
      <c r="N5295" t="n">
        <v>0</v>
      </c>
      <c r="O5295" t="n">
        <v>0</v>
      </c>
      <c r="P5295" t="n">
        <v>0</v>
      </c>
      <c r="Q5295" t="n">
        <v>0</v>
      </c>
      <c r="R5295" s="2" t="inlineStr"/>
    </row>
    <row r="5296" ht="15" customHeight="1">
      <c r="A5296" t="inlineStr">
        <is>
          <t>A 62631-2021</t>
        </is>
      </c>
      <c r="B5296" s="1" t="n">
        <v>44503</v>
      </c>
      <c r="C5296" s="1" t="n">
        <v>45715</v>
      </c>
      <c r="D5296" t="inlineStr">
        <is>
          <t>KALMAR LÄN</t>
        </is>
      </c>
      <c r="E5296" t="inlineStr">
        <is>
          <t>BORGHOLM</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62816-2021</t>
        </is>
      </c>
      <c r="B5297" s="1" t="n">
        <v>44504</v>
      </c>
      <c r="C5297" s="1" t="n">
        <v>45715</v>
      </c>
      <c r="D5297" t="inlineStr">
        <is>
          <t>KALMAR LÄN</t>
        </is>
      </c>
      <c r="E5297" t="inlineStr">
        <is>
          <t>NYBRO</t>
        </is>
      </c>
      <c r="F5297" t="inlineStr">
        <is>
          <t>Sveaskog</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62733-2021</t>
        </is>
      </c>
      <c r="B5298" s="1" t="n">
        <v>44504</v>
      </c>
      <c r="C5298" s="1" t="n">
        <v>45715</v>
      </c>
      <c r="D5298" t="inlineStr">
        <is>
          <t>KALMAR LÄN</t>
        </is>
      </c>
      <c r="E5298" t="inlineStr">
        <is>
          <t>EMMABODA</t>
        </is>
      </c>
      <c r="G5298" t="n">
        <v>4.5</v>
      </c>
      <c r="H5298" t="n">
        <v>0</v>
      </c>
      <c r="I5298" t="n">
        <v>0</v>
      </c>
      <c r="J5298" t="n">
        <v>0</v>
      </c>
      <c r="K5298" t="n">
        <v>0</v>
      </c>
      <c r="L5298" t="n">
        <v>0</v>
      </c>
      <c r="M5298" t="n">
        <v>0</v>
      </c>
      <c r="N5298" t="n">
        <v>0</v>
      </c>
      <c r="O5298" t="n">
        <v>0</v>
      </c>
      <c r="P5298" t="n">
        <v>0</v>
      </c>
      <c r="Q5298" t="n">
        <v>0</v>
      </c>
      <c r="R5298" s="2" t="inlineStr"/>
    </row>
    <row r="5299" ht="15" customHeight="1">
      <c r="A5299" t="inlineStr">
        <is>
          <t>A 62817-2021</t>
        </is>
      </c>
      <c r="B5299" s="1" t="n">
        <v>44504</v>
      </c>
      <c r="C5299" s="1" t="n">
        <v>45715</v>
      </c>
      <c r="D5299" t="inlineStr">
        <is>
          <t>KALMAR LÄN</t>
        </is>
      </c>
      <c r="E5299" t="inlineStr">
        <is>
          <t>NYBRO</t>
        </is>
      </c>
      <c r="F5299" t="inlineStr">
        <is>
          <t>Sveaskog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62735-2021</t>
        </is>
      </c>
      <c r="B5300" s="1" t="n">
        <v>44504</v>
      </c>
      <c r="C5300" s="1" t="n">
        <v>45715</v>
      </c>
      <c r="D5300" t="inlineStr">
        <is>
          <t>KALMAR LÄN</t>
        </is>
      </c>
      <c r="E5300" t="inlineStr">
        <is>
          <t>EMMABODA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62744-2021</t>
        </is>
      </c>
      <c r="B5301" s="1" t="n">
        <v>44504</v>
      </c>
      <c r="C5301" s="1" t="n">
        <v>45715</v>
      </c>
      <c r="D5301" t="inlineStr">
        <is>
          <t>KALMAR LÄN</t>
        </is>
      </c>
      <c r="E5301" t="inlineStr">
        <is>
          <t>HÖGSBY</t>
        </is>
      </c>
      <c r="G5301" t="n">
        <v>11.6</v>
      </c>
      <c r="H5301" t="n">
        <v>0</v>
      </c>
      <c r="I5301" t="n">
        <v>0</v>
      </c>
      <c r="J5301" t="n">
        <v>0</v>
      </c>
      <c r="K5301" t="n">
        <v>0</v>
      </c>
      <c r="L5301" t="n">
        <v>0</v>
      </c>
      <c r="M5301" t="n">
        <v>0</v>
      </c>
      <c r="N5301" t="n">
        <v>0</v>
      </c>
      <c r="O5301" t="n">
        <v>0</v>
      </c>
      <c r="P5301" t="n">
        <v>0</v>
      </c>
      <c r="Q5301" t="n">
        <v>0</v>
      </c>
      <c r="R5301" s="2" t="inlineStr"/>
    </row>
    <row r="5302" ht="15" customHeight="1">
      <c r="A5302" t="inlineStr">
        <is>
          <t>A 62930-2021</t>
        </is>
      </c>
      <c r="B5302" s="1" t="n">
        <v>44504</v>
      </c>
      <c r="C5302" s="1" t="n">
        <v>45715</v>
      </c>
      <c r="D5302" t="inlineStr">
        <is>
          <t>KALMAR LÄN</t>
        </is>
      </c>
      <c r="E5302" t="inlineStr">
        <is>
          <t>VÄSTERVIK</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63045-2021</t>
        </is>
      </c>
      <c r="B5303" s="1" t="n">
        <v>44505</v>
      </c>
      <c r="C5303" s="1" t="n">
        <v>45715</v>
      </c>
      <c r="D5303" t="inlineStr">
        <is>
          <t>KALMAR LÄN</t>
        </is>
      </c>
      <c r="E5303" t="inlineStr">
        <is>
          <t>KALMAR</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63711-2021</t>
        </is>
      </c>
      <c r="B5304" s="1" t="n">
        <v>44505</v>
      </c>
      <c r="C5304" s="1" t="n">
        <v>45715</v>
      </c>
      <c r="D5304" t="inlineStr">
        <is>
          <t>KALMAR LÄN</t>
        </is>
      </c>
      <c r="E5304" t="inlineStr">
        <is>
          <t>OSKARSHAMN</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63260-2021</t>
        </is>
      </c>
      <c r="B5305" s="1" t="n">
        <v>44505</v>
      </c>
      <c r="C5305" s="1" t="n">
        <v>45715</v>
      </c>
      <c r="D5305" t="inlineStr">
        <is>
          <t>KALMAR LÄN</t>
        </is>
      </c>
      <c r="E5305" t="inlineStr">
        <is>
          <t>NYBRO</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63180-2021</t>
        </is>
      </c>
      <c r="B5306" s="1" t="n">
        <v>44507</v>
      </c>
      <c r="C5306" s="1" t="n">
        <v>45715</v>
      </c>
      <c r="D5306" t="inlineStr">
        <is>
          <t>KALMAR LÄN</t>
        </is>
      </c>
      <c r="E5306" t="inlineStr">
        <is>
          <t>EMMABODA</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63187-2021</t>
        </is>
      </c>
      <c r="B5307" s="1" t="n">
        <v>44507</v>
      </c>
      <c r="C5307" s="1" t="n">
        <v>45715</v>
      </c>
      <c r="D5307" t="inlineStr">
        <is>
          <t>KALMAR LÄN</t>
        </is>
      </c>
      <c r="E5307" t="inlineStr">
        <is>
          <t>EMMABODA</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63191-2021</t>
        </is>
      </c>
      <c r="B5308" s="1" t="n">
        <v>44507</v>
      </c>
      <c r="C5308" s="1" t="n">
        <v>45715</v>
      </c>
      <c r="D5308" t="inlineStr">
        <is>
          <t>KALMAR LÄN</t>
        </is>
      </c>
      <c r="E5308" t="inlineStr">
        <is>
          <t>EMMABODA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63189-2021</t>
        </is>
      </c>
      <c r="B5309" s="1" t="n">
        <v>44507</v>
      </c>
      <c r="C5309" s="1" t="n">
        <v>45715</v>
      </c>
      <c r="D5309" t="inlineStr">
        <is>
          <t>KALMAR LÄN</t>
        </is>
      </c>
      <c r="E5309" t="inlineStr">
        <is>
          <t>EMMABODA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63194-2021</t>
        </is>
      </c>
      <c r="B5310" s="1" t="n">
        <v>44507</v>
      </c>
      <c r="C5310" s="1" t="n">
        <v>45715</v>
      </c>
      <c r="D5310" t="inlineStr">
        <is>
          <t>KALMAR LÄN</t>
        </is>
      </c>
      <c r="E5310" t="inlineStr">
        <is>
          <t>EMMABODA</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63181-2021</t>
        </is>
      </c>
      <c r="B5311" s="1" t="n">
        <v>44507</v>
      </c>
      <c r="C5311" s="1" t="n">
        <v>45715</v>
      </c>
      <c r="D5311" t="inlineStr">
        <is>
          <t>KALMAR LÄN</t>
        </is>
      </c>
      <c r="E5311" t="inlineStr">
        <is>
          <t>EMMABODA</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63193-2021</t>
        </is>
      </c>
      <c r="B5312" s="1" t="n">
        <v>44507</v>
      </c>
      <c r="C5312" s="1" t="n">
        <v>45715</v>
      </c>
      <c r="D5312" t="inlineStr">
        <is>
          <t>KALMAR LÄN</t>
        </is>
      </c>
      <c r="E5312" t="inlineStr">
        <is>
          <t>EMMABODA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63244-2021</t>
        </is>
      </c>
      <c r="B5313" s="1" t="n">
        <v>44508</v>
      </c>
      <c r="C5313" s="1" t="n">
        <v>45715</v>
      </c>
      <c r="D5313" t="inlineStr">
        <is>
          <t>KALMAR LÄN</t>
        </is>
      </c>
      <c r="E5313" t="inlineStr">
        <is>
          <t>VIMMERBY</t>
        </is>
      </c>
      <c r="F5313" t="inlineStr">
        <is>
          <t>Övriga statliga verk och myndigheter</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63280-2021</t>
        </is>
      </c>
      <c r="B5314" s="1" t="n">
        <v>44508</v>
      </c>
      <c r="C5314" s="1" t="n">
        <v>45715</v>
      </c>
      <c r="D5314" t="inlineStr">
        <is>
          <t>KALMAR LÄN</t>
        </is>
      </c>
      <c r="E5314" t="inlineStr">
        <is>
          <t>NYBRO</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63276-2021</t>
        </is>
      </c>
      <c r="B5315" s="1" t="n">
        <v>44508</v>
      </c>
      <c r="C5315" s="1" t="n">
        <v>45715</v>
      </c>
      <c r="D5315" t="inlineStr">
        <is>
          <t>KALMAR LÄN</t>
        </is>
      </c>
      <c r="E5315" t="inlineStr">
        <is>
          <t>NYBRO</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63812-2021</t>
        </is>
      </c>
      <c r="B5316" s="1" t="n">
        <v>44509</v>
      </c>
      <c r="C5316" s="1" t="n">
        <v>45715</v>
      </c>
      <c r="D5316" t="inlineStr">
        <is>
          <t>KALMAR LÄN</t>
        </is>
      </c>
      <c r="E5316" t="inlineStr">
        <is>
          <t>VÄSTERVIK</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63926-2021</t>
        </is>
      </c>
      <c r="B5317" s="1" t="n">
        <v>44509</v>
      </c>
      <c r="C5317" s="1" t="n">
        <v>45715</v>
      </c>
      <c r="D5317" t="inlineStr">
        <is>
          <t>KALMAR LÄN</t>
        </is>
      </c>
      <c r="E5317" t="inlineStr">
        <is>
          <t>VIMMERBY</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64143-2021</t>
        </is>
      </c>
      <c r="B5318" s="1" t="n">
        <v>44510</v>
      </c>
      <c r="C5318" s="1" t="n">
        <v>45715</v>
      </c>
      <c r="D5318" t="inlineStr">
        <is>
          <t>KALMAR LÄN</t>
        </is>
      </c>
      <c r="E5318" t="inlineStr">
        <is>
          <t>VIMMERBY</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64203-2021</t>
        </is>
      </c>
      <c r="B5319" s="1" t="n">
        <v>44510</v>
      </c>
      <c r="C5319" s="1" t="n">
        <v>45715</v>
      </c>
      <c r="D5319" t="inlineStr">
        <is>
          <t>KALMAR LÄN</t>
        </is>
      </c>
      <c r="E5319" t="inlineStr">
        <is>
          <t>VIMMERBY</t>
        </is>
      </c>
      <c r="F5319" t="inlineStr">
        <is>
          <t>Övriga Aktiebolag</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64265-2021</t>
        </is>
      </c>
      <c r="B5320" s="1" t="n">
        <v>44510</v>
      </c>
      <c r="C5320" s="1" t="n">
        <v>45715</v>
      </c>
      <c r="D5320" t="inlineStr">
        <is>
          <t>KALMAR LÄN</t>
        </is>
      </c>
      <c r="E5320" t="inlineStr">
        <is>
          <t>HULTSFRED</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64376-2021</t>
        </is>
      </c>
      <c r="B5321" s="1" t="n">
        <v>44511</v>
      </c>
      <c r="C5321" s="1" t="n">
        <v>45715</v>
      </c>
      <c r="D5321" t="inlineStr">
        <is>
          <t>KALMAR LÄN</t>
        </is>
      </c>
      <c r="E5321" t="inlineStr">
        <is>
          <t>KALMAR</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64514-2021</t>
        </is>
      </c>
      <c r="B5322" s="1" t="n">
        <v>44511</v>
      </c>
      <c r="C5322" s="1" t="n">
        <v>45715</v>
      </c>
      <c r="D5322" t="inlineStr">
        <is>
          <t>KALMAR LÄN</t>
        </is>
      </c>
      <c r="E5322" t="inlineStr">
        <is>
          <t>MÖNSTERÅS</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64348-2021</t>
        </is>
      </c>
      <c r="B5323" s="1" t="n">
        <v>44511</v>
      </c>
      <c r="C5323" s="1" t="n">
        <v>45715</v>
      </c>
      <c r="D5323" t="inlineStr">
        <is>
          <t>KALMAR LÄN</t>
        </is>
      </c>
      <c r="E5323" t="inlineStr">
        <is>
          <t>TORSÅS</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64463-2021</t>
        </is>
      </c>
      <c r="B5324" s="1" t="n">
        <v>44511</v>
      </c>
      <c r="C5324" s="1" t="n">
        <v>45715</v>
      </c>
      <c r="D5324" t="inlineStr">
        <is>
          <t>KALMAR LÄN</t>
        </is>
      </c>
      <c r="E5324" t="inlineStr">
        <is>
          <t>HULTSFRED</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64497-2021</t>
        </is>
      </c>
      <c r="B5325" s="1" t="n">
        <v>44511</v>
      </c>
      <c r="C5325" s="1" t="n">
        <v>45715</v>
      </c>
      <c r="D5325" t="inlineStr">
        <is>
          <t>KALMAR LÄN</t>
        </is>
      </c>
      <c r="E5325" t="inlineStr">
        <is>
          <t>VÄSTERVIK</t>
        </is>
      </c>
      <c r="F5325" t="inlineStr">
        <is>
          <t>Övriga Aktiebolag</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64525-2021</t>
        </is>
      </c>
      <c r="B5326" s="1" t="n">
        <v>44511</v>
      </c>
      <c r="C5326" s="1" t="n">
        <v>45715</v>
      </c>
      <c r="D5326" t="inlineStr">
        <is>
          <t>KALMAR LÄN</t>
        </is>
      </c>
      <c r="E5326" t="inlineStr">
        <is>
          <t>MÖNSTERÅS</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64349-2021</t>
        </is>
      </c>
      <c r="B5327" s="1" t="n">
        <v>44511</v>
      </c>
      <c r="C5327" s="1" t="n">
        <v>45715</v>
      </c>
      <c r="D5327" t="inlineStr">
        <is>
          <t>KALMAR LÄN</t>
        </is>
      </c>
      <c r="E5327" t="inlineStr">
        <is>
          <t>TORSÅS</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64439-2021</t>
        </is>
      </c>
      <c r="B5328" s="1" t="n">
        <v>44511</v>
      </c>
      <c r="C5328" s="1" t="n">
        <v>45715</v>
      </c>
      <c r="D5328" t="inlineStr">
        <is>
          <t>KALMAR LÄN</t>
        </is>
      </c>
      <c r="E5328" t="inlineStr">
        <is>
          <t>EMMABODA</t>
        </is>
      </c>
      <c r="G5328" t="n">
        <v>7.4</v>
      </c>
      <c r="H5328" t="n">
        <v>0</v>
      </c>
      <c r="I5328" t="n">
        <v>0</v>
      </c>
      <c r="J5328" t="n">
        <v>0</v>
      </c>
      <c r="K5328" t="n">
        <v>0</v>
      </c>
      <c r="L5328" t="n">
        <v>0</v>
      </c>
      <c r="M5328" t="n">
        <v>0</v>
      </c>
      <c r="N5328" t="n">
        <v>0</v>
      </c>
      <c r="O5328" t="n">
        <v>0</v>
      </c>
      <c r="P5328" t="n">
        <v>0</v>
      </c>
      <c r="Q5328" t="n">
        <v>0</v>
      </c>
      <c r="R5328" s="2" t="inlineStr"/>
    </row>
    <row r="5329" ht="15" customHeight="1">
      <c r="A5329" t="inlineStr">
        <is>
          <t>A 64550-2021</t>
        </is>
      </c>
      <c r="B5329" s="1" t="n">
        <v>44511</v>
      </c>
      <c r="C5329" s="1" t="n">
        <v>45715</v>
      </c>
      <c r="D5329" t="inlineStr">
        <is>
          <t>KALMAR LÄN</t>
        </is>
      </c>
      <c r="E5329" t="inlineStr">
        <is>
          <t>MÖNSTERÅS</t>
        </is>
      </c>
      <c r="G5329" t="n">
        <v>9.1</v>
      </c>
      <c r="H5329" t="n">
        <v>0</v>
      </c>
      <c r="I5329" t="n">
        <v>0</v>
      </c>
      <c r="J5329" t="n">
        <v>0</v>
      </c>
      <c r="K5329" t="n">
        <v>0</v>
      </c>
      <c r="L5329" t="n">
        <v>0</v>
      </c>
      <c r="M5329" t="n">
        <v>0</v>
      </c>
      <c r="N5329" t="n">
        <v>0</v>
      </c>
      <c r="O5329" t="n">
        <v>0</v>
      </c>
      <c r="P5329" t="n">
        <v>0</v>
      </c>
      <c r="Q5329" t="n">
        <v>0</v>
      </c>
      <c r="R5329" s="2" t="inlineStr"/>
    </row>
    <row r="5330" ht="15" customHeight="1">
      <c r="A5330" t="inlineStr">
        <is>
          <t>A 64558-2021</t>
        </is>
      </c>
      <c r="B5330" s="1" t="n">
        <v>44511</v>
      </c>
      <c r="C5330" s="1" t="n">
        <v>45715</v>
      </c>
      <c r="D5330" t="inlineStr">
        <is>
          <t>KALMAR LÄN</t>
        </is>
      </c>
      <c r="E5330" t="inlineStr">
        <is>
          <t>VÄSTERVIK</t>
        </is>
      </c>
      <c r="F5330" t="inlineStr">
        <is>
          <t>Övriga Aktiebolag</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64822-2021</t>
        </is>
      </c>
      <c r="B5331" s="1" t="n">
        <v>44512</v>
      </c>
      <c r="C5331" s="1" t="n">
        <v>45715</v>
      </c>
      <c r="D5331" t="inlineStr">
        <is>
          <t>KALMAR LÄN</t>
        </is>
      </c>
      <c r="E5331" t="inlineStr">
        <is>
          <t>VÄSTERVIK</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64920-2021</t>
        </is>
      </c>
      <c r="B5332" s="1" t="n">
        <v>44512</v>
      </c>
      <c r="C5332" s="1" t="n">
        <v>45715</v>
      </c>
      <c r="D5332" t="inlineStr">
        <is>
          <t>KALMAR LÄN</t>
        </is>
      </c>
      <c r="E5332" t="inlineStr">
        <is>
          <t>VÄSTERVIK</t>
        </is>
      </c>
      <c r="G5332" t="n">
        <v>1.2</v>
      </c>
      <c r="H5332" t="n">
        <v>0</v>
      </c>
      <c r="I5332" t="n">
        <v>0</v>
      </c>
      <c r="J5332" t="n">
        <v>0</v>
      </c>
      <c r="K5332" t="n">
        <v>0</v>
      </c>
      <c r="L5332" t="n">
        <v>0</v>
      </c>
      <c r="M5332" t="n">
        <v>0</v>
      </c>
      <c r="N5332" t="n">
        <v>0</v>
      </c>
      <c r="O5332" t="n">
        <v>0</v>
      </c>
      <c r="P5332" t="n">
        <v>0</v>
      </c>
      <c r="Q5332" t="n">
        <v>0</v>
      </c>
      <c r="R5332" s="2" t="inlineStr"/>
      <c r="U5332">
        <f>HYPERLINK("https://klasma.github.io/Logging_0883/knärot/A 64920-2021 karta knärot.png", "A 64920-2021")</f>
        <v/>
      </c>
      <c r="V5332">
        <f>HYPERLINK("https://klasma.github.io/Logging_0883/klagomål/A 64920-2021 FSC-klagomål.docx", "A 64920-2021")</f>
        <v/>
      </c>
      <c r="W5332">
        <f>HYPERLINK("https://klasma.github.io/Logging_0883/klagomålsmail/A 64920-2021 FSC-klagomål mail.docx", "A 64920-2021")</f>
        <v/>
      </c>
      <c r="X5332">
        <f>HYPERLINK("https://klasma.github.io/Logging_0883/tillsyn/A 64920-2021 tillsynsbegäran.docx", "A 64920-2021")</f>
        <v/>
      </c>
      <c r="Y5332">
        <f>HYPERLINK("https://klasma.github.io/Logging_0883/tillsynsmail/A 64920-2021 tillsynsbegäran mail.docx", "A 64920-2021")</f>
        <v/>
      </c>
    </row>
    <row r="5333" ht="15" customHeight="1">
      <c r="A5333" t="inlineStr">
        <is>
          <t>A 64923-2021</t>
        </is>
      </c>
      <c r="B5333" s="1" t="n">
        <v>44512</v>
      </c>
      <c r="C5333" s="1" t="n">
        <v>45715</v>
      </c>
      <c r="D5333" t="inlineStr">
        <is>
          <t>KALMAR LÄN</t>
        </is>
      </c>
      <c r="E5333" t="inlineStr">
        <is>
          <t>VIMMERBY</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64991-2021</t>
        </is>
      </c>
      <c r="B5334" s="1" t="n">
        <v>44514</v>
      </c>
      <c r="C5334" s="1" t="n">
        <v>45715</v>
      </c>
      <c r="D5334" t="inlineStr">
        <is>
          <t>KALMAR LÄN</t>
        </is>
      </c>
      <c r="E5334" t="inlineStr">
        <is>
          <t>TORSÅS</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65147-2021</t>
        </is>
      </c>
      <c r="B5335" s="1" t="n">
        <v>44515</v>
      </c>
      <c r="C5335" s="1" t="n">
        <v>45715</v>
      </c>
      <c r="D5335" t="inlineStr">
        <is>
          <t>KALMAR LÄN</t>
        </is>
      </c>
      <c r="E5335" t="inlineStr">
        <is>
          <t>OSKARSHAMN</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65155-2021</t>
        </is>
      </c>
      <c r="B5336" s="1" t="n">
        <v>44515</v>
      </c>
      <c r="C5336" s="1" t="n">
        <v>45715</v>
      </c>
      <c r="D5336" t="inlineStr">
        <is>
          <t>KALMAR LÄN</t>
        </is>
      </c>
      <c r="E5336" t="inlineStr">
        <is>
          <t>OSKARSHAMN</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65141-2021</t>
        </is>
      </c>
      <c r="B5337" s="1" t="n">
        <v>44515</v>
      </c>
      <c r="C5337" s="1" t="n">
        <v>45715</v>
      </c>
      <c r="D5337" t="inlineStr">
        <is>
          <t>KALMAR LÄN</t>
        </is>
      </c>
      <c r="E5337" t="inlineStr">
        <is>
          <t>EMMABODA</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65172-2021</t>
        </is>
      </c>
      <c r="B5338" s="1" t="n">
        <v>44515</v>
      </c>
      <c r="C5338" s="1" t="n">
        <v>45715</v>
      </c>
      <c r="D5338" t="inlineStr">
        <is>
          <t>KALMAR LÄN</t>
        </is>
      </c>
      <c r="E5338" t="inlineStr">
        <is>
          <t>OSKARSHAMN</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65314-2021</t>
        </is>
      </c>
      <c r="B5339" s="1" t="n">
        <v>44515</v>
      </c>
      <c r="C5339" s="1" t="n">
        <v>45715</v>
      </c>
      <c r="D5339" t="inlineStr">
        <is>
          <t>KALMAR LÄN</t>
        </is>
      </c>
      <c r="E5339" t="inlineStr">
        <is>
          <t>OSKARSHAMN</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65320-2021</t>
        </is>
      </c>
      <c r="B5340" s="1" t="n">
        <v>44515</v>
      </c>
      <c r="C5340" s="1" t="n">
        <v>45715</v>
      </c>
      <c r="D5340" t="inlineStr">
        <is>
          <t>KALMAR LÄN</t>
        </is>
      </c>
      <c r="E5340" t="inlineStr">
        <is>
          <t>OSKARSHAMN</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65408-2021</t>
        </is>
      </c>
      <c r="B5341" s="1" t="n">
        <v>44515</v>
      </c>
      <c r="C5341" s="1" t="n">
        <v>45715</v>
      </c>
      <c r="D5341" t="inlineStr">
        <is>
          <t>KALMAR LÄN</t>
        </is>
      </c>
      <c r="E5341" t="inlineStr">
        <is>
          <t>VÄSTERVIK</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65533-2021</t>
        </is>
      </c>
      <c r="B5342" s="1" t="n">
        <v>44516</v>
      </c>
      <c r="C5342" s="1" t="n">
        <v>45715</v>
      </c>
      <c r="D5342" t="inlineStr">
        <is>
          <t>KALMAR LÄN</t>
        </is>
      </c>
      <c r="E5342" t="inlineStr">
        <is>
          <t>HULTSFRED</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65529-2021</t>
        </is>
      </c>
      <c r="B5343" s="1" t="n">
        <v>44516</v>
      </c>
      <c r="C5343" s="1" t="n">
        <v>45715</v>
      </c>
      <c r="D5343" t="inlineStr">
        <is>
          <t>KALMAR LÄN</t>
        </is>
      </c>
      <c r="E5343" t="inlineStr">
        <is>
          <t>HULTSFRED</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65670-2021</t>
        </is>
      </c>
      <c r="B5344" s="1" t="n">
        <v>44516</v>
      </c>
      <c r="C5344" s="1" t="n">
        <v>45715</v>
      </c>
      <c r="D5344" t="inlineStr">
        <is>
          <t>KALMAR LÄN</t>
        </is>
      </c>
      <c r="E5344" t="inlineStr">
        <is>
          <t>VIMMERBY</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65726-2021</t>
        </is>
      </c>
      <c r="B5345" s="1" t="n">
        <v>44516</v>
      </c>
      <c r="C5345" s="1" t="n">
        <v>45715</v>
      </c>
      <c r="D5345" t="inlineStr">
        <is>
          <t>KALMAR LÄN</t>
        </is>
      </c>
      <c r="E5345" t="inlineStr">
        <is>
          <t>OSKARSHAMN</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65647-2021</t>
        </is>
      </c>
      <c r="B5346" s="1" t="n">
        <v>44516</v>
      </c>
      <c r="C5346" s="1" t="n">
        <v>45715</v>
      </c>
      <c r="D5346" t="inlineStr">
        <is>
          <t>KALMAR LÄN</t>
        </is>
      </c>
      <c r="E5346" t="inlineStr">
        <is>
          <t>TORSÅS</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65651-2021</t>
        </is>
      </c>
      <c r="B5347" s="1" t="n">
        <v>44516</v>
      </c>
      <c r="C5347" s="1" t="n">
        <v>45715</v>
      </c>
      <c r="D5347" t="inlineStr">
        <is>
          <t>KALMAR LÄN</t>
        </is>
      </c>
      <c r="E5347" t="inlineStr">
        <is>
          <t>TORSÅS</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65864-2021</t>
        </is>
      </c>
      <c r="B5348" s="1" t="n">
        <v>44517</v>
      </c>
      <c r="C5348" s="1" t="n">
        <v>45715</v>
      </c>
      <c r="D5348" t="inlineStr">
        <is>
          <t>KALMAR LÄN</t>
        </is>
      </c>
      <c r="E5348" t="inlineStr">
        <is>
          <t>VIMMERBY</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65831-2021</t>
        </is>
      </c>
      <c r="B5349" s="1" t="n">
        <v>44517</v>
      </c>
      <c r="C5349" s="1" t="n">
        <v>45715</v>
      </c>
      <c r="D5349" t="inlineStr">
        <is>
          <t>KALMAR LÄN</t>
        </is>
      </c>
      <c r="E5349" t="inlineStr">
        <is>
          <t>HULTSFRED</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65852-2021</t>
        </is>
      </c>
      <c r="B5350" s="1" t="n">
        <v>44517</v>
      </c>
      <c r="C5350" s="1" t="n">
        <v>45715</v>
      </c>
      <c r="D5350" t="inlineStr">
        <is>
          <t>KALMAR LÄN</t>
        </is>
      </c>
      <c r="E5350" t="inlineStr">
        <is>
          <t>OSKARSHAMN</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65887-2021</t>
        </is>
      </c>
      <c r="B5351" s="1" t="n">
        <v>44517</v>
      </c>
      <c r="C5351" s="1" t="n">
        <v>45715</v>
      </c>
      <c r="D5351" t="inlineStr">
        <is>
          <t>KALMAR LÄN</t>
        </is>
      </c>
      <c r="E5351" t="inlineStr">
        <is>
          <t>VIMMERBY</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65912-2021</t>
        </is>
      </c>
      <c r="B5352" s="1" t="n">
        <v>44517</v>
      </c>
      <c r="C5352" s="1" t="n">
        <v>45715</v>
      </c>
      <c r="D5352" t="inlineStr">
        <is>
          <t>KALMAR LÄN</t>
        </is>
      </c>
      <c r="E5352" t="inlineStr">
        <is>
          <t>TORSÅS</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66022-2021</t>
        </is>
      </c>
      <c r="B5353" s="1" t="n">
        <v>44517</v>
      </c>
      <c r="C5353" s="1" t="n">
        <v>45715</v>
      </c>
      <c r="D5353" t="inlineStr">
        <is>
          <t>KALMAR LÄN</t>
        </is>
      </c>
      <c r="E5353" t="inlineStr">
        <is>
          <t>VIMMERBY</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66092-2021</t>
        </is>
      </c>
      <c r="B5354" s="1" t="n">
        <v>44517</v>
      </c>
      <c r="C5354" s="1" t="n">
        <v>45715</v>
      </c>
      <c r="D5354" t="inlineStr">
        <is>
          <t>KALMAR LÄN</t>
        </is>
      </c>
      <c r="E5354" t="inlineStr">
        <is>
          <t>KALMAR</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66046-2021</t>
        </is>
      </c>
      <c r="B5355" s="1" t="n">
        <v>44517</v>
      </c>
      <c r="C5355" s="1" t="n">
        <v>45715</v>
      </c>
      <c r="D5355" t="inlineStr">
        <is>
          <t>KALMAR LÄN</t>
        </is>
      </c>
      <c r="E5355" t="inlineStr">
        <is>
          <t>MÖNSTERÅS</t>
        </is>
      </c>
      <c r="F5355" t="inlineStr">
        <is>
          <t>Kommuner</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66212-2021</t>
        </is>
      </c>
      <c r="B5356" s="1" t="n">
        <v>44518</v>
      </c>
      <c r="C5356" s="1" t="n">
        <v>45715</v>
      </c>
      <c r="D5356" t="inlineStr">
        <is>
          <t>KALMAR LÄN</t>
        </is>
      </c>
      <c r="E5356" t="inlineStr">
        <is>
          <t>MÖNSTERÅS</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66333-2021</t>
        </is>
      </c>
      <c r="B5357" s="1" t="n">
        <v>44518</v>
      </c>
      <c r="C5357" s="1" t="n">
        <v>45715</v>
      </c>
      <c r="D5357" t="inlineStr">
        <is>
          <t>KALMAR LÄN</t>
        </is>
      </c>
      <c r="E5357" t="inlineStr">
        <is>
          <t>EMMABODA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66536-2021</t>
        </is>
      </c>
      <c r="B5358" s="1" t="n">
        <v>44518</v>
      </c>
      <c r="C5358" s="1" t="n">
        <v>45715</v>
      </c>
      <c r="D5358" t="inlineStr">
        <is>
          <t>KALMAR LÄN</t>
        </is>
      </c>
      <c r="E5358" t="inlineStr">
        <is>
          <t>MÖNSTERÅS</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66543-2021</t>
        </is>
      </c>
      <c r="B5359" s="1" t="n">
        <v>44519</v>
      </c>
      <c r="C5359" s="1" t="n">
        <v>45715</v>
      </c>
      <c r="D5359" t="inlineStr">
        <is>
          <t>KALMAR LÄN</t>
        </is>
      </c>
      <c r="E5359" t="inlineStr">
        <is>
          <t>TORSÅS</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66662-2021</t>
        </is>
      </c>
      <c r="B5360" s="1" t="n">
        <v>44519</v>
      </c>
      <c r="C5360" s="1" t="n">
        <v>45715</v>
      </c>
      <c r="D5360" t="inlineStr">
        <is>
          <t>KALMAR LÄN</t>
        </is>
      </c>
      <c r="E5360" t="inlineStr">
        <is>
          <t>EMMABODA</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66658-2021</t>
        </is>
      </c>
      <c r="B5361" s="1" t="n">
        <v>44519</v>
      </c>
      <c r="C5361" s="1" t="n">
        <v>45715</v>
      </c>
      <c r="D5361" t="inlineStr">
        <is>
          <t>KALMAR LÄN</t>
        </is>
      </c>
      <c r="E5361" t="inlineStr">
        <is>
          <t>EMMABODA</t>
        </is>
      </c>
      <c r="G5361" t="n">
        <v>6.3</v>
      </c>
      <c r="H5361" t="n">
        <v>0</v>
      </c>
      <c r="I5361" t="n">
        <v>0</v>
      </c>
      <c r="J5361" t="n">
        <v>0</v>
      </c>
      <c r="K5361" t="n">
        <v>0</v>
      </c>
      <c r="L5361" t="n">
        <v>0</v>
      </c>
      <c r="M5361" t="n">
        <v>0</v>
      </c>
      <c r="N5361" t="n">
        <v>0</v>
      </c>
      <c r="O5361" t="n">
        <v>0</v>
      </c>
      <c r="P5361" t="n">
        <v>0</v>
      </c>
      <c r="Q5361" t="n">
        <v>0</v>
      </c>
      <c r="R5361" s="2" t="inlineStr"/>
    </row>
    <row r="5362" ht="15" customHeight="1">
      <c r="A5362" t="inlineStr">
        <is>
          <t>A 66721-2021</t>
        </is>
      </c>
      <c r="B5362" s="1" t="n">
        <v>44520</v>
      </c>
      <c r="C5362" s="1" t="n">
        <v>45715</v>
      </c>
      <c r="D5362" t="inlineStr">
        <is>
          <t>KALMAR LÄN</t>
        </is>
      </c>
      <c r="E5362" t="inlineStr">
        <is>
          <t>HULTSFRED</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66796-2021</t>
        </is>
      </c>
      <c r="B5363" s="1" t="n">
        <v>44519</v>
      </c>
      <c r="C5363" s="1" t="n">
        <v>45715</v>
      </c>
      <c r="D5363" t="inlineStr">
        <is>
          <t>KALMAR LÄN</t>
        </is>
      </c>
      <c r="E5363" t="inlineStr">
        <is>
          <t>MÖNSTERÅS</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66722-2021</t>
        </is>
      </c>
      <c r="B5364" s="1" t="n">
        <v>44520</v>
      </c>
      <c r="C5364" s="1" t="n">
        <v>45715</v>
      </c>
      <c r="D5364" t="inlineStr">
        <is>
          <t>KALMAR LÄN</t>
        </is>
      </c>
      <c r="E5364" t="inlineStr">
        <is>
          <t>HULTSFRED</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66725-2021</t>
        </is>
      </c>
      <c r="B5365" s="1" t="n">
        <v>44520</v>
      </c>
      <c r="C5365" s="1" t="n">
        <v>45715</v>
      </c>
      <c r="D5365" t="inlineStr">
        <is>
          <t>KALMAR LÄN</t>
        </is>
      </c>
      <c r="E5365" t="inlineStr">
        <is>
          <t>HULTSFRED</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66729-2021</t>
        </is>
      </c>
      <c r="B5366" s="1" t="n">
        <v>44520</v>
      </c>
      <c r="C5366" s="1" t="n">
        <v>45715</v>
      </c>
      <c r="D5366" t="inlineStr">
        <is>
          <t>KALMAR LÄN</t>
        </is>
      </c>
      <c r="E5366" t="inlineStr">
        <is>
          <t>HULTSFRED</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66728-2021</t>
        </is>
      </c>
      <c r="B5367" s="1" t="n">
        <v>44520</v>
      </c>
      <c r="C5367" s="1" t="n">
        <v>45715</v>
      </c>
      <c r="D5367" t="inlineStr">
        <is>
          <t>KALMAR LÄN</t>
        </is>
      </c>
      <c r="E5367" t="inlineStr">
        <is>
          <t>HULTSFRED</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66820-2021</t>
        </is>
      </c>
      <c r="B5368" s="1" t="n">
        <v>44522</v>
      </c>
      <c r="C5368" s="1" t="n">
        <v>45715</v>
      </c>
      <c r="D5368" t="inlineStr">
        <is>
          <t>KALMAR LÄN</t>
        </is>
      </c>
      <c r="E5368" t="inlineStr">
        <is>
          <t>KALMAR</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66992-2021</t>
        </is>
      </c>
      <c r="B5369" s="1" t="n">
        <v>44522</v>
      </c>
      <c r="C5369" s="1" t="n">
        <v>45715</v>
      </c>
      <c r="D5369" t="inlineStr">
        <is>
          <t>KALMAR LÄN</t>
        </is>
      </c>
      <c r="E5369" t="inlineStr">
        <is>
          <t>KALMAR</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67184-2021</t>
        </is>
      </c>
      <c r="B5370" s="1" t="n">
        <v>44523</v>
      </c>
      <c r="C5370" s="1" t="n">
        <v>45715</v>
      </c>
      <c r="D5370" t="inlineStr">
        <is>
          <t>KALMAR LÄN</t>
        </is>
      </c>
      <c r="E5370" t="inlineStr">
        <is>
          <t>EMMABODA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67543-2021</t>
        </is>
      </c>
      <c r="B5371" s="1" t="n">
        <v>44524</v>
      </c>
      <c r="C5371" s="1" t="n">
        <v>45715</v>
      </c>
      <c r="D5371" t="inlineStr">
        <is>
          <t>KALMAR LÄN</t>
        </is>
      </c>
      <c r="E5371" t="inlineStr">
        <is>
          <t>EMMABODA</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67465-2021</t>
        </is>
      </c>
      <c r="B5372" s="1" t="n">
        <v>44524</v>
      </c>
      <c r="C5372" s="1" t="n">
        <v>45715</v>
      </c>
      <c r="D5372" t="inlineStr">
        <is>
          <t>KALMAR LÄN</t>
        </is>
      </c>
      <c r="E5372" t="inlineStr">
        <is>
          <t>OSKARSHAMN</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67538-2021</t>
        </is>
      </c>
      <c r="B5373" s="1" t="n">
        <v>44524</v>
      </c>
      <c r="C5373" s="1" t="n">
        <v>45715</v>
      </c>
      <c r="D5373" t="inlineStr">
        <is>
          <t>KALMAR LÄN</t>
        </is>
      </c>
      <c r="E5373" t="inlineStr">
        <is>
          <t>EMMABODA</t>
        </is>
      </c>
      <c r="G5373" t="n">
        <v>11.6</v>
      </c>
      <c r="H5373" t="n">
        <v>0</v>
      </c>
      <c r="I5373" t="n">
        <v>0</v>
      </c>
      <c r="J5373" t="n">
        <v>0</v>
      </c>
      <c r="K5373" t="n">
        <v>0</v>
      </c>
      <c r="L5373" t="n">
        <v>0</v>
      </c>
      <c r="M5373" t="n">
        <v>0</v>
      </c>
      <c r="N5373" t="n">
        <v>0</v>
      </c>
      <c r="O5373" t="n">
        <v>0</v>
      </c>
      <c r="P5373" t="n">
        <v>0</v>
      </c>
      <c r="Q5373" t="n">
        <v>0</v>
      </c>
      <c r="R5373" s="2" t="inlineStr"/>
    </row>
    <row r="5374" ht="15" customHeight="1">
      <c r="A5374" t="inlineStr">
        <is>
          <t>A 67653-2021</t>
        </is>
      </c>
      <c r="B5374" s="1" t="n">
        <v>44524</v>
      </c>
      <c r="C5374" s="1" t="n">
        <v>45715</v>
      </c>
      <c r="D5374" t="inlineStr">
        <is>
          <t>KALMAR LÄN</t>
        </is>
      </c>
      <c r="E5374" t="inlineStr">
        <is>
          <t>EMMABODA</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67752-2021</t>
        </is>
      </c>
      <c r="B5375" s="1" t="n">
        <v>44525</v>
      </c>
      <c r="C5375" s="1" t="n">
        <v>45715</v>
      </c>
      <c r="D5375" t="inlineStr">
        <is>
          <t>KALMAR LÄN</t>
        </is>
      </c>
      <c r="E5375" t="inlineStr">
        <is>
          <t>HULTSFRED</t>
        </is>
      </c>
      <c r="F5375" t="inlineStr">
        <is>
          <t>Sveaskog</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67760-2021</t>
        </is>
      </c>
      <c r="B5376" s="1" t="n">
        <v>44525</v>
      </c>
      <c r="C5376" s="1" t="n">
        <v>45715</v>
      </c>
      <c r="D5376" t="inlineStr">
        <is>
          <t>KALMAR LÄN</t>
        </is>
      </c>
      <c r="E5376" t="inlineStr">
        <is>
          <t>HULTSFRED</t>
        </is>
      </c>
      <c r="F5376" t="inlineStr">
        <is>
          <t>Sveaskog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67721-2021</t>
        </is>
      </c>
      <c r="B5377" s="1" t="n">
        <v>44525</v>
      </c>
      <c r="C5377" s="1" t="n">
        <v>45715</v>
      </c>
      <c r="D5377" t="inlineStr">
        <is>
          <t>KALMAR LÄN</t>
        </is>
      </c>
      <c r="E5377" t="inlineStr">
        <is>
          <t>KALMAR</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67842-2021</t>
        </is>
      </c>
      <c r="B5378" s="1" t="n">
        <v>44525</v>
      </c>
      <c r="C5378" s="1" t="n">
        <v>45715</v>
      </c>
      <c r="D5378" t="inlineStr">
        <is>
          <t>KALMAR LÄN</t>
        </is>
      </c>
      <c r="E5378" t="inlineStr">
        <is>
          <t>EMMABODA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67758-2021</t>
        </is>
      </c>
      <c r="B5379" s="1" t="n">
        <v>44525</v>
      </c>
      <c r="C5379" s="1" t="n">
        <v>45715</v>
      </c>
      <c r="D5379" t="inlineStr">
        <is>
          <t>KALMAR LÄN</t>
        </is>
      </c>
      <c r="E5379" t="inlineStr">
        <is>
          <t>HULTSFRED</t>
        </is>
      </c>
      <c r="F5379" t="inlineStr">
        <is>
          <t>Sveaskog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67952-2021</t>
        </is>
      </c>
      <c r="B5380" s="1" t="n">
        <v>44525</v>
      </c>
      <c r="C5380" s="1" t="n">
        <v>45715</v>
      </c>
      <c r="D5380" t="inlineStr">
        <is>
          <t>KALMAR LÄN</t>
        </is>
      </c>
      <c r="E5380" t="inlineStr">
        <is>
          <t>VIMMERBY</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67983-2021</t>
        </is>
      </c>
      <c r="B5381" s="1" t="n">
        <v>44525</v>
      </c>
      <c r="C5381" s="1" t="n">
        <v>45715</v>
      </c>
      <c r="D5381" t="inlineStr">
        <is>
          <t>KALMAR LÄN</t>
        </is>
      </c>
      <c r="E5381" t="inlineStr">
        <is>
          <t>VIMMERBY</t>
        </is>
      </c>
      <c r="G5381" t="n">
        <v>6.1</v>
      </c>
      <c r="H5381" t="n">
        <v>0</v>
      </c>
      <c r="I5381" t="n">
        <v>0</v>
      </c>
      <c r="J5381" t="n">
        <v>0</v>
      </c>
      <c r="K5381" t="n">
        <v>0</v>
      </c>
      <c r="L5381" t="n">
        <v>0</v>
      </c>
      <c r="M5381" t="n">
        <v>0</v>
      </c>
      <c r="N5381" t="n">
        <v>0</v>
      </c>
      <c r="O5381" t="n">
        <v>0</v>
      </c>
      <c r="P5381" t="n">
        <v>0</v>
      </c>
      <c r="Q5381" t="n">
        <v>0</v>
      </c>
      <c r="R5381" s="2" t="inlineStr"/>
    </row>
    <row r="5382" ht="15" customHeight="1">
      <c r="A5382" t="inlineStr">
        <is>
          <t>A 68090-2021</t>
        </is>
      </c>
      <c r="B5382" s="1" t="n">
        <v>44526</v>
      </c>
      <c r="C5382" s="1" t="n">
        <v>45715</v>
      </c>
      <c r="D5382" t="inlineStr">
        <is>
          <t>KALMAR LÄN</t>
        </is>
      </c>
      <c r="E5382" t="inlineStr">
        <is>
          <t>HULTSFRED</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68102-2021</t>
        </is>
      </c>
      <c r="B5383" s="1" t="n">
        <v>44526</v>
      </c>
      <c r="C5383" s="1" t="n">
        <v>45715</v>
      </c>
      <c r="D5383" t="inlineStr">
        <is>
          <t>KALMAR LÄN</t>
        </is>
      </c>
      <c r="E5383" t="inlineStr">
        <is>
          <t>HULTSFRED</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68074-2021</t>
        </is>
      </c>
      <c r="B5384" s="1" t="n">
        <v>44526</v>
      </c>
      <c r="C5384" s="1" t="n">
        <v>45715</v>
      </c>
      <c r="D5384" t="inlineStr">
        <is>
          <t>KALMAR LÄN</t>
        </is>
      </c>
      <c r="E5384" t="inlineStr">
        <is>
          <t>NYBRO</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68088-2021</t>
        </is>
      </c>
      <c r="B5385" s="1" t="n">
        <v>44526</v>
      </c>
      <c r="C5385" s="1" t="n">
        <v>45715</v>
      </c>
      <c r="D5385" t="inlineStr">
        <is>
          <t>KALMAR LÄN</t>
        </is>
      </c>
      <c r="E5385" t="inlineStr">
        <is>
          <t>HULTSFRED</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68091-2021</t>
        </is>
      </c>
      <c r="B5386" s="1" t="n">
        <v>44526</v>
      </c>
      <c r="C5386" s="1" t="n">
        <v>45715</v>
      </c>
      <c r="D5386" t="inlineStr">
        <is>
          <t>KALMAR LÄN</t>
        </is>
      </c>
      <c r="E5386" t="inlineStr">
        <is>
          <t>HULTSFRED</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68345-2021</t>
        </is>
      </c>
      <c r="B5387" s="1" t="n">
        <v>44528</v>
      </c>
      <c r="C5387" s="1" t="n">
        <v>45715</v>
      </c>
      <c r="D5387" t="inlineStr">
        <is>
          <t>KALMAR LÄN</t>
        </is>
      </c>
      <c r="E5387" t="inlineStr">
        <is>
          <t>NYBRO</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68423-2021</t>
        </is>
      </c>
      <c r="B5388" s="1" t="n">
        <v>44529</v>
      </c>
      <c r="C5388" s="1" t="n">
        <v>45715</v>
      </c>
      <c r="D5388" t="inlineStr">
        <is>
          <t>KALMAR LÄN</t>
        </is>
      </c>
      <c r="E5388" t="inlineStr">
        <is>
          <t>KALMAR</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68368-2021</t>
        </is>
      </c>
      <c r="B5389" s="1" t="n">
        <v>44529</v>
      </c>
      <c r="C5389" s="1" t="n">
        <v>45715</v>
      </c>
      <c r="D5389" t="inlineStr">
        <is>
          <t>KALMAR LÄN</t>
        </is>
      </c>
      <c r="E5389" t="inlineStr">
        <is>
          <t>EMMABODA</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68493-2021</t>
        </is>
      </c>
      <c r="B5390" s="1" t="n">
        <v>44529</v>
      </c>
      <c r="C5390" s="1" t="n">
        <v>45715</v>
      </c>
      <c r="D5390" t="inlineStr">
        <is>
          <t>KALMAR LÄN</t>
        </is>
      </c>
      <c r="E5390" t="inlineStr">
        <is>
          <t>TORSÅS</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68367-2021</t>
        </is>
      </c>
      <c r="B5391" s="1" t="n">
        <v>44529</v>
      </c>
      <c r="C5391" s="1" t="n">
        <v>45715</v>
      </c>
      <c r="D5391" t="inlineStr">
        <is>
          <t>KALMAR LÄN</t>
        </is>
      </c>
      <c r="E5391" t="inlineStr">
        <is>
          <t>EMMABODA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68426-2021</t>
        </is>
      </c>
      <c r="B5392" s="1" t="n">
        <v>44529</v>
      </c>
      <c r="C5392" s="1" t="n">
        <v>45715</v>
      </c>
      <c r="D5392" t="inlineStr">
        <is>
          <t>KALMAR LÄN</t>
        </is>
      </c>
      <c r="E5392" t="inlineStr">
        <is>
          <t>VIMMERBY</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68509-2021</t>
        </is>
      </c>
      <c r="B5393" s="1" t="n">
        <v>44529</v>
      </c>
      <c r="C5393" s="1" t="n">
        <v>45715</v>
      </c>
      <c r="D5393" t="inlineStr">
        <is>
          <t>KALMAR LÄN</t>
        </is>
      </c>
      <c r="E5393" t="inlineStr">
        <is>
          <t>EMMABODA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68991-2021</t>
        </is>
      </c>
      <c r="B5394" s="1" t="n">
        <v>44529</v>
      </c>
      <c r="C5394" s="1" t="n">
        <v>45715</v>
      </c>
      <c r="D5394" t="inlineStr">
        <is>
          <t>KALMAR LÄN</t>
        </is>
      </c>
      <c r="E5394" t="inlineStr">
        <is>
          <t>HULTSFRED</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69087-2021</t>
        </is>
      </c>
      <c r="B5395" s="1" t="n">
        <v>44529</v>
      </c>
      <c r="C5395" s="1" t="n">
        <v>45715</v>
      </c>
      <c r="D5395" t="inlineStr">
        <is>
          <t>KALMAR LÄN</t>
        </is>
      </c>
      <c r="E5395" t="inlineStr">
        <is>
          <t>NYBRO</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68840-2021</t>
        </is>
      </c>
      <c r="B5396" s="1" t="n">
        <v>44530</v>
      </c>
      <c r="C5396" s="1" t="n">
        <v>45715</v>
      </c>
      <c r="D5396" t="inlineStr">
        <is>
          <t>KALMAR LÄN</t>
        </is>
      </c>
      <c r="E5396" t="inlineStr">
        <is>
          <t>VIMMERBY</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68897-2021</t>
        </is>
      </c>
      <c r="B5397" s="1" t="n">
        <v>44530</v>
      </c>
      <c r="C5397" s="1" t="n">
        <v>45715</v>
      </c>
      <c r="D5397" t="inlineStr">
        <is>
          <t>KALMAR LÄN</t>
        </is>
      </c>
      <c r="E5397" t="inlineStr">
        <is>
          <t>EMMABODA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68803-2021</t>
        </is>
      </c>
      <c r="B5398" s="1" t="n">
        <v>44530</v>
      </c>
      <c r="C5398" s="1" t="n">
        <v>45715</v>
      </c>
      <c r="D5398" t="inlineStr">
        <is>
          <t>KALMAR LÄN</t>
        </is>
      </c>
      <c r="E5398" t="inlineStr">
        <is>
          <t>HULTSFRED</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68873-2021</t>
        </is>
      </c>
      <c r="B5399" s="1" t="n">
        <v>44530</v>
      </c>
      <c r="C5399" s="1" t="n">
        <v>45715</v>
      </c>
      <c r="D5399" t="inlineStr">
        <is>
          <t>KALMAR LÄN</t>
        </is>
      </c>
      <c r="E5399" t="inlineStr">
        <is>
          <t>TORSÅS</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68947-2021</t>
        </is>
      </c>
      <c r="B5400" s="1" t="n">
        <v>44530</v>
      </c>
      <c r="C5400" s="1" t="n">
        <v>45715</v>
      </c>
      <c r="D5400" t="inlineStr">
        <is>
          <t>KALMAR LÄN</t>
        </is>
      </c>
      <c r="E5400" t="inlineStr">
        <is>
          <t>EMMABODA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68824-2021</t>
        </is>
      </c>
      <c r="B5401" s="1" t="n">
        <v>44530</v>
      </c>
      <c r="C5401" s="1" t="n">
        <v>45715</v>
      </c>
      <c r="D5401" t="inlineStr">
        <is>
          <t>KALMAR LÄN</t>
        </is>
      </c>
      <c r="E5401" t="inlineStr">
        <is>
          <t>HULTSFRED</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68920-2021</t>
        </is>
      </c>
      <c r="B5402" s="1" t="n">
        <v>44530</v>
      </c>
      <c r="C5402" s="1" t="n">
        <v>45715</v>
      </c>
      <c r="D5402" t="inlineStr">
        <is>
          <t>KALMAR LÄN</t>
        </is>
      </c>
      <c r="E5402" t="inlineStr">
        <is>
          <t>VÄSTERVIK</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68952-2021</t>
        </is>
      </c>
      <c r="B5403" s="1" t="n">
        <v>44530</v>
      </c>
      <c r="C5403" s="1" t="n">
        <v>45715</v>
      </c>
      <c r="D5403" t="inlineStr">
        <is>
          <t>KALMAR LÄN</t>
        </is>
      </c>
      <c r="E5403" t="inlineStr">
        <is>
          <t>EMMABODA</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68818-2021</t>
        </is>
      </c>
      <c r="B5404" s="1" t="n">
        <v>44530</v>
      </c>
      <c r="C5404" s="1" t="n">
        <v>45715</v>
      </c>
      <c r="D5404" t="inlineStr">
        <is>
          <t>KALMAR LÄN</t>
        </is>
      </c>
      <c r="E5404" t="inlineStr">
        <is>
          <t>HULTSFRED</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68900-2021</t>
        </is>
      </c>
      <c r="B5405" s="1" t="n">
        <v>44530</v>
      </c>
      <c r="C5405" s="1" t="n">
        <v>45715</v>
      </c>
      <c r="D5405" t="inlineStr">
        <is>
          <t>KALMAR LÄN</t>
        </is>
      </c>
      <c r="E5405" t="inlineStr">
        <is>
          <t>EMMABODA</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69242-2021</t>
        </is>
      </c>
      <c r="B5406" s="1" t="n">
        <v>44531</v>
      </c>
      <c r="C5406" s="1" t="n">
        <v>45715</v>
      </c>
      <c r="D5406" t="inlineStr">
        <is>
          <t>KALMAR LÄN</t>
        </is>
      </c>
      <c r="E5406" t="inlineStr">
        <is>
          <t>HULTSFRED</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69212-2021</t>
        </is>
      </c>
      <c r="B5407" s="1" t="n">
        <v>44531</v>
      </c>
      <c r="C5407" s="1" t="n">
        <v>45715</v>
      </c>
      <c r="D5407" t="inlineStr">
        <is>
          <t>KALMAR LÄN</t>
        </is>
      </c>
      <c r="E5407" t="inlineStr">
        <is>
          <t>HULTSFRED</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69328-2021</t>
        </is>
      </c>
      <c r="B5408" s="1" t="n">
        <v>44531</v>
      </c>
      <c r="C5408" s="1" t="n">
        <v>45715</v>
      </c>
      <c r="D5408" t="inlineStr">
        <is>
          <t>KALMAR LÄN</t>
        </is>
      </c>
      <c r="E5408" t="inlineStr">
        <is>
          <t>VÄSTERVIK</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69410-2021</t>
        </is>
      </c>
      <c r="B5409" s="1" t="n">
        <v>44531</v>
      </c>
      <c r="C5409" s="1" t="n">
        <v>45715</v>
      </c>
      <c r="D5409" t="inlineStr">
        <is>
          <t>KALMAR LÄN</t>
        </is>
      </c>
      <c r="E5409" t="inlineStr">
        <is>
          <t>KALMAR</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69464-2021</t>
        </is>
      </c>
      <c r="B5410" s="1" t="n">
        <v>44531</v>
      </c>
      <c r="C5410" s="1" t="n">
        <v>45715</v>
      </c>
      <c r="D5410" t="inlineStr">
        <is>
          <t>KALMAR LÄN</t>
        </is>
      </c>
      <c r="E5410" t="inlineStr">
        <is>
          <t>EMMABODA</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69702-2021</t>
        </is>
      </c>
      <c r="B5411" s="1" t="n">
        <v>44532</v>
      </c>
      <c r="C5411" s="1" t="n">
        <v>45715</v>
      </c>
      <c r="D5411" t="inlineStr">
        <is>
          <t>KALMAR LÄN</t>
        </is>
      </c>
      <c r="E5411" t="inlineStr">
        <is>
          <t>VÄSTERVIK</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69679-2021</t>
        </is>
      </c>
      <c r="B5412" s="1" t="n">
        <v>44532</v>
      </c>
      <c r="C5412" s="1" t="n">
        <v>45715</v>
      </c>
      <c r="D5412" t="inlineStr">
        <is>
          <t>KALMAR LÄN</t>
        </is>
      </c>
      <c r="E5412" t="inlineStr">
        <is>
          <t>TORSÅS</t>
        </is>
      </c>
      <c r="G5412" t="n">
        <v>7.5</v>
      </c>
      <c r="H5412" t="n">
        <v>0</v>
      </c>
      <c r="I5412" t="n">
        <v>0</v>
      </c>
      <c r="J5412" t="n">
        <v>0</v>
      </c>
      <c r="K5412" t="n">
        <v>0</v>
      </c>
      <c r="L5412" t="n">
        <v>0</v>
      </c>
      <c r="M5412" t="n">
        <v>0</v>
      </c>
      <c r="N5412" t="n">
        <v>0</v>
      </c>
      <c r="O5412" t="n">
        <v>0</v>
      </c>
      <c r="P5412" t="n">
        <v>0</v>
      </c>
      <c r="Q5412" t="n">
        <v>0</v>
      </c>
      <c r="R5412" s="2" t="inlineStr"/>
    </row>
    <row r="5413" ht="15" customHeight="1">
      <c r="A5413" t="inlineStr">
        <is>
          <t>A 69750-2021</t>
        </is>
      </c>
      <c r="B5413" s="1" t="n">
        <v>44532</v>
      </c>
      <c r="C5413" s="1" t="n">
        <v>45715</v>
      </c>
      <c r="D5413" t="inlineStr">
        <is>
          <t>KALMAR LÄN</t>
        </is>
      </c>
      <c r="E5413" t="inlineStr">
        <is>
          <t>VÄSTERVIK</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69566-2021</t>
        </is>
      </c>
      <c r="B5414" s="1" t="n">
        <v>44532</v>
      </c>
      <c r="C5414" s="1" t="n">
        <v>45715</v>
      </c>
      <c r="D5414" t="inlineStr">
        <is>
          <t>KALMAR LÄN</t>
        </is>
      </c>
      <c r="E5414" t="inlineStr">
        <is>
          <t>HULTSFRED</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69653-2021</t>
        </is>
      </c>
      <c r="B5415" s="1" t="n">
        <v>44532</v>
      </c>
      <c r="C5415" s="1" t="n">
        <v>45715</v>
      </c>
      <c r="D5415" t="inlineStr">
        <is>
          <t>KALMAR LÄN</t>
        </is>
      </c>
      <c r="E5415" t="inlineStr">
        <is>
          <t>HULTSFRED</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69753-2021</t>
        </is>
      </c>
      <c r="B5416" s="1" t="n">
        <v>44532</v>
      </c>
      <c r="C5416" s="1" t="n">
        <v>45715</v>
      </c>
      <c r="D5416" t="inlineStr">
        <is>
          <t>KALMAR LÄN</t>
        </is>
      </c>
      <c r="E5416" t="inlineStr">
        <is>
          <t>VÄSTERVIK</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69830-2021</t>
        </is>
      </c>
      <c r="B5417" s="1" t="n">
        <v>44532</v>
      </c>
      <c r="C5417" s="1" t="n">
        <v>45715</v>
      </c>
      <c r="D5417" t="inlineStr">
        <is>
          <t>KALMAR LÄN</t>
        </is>
      </c>
      <c r="E5417" t="inlineStr">
        <is>
          <t>HULTSFRED</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69857-2021</t>
        </is>
      </c>
      <c r="B5418" s="1" t="n">
        <v>44532</v>
      </c>
      <c r="C5418" s="1" t="n">
        <v>45715</v>
      </c>
      <c r="D5418" t="inlineStr">
        <is>
          <t>KALMAR LÄN</t>
        </is>
      </c>
      <c r="E5418" t="inlineStr">
        <is>
          <t>EMMABODA</t>
        </is>
      </c>
      <c r="F5418" t="inlineStr">
        <is>
          <t>Sveaskog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69858-2021</t>
        </is>
      </c>
      <c r="B5419" s="1" t="n">
        <v>44532</v>
      </c>
      <c r="C5419" s="1" t="n">
        <v>45715</v>
      </c>
      <c r="D5419" t="inlineStr">
        <is>
          <t>KALMAR LÄN</t>
        </is>
      </c>
      <c r="E5419" t="inlineStr">
        <is>
          <t>EMMABODA</t>
        </is>
      </c>
      <c r="F5419" t="inlineStr">
        <is>
          <t>Kommuner</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69764-2021</t>
        </is>
      </c>
      <c r="B5420" s="1" t="n">
        <v>44532</v>
      </c>
      <c r="C5420" s="1" t="n">
        <v>45715</v>
      </c>
      <c r="D5420" t="inlineStr">
        <is>
          <t>KALMAR LÄN</t>
        </is>
      </c>
      <c r="E5420" t="inlineStr">
        <is>
          <t>HULTSFRED</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70317-2021</t>
        </is>
      </c>
      <c r="B5421" s="1" t="n">
        <v>44536</v>
      </c>
      <c r="C5421" s="1" t="n">
        <v>45715</v>
      </c>
      <c r="D5421" t="inlineStr">
        <is>
          <t>KALMAR LÄN</t>
        </is>
      </c>
      <c r="E5421" t="inlineStr">
        <is>
          <t>TORSÅS</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70315-2021</t>
        </is>
      </c>
      <c r="B5422" s="1" t="n">
        <v>44536</v>
      </c>
      <c r="C5422" s="1" t="n">
        <v>45715</v>
      </c>
      <c r="D5422" t="inlineStr">
        <is>
          <t>KALMAR LÄN</t>
        </is>
      </c>
      <c r="E5422" t="inlineStr">
        <is>
          <t>TORSÅS</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70376-2021</t>
        </is>
      </c>
      <c r="B5423" s="1" t="n">
        <v>44536</v>
      </c>
      <c r="C5423" s="1" t="n">
        <v>45715</v>
      </c>
      <c r="D5423" t="inlineStr">
        <is>
          <t>KALMAR LÄN</t>
        </is>
      </c>
      <c r="E5423" t="inlineStr">
        <is>
          <t>HULTSFRED</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70604-2021</t>
        </is>
      </c>
      <c r="B5424" s="1" t="n">
        <v>44537</v>
      </c>
      <c r="C5424" s="1" t="n">
        <v>45715</v>
      </c>
      <c r="D5424" t="inlineStr">
        <is>
          <t>KALMAR LÄN</t>
        </is>
      </c>
      <c r="E5424" t="inlineStr">
        <is>
          <t>HULTSFRED</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70650-2021</t>
        </is>
      </c>
      <c r="B5425" s="1" t="n">
        <v>44537</v>
      </c>
      <c r="C5425" s="1" t="n">
        <v>45715</v>
      </c>
      <c r="D5425" t="inlineStr">
        <is>
          <t>KALMAR LÄN</t>
        </is>
      </c>
      <c r="E5425" t="inlineStr">
        <is>
          <t>MÖNSTERÅS</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70600-2021</t>
        </is>
      </c>
      <c r="B5426" s="1" t="n">
        <v>44537</v>
      </c>
      <c r="C5426" s="1" t="n">
        <v>45715</v>
      </c>
      <c r="D5426" t="inlineStr">
        <is>
          <t>KALMAR LÄN</t>
        </is>
      </c>
      <c r="E5426" t="inlineStr">
        <is>
          <t>HULTSFRED</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70644-2021</t>
        </is>
      </c>
      <c r="B5427" s="1" t="n">
        <v>44537</v>
      </c>
      <c r="C5427" s="1" t="n">
        <v>45715</v>
      </c>
      <c r="D5427" t="inlineStr">
        <is>
          <t>KALMAR LÄN</t>
        </is>
      </c>
      <c r="E5427" t="inlineStr">
        <is>
          <t>MÖNSTERÅS</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70680-2021</t>
        </is>
      </c>
      <c r="B5428" s="1" t="n">
        <v>44537</v>
      </c>
      <c r="C5428" s="1" t="n">
        <v>45715</v>
      </c>
      <c r="D5428" t="inlineStr">
        <is>
          <t>KALMAR LÄN</t>
        </is>
      </c>
      <c r="E5428" t="inlineStr">
        <is>
          <t>MÖNSTERÅS</t>
        </is>
      </c>
      <c r="G5428" t="n">
        <v>6.6</v>
      </c>
      <c r="H5428" t="n">
        <v>0</v>
      </c>
      <c r="I5428" t="n">
        <v>0</v>
      </c>
      <c r="J5428" t="n">
        <v>0</v>
      </c>
      <c r="K5428" t="n">
        <v>0</v>
      </c>
      <c r="L5428" t="n">
        <v>0</v>
      </c>
      <c r="M5428" t="n">
        <v>0</v>
      </c>
      <c r="N5428" t="n">
        <v>0</v>
      </c>
      <c r="O5428" t="n">
        <v>0</v>
      </c>
      <c r="P5428" t="n">
        <v>0</v>
      </c>
      <c r="Q5428" t="n">
        <v>0</v>
      </c>
      <c r="R5428" s="2" t="inlineStr"/>
    </row>
    <row r="5429" ht="15" customHeight="1">
      <c r="A5429" t="inlineStr">
        <is>
          <t>A 70594-2021</t>
        </is>
      </c>
      <c r="B5429" s="1" t="n">
        <v>44537</v>
      </c>
      <c r="C5429" s="1" t="n">
        <v>45715</v>
      </c>
      <c r="D5429" t="inlineStr">
        <is>
          <t>KALMAR LÄN</t>
        </is>
      </c>
      <c r="E5429" t="inlineStr">
        <is>
          <t>MÖNSTERÅS</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70789-2021</t>
        </is>
      </c>
      <c r="B5430" s="1" t="n">
        <v>44537</v>
      </c>
      <c r="C5430" s="1" t="n">
        <v>45715</v>
      </c>
      <c r="D5430" t="inlineStr">
        <is>
          <t>KALMAR LÄN</t>
        </is>
      </c>
      <c r="E5430" t="inlineStr">
        <is>
          <t>TORSÅS</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70955-2021</t>
        </is>
      </c>
      <c r="B5431" s="1" t="n">
        <v>44538</v>
      </c>
      <c r="C5431" s="1" t="n">
        <v>45715</v>
      </c>
      <c r="D5431" t="inlineStr">
        <is>
          <t>KALMAR LÄN</t>
        </is>
      </c>
      <c r="E5431" t="inlineStr">
        <is>
          <t>OSKARSHAMN</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71114-2021</t>
        </is>
      </c>
      <c r="B5432" s="1" t="n">
        <v>44539</v>
      </c>
      <c r="C5432" s="1" t="n">
        <v>45715</v>
      </c>
      <c r="D5432" t="inlineStr">
        <is>
          <t>KALMAR LÄN</t>
        </is>
      </c>
      <c r="E5432" t="inlineStr">
        <is>
          <t>VÄSTERVIK</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71104-2021</t>
        </is>
      </c>
      <c r="B5433" s="1" t="n">
        <v>44539</v>
      </c>
      <c r="C5433" s="1" t="n">
        <v>45715</v>
      </c>
      <c r="D5433" t="inlineStr">
        <is>
          <t>KALMAR LÄN</t>
        </is>
      </c>
      <c r="E5433" t="inlineStr">
        <is>
          <t>KALMAR</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71192-2021</t>
        </is>
      </c>
      <c r="B5434" s="1" t="n">
        <v>44539</v>
      </c>
      <c r="C5434" s="1" t="n">
        <v>45715</v>
      </c>
      <c r="D5434" t="inlineStr">
        <is>
          <t>KALMAR LÄN</t>
        </is>
      </c>
      <c r="E5434" t="inlineStr">
        <is>
          <t>KALMAR</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71165-2021</t>
        </is>
      </c>
      <c r="B5435" s="1" t="n">
        <v>44539</v>
      </c>
      <c r="C5435" s="1" t="n">
        <v>45715</v>
      </c>
      <c r="D5435" t="inlineStr">
        <is>
          <t>KALMAR LÄN</t>
        </is>
      </c>
      <c r="E5435" t="inlineStr">
        <is>
          <t>HÖGSBY</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71338-2021</t>
        </is>
      </c>
      <c r="B5436" s="1" t="n">
        <v>44539</v>
      </c>
      <c r="C5436" s="1" t="n">
        <v>45715</v>
      </c>
      <c r="D5436" t="inlineStr">
        <is>
          <t>KALMAR LÄN</t>
        </is>
      </c>
      <c r="E5436" t="inlineStr">
        <is>
          <t>OSKARSHAMN</t>
        </is>
      </c>
      <c r="F5436" t="inlineStr">
        <is>
          <t>Sveaskog</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71343-2021</t>
        </is>
      </c>
      <c r="B5437" s="1" t="n">
        <v>44539</v>
      </c>
      <c r="C5437" s="1" t="n">
        <v>45715</v>
      </c>
      <c r="D5437" t="inlineStr">
        <is>
          <t>KALMAR LÄN</t>
        </is>
      </c>
      <c r="E5437" t="inlineStr">
        <is>
          <t>OSKARSHAMN</t>
        </is>
      </c>
      <c r="F5437" t="inlineStr">
        <is>
          <t>Sveaskog</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71340-2021</t>
        </is>
      </c>
      <c r="B5438" s="1" t="n">
        <v>44539</v>
      </c>
      <c r="C5438" s="1" t="n">
        <v>45715</v>
      </c>
      <c r="D5438" t="inlineStr">
        <is>
          <t>KALMAR LÄN</t>
        </is>
      </c>
      <c r="E5438" t="inlineStr">
        <is>
          <t>OSKARSHAMN</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71339-2021</t>
        </is>
      </c>
      <c r="B5439" s="1" t="n">
        <v>44539</v>
      </c>
      <c r="C5439" s="1" t="n">
        <v>45715</v>
      </c>
      <c r="D5439" t="inlineStr">
        <is>
          <t>KALMAR LÄN</t>
        </is>
      </c>
      <c r="E5439" t="inlineStr">
        <is>
          <t>OSKARSHAMN</t>
        </is>
      </c>
      <c r="F5439" t="inlineStr">
        <is>
          <t>Sveaskog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71346-2021</t>
        </is>
      </c>
      <c r="B5440" s="1" t="n">
        <v>44539</v>
      </c>
      <c r="C5440" s="1" t="n">
        <v>45715</v>
      </c>
      <c r="D5440" t="inlineStr">
        <is>
          <t>KALMAR LÄN</t>
        </is>
      </c>
      <c r="E5440" t="inlineStr">
        <is>
          <t>OSKARSHAMN</t>
        </is>
      </c>
      <c r="F5440" t="inlineStr">
        <is>
          <t>Sveaskog</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71342-2021</t>
        </is>
      </c>
      <c r="B5441" s="1" t="n">
        <v>44539</v>
      </c>
      <c r="C5441" s="1" t="n">
        <v>45715</v>
      </c>
      <c r="D5441" t="inlineStr">
        <is>
          <t>KALMAR LÄN</t>
        </is>
      </c>
      <c r="E5441" t="inlineStr">
        <is>
          <t>OSKARSHAMN</t>
        </is>
      </c>
      <c r="F5441" t="inlineStr">
        <is>
          <t>Sveaskog</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71775-2021</t>
        </is>
      </c>
      <c r="B5442" s="1" t="n">
        <v>44539</v>
      </c>
      <c r="C5442" s="1" t="n">
        <v>45715</v>
      </c>
      <c r="D5442" t="inlineStr">
        <is>
          <t>KALMAR LÄN</t>
        </is>
      </c>
      <c r="E5442" t="inlineStr">
        <is>
          <t>VIMMERBY</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71793-2021</t>
        </is>
      </c>
      <c r="B5443" s="1" t="n">
        <v>44539</v>
      </c>
      <c r="C5443" s="1" t="n">
        <v>45715</v>
      </c>
      <c r="D5443" t="inlineStr">
        <is>
          <t>KALMAR LÄN</t>
        </is>
      </c>
      <c r="E5443" t="inlineStr">
        <is>
          <t>VIMMERBY</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71478-2021</t>
        </is>
      </c>
      <c r="B5444" s="1" t="n">
        <v>44540</v>
      </c>
      <c r="C5444" s="1" t="n">
        <v>45715</v>
      </c>
      <c r="D5444" t="inlineStr">
        <is>
          <t>KALMAR LÄN</t>
        </is>
      </c>
      <c r="E5444" t="inlineStr">
        <is>
          <t>HÖGSBY</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72067-2021</t>
        </is>
      </c>
      <c r="B5445" s="1" t="n">
        <v>44540</v>
      </c>
      <c r="C5445" s="1" t="n">
        <v>45715</v>
      </c>
      <c r="D5445" t="inlineStr">
        <is>
          <t>KALMAR LÄN</t>
        </is>
      </c>
      <c r="E5445" t="inlineStr">
        <is>
          <t>VIMMERBY</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71631-2021</t>
        </is>
      </c>
      <c r="B5446" s="1" t="n">
        <v>44542</v>
      </c>
      <c r="C5446" s="1" t="n">
        <v>45715</v>
      </c>
      <c r="D5446" t="inlineStr">
        <is>
          <t>KALMAR LÄN</t>
        </is>
      </c>
      <c r="E5446" t="inlineStr">
        <is>
          <t>VIMMERBY</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72074-2021</t>
        </is>
      </c>
      <c r="B5447" s="1" t="n">
        <v>44542</v>
      </c>
      <c r="C5447" s="1" t="n">
        <v>45715</v>
      </c>
      <c r="D5447" t="inlineStr">
        <is>
          <t>KALMAR LÄN</t>
        </is>
      </c>
      <c r="E5447" t="inlineStr">
        <is>
          <t>HÖGSBY</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72059-2021</t>
        </is>
      </c>
      <c r="B5448" s="1" t="n">
        <v>44542</v>
      </c>
      <c r="C5448" s="1" t="n">
        <v>45715</v>
      </c>
      <c r="D5448" t="inlineStr">
        <is>
          <t>KALMAR LÄN</t>
        </is>
      </c>
      <c r="E5448" t="inlineStr">
        <is>
          <t>HÖGSBY</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72070-2021</t>
        </is>
      </c>
      <c r="B5449" s="1" t="n">
        <v>44542</v>
      </c>
      <c r="C5449" s="1" t="n">
        <v>45715</v>
      </c>
      <c r="D5449" t="inlineStr">
        <is>
          <t>KALMAR LÄN</t>
        </is>
      </c>
      <c r="E5449" t="inlineStr">
        <is>
          <t>HÖGSBY</t>
        </is>
      </c>
      <c r="G5449" t="n">
        <v>7.7</v>
      </c>
      <c r="H5449" t="n">
        <v>0</v>
      </c>
      <c r="I5449" t="n">
        <v>0</v>
      </c>
      <c r="J5449" t="n">
        <v>0</v>
      </c>
      <c r="K5449" t="n">
        <v>0</v>
      </c>
      <c r="L5449" t="n">
        <v>0</v>
      </c>
      <c r="M5449" t="n">
        <v>0</v>
      </c>
      <c r="N5449" t="n">
        <v>0</v>
      </c>
      <c r="O5449" t="n">
        <v>0</v>
      </c>
      <c r="P5449" t="n">
        <v>0</v>
      </c>
      <c r="Q5449" t="n">
        <v>0</v>
      </c>
      <c r="R5449" s="2" t="inlineStr"/>
    </row>
    <row r="5450" ht="15" customHeight="1">
      <c r="A5450" t="inlineStr">
        <is>
          <t>A 71626-2021</t>
        </is>
      </c>
      <c r="B5450" s="1" t="n">
        <v>44542</v>
      </c>
      <c r="C5450" s="1" t="n">
        <v>45715</v>
      </c>
      <c r="D5450" t="inlineStr">
        <is>
          <t>KALMAR LÄN</t>
        </is>
      </c>
      <c r="E5450" t="inlineStr">
        <is>
          <t>VIMMERBY</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72066-2021</t>
        </is>
      </c>
      <c r="B5451" s="1" t="n">
        <v>44542</v>
      </c>
      <c r="C5451" s="1" t="n">
        <v>45715</v>
      </c>
      <c r="D5451" t="inlineStr">
        <is>
          <t>KALMAR LÄN</t>
        </is>
      </c>
      <c r="E5451" t="inlineStr">
        <is>
          <t>HÖGSBY</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71635-2021</t>
        </is>
      </c>
      <c r="B5452" s="1" t="n">
        <v>44543</v>
      </c>
      <c r="C5452" s="1" t="n">
        <v>45715</v>
      </c>
      <c r="D5452" t="inlineStr">
        <is>
          <t>KALMAR LÄN</t>
        </is>
      </c>
      <c r="E5452" t="inlineStr">
        <is>
          <t>HÖGSBY</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71843-2021</t>
        </is>
      </c>
      <c r="B5453" s="1" t="n">
        <v>44543</v>
      </c>
      <c r="C5453" s="1" t="n">
        <v>45715</v>
      </c>
      <c r="D5453" t="inlineStr">
        <is>
          <t>KALMAR LÄN</t>
        </is>
      </c>
      <c r="E5453" t="inlineStr">
        <is>
          <t>KALMAR</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72086-2021</t>
        </is>
      </c>
      <c r="B5454" s="1" t="n">
        <v>44544</v>
      </c>
      <c r="C5454" s="1" t="n">
        <v>45715</v>
      </c>
      <c r="D5454" t="inlineStr">
        <is>
          <t>KALMAR LÄN</t>
        </is>
      </c>
      <c r="E5454" t="inlineStr">
        <is>
          <t>KALMAR</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72194-2021</t>
        </is>
      </c>
      <c r="B5455" s="1" t="n">
        <v>44544</v>
      </c>
      <c r="C5455" s="1" t="n">
        <v>45715</v>
      </c>
      <c r="D5455" t="inlineStr">
        <is>
          <t>KALMAR LÄN</t>
        </is>
      </c>
      <c r="E5455" t="inlineStr">
        <is>
          <t>KALMAR</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72167-2021</t>
        </is>
      </c>
      <c r="B5456" s="1" t="n">
        <v>44544</v>
      </c>
      <c r="C5456" s="1" t="n">
        <v>45715</v>
      </c>
      <c r="D5456" t="inlineStr">
        <is>
          <t>KALMAR LÄN</t>
        </is>
      </c>
      <c r="E5456" t="inlineStr">
        <is>
          <t>MÖRBYLÅNGA</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72220-2021</t>
        </is>
      </c>
      <c r="B5457" s="1" t="n">
        <v>44544</v>
      </c>
      <c r="C5457" s="1" t="n">
        <v>45715</v>
      </c>
      <c r="D5457" t="inlineStr">
        <is>
          <t>KALMAR LÄN</t>
        </is>
      </c>
      <c r="E5457" t="inlineStr">
        <is>
          <t>OSKARSHAMN</t>
        </is>
      </c>
      <c r="F5457" t="inlineStr">
        <is>
          <t>Sveaskog</t>
        </is>
      </c>
      <c r="G5457" t="n">
        <v>7</v>
      </c>
      <c r="H5457" t="n">
        <v>0</v>
      </c>
      <c r="I5457" t="n">
        <v>0</v>
      </c>
      <c r="J5457" t="n">
        <v>0</v>
      </c>
      <c r="K5457" t="n">
        <v>0</v>
      </c>
      <c r="L5457" t="n">
        <v>0</v>
      </c>
      <c r="M5457" t="n">
        <v>0</v>
      </c>
      <c r="N5457" t="n">
        <v>0</v>
      </c>
      <c r="O5457" t="n">
        <v>0</v>
      </c>
      <c r="P5457" t="n">
        <v>0</v>
      </c>
      <c r="Q5457" t="n">
        <v>0</v>
      </c>
      <c r="R5457" s="2" t="inlineStr"/>
    </row>
    <row r="5458" ht="15" customHeight="1">
      <c r="A5458" t="inlineStr">
        <is>
          <t>A 72394-2021</t>
        </is>
      </c>
      <c r="B5458" s="1" t="n">
        <v>44544</v>
      </c>
      <c r="C5458" s="1" t="n">
        <v>45715</v>
      </c>
      <c r="D5458" t="inlineStr">
        <is>
          <t>KALMAR LÄN</t>
        </is>
      </c>
      <c r="E5458" t="inlineStr">
        <is>
          <t>OSKARSHAMN</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72166-2021</t>
        </is>
      </c>
      <c r="B5459" s="1" t="n">
        <v>44544</v>
      </c>
      <c r="C5459" s="1" t="n">
        <v>45715</v>
      </c>
      <c r="D5459" t="inlineStr">
        <is>
          <t>KALMAR LÄN</t>
        </is>
      </c>
      <c r="E5459" t="inlineStr">
        <is>
          <t>NYBRO</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72191-2021</t>
        </is>
      </c>
      <c r="B5460" s="1" t="n">
        <v>44544</v>
      </c>
      <c r="C5460" s="1" t="n">
        <v>45715</v>
      </c>
      <c r="D5460" t="inlineStr">
        <is>
          <t>KALMAR LÄN</t>
        </is>
      </c>
      <c r="E5460" t="inlineStr">
        <is>
          <t>KALMAR</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72378-2021</t>
        </is>
      </c>
      <c r="B5461" s="1" t="n">
        <v>44545</v>
      </c>
      <c r="C5461" s="1" t="n">
        <v>45715</v>
      </c>
      <c r="D5461" t="inlineStr">
        <is>
          <t>KALMAR LÄN</t>
        </is>
      </c>
      <c r="E5461" t="inlineStr">
        <is>
          <t>VÄSTERVIK</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72526-2021</t>
        </is>
      </c>
      <c r="B5462" s="1" t="n">
        <v>44546</v>
      </c>
      <c r="C5462" s="1" t="n">
        <v>45715</v>
      </c>
      <c r="D5462" t="inlineStr">
        <is>
          <t>KALMAR LÄN</t>
        </is>
      </c>
      <c r="E5462" t="inlineStr">
        <is>
          <t>TORSÅS</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72735-2021</t>
        </is>
      </c>
      <c r="B5463" s="1" t="n">
        <v>44546</v>
      </c>
      <c r="C5463" s="1" t="n">
        <v>45715</v>
      </c>
      <c r="D5463" t="inlineStr">
        <is>
          <t>KALMAR LÄN</t>
        </is>
      </c>
      <c r="E5463" t="inlineStr">
        <is>
          <t>OSKARSHAMN</t>
        </is>
      </c>
      <c r="F5463" t="inlineStr">
        <is>
          <t>Sveaskog</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73186-2021</t>
        </is>
      </c>
      <c r="B5464" s="1" t="n">
        <v>44546</v>
      </c>
      <c r="C5464" s="1" t="n">
        <v>45715</v>
      </c>
      <c r="D5464" t="inlineStr">
        <is>
          <t>KALMAR LÄN</t>
        </is>
      </c>
      <c r="E5464" t="inlineStr">
        <is>
          <t>MÖNSTERÅS</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72701-2021</t>
        </is>
      </c>
      <c r="B5465" s="1" t="n">
        <v>44546</v>
      </c>
      <c r="C5465" s="1" t="n">
        <v>45715</v>
      </c>
      <c r="D5465" t="inlineStr">
        <is>
          <t>KALMAR LÄN</t>
        </is>
      </c>
      <c r="E5465" t="inlineStr">
        <is>
          <t>VIMMERBY</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72708-2021</t>
        </is>
      </c>
      <c r="B5466" s="1" t="n">
        <v>44546</v>
      </c>
      <c r="C5466" s="1" t="n">
        <v>45715</v>
      </c>
      <c r="D5466" t="inlineStr">
        <is>
          <t>KALMAR LÄN</t>
        </is>
      </c>
      <c r="E5466" t="inlineStr">
        <is>
          <t>HULTSFRED</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72736-2021</t>
        </is>
      </c>
      <c r="B5467" s="1" t="n">
        <v>44546</v>
      </c>
      <c r="C5467" s="1" t="n">
        <v>45715</v>
      </c>
      <c r="D5467" t="inlineStr">
        <is>
          <t>KALMAR LÄN</t>
        </is>
      </c>
      <c r="E5467" t="inlineStr">
        <is>
          <t>OSKARSHAMN</t>
        </is>
      </c>
      <c r="F5467" t="inlineStr">
        <is>
          <t>Sveaskog</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72733-2021</t>
        </is>
      </c>
      <c r="B5468" s="1" t="n">
        <v>44546</v>
      </c>
      <c r="C5468" s="1" t="n">
        <v>45715</v>
      </c>
      <c r="D5468" t="inlineStr">
        <is>
          <t>KALMAR LÄN</t>
        </is>
      </c>
      <c r="E5468" t="inlineStr">
        <is>
          <t>VÄSTERVIK</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72819-2021</t>
        </is>
      </c>
      <c r="B5469" s="1" t="n">
        <v>44547</v>
      </c>
      <c r="C5469" s="1" t="n">
        <v>45715</v>
      </c>
      <c r="D5469" t="inlineStr">
        <is>
          <t>KALMAR LÄN</t>
        </is>
      </c>
      <c r="E5469" t="inlineStr">
        <is>
          <t>OSKARSHAMN</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72860-2021</t>
        </is>
      </c>
      <c r="B5470" s="1" t="n">
        <v>44547</v>
      </c>
      <c r="C5470" s="1" t="n">
        <v>45715</v>
      </c>
      <c r="D5470" t="inlineStr">
        <is>
          <t>KALMAR LÄN</t>
        </is>
      </c>
      <c r="E5470" t="inlineStr">
        <is>
          <t>HULTSFRED</t>
        </is>
      </c>
      <c r="G5470" t="n">
        <v>4.6</v>
      </c>
      <c r="H5470" t="n">
        <v>0</v>
      </c>
      <c r="I5470" t="n">
        <v>0</v>
      </c>
      <c r="J5470" t="n">
        <v>0</v>
      </c>
      <c r="K5470" t="n">
        <v>0</v>
      </c>
      <c r="L5470" t="n">
        <v>0</v>
      </c>
      <c r="M5470" t="n">
        <v>0</v>
      </c>
      <c r="N5470" t="n">
        <v>0</v>
      </c>
      <c r="O5470" t="n">
        <v>0</v>
      </c>
      <c r="P5470" t="n">
        <v>0</v>
      </c>
      <c r="Q5470" t="n">
        <v>0</v>
      </c>
      <c r="R5470" s="2" t="inlineStr"/>
    </row>
    <row r="5471" ht="15" customHeight="1">
      <c r="A5471" t="inlineStr">
        <is>
          <t>A 72786-2021</t>
        </is>
      </c>
      <c r="B5471" s="1" t="n">
        <v>44547</v>
      </c>
      <c r="C5471" s="1" t="n">
        <v>45715</v>
      </c>
      <c r="D5471" t="inlineStr">
        <is>
          <t>KALMAR LÄN</t>
        </is>
      </c>
      <c r="E5471" t="inlineStr">
        <is>
          <t>OSKARSHAMN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72979-2021</t>
        </is>
      </c>
      <c r="B5472" s="1" t="n">
        <v>44549</v>
      </c>
      <c r="C5472" s="1" t="n">
        <v>45715</v>
      </c>
      <c r="D5472" t="inlineStr">
        <is>
          <t>KALMAR LÄN</t>
        </is>
      </c>
      <c r="E5472" t="inlineStr">
        <is>
          <t>HULTSFRED</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73058-2021</t>
        </is>
      </c>
      <c r="B5473" s="1" t="n">
        <v>44550</v>
      </c>
      <c r="C5473" s="1" t="n">
        <v>45715</v>
      </c>
      <c r="D5473" t="inlineStr">
        <is>
          <t>KALMAR LÄN</t>
        </is>
      </c>
      <c r="E5473" t="inlineStr">
        <is>
          <t>EMMABODA</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73474-2021</t>
        </is>
      </c>
      <c r="B5474" s="1" t="n">
        <v>44551</v>
      </c>
      <c r="C5474" s="1" t="n">
        <v>45715</v>
      </c>
      <c r="D5474" t="inlineStr">
        <is>
          <t>KALMAR LÄN</t>
        </is>
      </c>
      <c r="E5474" t="inlineStr">
        <is>
          <t>NYBRO</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73484-2021</t>
        </is>
      </c>
      <c r="B5475" s="1" t="n">
        <v>44551</v>
      </c>
      <c r="C5475" s="1" t="n">
        <v>45715</v>
      </c>
      <c r="D5475" t="inlineStr">
        <is>
          <t>KALMAR LÄN</t>
        </is>
      </c>
      <c r="E5475" t="inlineStr">
        <is>
          <t>HULTSFRED</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73297-2021</t>
        </is>
      </c>
      <c r="B5476" s="1" t="n">
        <v>44551</v>
      </c>
      <c r="C5476" s="1" t="n">
        <v>45715</v>
      </c>
      <c r="D5476" t="inlineStr">
        <is>
          <t>KALMAR LÄN</t>
        </is>
      </c>
      <c r="E5476" t="inlineStr">
        <is>
          <t>NYBRO</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73336-2021</t>
        </is>
      </c>
      <c r="B5477" s="1" t="n">
        <v>44551</v>
      </c>
      <c r="C5477" s="1" t="n">
        <v>45715</v>
      </c>
      <c r="D5477" t="inlineStr">
        <is>
          <t>KALMAR LÄN</t>
        </is>
      </c>
      <c r="E5477" t="inlineStr">
        <is>
          <t>NYBRO</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73404-2021</t>
        </is>
      </c>
      <c r="B5478" s="1" t="n">
        <v>44551</v>
      </c>
      <c r="C5478" s="1" t="n">
        <v>45715</v>
      </c>
      <c r="D5478" t="inlineStr">
        <is>
          <t>KALMAR LÄN</t>
        </is>
      </c>
      <c r="E5478" t="inlineStr">
        <is>
          <t>OSKARSHAMN</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73435-2021</t>
        </is>
      </c>
      <c r="B5479" s="1" t="n">
        <v>44551</v>
      </c>
      <c r="C5479" s="1" t="n">
        <v>45715</v>
      </c>
      <c r="D5479" t="inlineStr">
        <is>
          <t>KALMAR LÄN</t>
        </is>
      </c>
      <c r="E5479" t="inlineStr">
        <is>
          <t>HÖGSBY</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73552-2021</t>
        </is>
      </c>
      <c r="B5480" s="1" t="n">
        <v>44551</v>
      </c>
      <c r="C5480" s="1" t="n">
        <v>45715</v>
      </c>
      <c r="D5480" t="inlineStr">
        <is>
          <t>KALMAR LÄN</t>
        </is>
      </c>
      <c r="E5480" t="inlineStr">
        <is>
          <t>EMMABODA</t>
        </is>
      </c>
      <c r="F5480" t="inlineStr">
        <is>
          <t>Kommuner</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73561-2021</t>
        </is>
      </c>
      <c r="B5481" s="1" t="n">
        <v>44551</v>
      </c>
      <c r="C5481" s="1" t="n">
        <v>45715</v>
      </c>
      <c r="D5481" t="inlineStr">
        <is>
          <t>KALMAR LÄN</t>
        </is>
      </c>
      <c r="E5481" t="inlineStr">
        <is>
          <t>EMMABODA</t>
        </is>
      </c>
      <c r="F5481" t="inlineStr">
        <is>
          <t>Kommuner</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73640-2021</t>
        </is>
      </c>
      <c r="B5482" s="1" t="n">
        <v>44552</v>
      </c>
      <c r="C5482" s="1" t="n">
        <v>45715</v>
      </c>
      <c r="D5482" t="inlineStr">
        <is>
          <t>KALMAR LÄN</t>
        </is>
      </c>
      <c r="E5482" t="inlineStr">
        <is>
          <t>VÄSTERVIK</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73709-2021</t>
        </is>
      </c>
      <c r="B5483" s="1" t="n">
        <v>44552</v>
      </c>
      <c r="C5483" s="1" t="n">
        <v>45715</v>
      </c>
      <c r="D5483" t="inlineStr">
        <is>
          <t>KALMAR LÄN</t>
        </is>
      </c>
      <c r="E5483" t="inlineStr">
        <is>
          <t>HÖGSBY</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73619-2021</t>
        </is>
      </c>
      <c r="B5484" s="1" t="n">
        <v>44552</v>
      </c>
      <c r="C5484" s="1" t="n">
        <v>45715</v>
      </c>
      <c r="D5484" t="inlineStr">
        <is>
          <t>KALMAR LÄN</t>
        </is>
      </c>
      <c r="E5484" t="inlineStr">
        <is>
          <t>OSKARSHAMN</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73656-2021</t>
        </is>
      </c>
      <c r="B5485" s="1" t="n">
        <v>44552</v>
      </c>
      <c r="C5485" s="1" t="n">
        <v>45715</v>
      </c>
      <c r="D5485" t="inlineStr">
        <is>
          <t>KALMAR LÄN</t>
        </is>
      </c>
      <c r="E5485" t="inlineStr">
        <is>
          <t>OSKARSHAMN</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73638-2021</t>
        </is>
      </c>
      <c r="B5486" s="1" t="n">
        <v>44552</v>
      </c>
      <c r="C5486" s="1" t="n">
        <v>45715</v>
      </c>
      <c r="D5486" t="inlineStr">
        <is>
          <t>KALMAR LÄN</t>
        </is>
      </c>
      <c r="E5486" t="inlineStr">
        <is>
          <t>VÄSTERVIK</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73760-2021</t>
        </is>
      </c>
      <c r="B5487" s="1" t="n">
        <v>44552</v>
      </c>
      <c r="C5487" s="1" t="n">
        <v>45715</v>
      </c>
      <c r="D5487" t="inlineStr">
        <is>
          <t>KALMAR LÄN</t>
        </is>
      </c>
      <c r="E5487" t="inlineStr">
        <is>
          <t>HÖGSBY</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73794-2021</t>
        </is>
      </c>
      <c r="B5488" s="1" t="n">
        <v>44552</v>
      </c>
      <c r="C5488" s="1" t="n">
        <v>45715</v>
      </c>
      <c r="D5488" t="inlineStr">
        <is>
          <t>KALMAR LÄN</t>
        </is>
      </c>
      <c r="E5488" t="inlineStr">
        <is>
          <t>HULTSFRED</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73755-2021</t>
        </is>
      </c>
      <c r="B5489" s="1" t="n">
        <v>44552</v>
      </c>
      <c r="C5489" s="1" t="n">
        <v>45715</v>
      </c>
      <c r="D5489" t="inlineStr">
        <is>
          <t>KALMAR LÄN</t>
        </is>
      </c>
      <c r="E5489" t="inlineStr">
        <is>
          <t>KALMAR</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73949-2021</t>
        </is>
      </c>
      <c r="B5490" s="1" t="n">
        <v>44552</v>
      </c>
      <c r="C5490" s="1" t="n">
        <v>45715</v>
      </c>
      <c r="D5490" t="inlineStr">
        <is>
          <t>KALMAR LÄN</t>
        </is>
      </c>
      <c r="E5490" t="inlineStr">
        <is>
          <t>HULTSFRED</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73938-2021</t>
        </is>
      </c>
      <c r="B5491" s="1" t="n">
        <v>44553</v>
      </c>
      <c r="C5491" s="1" t="n">
        <v>45715</v>
      </c>
      <c r="D5491" t="inlineStr">
        <is>
          <t>KALMAR LÄN</t>
        </is>
      </c>
      <c r="E5491" t="inlineStr">
        <is>
          <t>VIMMERBY</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74471-2021</t>
        </is>
      </c>
      <c r="B5492" s="1" t="n">
        <v>44559</v>
      </c>
      <c r="C5492" s="1" t="n">
        <v>45715</v>
      </c>
      <c r="D5492" t="inlineStr">
        <is>
          <t>KALMAR LÄN</t>
        </is>
      </c>
      <c r="E5492" t="inlineStr">
        <is>
          <t>HÖGSBY</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74478-2021</t>
        </is>
      </c>
      <c r="B5493" s="1" t="n">
        <v>44559</v>
      </c>
      <c r="C5493" s="1" t="n">
        <v>45715</v>
      </c>
      <c r="D5493" t="inlineStr">
        <is>
          <t>KALMAR LÄN</t>
        </is>
      </c>
      <c r="E5493" t="inlineStr">
        <is>
          <t>HÖGSBY</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74475-2021</t>
        </is>
      </c>
      <c r="B5494" s="1" t="n">
        <v>44559</v>
      </c>
      <c r="C5494" s="1" t="n">
        <v>45715</v>
      </c>
      <c r="D5494" t="inlineStr">
        <is>
          <t>KALMAR LÄN</t>
        </is>
      </c>
      <c r="E5494" t="inlineStr">
        <is>
          <t>HÖGSBY</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166-2022</t>
        </is>
      </c>
      <c r="B5495" s="1" t="n">
        <v>44564</v>
      </c>
      <c r="C5495" s="1" t="n">
        <v>45715</v>
      </c>
      <c r="D5495" t="inlineStr">
        <is>
          <t>KALMAR LÄN</t>
        </is>
      </c>
      <c r="E5495" t="inlineStr">
        <is>
          <t>VÄSTERVIK</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172-2022</t>
        </is>
      </c>
      <c r="B5496" s="1" t="n">
        <v>44564</v>
      </c>
      <c r="C5496" s="1" t="n">
        <v>45715</v>
      </c>
      <c r="D5496" t="inlineStr">
        <is>
          <t>KALMAR LÄN</t>
        </is>
      </c>
      <c r="E5496" t="inlineStr">
        <is>
          <t>VIMMERBY</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162-2022</t>
        </is>
      </c>
      <c r="B5497" s="1" t="n">
        <v>44564</v>
      </c>
      <c r="C5497" s="1" t="n">
        <v>45715</v>
      </c>
      <c r="D5497" t="inlineStr">
        <is>
          <t>KALMAR LÄN</t>
        </is>
      </c>
      <c r="E5497" t="inlineStr">
        <is>
          <t>OSKARSHAMN</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174-2022</t>
        </is>
      </c>
      <c r="B5498" s="1" t="n">
        <v>44564</v>
      </c>
      <c r="C5498" s="1" t="n">
        <v>45715</v>
      </c>
      <c r="D5498" t="inlineStr">
        <is>
          <t>KALMAR LÄN</t>
        </is>
      </c>
      <c r="E5498" t="inlineStr">
        <is>
          <t>VÄSTERVIK</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156-2022</t>
        </is>
      </c>
      <c r="B5499" s="1" t="n">
        <v>44564</v>
      </c>
      <c r="C5499" s="1" t="n">
        <v>45715</v>
      </c>
      <c r="D5499" t="inlineStr">
        <is>
          <t>KALMAR LÄN</t>
        </is>
      </c>
      <c r="E5499" t="inlineStr">
        <is>
          <t>OSKARSHAMN</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170-2022</t>
        </is>
      </c>
      <c r="B5500" s="1" t="n">
        <v>44564</v>
      </c>
      <c r="C5500" s="1" t="n">
        <v>45715</v>
      </c>
      <c r="D5500" t="inlineStr">
        <is>
          <t>KALMAR LÄN</t>
        </is>
      </c>
      <c r="E5500" t="inlineStr">
        <is>
          <t>VÄSTERVIK</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165-2022</t>
        </is>
      </c>
      <c r="B5501" s="1" t="n">
        <v>44564</v>
      </c>
      <c r="C5501" s="1" t="n">
        <v>45715</v>
      </c>
      <c r="D5501" t="inlineStr">
        <is>
          <t>KALMAR LÄN</t>
        </is>
      </c>
      <c r="E5501" t="inlineStr">
        <is>
          <t>VIMMERBY</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299-2022</t>
        </is>
      </c>
      <c r="B5502" s="1" t="n">
        <v>44564</v>
      </c>
      <c r="C5502" s="1" t="n">
        <v>45715</v>
      </c>
      <c r="D5502" t="inlineStr">
        <is>
          <t>KALMAR LÄN</t>
        </is>
      </c>
      <c r="E5502" t="inlineStr">
        <is>
          <t>HULTSFRED</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18-2022</t>
        </is>
      </c>
      <c r="B5503" s="1" t="n">
        <v>44564</v>
      </c>
      <c r="C5503" s="1" t="n">
        <v>45715</v>
      </c>
      <c r="D5503" t="inlineStr">
        <is>
          <t>KALMAR LÄN</t>
        </is>
      </c>
      <c r="E5503" t="inlineStr">
        <is>
          <t>TORSÅS</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28-2022</t>
        </is>
      </c>
      <c r="B5504" s="1" t="n">
        <v>44564</v>
      </c>
      <c r="C5504" s="1" t="n">
        <v>45715</v>
      </c>
      <c r="D5504" t="inlineStr">
        <is>
          <t>KALMAR LÄN</t>
        </is>
      </c>
      <c r="E5504" t="inlineStr">
        <is>
          <t>KALMAR</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211-2022</t>
        </is>
      </c>
      <c r="B5505" s="1" t="n">
        <v>44564</v>
      </c>
      <c r="C5505" s="1" t="n">
        <v>45715</v>
      </c>
      <c r="D5505" t="inlineStr">
        <is>
          <t>KALMAR LÄN</t>
        </is>
      </c>
      <c r="E5505" t="inlineStr">
        <is>
          <t>HULTSFRED</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22-2022</t>
        </is>
      </c>
      <c r="B5506" s="1" t="n">
        <v>44564</v>
      </c>
      <c r="C5506" s="1" t="n">
        <v>45715</v>
      </c>
      <c r="D5506" t="inlineStr">
        <is>
          <t>KALMAR LÄN</t>
        </is>
      </c>
      <c r="E5506" t="inlineStr">
        <is>
          <t>KALMAR</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298-2022</t>
        </is>
      </c>
      <c r="B5507" s="1" t="n">
        <v>44564</v>
      </c>
      <c r="C5507" s="1" t="n">
        <v>45715</v>
      </c>
      <c r="D5507" t="inlineStr">
        <is>
          <t>KALMAR LÄN</t>
        </is>
      </c>
      <c r="E5507" t="inlineStr">
        <is>
          <t>HULTSFRED</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75-2022</t>
        </is>
      </c>
      <c r="B5508" s="1" t="n">
        <v>44564</v>
      </c>
      <c r="C5508" s="1" t="n">
        <v>45715</v>
      </c>
      <c r="D5508" t="inlineStr">
        <is>
          <t>KALMAR LÄN</t>
        </is>
      </c>
      <c r="E5508" t="inlineStr">
        <is>
          <t>NYBRO</t>
        </is>
      </c>
      <c r="F5508" t="inlineStr">
        <is>
          <t>Sveaskog</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70-2022</t>
        </is>
      </c>
      <c r="B5509" s="1" t="n">
        <v>44564</v>
      </c>
      <c r="C5509" s="1" t="n">
        <v>45715</v>
      </c>
      <c r="D5509" t="inlineStr">
        <is>
          <t>KALMAR LÄN</t>
        </is>
      </c>
      <c r="E5509" t="inlineStr">
        <is>
          <t>TORSÅS</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370-2022</t>
        </is>
      </c>
      <c r="B5510" s="1" t="n">
        <v>44565</v>
      </c>
      <c r="C5510" s="1" t="n">
        <v>45715</v>
      </c>
      <c r="D5510" t="inlineStr">
        <is>
          <t>KALMAR LÄN</t>
        </is>
      </c>
      <c r="E5510" t="inlineStr">
        <is>
          <t>NYBRO</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358-2022</t>
        </is>
      </c>
      <c r="B5511" s="1" t="n">
        <v>44565</v>
      </c>
      <c r="C5511" s="1" t="n">
        <v>45715</v>
      </c>
      <c r="D5511" t="inlineStr">
        <is>
          <t>KALMAR LÄN</t>
        </is>
      </c>
      <c r="E5511" t="inlineStr">
        <is>
          <t>VÄSTERVIK</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262-2022</t>
        </is>
      </c>
      <c r="B5512" s="1" t="n">
        <v>44565</v>
      </c>
      <c r="C5512" s="1" t="n">
        <v>45715</v>
      </c>
      <c r="D5512" t="inlineStr">
        <is>
          <t>KALMAR LÄN</t>
        </is>
      </c>
      <c r="E5512" t="inlineStr">
        <is>
          <t>HULTSFRED</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320-2022</t>
        </is>
      </c>
      <c r="B5513" s="1" t="n">
        <v>44565</v>
      </c>
      <c r="C5513" s="1" t="n">
        <v>45715</v>
      </c>
      <c r="D5513" t="inlineStr">
        <is>
          <t>KALMAR LÄN</t>
        </is>
      </c>
      <c r="E5513" t="inlineStr">
        <is>
          <t>VÄSTERVIK</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360-2022</t>
        </is>
      </c>
      <c r="B5514" s="1" t="n">
        <v>44565</v>
      </c>
      <c r="C5514" s="1" t="n">
        <v>45715</v>
      </c>
      <c r="D5514" t="inlineStr">
        <is>
          <t>KALMAR LÄN</t>
        </is>
      </c>
      <c r="E5514" t="inlineStr">
        <is>
          <t>VÄSTERVIK</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493-2022</t>
        </is>
      </c>
      <c r="B5515" s="1" t="n">
        <v>44566</v>
      </c>
      <c r="C5515" s="1" t="n">
        <v>45715</v>
      </c>
      <c r="D5515" t="inlineStr">
        <is>
          <t>KALMAR LÄN</t>
        </is>
      </c>
      <c r="E5515" t="inlineStr">
        <is>
          <t>NYBRO</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524-2022</t>
        </is>
      </c>
      <c r="B5516" s="1" t="n">
        <v>44566</v>
      </c>
      <c r="C5516" s="1" t="n">
        <v>45715</v>
      </c>
      <c r="D5516" t="inlineStr">
        <is>
          <t>KALMAR LÄN</t>
        </is>
      </c>
      <c r="E5516" t="inlineStr">
        <is>
          <t>KALMAR</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529-2022</t>
        </is>
      </c>
      <c r="B5517" s="1" t="n">
        <v>44566</v>
      </c>
      <c r="C5517" s="1" t="n">
        <v>45715</v>
      </c>
      <c r="D5517" t="inlineStr">
        <is>
          <t>KALMAR LÄN</t>
        </is>
      </c>
      <c r="E5517" t="inlineStr">
        <is>
          <t>VIMMERBY</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494-2022</t>
        </is>
      </c>
      <c r="B5518" s="1" t="n">
        <v>44566</v>
      </c>
      <c r="C5518" s="1" t="n">
        <v>45715</v>
      </c>
      <c r="D5518" t="inlineStr">
        <is>
          <t>KALMAR LÄN</t>
        </is>
      </c>
      <c r="E5518" t="inlineStr">
        <is>
          <t>NYBRO</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618-2022</t>
        </is>
      </c>
      <c r="B5519" s="1" t="n">
        <v>44567</v>
      </c>
      <c r="C5519" s="1" t="n">
        <v>45715</v>
      </c>
      <c r="D5519" t="inlineStr">
        <is>
          <t>KALMAR LÄN</t>
        </is>
      </c>
      <c r="E5519" t="inlineStr">
        <is>
          <t>NYBRO</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937-2022</t>
        </is>
      </c>
      <c r="B5520" s="1" t="n">
        <v>44568</v>
      </c>
      <c r="C5520" s="1" t="n">
        <v>45715</v>
      </c>
      <c r="D5520" t="inlineStr">
        <is>
          <t>KALMAR LÄN</t>
        </is>
      </c>
      <c r="E5520" t="inlineStr">
        <is>
          <t>TORSÅS</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631-2022</t>
        </is>
      </c>
      <c r="B5521" s="1" t="n">
        <v>44568</v>
      </c>
      <c r="C5521" s="1" t="n">
        <v>45715</v>
      </c>
      <c r="D5521" t="inlineStr">
        <is>
          <t>KALMAR LÄN</t>
        </is>
      </c>
      <c r="E5521" t="inlineStr">
        <is>
          <t>HÖGSBY</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771-2022</t>
        </is>
      </c>
      <c r="B5522" s="1" t="n">
        <v>44570</v>
      </c>
      <c r="C5522" s="1" t="n">
        <v>45715</v>
      </c>
      <c r="D5522" t="inlineStr">
        <is>
          <t>KALMAR LÄN</t>
        </is>
      </c>
      <c r="E5522" t="inlineStr">
        <is>
          <t>EMMABODA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779-2022</t>
        </is>
      </c>
      <c r="B5523" s="1" t="n">
        <v>44570</v>
      </c>
      <c r="C5523" s="1" t="n">
        <v>45715</v>
      </c>
      <c r="D5523" t="inlineStr">
        <is>
          <t>KALMAR LÄN</t>
        </is>
      </c>
      <c r="E5523" t="inlineStr">
        <is>
          <t>NYBRO</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959-2022</t>
        </is>
      </c>
      <c r="B5524" s="1" t="n">
        <v>44571</v>
      </c>
      <c r="C5524" s="1" t="n">
        <v>45715</v>
      </c>
      <c r="D5524" t="inlineStr">
        <is>
          <t>KALMAR LÄN</t>
        </is>
      </c>
      <c r="E5524" t="inlineStr">
        <is>
          <t>VÄSTERVIK</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852-2022</t>
        </is>
      </c>
      <c r="B5525" s="1" t="n">
        <v>44571</v>
      </c>
      <c r="C5525" s="1" t="n">
        <v>45715</v>
      </c>
      <c r="D5525" t="inlineStr">
        <is>
          <t>KALMAR LÄN</t>
        </is>
      </c>
      <c r="E5525" t="inlineStr">
        <is>
          <t>EMMABODA</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914-2022</t>
        </is>
      </c>
      <c r="B5526" s="1" t="n">
        <v>44571</v>
      </c>
      <c r="C5526" s="1" t="n">
        <v>45715</v>
      </c>
      <c r="D5526" t="inlineStr">
        <is>
          <t>KALMAR LÄN</t>
        </is>
      </c>
      <c r="E5526" t="inlineStr">
        <is>
          <t>NYBRO</t>
        </is>
      </c>
      <c r="F5526" t="inlineStr">
        <is>
          <t>Sveaskog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1172-2022</t>
        </is>
      </c>
      <c r="B5527" s="1" t="n">
        <v>44572</v>
      </c>
      <c r="C5527" s="1" t="n">
        <v>45715</v>
      </c>
      <c r="D5527" t="inlineStr">
        <is>
          <t>KALMAR LÄN</t>
        </is>
      </c>
      <c r="E5527" t="inlineStr">
        <is>
          <t>EMMABODA</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1401-2022</t>
        </is>
      </c>
      <c r="B5528" s="1" t="n">
        <v>44573</v>
      </c>
      <c r="C5528" s="1" t="n">
        <v>45715</v>
      </c>
      <c r="D5528" t="inlineStr">
        <is>
          <t>KALMAR LÄN</t>
        </is>
      </c>
      <c r="E5528" t="inlineStr">
        <is>
          <t>OSKARSHAMN</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1413-2022</t>
        </is>
      </c>
      <c r="B5529" s="1" t="n">
        <v>44573</v>
      </c>
      <c r="C5529" s="1" t="n">
        <v>45715</v>
      </c>
      <c r="D5529" t="inlineStr">
        <is>
          <t>KALMAR LÄN</t>
        </is>
      </c>
      <c r="E5529" t="inlineStr">
        <is>
          <t>EMMABODA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1448-2022</t>
        </is>
      </c>
      <c r="B5530" s="1" t="n">
        <v>44573</v>
      </c>
      <c r="C5530" s="1" t="n">
        <v>45715</v>
      </c>
      <c r="D5530" t="inlineStr">
        <is>
          <t>KALMAR LÄN</t>
        </is>
      </c>
      <c r="E5530" t="inlineStr">
        <is>
          <t>MÖNSTERÅS</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1556-2022</t>
        </is>
      </c>
      <c r="B5531" s="1" t="n">
        <v>44573</v>
      </c>
      <c r="C5531" s="1" t="n">
        <v>45715</v>
      </c>
      <c r="D5531" t="inlineStr">
        <is>
          <t>KALMAR LÄN</t>
        </is>
      </c>
      <c r="E5531" t="inlineStr">
        <is>
          <t>OSKARSHAMN</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1585-2022</t>
        </is>
      </c>
      <c r="B5532" s="1" t="n">
        <v>44573</v>
      </c>
      <c r="C5532" s="1" t="n">
        <v>45715</v>
      </c>
      <c r="D5532" t="inlineStr">
        <is>
          <t>KALMAR LÄN</t>
        </is>
      </c>
      <c r="E5532" t="inlineStr">
        <is>
          <t>VÄSTERVIK</t>
        </is>
      </c>
      <c r="F5532" t="inlineStr">
        <is>
          <t>Holmen skog AB</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1627-2022</t>
        </is>
      </c>
      <c r="B5533" s="1" t="n">
        <v>44573</v>
      </c>
      <c r="C5533" s="1" t="n">
        <v>45715</v>
      </c>
      <c r="D5533" t="inlineStr">
        <is>
          <t>KALMAR LÄN</t>
        </is>
      </c>
      <c r="E5533" t="inlineStr">
        <is>
          <t>VIMMERBY</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1653-2022</t>
        </is>
      </c>
      <c r="B5534" s="1" t="n">
        <v>44574</v>
      </c>
      <c r="C5534" s="1" t="n">
        <v>45715</v>
      </c>
      <c r="D5534" t="inlineStr">
        <is>
          <t>KALMAR LÄN</t>
        </is>
      </c>
      <c r="E5534" t="inlineStr">
        <is>
          <t>KALMAR</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1843-2022</t>
        </is>
      </c>
      <c r="B5535" s="1" t="n">
        <v>44574</v>
      </c>
      <c r="C5535" s="1" t="n">
        <v>45715</v>
      </c>
      <c r="D5535" t="inlineStr">
        <is>
          <t>KALMAR LÄN</t>
        </is>
      </c>
      <c r="E5535" t="inlineStr">
        <is>
          <t>VÄSTERVIK</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1838-2022</t>
        </is>
      </c>
      <c r="B5536" s="1" t="n">
        <v>44574</v>
      </c>
      <c r="C5536" s="1" t="n">
        <v>45715</v>
      </c>
      <c r="D5536" t="inlineStr">
        <is>
          <t>KALMAR LÄN</t>
        </is>
      </c>
      <c r="E5536" t="inlineStr">
        <is>
          <t>VIMMERBY</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1951-2022</t>
        </is>
      </c>
      <c r="B5537" s="1" t="n">
        <v>44575</v>
      </c>
      <c r="C5537" s="1" t="n">
        <v>45715</v>
      </c>
      <c r="D5537" t="inlineStr">
        <is>
          <t>KALMAR LÄN</t>
        </is>
      </c>
      <c r="E5537" t="inlineStr">
        <is>
          <t>OSKARSHAMN</t>
        </is>
      </c>
      <c r="F5537" t="inlineStr">
        <is>
          <t>Kyrkan</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2069-2022</t>
        </is>
      </c>
      <c r="B5538" s="1" t="n">
        <v>44575</v>
      </c>
      <c r="C5538" s="1" t="n">
        <v>45715</v>
      </c>
      <c r="D5538" t="inlineStr">
        <is>
          <t>KALMAR LÄN</t>
        </is>
      </c>
      <c r="E5538" t="inlineStr">
        <is>
          <t>VIMMERBY</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2121-2022</t>
        </is>
      </c>
      <c r="B5539" s="1" t="n">
        <v>44578</v>
      </c>
      <c r="C5539" s="1" t="n">
        <v>45715</v>
      </c>
      <c r="D5539" t="inlineStr">
        <is>
          <t>KALMAR LÄN</t>
        </is>
      </c>
      <c r="E5539" t="inlineStr">
        <is>
          <t>VIMMERBY</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2196-2022</t>
        </is>
      </c>
      <c r="B5540" s="1" t="n">
        <v>44578</v>
      </c>
      <c r="C5540" s="1" t="n">
        <v>45715</v>
      </c>
      <c r="D5540" t="inlineStr">
        <is>
          <t>KALMAR LÄN</t>
        </is>
      </c>
      <c r="E5540" t="inlineStr">
        <is>
          <t>VIMMERBY</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2183-2022</t>
        </is>
      </c>
      <c r="B5541" s="1" t="n">
        <v>44578</v>
      </c>
      <c r="C5541" s="1" t="n">
        <v>45715</v>
      </c>
      <c r="D5541" t="inlineStr">
        <is>
          <t>KALMAR LÄN</t>
        </is>
      </c>
      <c r="E5541" t="inlineStr">
        <is>
          <t>VIMMERBY</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2191-2022</t>
        </is>
      </c>
      <c r="B5542" s="1" t="n">
        <v>44578</v>
      </c>
      <c r="C5542" s="1" t="n">
        <v>45715</v>
      </c>
      <c r="D5542" t="inlineStr">
        <is>
          <t>KALMAR LÄN</t>
        </is>
      </c>
      <c r="E5542" t="inlineStr">
        <is>
          <t>NYBRO</t>
        </is>
      </c>
      <c r="F5542" t="inlineStr">
        <is>
          <t>Sveaskog</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2260-2022</t>
        </is>
      </c>
      <c r="B5543" s="1" t="n">
        <v>44578</v>
      </c>
      <c r="C5543" s="1" t="n">
        <v>45715</v>
      </c>
      <c r="D5543" t="inlineStr">
        <is>
          <t>KALMAR LÄN</t>
        </is>
      </c>
      <c r="E5543" t="inlineStr">
        <is>
          <t>VIMMERBY</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2380-2022</t>
        </is>
      </c>
      <c r="B5544" s="1" t="n">
        <v>44579</v>
      </c>
      <c r="C5544" s="1" t="n">
        <v>45715</v>
      </c>
      <c r="D5544" t="inlineStr">
        <is>
          <t>KALMAR LÄN</t>
        </is>
      </c>
      <c r="E5544" t="inlineStr">
        <is>
          <t>NYBRO</t>
        </is>
      </c>
      <c r="G5544" t="n">
        <v>8.4</v>
      </c>
      <c r="H5544" t="n">
        <v>0</v>
      </c>
      <c r="I5544" t="n">
        <v>0</v>
      </c>
      <c r="J5544" t="n">
        <v>0</v>
      </c>
      <c r="K5544" t="n">
        <v>0</v>
      </c>
      <c r="L5544" t="n">
        <v>0</v>
      </c>
      <c r="M5544" t="n">
        <v>0</v>
      </c>
      <c r="N5544" t="n">
        <v>0</v>
      </c>
      <c r="O5544" t="n">
        <v>0</v>
      </c>
      <c r="P5544" t="n">
        <v>0</v>
      </c>
      <c r="Q5544" t="n">
        <v>0</v>
      </c>
      <c r="R5544" s="2" t="inlineStr"/>
    </row>
    <row r="5545" ht="15" customHeight="1">
      <c r="A5545" t="inlineStr">
        <is>
          <t>A 2411-2022</t>
        </is>
      </c>
      <c r="B5545" s="1" t="n">
        <v>44579</v>
      </c>
      <c r="C5545" s="1" t="n">
        <v>45715</v>
      </c>
      <c r="D5545" t="inlineStr">
        <is>
          <t>KALMAR LÄN</t>
        </is>
      </c>
      <c r="E5545" t="inlineStr">
        <is>
          <t>VIMMERBY</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2444-2022</t>
        </is>
      </c>
      <c r="B5546" s="1" t="n">
        <v>44579</v>
      </c>
      <c r="C5546" s="1" t="n">
        <v>45715</v>
      </c>
      <c r="D5546" t="inlineStr">
        <is>
          <t>KALMAR LÄN</t>
        </is>
      </c>
      <c r="E5546" t="inlineStr">
        <is>
          <t>MÖNSTERÅS</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2450-2022</t>
        </is>
      </c>
      <c r="B5547" s="1" t="n">
        <v>44579</v>
      </c>
      <c r="C5547" s="1" t="n">
        <v>45715</v>
      </c>
      <c r="D5547" t="inlineStr">
        <is>
          <t>KALMAR LÄN</t>
        </is>
      </c>
      <c r="E5547" t="inlineStr">
        <is>
          <t>HÖGSBY</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2462-2022</t>
        </is>
      </c>
      <c r="B5548" s="1" t="n">
        <v>44579</v>
      </c>
      <c r="C5548" s="1" t="n">
        <v>45715</v>
      </c>
      <c r="D5548" t="inlineStr">
        <is>
          <t>KALMAR LÄN</t>
        </is>
      </c>
      <c r="E5548" t="inlineStr">
        <is>
          <t>VIMMERBY</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2430-2022</t>
        </is>
      </c>
      <c r="B5549" s="1" t="n">
        <v>44579</v>
      </c>
      <c r="C5549" s="1" t="n">
        <v>45715</v>
      </c>
      <c r="D5549" t="inlineStr">
        <is>
          <t>KALMAR LÄN</t>
        </is>
      </c>
      <c r="E5549" t="inlineStr">
        <is>
          <t>OSKARSHAMN</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2665-2022</t>
        </is>
      </c>
      <c r="B5550" s="1" t="n">
        <v>44580</v>
      </c>
      <c r="C5550" s="1" t="n">
        <v>45715</v>
      </c>
      <c r="D5550" t="inlineStr">
        <is>
          <t>KALMAR LÄN</t>
        </is>
      </c>
      <c r="E5550" t="inlineStr">
        <is>
          <t>TORSÅS</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2668-2022</t>
        </is>
      </c>
      <c r="B5551" s="1" t="n">
        <v>44580</v>
      </c>
      <c r="C5551" s="1" t="n">
        <v>45715</v>
      </c>
      <c r="D5551" t="inlineStr">
        <is>
          <t>KALMAR LÄN</t>
        </is>
      </c>
      <c r="E5551" t="inlineStr">
        <is>
          <t>TORSÅS</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2580-2022</t>
        </is>
      </c>
      <c r="B5552" s="1" t="n">
        <v>44580</v>
      </c>
      <c r="C5552" s="1" t="n">
        <v>45715</v>
      </c>
      <c r="D5552" t="inlineStr">
        <is>
          <t>KALMAR LÄN</t>
        </is>
      </c>
      <c r="E5552" t="inlineStr">
        <is>
          <t>NYBRO</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2667-2022</t>
        </is>
      </c>
      <c r="B5553" s="1" t="n">
        <v>44580</v>
      </c>
      <c r="C5553" s="1" t="n">
        <v>45715</v>
      </c>
      <c r="D5553" t="inlineStr">
        <is>
          <t>KALMAR LÄN</t>
        </is>
      </c>
      <c r="E5553" t="inlineStr">
        <is>
          <t>TORSÅS</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2713-2022</t>
        </is>
      </c>
      <c r="B5554" s="1" t="n">
        <v>44580</v>
      </c>
      <c r="C5554" s="1" t="n">
        <v>45715</v>
      </c>
      <c r="D5554" t="inlineStr">
        <is>
          <t>KALMAR LÄN</t>
        </is>
      </c>
      <c r="E5554" t="inlineStr">
        <is>
          <t>EMMABODA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2721-2022</t>
        </is>
      </c>
      <c r="B5555" s="1" t="n">
        <v>44580</v>
      </c>
      <c r="C5555" s="1" t="n">
        <v>45715</v>
      </c>
      <c r="D5555" t="inlineStr">
        <is>
          <t>KALMAR LÄN</t>
        </is>
      </c>
      <c r="E5555" t="inlineStr">
        <is>
          <t>OSKARSHAMN</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2992-2022</t>
        </is>
      </c>
      <c r="B5556" s="1" t="n">
        <v>44581</v>
      </c>
      <c r="C5556" s="1" t="n">
        <v>45715</v>
      </c>
      <c r="D5556" t="inlineStr">
        <is>
          <t>KALMAR LÄN</t>
        </is>
      </c>
      <c r="E5556" t="inlineStr">
        <is>
          <t>KALMAR</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2996-2022</t>
        </is>
      </c>
      <c r="B5557" s="1" t="n">
        <v>44581</v>
      </c>
      <c r="C5557" s="1" t="n">
        <v>45715</v>
      </c>
      <c r="D5557" t="inlineStr">
        <is>
          <t>KALMAR LÄN</t>
        </is>
      </c>
      <c r="E5557" t="inlineStr">
        <is>
          <t>KALMAR</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2995-2022</t>
        </is>
      </c>
      <c r="B5558" s="1" t="n">
        <v>44581</v>
      </c>
      <c r="C5558" s="1" t="n">
        <v>45715</v>
      </c>
      <c r="D5558" t="inlineStr">
        <is>
          <t>KALMAR LÄN</t>
        </is>
      </c>
      <c r="E5558" t="inlineStr">
        <is>
          <t>KALMAR</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2921-2022</t>
        </is>
      </c>
      <c r="B5559" s="1" t="n">
        <v>44581</v>
      </c>
      <c r="C5559" s="1" t="n">
        <v>45715</v>
      </c>
      <c r="D5559" t="inlineStr">
        <is>
          <t>KALMAR LÄN</t>
        </is>
      </c>
      <c r="E5559" t="inlineStr">
        <is>
          <t>NYBRO</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3058-2022</t>
        </is>
      </c>
      <c r="B5560" s="1" t="n">
        <v>44582</v>
      </c>
      <c r="C5560" s="1" t="n">
        <v>45715</v>
      </c>
      <c r="D5560" t="inlineStr">
        <is>
          <t>KALMAR LÄN</t>
        </is>
      </c>
      <c r="E5560" t="inlineStr">
        <is>
          <t>HULTSFRED</t>
        </is>
      </c>
      <c r="F5560" t="inlineStr">
        <is>
          <t>Övriga Aktiebolag</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3102-2022</t>
        </is>
      </c>
      <c r="B5561" s="1" t="n">
        <v>44582</v>
      </c>
      <c r="C5561" s="1" t="n">
        <v>45715</v>
      </c>
      <c r="D5561" t="inlineStr">
        <is>
          <t>KALMAR LÄN</t>
        </is>
      </c>
      <c r="E5561" t="inlineStr">
        <is>
          <t>HULTSFRED</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3145-2022</t>
        </is>
      </c>
      <c r="B5562" s="1" t="n">
        <v>44582</v>
      </c>
      <c r="C5562" s="1" t="n">
        <v>45715</v>
      </c>
      <c r="D5562" t="inlineStr">
        <is>
          <t>KALMAR LÄN</t>
        </is>
      </c>
      <c r="E5562" t="inlineStr">
        <is>
          <t>VÄSTERVIK</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3425-2022</t>
        </is>
      </c>
      <c r="B5563" s="1" t="n">
        <v>44585</v>
      </c>
      <c r="C5563" s="1" t="n">
        <v>45715</v>
      </c>
      <c r="D5563" t="inlineStr">
        <is>
          <t>KALMAR LÄN</t>
        </is>
      </c>
      <c r="E5563" t="inlineStr">
        <is>
          <t>VIMMERBY</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3423-2022</t>
        </is>
      </c>
      <c r="B5564" s="1" t="n">
        <v>44585</v>
      </c>
      <c r="C5564" s="1" t="n">
        <v>45715</v>
      </c>
      <c r="D5564" t="inlineStr">
        <is>
          <t>KALMAR LÄN</t>
        </is>
      </c>
      <c r="E5564" t="inlineStr">
        <is>
          <t>VIMMERBY</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3398-2022</t>
        </is>
      </c>
      <c r="B5565" s="1" t="n">
        <v>44585</v>
      </c>
      <c r="C5565" s="1" t="n">
        <v>45715</v>
      </c>
      <c r="D5565" t="inlineStr">
        <is>
          <t>KALMAR LÄN</t>
        </is>
      </c>
      <c r="E5565" t="inlineStr">
        <is>
          <t>HÖGSBY</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3426-2022</t>
        </is>
      </c>
      <c r="B5566" s="1" t="n">
        <v>44585</v>
      </c>
      <c r="C5566" s="1" t="n">
        <v>45715</v>
      </c>
      <c r="D5566" t="inlineStr">
        <is>
          <t>KALMAR LÄN</t>
        </is>
      </c>
      <c r="E5566" t="inlineStr">
        <is>
          <t>VIMMERBY</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3565-2022</t>
        </is>
      </c>
      <c r="B5567" s="1" t="n">
        <v>44586</v>
      </c>
      <c r="C5567" s="1" t="n">
        <v>45715</v>
      </c>
      <c r="D5567" t="inlineStr">
        <is>
          <t>KALMAR LÄN</t>
        </is>
      </c>
      <c r="E5567" t="inlineStr">
        <is>
          <t>OSKARSHAMN</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3622-2022</t>
        </is>
      </c>
      <c r="B5568" s="1" t="n">
        <v>44586</v>
      </c>
      <c r="C5568" s="1" t="n">
        <v>45715</v>
      </c>
      <c r="D5568" t="inlineStr">
        <is>
          <t>KALMAR LÄN</t>
        </is>
      </c>
      <c r="E5568" t="inlineStr">
        <is>
          <t>HÖGSBY</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3666-2022</t>
        </is>
      </c>
      <c r="B5569" s="1" t="n">
        <v>44586</v>
      </c>
      <c r="C5569" s="1" t="n">
        <v>45715</v>
      </c>
      <c r="D5569" t="inlineStr">
        <is>
          <t>KALMAR LÄN</t>
        </is>
      </c>
      <c r="E5569" t="inlineStr">
        <is>
          <t>EMMABODA</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3612-2022</t>
        </is>
      </c>
      <c r="B5570" s="1" t="n">
        <v>44586</v>
      </c>
      <c r="C5570" s="1" t="n">
        <v>45715</v>
      </c>
      <c r="D5570" t="inlineStr">
        <is>
          <t>KALMAR LÄN</t>
        </is>
      </c>
      <c r="E5570" t="inlineStr">
        <is>
          <t>NYBRO</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3653-2022</t>
        </is>
      </c>
      <c r="B5571" s="1" t="n">
        <v>44586</v>
      </c>
      <c r="C5571" s="1" t="n">
        <v>45715</v>
      </c>
      <c r="D5571" t="inlineStr">
        <is>
          <t>KALMAR LÄN</t>
        </is>
      </c>
      <c r="E5571" t="inlineStr">
        <is>
          <t>KALMAR</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3664-2022</t>
        </is>
      </c>
      <c r="B5572" s="1" t="n">
        <v>44586</v>
      </c>
      <c r="C5572" s="1" t="n">
        <v>45715</v>
      </c>
      <c r="D5572" t="inlineStr">
        <is>
          <t>KALMAR LÄN</t>
        </is>
      </c>
      <c r="E5572" t="inlineStr">
        <is>
          <t>TORSÅS</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3718-2022</t>
        </is>
      </c>
      <c r="B5573" s="1" t="n">
        <v>44586</v>
      </c>
      <c r="C5573" s="1" t="n">
        <v>45715</v>
      </c>
      <c r="D5573" t="inlineStr">
        <is>
          <t>KALMAR LÄN</t>
        </is>
      </c>
      <c r="E5573" t="inlineStr">
        <is>
          <t>VÄSTERVIK</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3739-2022</t>
        </is>
      </c>
      <c r="B5574" s="1" t="n">
        <v>44586</v>
      </c>
      <c r="C5574" s="1" t="n">
        <v>45715</v>
      </c>
      <c r="D5574" t="inlineStr">
        <is>
          <t>KALMAR LÄN</t>
        </is>
      </c>
      <c r="E5574" t="inlineStr">
        <is>
          <t>KALMAR</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3816-2022</t>
        </is>
      </c>
      <c r="B5575" s="1" t="n">
        <v>44587</v>
      </c>
      <c r="C5575" s="1" t="n">
        <v>45715</v>
      </c>
      <c r="D5575" t="inlineStr">
        <is>
          <t>KALMAR LÄN</t>
        </is>
      </c>
      <c r="E5575" t="inlineStr">
        <is>
          <t>VIMMERBY</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3897-2022</t>
        </is>
      </c>
      <c r="B5576" s="1" t="n">
        <v>44587</v>
      </c>
      <c r="C5576" s="1" t="n">
        <v>45715</v>
      </c>
      <c r="D5576" t="inlineStr">
        <is>
          <t>KALMAR LÄN</t>
        </is>
      </c>
      <c r="E5576" t="inlineStr">
        <is>
          <t>KALMAR</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3911-2022</t>
        </is>
      </c>
      <c r="B5577" s="1" t="n">
        <v>44587</v>
      </c>
      <c r="C5577" s="1" t="n">
        <v>45715</v>
      </c>
      <c r="D5577" t="inlineStr">
        <is>
          <t>KALMAR LÄN</t>
        </is>
      </c>
      <c r="E5577" t="inlineStr">
        <is>
          <t>OSKARSHAMN</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3910-2022</t>
        </is>
      </c>
      <c r="B5578" s="1" t="n">
        <v>44587</v>
      </c>
      <c r="C5578" s="1" t="n">
        <v>45715</v>
      </c>
      <c r="D5578" t="inlineStr">
        <is>
          <t>KALMAR LÄN</t>
        </is>
      </c>
      <c r="E5578" t="inlineStr">
        <is>
          <t>HULTSFRED</t>
        </is>
      </c>
      <c r="G5578" t="n">
        <v>8.199999999999999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3859-2022</t>
        </is>
      </c>
      <c r="B5579" s="1" t="n">
        <v>44587</v>
      </c>
      <c r="C5579" s="1" t="n">
        <v>45715</v>
      </c>
      <c r="D5579" t="inlineStr">
        <is>
          <t>KALMAR LÄN</t>
        </is>
      </c>
      <c r="E5579" t="inlineStr">
        <is>
          <t>EMMABODA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3902-2022</t>
        </is>
      </c>
      <c r="B5580" s="1" t="n">
        <v>44587</v>
      </c>
      <c r="C5580" s="1" t="n">
        <v>45715</v>
      </c>
      <c r="D5580" t="inlineStr">
        <is>
          <t>KALMAR LÄN</t>
        </is>
      </c>
      <c r="E5580" t="inlineStr">
        <is>
          <t>VIMMERBY</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3914-2022</t>
        </is>
      </c>
      <c r="B5581" s="1" t="n">
        <v>44587</v>
      </c>
      <c r="C5581" s="1" t="n">
        <v>45715</v>
      </c>
      <c r="D5581" t="inlineStr">
        <is>
          <t>KALMAR LÄN</t>
        </is>
      </c>
      <c r="E5581" t="inlineStr">
        <is>
          <t>HULTSFRED</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4125-2022</t>
        </is>
      </c>
      <c r="B5582" s="1" t="n">
        <v>44587</v>
      </c>
      <c r="C5582" s="1" t="n">
        <v>45715</v>
      </c>
      <c r="D5582" t="inlineStr">
        <is>
          <t>KALMAR LÄN</t>
        </is>
      </c>
      <c r="E5582" t="inlineStr">
        <is>
          <t>NYBRO</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4141-2022</t>
        </is>
      </c>
      <c r="B5583" s="1" t="n">
        <v>44587</v>
      </c>
      <c r="C5583" s="1" t="n">
        <v>45715</v>
      </c>
      <c r="D5583" t="inlineStr">
        <is>
          <t>KALMAR LÄN</t>
        </is>
      </c>
      <c r="E5583" t="inlineStr">
        <is>
          <t>NYBRO</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4109-2022</t>
        </is>
      </c>
      <c r="B5584" s="1" t="n">
        <v>44587</v>
      </c>
      <c r="C5584" s="1" t="n">
        <v>45715</v>
      </c>
      <c r="D5584" t="inlineStr">
        <is>
          <t>KALMAR LÄN</t>
        </is>
      </c>
      <c r="E5584" t="inlineStr">
        <is>
          <t>NYBRO</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4046-2022</t>
        </is>
      </c>
      <c r="B5585" s="1" t="n">
        <v>44588</v>
      </c>
      <c r="C5585" s="1" t="n">
        <v>45715</v>
      </c>
      <c r="D5585" t="inlineStr">
        <is>
          <t>KALMAR LÄN</t>
        </is>
      </c>
      <c r="E5585" t="inlineStr">
        <is>
          <t>VIMMERBY</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4054-2022</t>
        </is>
      </c>
      <c r="B5586" s="1" t="n">
        <v>44588</v>
      </c>
      <c r="C5586" s="1" t="n">
        <v>45715</v>
      </c>
      <c r="D5586" t="inlineStr">
        <is>
          <t>KALMAR LÄN</t>
        </is>
      </c>
      <c r="E5586" t="inlineStr">
        <is>
          <t>VIMMERBY</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4118-2022</t>
        </is>
      </c>
      <c r="B5587" s="1" t="n">
        <v>44588</v>
      </c>
      <c r="C5587" s="1" t="n">
        <v>45715</v>
      </c>
      <c r="D5587" t="inlineStr">
        <is>
          <t>KALMAR LÄN</t>
        </is>
      </c>
      <c r="E5587" t="inlineStr">
        <is>
          <t>VIMMERBY</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4126-2022</t>
        </is>
      </c>
      <c r="B5588" s="1" t="n">
        <v>44588</v>
      </c>
      <c r="C5588" s="1" t="n">
        <v>45715</v>
      </c>
      <c r="D5588" t="inlineStr">
        <is>
          <t>KALMAR LÄN</t>
        </is>
      </c>
      <c r="E5588" t="inlineStr">
        <is>
          <t>VIMMERBY</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4042-2022</t>
        </is>
      </c>
      <c r="B5589" s="1" t="n">
        <v>44588</v>
      </c>
      <c r="C5589" s="1" t="n">
        <v>45715</v>
      </c>
      <c r="D5589" t="inlineStr">
        <is>
          <t>KALMAR LÄN</t>
        </is>
      </c>
      <c r="E5589" t="inlineStr">
        <is>
          <t>VIMMERBY</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4069-2022</t>
        </is>
      </c>
      <c r="B5590" s="1" t="n">
        <v>44588</v>
      </c>
      <c r="C5590" s="1" t="n">
        <v>45715</v>
      </c>
      <c r="D5590" t="inlineStr">
        <is>
          <t>KALMAR LÄN</t>
        </is>
      </c>
      <c r="E5590" t="inlineStr">
        <is>
          <t>KALMAR</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4076-2022</t>
        </is>
      </c>
      <c r="B5591" s="1" t="n">
        <v>44588</v>
      </c>
      <c r="C5591" s="1" t="n">
        <v>45715</v>
      </c>
      <c r="D5591" t="inlineStr">
        <is>
          <t>KALMAR LÄN</t>
        </is>
      </c>
      <c r="E5591" t="inlineStr">
        <is>
          <t>VIMMERBY</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4122-2022</t>
        </is>
      </c>
      <c r="B5592" s="1" t="n">
        <v>44588</v>
      </c>
      <c r="C5592" s="1" t="n">
        <v>45715</v>
      </c>
      <c r="D5592" t="inlineStr">
        <is>
          <t>KALMAR LÄN</t>
        </is>
      </c>
      <c r="E5592" t="inlineStr">
        <is>
          <t>VIMMERBY</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4297-2022</t>
        </is>
      </c>
      <c r="B5593" s="1" t="n">
        <v>44588</v>
      </c>
      <c r="C5593" s="1" t="n">
        <v>45715</v>
      </c>
      <c r="D5593" t="inlineStr">
        <is>
          <t>KALMAR LÄN</t>
        </is>
      </c>
      <c r="E5593" t="inlineStr">
        <is>
          <t>VIMMERBY</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4296-2022</t>
        </is>
      </c>
      <c r="B5594" s="1" t="n">
        <v>44588</v>
      </c>
      <c r="C5594" s="1" t="n">
        <v>45715</v>
      </c>
      <c r="D5594" t="inlineStr">
        <is>
          <t>KALMAR LÄN</t>
        </is>
      </c>
      <c r="E5594" t="inlineStr">
        <is>
          <t>VIMMERBY</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4321-2022</t>
        </is>
      </c>
      <c r="B5595" s="1" t="n">
        <v>44588</v>
      </c>
      <c r="C5595" s="1" t="n">
        <v>45715</v>
      </c>
      <c r="D5595" t="inlineStr">
        <is>
          <t>KALMAR LÄN</t>
        </is>
      </c>
      <c r="E5595" t="inlineStr">
        <is>
          <t>OSKARSHAMN</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4463-2022</t>
        </is>
      </c>
      <c r="B5596" s="1" t="n">
        <v>44589</v>
      </c>
      <c r="C5596" s="1" t="n">
        <v>45715</v>
      </c>
      <c r="D5596" t="inlineStr">
        <is>
          <t>KALMAR LÄN</t>
        </is>
      </c>
      <c r="E5596" t="inlineStr">
        <is>
          <t>VÄSTERVIK</t>
        </is>
      </c>
      <c r="F5596" t="inlineStr">
        <is>
          <t>Holmen skog AB</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4390-2022</t>
        </is>
      </c>
      <c r="B5597" s="1" t="n">
        <v>44589</v>
      </c>
      <c r="C5597" s="1" t="n">
        <v>45715</v>
      </c>
      <c r="D5597" t="inlineStr">
        <is>
          <t>KALMAR LÄN</t>
        </is>
      </c>
      <c r="E5597" t="inlineStr">
        <is>
          <t>EMMABODA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4490-2022</t>
        </is>
      </c>
      <c r="B5598" s="1" t="n">
        <v>44589</v>
      </c>
      <c r="C5598" s="1" t="n">
        <v>45715</v>
      </c>
      <c r="D5598" t="inlineStr">
        <is>
          <t>KALMAR LÄN</t>
        </is>
      </c>
      <c r="E5598" t="inlineStr">
        <is>
          <t>VÄSTERVIK</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4387-2022</t>
        </is>
      </c>
      <c r="B5599" s="1" t="n">
        <v>44589</v>
      </c>
      <c r="C5599" s="1" t="n">
        <v>45715</v>
      </c>
      <c r="D5599" t="inlineStr">
        <is>
          <t>KALMAR LÄN</t>
        </is>
      </c>
      <c r="E5599" t="inlineStr">
        <is>
          <t>EMMABODA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4393-2022</t>
        </is>
      </c>
      <c r="B5600" s="1" t="n">
        <v>44589</v>
      </c>
      <c r="C5600" s="1" t="n">
        <v>45715</v>
      </c>
      <c r="D5600" t="inlineStr">
        <is>
          <t>KALMAR LÄN</t>
        </is>
      </c>
      <c r="E5600" t="inlineStr">
        <is>
          <t>EMMABODA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4532-2022</t>
        </is>
      </c>
      <c r="B5601" s="1" t="n">
        <v>44590</v>
      </c>
      <c r="C5601" s="1" t="n">
        <v>45715</v>
      </c>
      <c r="D5601" t="inlineStr">
        <is>
          <t>KALMAR LÄN</t>
        </is>
      </c>
      <c r="E5601" t="inlineStr">
        <is>
          <t>VIMMERBY</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4583-2022</t>
        </is>
      </c>
      <c r="B5602" s="1" t="n">
        <v>44591</v>
      </c>
      <c r="C5602" s="1" t="n">
        <v>45715</v>
      </c>
      <c r="D5602" t="inlineStr">
        <is>
          <t>KALMAR LÄN</t>
        </is>
      </c>
      <c r="E5602" t="inlineStr">
        <is>
          <t>MÖNSTERÅS</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4646-2022</t>
        </is>
      </c>
      <c r="B5603" s="1" t="n">
        <v>44592</v>
      </c>
      <c r="C5603" s="1" t="n">
        <v>45715</v>
      </c>
      <c r="D5603" t="inlineStr">
        <is>
          <t>KALMAR LÄN</t>
        </is>
      </c>
      <c r="E5603" t="inlineStr">
        <is>
          <t>TORSÅS</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4648-2022</t>
        </is>
      </c>
      <c r="B5604" s="1" t="n">
        <v>44592</v>
      </c>
      <c r="C5604" s="1" t="n">
        <v>45715</v>
      </c>
      <c r="D5604" t="inlineStr">
        <is>
          <t>KALMAR LÄN</t>
        </is>
      </c>
      <c r="E5604" t="inlineStr">
        <is>
          <t>TORSÅS</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4812-2022</t>
        </is>
      </c>
      <c r="B5605" s="1" t="n">
        <v>44592</v>
      </c>
      <c r="C5605" s="1" t="n">
        <v>45715</v>
      </c>
      <c r="D5605" t="inlineStr">
        <is>
          <t>KALMAR LÄN</t>
        </is>
      </c>
      <c r="E5605" t="inlineStr">
        <is>
          <t>VÄSTERVIK</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4835-2022</t>
        </is>
      </c>
      <c r="B5606" s="1" t="n">
        <v>44592</v>
      </c>
      <c r="C5606" s="1" t="n">
        <v>45715</v>
      </c>
      <c r="D5606" t="inlineStr">
        <is>
          <t>KALMAR LÄN</t>
        </is>
      </c>
      <c r="E5606" t="inlineStr">
        <is>
          <t>HULTSFRED</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4896-2022</t>
        </is>
      </c>
      <c r="B5607" s="1" t="n">
        <v>44593</v>
      </c>
      <c r="C5607" s="1" t="n">
        <v>45715</v>
      </c>
      <c r="D5607" t="inlineStr">
        <is>
          <t>KALMAR LÄN</t>
        </is>
      </c>
      <c r="E5607" t="inlineStr">
        <is>
          <t>TORSÅS</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4962-2022</t>
        </is>
      </c>
      <c r="B5608" s="1" t="n">
        <v>44593</v>
      </c>
      <c r="C5608" s="1" t="n">
        <v>45715</v>
      </c>
      <c r="D5608" t="inlineStr">
        <is>
          <t>KALMAR LÄN</t>
        </is>
      </c>
      <c r="E5608" t="inlineStr">
        <is>
          <t>NYBRO</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4974-2022</t>
        </is>
      </c>
      <c r="B5609" s="1" t="n">
        <v>44593</v>
      </c>
      <c r="C5609" s="1" t="n">
        <v>45715</v>
      </c>
      <c r="D5609" t="inlineStr">
        <is>
          <t>KALMAR LÄN</t>
        </is>
      </c>
      <c r="E5609" t="inlineStr">
        <is>
          <t>MÖNSTERÅS</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4981-2022</t>
        </is>
      </c>
      <c r="B5610" s="1" t="n">
        <v>44593</v>
      </c>
      <c r="C5610" s="1" t="n">
        <v>45715</v>
      </c>
      <c r="D5610" t="inlineStr">
        <is>
          <t>KALMAR LÄN</t>
        </is>
      </c>
      <c r="E5610" t="inlineStr">
        <is>
          <t>MÖNSTERÅS</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4863-2022</t>
        </is>
      </c>
      <c r="B5611" s="1" t="n">
        <v>44593</v>
      </c>
      <c r="C5611" s="1" t="n">
        <v>45715</v>
      </c>
      <c r="D5611" t="inlineStr">
        <is>
          <t>KALMAR LÄN</t>
        </is>
      </c>
      <c r="E5611" t="inlineStr">
        <is>
          <t>NYBRO</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4880-2022</t>
        </is>
      </c>
      <c r="B5612" s="1" t="n">
        <v>44593</v>
      </c>
      <c r="C5612" s="1" t="n">
        <v>45715</v>
      </c>
      <c r="D5612" t="inlineStr">
        <is>
          <t>KALMAR LÄN</t>
        </is>
      </c>
      <c r="E5612" t="inlineStr">
        <is>
          <t>OSKARSHAMN</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4985-2022</t>
        </is>
      </c>
      <c r="B5613" s="1" t="n">
        <v>44593</v>
      </c>
      <c r="C5613" s="1" t="n">
        <v>45715</v>
      </c>
      <c r="D5613" t="inlineStr">
        <is>
          <t>KALMAR LÄN</t>
        </is>
      </c>
      <c r="E5613" t="inlineStr">
        <is>
          <t>NYBRO</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5016-2022</t>
        </is>
      </c>
      <c r="B5614" s="1" t="n">
        <v>44593</v>
      </c>
      <c r="C5614" s="1" t="n">
        <v>45715</v>
      </c>
      <c r="D5614" t="inlineStr">
        <is>
          <t>KALMAR LÄN</t>
        </is>
      </c>
      <c r="E5614" t="inlineStr">
        <is>
          <t>EMMABODA</t>
        </is>
      </c>
      <c r="G5614" t="n">
        <v>0.2</v>
      </c>
      <c r="H5614" t="n">
        <v>0</v>
      </c>
      <c r="I5614" t="n">
        <v>0</v>
      </c>
      <c r="J5614" t="n">
        <v>0</v>
      </c>
      <c r="K5614" t="n">
        <v>0</v>
      </c>
      <c r="L5614" t="n">
        <v>0</v>
      </c>
      <c r="M5614" t="n">
        <v>0</v>
      </c>
      <c r="N5614" t="n">
        <v>0</v>
      </c>
      <c r="O5614" t="n">
        <v>0</v>
      </c>
      <c r="P5614" t="n">
        <v>0</v>
      </c>
      <c r="Q5614" t="n">
        <v>0</v>
      </c>
      <c r="R5614" s="2" t="inlineStr"/>
    </row>
    <row r="5615" ht="15" customHeight="1">
      <c r="A5615" t="inlineStr">
        <is>
          <t>A 4890-2022</t>
        </is>
      </c>
      <c r="B5615" s="1" t="n">
        <v>44593</v>
      </c>
      <c r="C5615" s="1" t="n">
        <v>45715</v>
      </c>
      <c r="D5615" t="inlineStr">
        <is>
          <t>KALMAR LÄN</t>
        </is>
      </c>
      <c r="E5615" t="inlineStr">
        <is>
          <t>HÖGSBY</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4944-2022</t>
        </is>
      </c>
      <c r="B5616" s="1" t="n">
        <v>44593</v>
      </c>
      <c r="C5616" s="1" t="n">
        <v>45715</v>
      </c>
      <c r="D5616" t="inlineStr">
        <is>
          <t>KALMAR LÄN</t>
        </is>
      </c>
      <c r="E5616" t="inlineStr">
        <is>
          <t>HULTSFRED</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4965-2022</t>
        </is>
      </c>
      <c r="B5617" s="1" t="n">
        <v>44593</v>
      </c>
      <c r="C5617" s="1" t="n">
        <v>45715</v>
      </c>
      <c r="D5617" t="inlineStr">
        <is>
          <t>KALMAR LÄN</t>
        </is>
      </c>
      <c r="E5617" t="inlineStr">
        <is>
          <t>NYBRO</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4983-2022</t>
        </is>
      </c>
      <c r="B5618" s="1" t="n">
        <v>44593</v>
      </c>
      <c r="C5618" s="1" t="n">
        <v>45715</v>
      </c>
      <c r="D5618" t="inlineStr">
        <is>
          <t>KALMAR LÄN</t>
        </is>
      </c>
      <c r="E5618" t="inlineStr">
        <is>
          <t>NYBRO</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4998-2022</t>
        </is>
      </c>
      <c r="B5619" s="1" t="n">
        <v>44593</v>
      </c>
      <c r="C5619" s="1" t="n">
        <v>45715</v>
      </c>
      <c r="D5619" t="inlineStr">
        <is>
          <t>KALMAR LÄN</t>
        </is>
      </c>
      <c r="E5619" t="inlineStr">
        <is>
          <t>HULTSFRED</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4898-2022</t>
        </is>
      </c>
      <c r="B5620" s="1" t="n">
        <v>44593</v>
      </c>
      <c r="C5620" s="1" t="n">
        <v>45715</v>
      </c>
      <c r="D5620" t="inlineStr">
        <is>
          <t>KALMAR LÄN</t>
        </is>
      </c>
      <c r="E5620" t="inlineStr">
        <is>
          <t>TORSÅS</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4925-2022</t>
        </is>
      </c>
      <c r="B5621" s="1" t="n">
        <v>44593</v>
      </c>
      <c r="C5621" s="1" t="n">
        <v>45715</v>
      </c>
      <c r="D5621" t="inlineStr">
        <is>
          <t>KALMAR LÄN</t>
        </is>
      </c>
      <c r="E5621" t="inlineStr">
        <is>
          <t>TORSÅS</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5100-2022</t>
        </is>
      </c>
      <c r="B5622" s="1" t="n">
        <v>44593</v>
      </c>
      <c r="C5622" s="1" t="n">
        <v>45715</v>
      </c>
      <c r="D5622" t="inlineStr">
        <is>
          <t>KALMAR LÄN</t>
        </is>
      </c>
      <c r="E5622" t="inlineStr">
        <is>
          <t>NYBRO</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5018-2022</t>
        </is>
      </c>
      <c r="B5623" s="1" t="n">
        <v>44593</v>
      </c>
      <c r="C5623" s="1" t="n">
        <v>45715</v>
      </c>
      <c r="D5623" t="inlineStr">
        <is>
          <t>KALMAR LÄN</t>
        </is>
      </c>
      <c r="E5623" t="inlineStr">
        <is>
          <t>EMMABODA</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5073-2022</t>
        </is>
      </c>
      <c r="B5624" s="1" t="n">
        <v>44593</v>
      </c>
      <c r="C5624" s="1" t="n">
        <v>45715</v>
      </c>
      <c r="D5624" t="inlineStr">
        <is>
          <t>KALMAR LÄN</t>
        </is>
      </c>
      <c r="E5624" t="inlineStr">
        <is>
          <t>EMMABODA</t>
        </is>
      </c>
      <c r="G5624" t="n">
        <v>0</v>
      </c>
      <c r="H5624" t="n">
        <v>0</v>
      </c>
      <c r="I5624" t="n">
        <v>0</v>
      </c>
      <c r="J5624" t="n">
        <v>0</v>
      </c>
      <c r="K5624" t="n">
        <v>0</v>
      </c>
      <c r="L5624" t="n">
        <v>0</v>
      </c>
      <c r="M5624" t="n">
        <v>0</v>
      </c>
      <c r="N5624" t="n">
        <v>0</v>
      </c>
      <c r="O5624" t="n">
        <v>0</v>
      </c>
      <c r="P5624" t="n">
        <v>0</v>
      </c>
      <c r="Q5624" t="n">
        <v>0</v>
      </c>
      <c r="R5624" s="2" t="inlineStr"/>
    </row>
    <row r="5625" ht="15" customHeight="1">
      <c r="A5625" t="inlineStr">
        <is>
          <t>A 5075-2022</t>
        </is>
      </c>
      <c r="B5625" s="1" t="n">
        <v>44593</v>
      </c>
      <c r="C5625" s="1" t="n">
        <v>45715</v>
      </c>
      <c r="D5625" t="inlineStr">
        <is>
          <t>KALMAR LÄN</t>
        </is>
      </c>
      <c r="E5625" t="inlineStr">
        <is>
          <t>EMMABODA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5087-2022</t>
        </is>
      </c>
      <c r="B5626" s="1" t="n">
        <v>44593</v>
      </c>
      <c r="C5626" s="1" t="n">
        <v>45715</v>
      </c>
      <c r="D5626" t="inlineStr">
        <is>
          <t>KALMAR LÄN</t>
        </is>
      </c>
      <c r="E5626" t="inlineStr">
        <is>
          <t>OSKARSHAMN</t>
        </is>
      </c>
      <c r="F5626" t="inlineStr">
        <is>
          <t>Sveaskog</t>
        </is>
      </c>
      <c r="G5626" t="n">
        <v>0.2</v>
      </c>
      <c r="H5626" t="n">
        <v>0</v>
      </c>
      <c r="I5626" t="n">
        <v>0</v>
      </c>
      <c r="J5626" t="n">
        <v>0</v>
      </c>
      <c r="K5626" t="n">
        <v>0</v>
      </c>
      <c r="L5626" t="n">
        <v>0</v>
      </c>
      <c r="M5626" t="n">
        <v>0</v>
      </c>
      <c r="N5626" t="n">
        <v>0</v>
      </c>
      <c r="O5626" t="n">
        <v>0</v>
      </c>
      <c r="P5626" t="n">
        <v>0</v>
      </c>
      <c r="Q5626" t="n">
        <v>0</v>
      </c>
      <c r="R5626" s="2" t="inlineStr"/>
    </row>
    <row r="5627" ht="15" customHeight="1">
      <c r="A5627" t="inlineStr">
        <is>
          <t>A 5099-2022</t>
        </is>
      </c>
      <c r="B5627" s="1" t="n">
        <v>44593</v>
      </c>
      <c r="C5627" s="1" t="n">
        <v>45715</v>
      </c>
      <c r="D5627" t="inlineStr">
        <is>
          <t>KALMAR LÄN</t>
        </is>
      </c>
      <c r="E5627" t="inlineStr">
        <is>
          <t>NYBRO</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5085-2022</t>
        </is>
      </c>
      <c r="B5628" s="1" t="n">
        <v>44593</v>
      </c>
      <c r="C5628" s="1" t="n">
        <v>45715</v>
      </c>
      <c r="D5628" t="inlineStr">
        <is>
          <t>KALMAR LÄN</t>
        </is>
      </c>
      <c r="E5628" t="inlineStr">
        <is>
          <t>OSKARSHAMN</t>
        </is>
      </c>
      <c r="F5628" t="inlineStr">
        <is>
          <t>Sveaskog</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5184-2022</t>
        </is>
      </c>
      <c r="B5629" s="1" t="n">
        <v>44594</v>
      </c>
      <c r="C5629" s="1" t="n">
        <v>45715</v>
      </c>
      <c r="D5629" t="inlineStr">
        <is>
          <t>KALMAR LÄN</t>
        </is>
      </c>
      <c r="E5629" t="inlineStr">
        <is>
          <t>HÖGSBY</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5269-2022</t>
        </is>
      </c>
      <c r="B5630" s="1" t="n">
        <v>44594</v>
      </c>
      <c r="C5630" s="1" t="n">
        <v>45715</v>
      </c>
      <c r="D5630" t="inlineStr">
        <is>
          <t>KALMAR LÄN</t>
        </is>
      </c>
      <c r="E5630" t="inlineStr">
        <is>
          <t>HULTSFRED</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5150-2022</t>
        </is>
      </c>
      <c r="B5631" s="1" t="n">
        <v>44594</v>
      </c>
      <c r="C5631" s="1" t="n">
        <v>45715</v>
      </c>
      <c r="D5631" t="inlineStr">
        <is>
          <t>KALMAR LÄN</t>
        </is>
      </c>
      <c r="E5631" t="inlineStr">
        <is>
          <t>NYBRO</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5278-2022</t>
        </is>
      </c>
      <c r="B5632" s="1" t="n">
        <v>44594</v>
      </c>
      <c r="C5632" s="1" t="n">
        <v>45715</v>
      </c>
      <c r="D5632" t="inlineStr">
        <is>
          <t>KALMAR LÄN</t>
        </is>
      </c>
      <c r="E5632" t="inlineStr">
        <is>
          <t>HULTSFRED</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5152-2022</t>
        </is>
      </c>
      <c r="B5633" s="1" t="n">
        <v>44594</v>
      </c>
      <c r="C5633" s="1" t="n">
        <v>45715</v>
      </c>
      <c r="D5633" t="inlineStr">
        <is>
          <t>KALMAR LÄN</t>
        </is>
      </c>
      <c r="E5633" t="inlineStr">
        <is>
          <t>NYBRO</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5182-2022</t>
        </is>
      </c>
      <c r="B5634" s="1" t="n">
        <v>44594</v>
      </c>
      <c r="C5634" s="1" t="n">
        <v>45715</v>
      </c>
      <c r="D5634" t="inlineStr">
        <is>
          <t>KALMAR LÄN</t>
        </is>
      </c>
      <c r="E5634" t="inlineStr">
        <is>
          <t>EMMABODA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5236-2022</t>
        </is>
      </c>
      <c r="B5635" s="1" t="n">
        <v>44594</v>
      </c>
      <c r="C5635" s="1" t="n">
        <v>45715</v>
      </c>
      <c r="D5635" t="inlineStr">
        <is>
          <t>KALMAR LÄN</t>
        </is>
      </c>
      <c r="E5635" t="inlineStr">
        <is>
          <t>MÖNSTERÅS</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5327-2022</t>
        </is>
      </c>
      <c r="B5636" s="1" t="n">
        <v>44594</v>
      </c>
      <c r="C5636" s="1" t="n">
        <v>45715</v>
      </c>
      <c r="D5636" t="inlineStr">
        <is>
          <t>KALMAR LÄN</t>
        </is>
      </c>
      <c r="E5636" t="inlineStr">
        <is>
          <t>OSKARSHAMN</t>
        </is>
      </c>
      <c r="G5636" t="n">
        <v>10.4</v>
      </c>
      <c r="H5636" t="n">
        <v>0</v>
      </c>
      <c r="I5636" t="n">
        <v>0</v>
      </c>
      <c r="J5636" t="n">
        <v>0</v>
      </c>
      <c r="K5636" t="n">
        <v>0</v>
      </c>
      <c r="L5636" t="n">
        <v>0</v>
      </c>
      <c r="M5636" t="n">
        <v>0</v>
      </c>
      <c r="N5636" t="n">
        <v>0</v>
      </c>
      <c r="O5636" t="n">
        <v>0</v>
      </c>
      <c r="P5636" t="n">
        <v>0</v>
      </c>
      <c r="Q5636" t="n">
        <v>0</v>
      </c>
      <c r="R5636" s="2" t="inlineStr"/>
    </row>
    <row r="5637" ht="15" customHeight="1">
      <c r="A5637" t="inlineStr">
        <is>
          <t>A 5355-2022</t>
        </is>
      </c>
      <c r="B5637" s="1" t="n">
        <v>44594</v>
      </c>
      <c r="C5637" s="1" t="n">
        <v>45715</v>
      </c>
      <c r="D5637" t="inlineStr">
        <is>
          <t>KALMAR LÄN</t>
        </is>
      </c>
      <c r="E5637" t="inlineStr">
        <is>
          <t>NYBRO</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5354-2022</t>
        </is>
      </c>
      <c r="B5638" s="1" t="n">
        <v>44594</v>
      </c>
      <c r="C5638" s="1" t="n">
        <v>45715</v>
      </c>
      <c r="D5638" t="inlineStr">
        <is>
          <t>KALMAR LÄN</t>
        </is>
      </c>
      <c r="E5638" t="inlineStr">
        <is>
          <t>NYBRO</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5356-2022</t>
        </is>
      </c>
      <c r="B5639" s="1" t="n">
        <v>44594</v>
      </c>
      <c r="C5639" s="1" t="n">
        <v>45715</v>
      </c>
      <c r="D5639" t="inlineStr">
        <is>
          <t>KALMAR LÄN</t>
        </is>
      </c>
      <c r="E5639" t="inlineStr">
        <is>
          <t>NYBRO</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5450-2022</t>
        </is>
      </c>
      <c r="B5640" s="1" t="n">
        <v>44595</v>
      </c>
      <c r="C5640" s="1" t="n">
        <v>45715</v>
      </c>
      <c r="D5640" t="inlineStr">
        <is>
          <t>KALMAR LÄN</t>
        </is>
      </c>
      <c r="E5640" t="inlineStr">
        <is>
          <t>VÄSTERVIK</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5460-2022</t>
        </is>
      </c>
      <c r="B5641" s="1" t="n">
        <v>44595</v>
      </c>
      <c r="C5641" s="1" t="n">
        <v>45715</v>
      </c>
      <c r="D5641" t="inlineStr">
        <is>
          <t>KALMAR LÄN</t>
        </is>
      </c>
      <c r="E5641" t="inlineStr">
        <is>
          <t>KALMAR</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5464-2022</t>
        </is>
      </c>
      <c r="B5642" s="1" t="n">
        <v>44595</v>
      </c>
      <c r="C5642" s="1" t="n">
        <v>45715</v>
      </c>
      <c r="D5642" t="inlineStr">
        <is>
          <t>KALMAR LÄN</t>
        </is>
      </c>
      <c r="E5642" t="inlineStr">
        <is>
          <t>KALMAR</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5527-2022</t>
        </is>
      </c>
      <c r="B5643" s="1" t="n">
        <v>44595</v>
      </c>
      <c r="C5643" s="1" t="n">
        <v>45715</v>
      </c>
      <c r="D5643" t="inlineStr">
        <is>
          <t>KALMAR LÄN</t>
        </is>
      </c>
      <c r="E5643" t="inlineStr">
        <is>
          <t>VIMMERBY</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5544-2022</t>
        </is>
      </c>
      <c r="B5644" s="1" t="n">
        <v>44595</v>
      </c>
      <c r="C5644" s="1" t="n">
        <v>45715</v>
      </c>
      <c r="D5644" t="inlineStr">
        <is>
          <t>KALMAR LÄN</t>
        </is>
      </c>
      <c r="E5644" t="inlineStr">
        <is>
          <t>TORSÅS</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5545-2022</t>
        </is>
      </c>
      <c r="B5645" s="1" t="n">
        <v>44595</v>
      </c>
      <c r="C5645" s="1" t="n">
        <v>45715</v>
      </c>
      <c r="D5645" t="inlineStr">
        <is>
          <t>KALMAR LÄN</t>
        </is>
      </c>
      <c r="E5645" t="inlineStr">
        <is>
          <t>VIMMERBY</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5389-2022</t>
        </is>
      </c>
      <c r="B5646" s="1" t="n">
        <v>44595</v>
      </c>
      <c r="C5646" s="1" t="n">
        <v>45715</v>
      </c>
      <c r="D5646" t="inlineStr">
        <is>
          <t>KALMAR LÄN</t>
        </is>
      </c>
      <c r="E5646" t="inlineStr">
        <is>
          <t>TORSÅS</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5474-2022</t>
        </is>
      </c>
      <c r="B5647" s="1" t="n">
        <v>44595</v>
      </c>
      <c r="C5647" s="1" t="n">
        <v>45715</v>
      </c>
      <c r="D5647" t="inlineStr">
        <is>
          <t>KALMAR LÄN</t>
        </is>
      </c>
      <c r="E5647" t="inlineStr">
        <is>
          <t>MÖNSTERÅS</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5551-2022</t>
        </is>
      </c>
      <c r="B5648" s="1" t="n">
        <v>44595</v>
      </c>
      <c r="C5648" s="1" t="n">
        <v>45715</v>
      </c>
      <c r="D5648" t="inlineStr">
        <is>
          <t>KALMAR LÄN</t>
        </is>
      </c>
      <c r="E5648" t="inlineStr">
        <is>
          <t>VÄSTERVIK</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5606-2022</t>
        </is>
      </c>
      <c r="B5649" s="1" t="n">
        <v>44595</v>
      </c>
      <c r="C5649" s="1" t="n">
        <v>45715</v>
      </c>
      <c r="D5649" t="inlineStr">
        <is>
          <t>KALMAR LÄN</t>
        </is>
      </c>
      <c r="E5649" t="inlineStr">
        <is>
          <t>OSKARSHAMN</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5596-2022</t>
        </is>
      </c>
      <c r="B5650" s="1" t="n">
        <v>44595</v>
      </c>
      <c r="C5650" s="1" t="n">
        <v>45715</v>
      </c>
      <c r="D5650" t="inlineStr">
        <is>
          <t>KALMAR LÄN</t>
        </is>
      </c>
      <c r="E5650" t="inlineStr">
        <is>
          <t>MÖNSTERÅS</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5618-2022</t>
        </is>
      </c>
      <c r="B5651" s="1" t="n">
        <v>44595</v>
      </c>
      <c r="C5651" s="1" t="n">
        <v>45715</v>
      </c>
      <c r="D5651" t="inlineStr">
        <is>
          <t>KALMAR LÄN</t>
        </is>
      </c>
      <c r="E5651" t="inlineStr">
        <is>
          <t>VIMMERBY</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5639-2022</t>
        </is>
      </c>
      <c r="B5652" s="1" t="n">
        <v>44595</v>
      </c>
      <c r="C5652" s="1" t="n">
        <v>45715</v>
      </c>
      <c r="D5652" t="inlineStr">
        <is>
          <t>KALMAR LÄN</t>
        </is>
      </c>
      <c r="E5652" t="inlineStr">
        <is>
          <t>MÖNSTERÅS</t>
        </is>
      </c>
      <c r="G5652" t="n">
        <v>10.2</v>
      </c>
      <c r="H5652" t="n">
        <v>0</v>
      </c>
      <c r="I5652" t="n">
        <v>0</v>
      </c>
      <c r="J5652" t="n">
        <v>0</v>
      </c>
      <c r="K5652" t="n">
        <v>0</v>
      </c>
      <c r="L5652" t="n">
        <v>0</v>
      </c>
      <c r="M5652" t="n">
        <v>0</v>
      </c>
      <c r="N5652" t="n">
        <v>0</v>
      </c>
      <c r="O5652" t="n">
        <v>0</v>
      </c>
      <c r="P5652" t="n">
        <v>0</v>
      </c>
      <c r="Q5652" t="n">
        <v>0</v>
      </c>
      <c r="R5652" s="2" t="inlineStr"/>
    </row>
    <row r="5653" ht="15" customHeight="1">
      <c r="A5653" t="inlineStr">
        <is>
          <t>A 5661-2022</t>
        </is>
      </c>
      <c r="B5653" s="1" t="n">
        <v>44596</v>
      </c>
      <c r="C5653" s="1" t="n">
        <v>45715</v>
      </c>
      <c r="D5653" t="inlineStr">
        <is>
          <t>KALMAR LÄN</t>
        </is>
      </c>
      <c r="E5653" t="inlineStr">
        <is>
          <t>OSKARSHAMN</t>
        </is>
      </c>
      <c r="F5653" t="inlineStr">
        <is>
          <t>Sveaskog</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5712-2022</t>
        </is>
      </c>
      <c r="B5654" s="1" t="n">
        <v>44596</v>
      </c>
      <c r="C5654" s="1" t="n">
        <v>45715</v>
      </c>
      <c r="D5654" t="inlineStr">
        <is>
          <t>KALMAR LÄN</t>
        </is>
      </c>
      <c r="E5654" t="inlineStr">
        <is>
          <t>NYBRO</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5761-2022</t>
        </is>
      </c>
      <c r="B5655" s="1" t="n">
        <v>44596</v>
      </c>
      <c r="C5655" s="1" t="n">
        <v>45715</v>
      </c>
      <c r="D5655" t="inlineStr">
        <is>
          <t>KALMAR LÄN</t>
        </is>
      </c>
      <c r="E5655" t="inlineStr">
        <is>
          <t>VÄSTERVIK</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5838-2022</t>
        </is>
      </c>
      <c r="B5656" s="1" t="n">
        <v>44596</v>
      </c>
      <c r="C5656" s="1" t="n">
        <v>45715</v>
      </c>
      <c r="D5656" t="inlineStr">
        <is>
          <t>KALMAR LÄN</t>
        </is>
      </c>
      <c r="E5656" t="inlineStr">
        <is>
          <t>NYBRO</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5811-2022</t>
        </is>
      </c>
      <c r="B5657" s="1" t="n">
        <v>44596</v>
      </c>
      <c r="C5657" s="1" t="n">
        <v>45715</v>
      </c>
      <c r="D5657" t="inlineStr">
        <is>
          <t>KALMAR LÄN</t>
        </is>
      </c>
      <c r="E5657" t="inlineStr">
        <is>
          <t>NYBRO</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5854-2022</t>
        </is>
      </c>
      <c r="B5658" s="1" t="n">
        <v>44596</v>
      </c>
      <c r="C5658" s="1" t="n">
        <v>45715</v>
      </c>
      <c r="D5658" t="inlineStr">
        <is>
          <t>KALMAR LÄN</t>
        </is>
      </c>
      <c r="E5658" t="inlineStr">
        <is>
          <t>OSKARSHAMN</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5858-2022</t>
        </is>
      </c>
      <c r="B5659" s="1" t="n">
        <v>44596</v>
      </c>
      <c r="C5659" s="1" t="n">
        <v>45715</v>
      </c>
      <c r="D5659" t="inlineStr">
        <is>
          <t>KALMAR LÄN</t>
        </is>
      </c>
      <c r="E5659" t="inlineStr">
        <is>
          <t>HÖGSBY</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5864-2022</t>
        </is>
      </c>
      <c r="B5660" s="1" t="n">
        <v>44596</v>
      </c>
      <c r="C5660" s="1" t="n">
        <v>45715</v>
      </c>
      <c r="D5660" t="inlineStr">
        <is>
          <t>KALMAR LÄN</t>
        </is>
      </c>
      <c r="E5660" t="inlineStr">
        <is>
          <t>VIMMERBY</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5925-2022</t>
        </is>
      </c>
      <c r="B5661" s="1" t="n">
        <v>44598</v>
      </c>
      <c r="C5661" s="1" t="n">
        <v>45715</v>
      </c>
      <c r="D5661" t="inlineStr">
        <is>
          <t>KALMAR LÄN</t>
        </is>
      </c>
      <c r="E5661" t="inlineStr">
        <is>
          <t>VIMMERBY</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5938-2022</t>
        </is>
      </c>
      <c r="B5662" s="1" t="n">
        <v>44598</v>
      </c>
      <c r="C5662" s="1" t="n">
        <v>45715</v>
      </c>
      <c r="D5662" t="inlineStr">
        <is>
          <t>KALMAR LÄN</t>
        </is>
      </c>
      <c r="E5662" t="inlineStr">
        <is>
          <t>VIMMERBY</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6016-2022</t>
        </is>
      </c>
      <c r="B5663" s="1" t="n">
        <v>44599</v>
      </c>
      <c r="C5663" s="1" t="n">
        <v>45715</v>
      </c>
      <c r="D5663" t="inlineStr">
        <is>
          <t>KALMAR LÄN</t>
        </is>
      </c>
      <c r="E5663" t="inlineStr">
        <is>
          <t>HULTSFRED</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6083-2022</t>
        </is>
      </c>
      <c r="B5664" s="1" t="n">
        <v>44599</v>
      </c>
      <c r="C5664" s="1" t="n">
        <v>45715</v>
      </c>
      <c r="D5664" t="inlineStr">
        <is>
          <t>KALMAR LÄN</t>
        </is>
      </c>
      <c r="E5664" t="inlineStr">
        <is>
          <t>VIMMERBY</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6021-2022</t>
        </is>
      </c>
      <c r="B5665" s="1" t="n">
        <v>44599</v>
      </c>
      <c r="C5665" s="1" t="n">
        <v>45715</v>
      </c>
      <c r="D5665" t="inlineStr">
        <is>
          <t>KALMAR LÄN</t>
        </is>
      </c>
      <c r="E5665" t="inlineStr">
        <is>
          <t>TORSÅS</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6082-2022</t>
        </is>
      </c>
      <c r="B5666" s="1" t="n">
        <v>44599</v>
      </c>
      <c r="C5666" s="1" t="n">
        <v>45715</v>
      </c>
      <c r="D5666" t="inlineStr">
        <is>
          <t>KALMAR LÄN</t>
        </is>
      </c>
      <c r="E5666" t="inlineStr">
        <is>
          <t>VIMMERBY</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6135-2022</t>
        </is>
      </c>
      <c r="B5667" s="1" t="n">
        <v>44599</v>
      </c>
      <c r="C5667" s="1" t="n">
        <v>45715</v>
      </c>
      <c r="D5667" t="inlineStr">
        <is>
          <t>KALMAR LÄN</t>
        </is>
      </c>
      <c r="E5667" t="inlineStr">
        <is>
          <t>EMMABODA</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6207-2022</t>
        </is>
      </c>
      <c r="B5668" s="1" t="n">
        <v>44600</v>
      </c>
      <c r="C5668" s="1" t="n">
        <v>45715</v>
      </c>
      <c r="D5668" t="inlineStr">
        <is>
          <t>KALMAR LÄN</t>
        </is>
      </c>
      <c r="E5668" t="inlineStr">
        <is>
          <t>TORSÅS</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6225-2022</t>
        </is>
      </c>
      <c r="B5669" s="1" t="n">
        <v>44600</v>
      </c>
      <c r="C5669" s="1" t="n">
        <v>45715</v>
      </c>
      <c r="D5669" t="inlineStr">
        <is>
          <t>KALMAR LÄN</t>
        </is>
      </c>
      <c r="E5669" t="inlineStr">
        <is>
          <t>TORSÅS</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6223-2022</t>
        </is>
      </c>
      <c r="B5670" s="1" t="n">
        <v>44600</v>
      </c>
      <c r="C5670" s="1" t="n">
        <v>45715</v>
      </c>
      <c r="D5670" t="inlineStr">
        <is>
          <t>KALMAR LÄN</t>
        </is>
      </c>
      <c r="E5670" t="inlineStr">
        <is>
          <t>MÖNSTERÅS</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6299-2022</t>
        </is>
      </c>
      <c r="B5671" s="1" t="n">
        <v>44600</v>
      </c>
      <c r="C5671" s="1" t="n">
        <v>45715</v>
      </c>
      <c r="D5671" t="inlineStr">
        <is>
          <t>KALMAR LÄN</t>
        </is>
      </c>
      <c r="E5671" t="inlineStr">
        <is>
          <t>EMMABODA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6192-2022</t>
        </is>
      </c>
      <c r="B5672" s="1" t="n">
        <v>44600</v>
      </c>
      <c r="C5672" s="1" t="n">
        <v>45715</v>
      </c>
      <c r="D5672" t="inlineStr">
        <is>
          <t>KALMAR LÄN</t>
        </is>
      </c>
      <c r="E5672" t="inlineStr">
        <is>
          <t>TORSÅS</t>
        </is>
      </c>
      <c r="G5672" t="n">
        <v>6.8</v>
      </c>
      <c r="H5672" t="n">
        <v>0</v>
      </c>
      <c r="I5672" t="n">
        <v>0</v>
      </c>
      <c r="J5672" t="n">
        <v>0</v>
      </c>
      <c r="K5672" t="n">
        <v>0</v>
      </c>
      <c r="L5672" t="n">
        <v>0</v>
      </c>
      <c r="M5672" t="n">
        <v>0</v>
      </c>
      <c r="N5672" t="n">
        <v>0</v>
      </c>
      <c r="O5672" t="n">
        <v>0</v>
      </c>
      <c r="P5672" t="n">
        <v>0</v>
      </c>
      <c r="Q5672" t="n">
        <v>0</v>
      </c>
      <c r="R5672" s="2" t="inlineStr"/>
    </row>
    <row r="5673" ht="15" customHeight="1">
      <c r="A5673" t="inlineStr">
        <is>
          <t>A 6262-2022</t>
        </is>
      </c>
      <c r="B5673" s="1" t="n">
        <v>44600</v>
      </c>
      <c r="C5673" s="1" t="n">
        <v>45715</v>
      </c>
      <c r="D5673" t="inlineStr">
        <is>
          <t>KALMAR LÄN</t>
        </is>
      </c>
      <c r="E5673" t="inlineStr">
        <is>
          <t>EMMABODA</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6259-2022</t>
        </is>
      </c>
      <c r="B5674" s="1" t="n">
        <v>44600</v>
      </c>
      <c r="C5674" s="1" t="n">
        <v>45715</v>
      </c>
      <c r="D5674" t="inlineStr">
        <is>
          <t>KALMAR LÄN</t>
        </is>
      </c>
      <c r="E5674" t="inlineStr">
        <is>
          <t>EMMABODA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6264-2022</t>
        </is>
      </c>
      <c r="B5675" s="1" t="n">
        <v>44600</v>
      </c>
      <c r="C5675" s="1" t="n">
        <v>45715</v>
      </c>
      <c r="D5675" t="inlineStr">
        <is>
          <t>KALMAR LÄN</t>
        </is>
      </c>
      <c r="E5675" t="inlineStr">
        <is>
          <t>EMMABODA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6298-2022</t>
        </is>
      </c>
      <c r="B5676" s="1" t="n">
        <v>44600</v>
      </c>
      <c r="C5676" s="1" t="n">
        <v>45715</v>
      </c>
      <c r="D5676" t="inlineStr">
        <is>
          <t>KALMAR LÄN</t>
        </is>
      </c>
      <c r="E5676" t="inlineStr">
        <is>
          <t>EMMABODA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6347-2022</t>
        </is>
      </c>
      <c r="B5677" s="1" t="n">
        <v>44600</v>
      </c>
      <c r="C5677" s="1" t="n">
        <v>45715</v>
      </c>
      <c r="D5677" t="inlineStr">
        <is>
          <t>KALMAR LÄN</t>
        </is>
      </c>
      <c r="E5677" t="inlineStr">
        <is>
          <t>EMMABODA</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6358-2022</t>
        </is>
      </c>
      <c r="B5678" s="1" t="n">
        <v>44600</v>
      </c>
      <c r="C5678" s="1" t="n">
        <v>45715</v>
      </c>
      <c r="D5678" t="inlineStr">
        <is>
          <t>KALMAR LÄN</t>
        </is>
      </c>
      <c r="E5678" t="inlineStr">
        <is>
          <t>VIMMERBY</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6355-2022</t>
        </is>
      </c>
      <c r="B5679" s="1" t="n">
        <v>44600</v>
      </c>
      <c r="C5679" s="1" t="n">
        <v>45715</v>
      </c>
      <c r="D5679" t="inlineStr">
        <is>
          <t>KALMAR LÄN</t>
        </is>
      </c>
      <c r="E5679" t="inlineStr">
        <is>
          <t>VIMMERBY</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6349-2022</t>
        </is>
      </c>
      <c r="B5680" s="1" t="n">
        <v>44600</v>
      </c>
      <c r="C5680" s="1" t="n">
        <v>45715</v>
      </c>
      <c r="D5680" t="inlineStr">
        <is>
          <t>KALMAR LÄN</t>
        </is>
      </c>
      <c r="E5680" t="inlineStr">
        <is>
          <t>NYBRO</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6540-2022</t>
        </is>
      </c>
      <c r="B5681" s="1" t="n">
        <v>44601</v>
      </c>
      <c r="C5681" s="1" t="n">
        <v>45715</v>
      </c>
      <c r="D5681" t="inlineStr">
        <is>
          <t>KALMAR LÄN</t>
        </is>
      </c>
      <c r="E5681" t="inlineStr">
        <is>
          <t>HÖGSBY</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6515-2022</t>
        </is>
      </c>
      <c r="B5682" s="1" t="n">
        <v>44601</v>
      </c>
      <c r="C5682" s="1" t="n">
        <v>45715</v>
      </c>
      <c r="D5682" t="inlineStr">
        <is>
          <t>KALMAR LÄN</t>
        </is>
      </c>
      <c r="E5682" t="inlineStr">
        <is>
          <t>EMMABODA</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6445-2022</t>
        </is>
      </c>
      <c r="B5683" s="1" t="n">
        <v>44601</v>
      </c>
      <c r="C5683" s="1" t="n">
        <v>45715</v>
      </c>
      <c r="D5683" t="inlineStr">
        <is>
          <t>KALMAR LÄN</t>
        </is>
      </c>
      <c r="E5683" t="inlineStr">
        <is>
          <t>EMMABODA</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6478-2022</t>
        </is>
      </c>
      <c r="B5684" s="1" t="n">
        <v>44601</v>
      </c>
      <c r="C5684" s="1" t="n">
        <v>45715</v>
      </c>
      <c r="D5684" t="inlineStr">
        <is>
          <t>KALMAR LÄN</t>
        </is>
      </c>
      <c r="E5684" t="inlineStr">
        <is>
          <t>HÖGSBY</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6794-2022</t>
        </is>
      </c>
      <c r="B5685" s="1" t="n">
        <v>44602</v>
      </c>
      <c r="C5685" s="1" t="n">
        <v>45715</v>
      </c>
      <c r="D5685" t="inlineStr">
        <is>
          <t>KALMAR LÄN</t>
        </is>
      </c>
      <c r="E5685" t="inlineStr">
        <is>
          <t>KALMAR</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6909-2022</t>
        </is>
      </c>
      <c r="B5686" s="1" t="n">
        <v>44602</v>
      </c>
      <c r="C5686" s="1" t="n">
        <v>45715</v>
      </c>
      <c r="D5686" t="inlineStr">
        <is>
          <t>KALMAR LÄN</t>
        </is>
      </c>
      <c r="E5686" t="inlineStr">
        <is>
          <t>OSKARSHAMN</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7047-2022</t>
        </is>
      </c>
      <c r="B5687" s="1" t="n">
        <v>44603</v>
      </c>
      <c r="C5687" s="1" t="n">
        <v>45715</v>
      </c>
      <c r="D5687" t="inlineStr">
        <is>
          <t>KALMAR LÄN</t>
        </is>
      </c>
      <c r="E5687" t="inlineStr">
        <is>
          <t>VIMMERBY</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7049-2022</t>
        </is>
      </c>
      <c r="B5688" s="1" t="n">
        <v>44603</v>
      </c>
      <c r="C5688" s="1" t="n">
        <v>45715</v>
      </c>
      <c r="D5688" t="inlineStr">
        <is>
          <t>KALMAR LÄN</t>
        </is>
      </c>
      <c r="E5688" t="inlineStr">
        <is>
          <t>VIMMERBY</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7035-2022</t>
        </is>
      </c>
      <c r="B5689" s="1" t="n">
        <v>44603</v>
      </c>
      <c r="C5689" s="1" t="n">
        <v>45715</v>
      </c>
      <c r="D5689" t="inlineStr">
        <is>
          <t>KALMAR LÄN</t>
        </is>
      </c>
      <c r="E5689" t="inlineStr">
        <is>
          <t>HÖGSBY</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7048-2022</t>
        </is>
      </c>
      <c r="B5690" s="1" t="n">
        <v>44603</v>
      </c>
      <c r="C5690" s="1" t="n">
        <v>45715</v>
      </c>
      <c r="D5690" t="inlineStr">
        <is>
          <t>KALMAR LÄN</t>
        </is>
      </c>
      <c r="E5690" t="inlineStr">
        <is>
          <t>EMMABODA</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7058-2022</t>
        </is>
      </c>
      <c r="B5691" s="1" t="n">
        <v>44603</v>
      </c>
      <c r="C5691" s="1" t="n">
        <v>45715</v>
      </c>
      <c r="D5691" t="inlineStr">
        <is>
          <t>KALMAR LÄN</t>
        </is>
      </c>
      <c r="E5691" t="inlineStr">
        <is>
          <t>MÖNSTERÅS</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7143-2022</t>
        </is>
      </c>
      <c r="B5692" s="1" t="n">
        <v>44603</v>
      </c>
      <c r="C5692" s="1" t="n">
        <v>45715</v>
      </c>
      <c r="D5692" t="inlineStr">
        <is>
          <t>KALMAR LÄN</t>
        </is>
      </c>
      <c r="E5692" t="inlineStr">
        <is>
          <t>OSKARSHAMN</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7167-2022</t>
        </is>
      </c>
      <c r="B5693" s="1" t="n">
        <v>44604</v>
      </c>
      <c r="C5693" s="1" t="n">
        <v>45715</v>
      </c>
      <c r="D5693" t="inlineStr">
        <is>
          <t>KALMAR LÄN</t>
        </is>
      </c>
      <c r="E5693" t="inlineStr">
        <is>
          <t>VIMMERBY</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7173-2022</t>
        </is>
      </c>
      <c r="B5694" s="1" t="n">
        <v>44604</v>
      </c>
      <c r="C5694" s="1" t="n">
        <v>45715</v>
      </c>
      <c r="D5694" t="inlineStr">
        <is>
          <t>KALMAR LÄN</t>
        </is>
      </c>
      <c r="E5694" t="inlineStr">
        <is>
          <t>MÖNSTERÅS</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7238-2022</t>
        </is>
      </c>
      <c r="B5695" s="1" t="n">
        <v>44606</v>
      </c>
      <c r="C5695" s="1" t="n">
        <v>45715</v>
      </c>
      <c r="D5695" t="inlineStr">
        <is>
          <t>KALMAR LÄN</t>
        </is>
      </c>
      <c r="E5695" t="inlineStr">
        <is>
          <t>MÖNSTERÅS</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7271-2022</t>
        </is>
      </c>
      <c r="B5696" s="1" t="n">
        <v>44606</v>
      </c>
      <c r="C5696" s="1" t="n">
        <v>45715</v>
      </c>
      <c r="D5696" t="inlineStr">
        <is>
          <t>KALMAR LÄN</t>
        </is>
      </c>
      <c r="E5696" t="inlineStr">
        <is>
          <t>HULTSFRED</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7270-2022</t>
        </is>
      </c>
      <c r="B5697" s="1" t="n">
        <v>44606</v>
      </c>
      <c r="C5697" s="1" t="n">
        <v>45715</v>
      </c>
      <c r="D5697" t="inlineStr">
        <is>
          <t>KALMAR LÄN</t>
        </is>
      </c>
      <c r="E5697" t="inlineStr">
        <is>
          <t>HULTSFRED</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7425-2022</t>
        </is>
      </c>
      <c r="B5698" s="1" t="n">
        <v>44606</v>
      </c>
      <c r="C5698" s="1" t="n">
        <v>45715</v>
      </c>
      <c r="D5698" t="inlineStr">
        <is>
          <t>KALMAR LÄN</t>
        </is>
      </c>
      <c r="E5698" t="inlineStr">
        <is>
          <t>MÖNSTERÅS</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7424-2022</t>
        </is>
      </c>
      <c r="B5699" s="1" t="n">
        <v>44606</v>
      </c>
      <c r="C5699" s="1" t="n">
        <v>45715</v>
      </c>
      <c r="D5699" t="inlineStr">
        <is>
          <t>KALMAR LÄN</t>
        </is>
      </c>
      <c r="E5699" t="inlineStr">
        <is>
          <t>NYBRO</t>
        </is>
      </c>
      <c r="G5699" t="n">
        <v>6.2</v>
      </c>
      <c r="H5699" t="n">
        <v>0</v>
      </c>
      <c r="I5699" t="n">
        <v>0</v>
      </c>
      <c r="J5699" t="n">
        <v>0</v>
      </c>
      <c r="K5699" t="n">
        <v>0</v>
      </c>
      <c r="L5699" t="n">
        <v>0</v>
      </c>
      <c r="M5699" t="n">
        <v>0</v>
      </c>
      <c r="N5699" t="n">
        <v>0</v>
      </c>
      <c r="O5699" t="n">
        <v>0</v>
      </c>
      <c r="P5699" t="n">
        <v>0</v>
      </c>
      <c r="Q5699" t="n">
        <v>0</v>
      </c>
      <c r="R5699" s="2" t="inlineStr"/>
    </row>
    <row r="5700" ht="15" customHeight="1">
      <c r="A5700" t="inlineStr">
        <is>
          <t>A 7580-2022</t>
        </is>
      </c>
      <c r="B5700" s="1" t="n">
        <v>44607</v>
      </c>
      <c r="C5700" s="1" t="n">
        <v>45715</v>
      </c>
      <c r="D5700" t="inlineStr">
        <is>
          <t>KALMAR LÄN</t>
        </is>
      </c>
      <c r="E5700" t="inlineStr">
        <is>
          <t>VÄSTERVIK</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7603-2022</t>
        </is>
      </c>
      <c r="B5701" s="1" t="n">
        <v>44607</v>
      </c>
      <c r="C5701" s="1" t="n">
        <v>45715</v>
      </c>
      <c r="D5701" t="inlineStr">
        <is>
          <t>KALMAR LÄN</t>
        </is>
      </c>
      <c r="E5701" t="inlineStr">
        <is>
          <t>HÖGSBY</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7643-2022</t>
        </is>
      </c>
      <c r="B5702" s="1" t="n">
        <v>44607</v>
      </c>
      <c r="C5702" s="1" t="n">
        <v>45715</v>
      </c>
      <c r="D5702" t="inlineStr">
        <is>
          <t>KALMAR LÄN</t>
        </is>
      </c>
      <c r="E5702" t="inlineStr">
        <is>
          <t>VIMMERBY</t>
        </is>
      </c>
      <c r="G5702" t="n">
        <v>8.699999999999999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7826-2022</t>
        </is>
      </c>
      <c r="B5703" s="1" t="n">
        <v>44608</v>
      </c>
      <c r="C5703" s="1" t="n">
        <v>45715</v>
      </c>
      <c r="D5703" t="inlineStr">
        <is>
          <t>KALMAR LÄN</t>
        </is>
      </c>
      <c r="E5703" t="inlineStr">
        <is>
          <t>VÄSTERVIK</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7760-2022</t>
        </is>
      </c>
      <c r="B5704" s="1" t="n">
        <v>44608</v>
      </c>
      <c r="C5704" s="1" t="n">
        <v>45715</v>
      </c>
      <c r="D5704" t="inlineStr">
        <is>
          <t>KALMAR LÄN</t>
        </is>
      </c>
      <c r="E5704" t="inlineStr">
        <is>
          <t>EMMABODA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7804-2022</t>
        </is>
      </c>
      <c r="B5705" s="1" t="n">
        <v>44608</v>
      </c>
      <c r="C5705" s="1" t="n">
        <v>45715</v>
      </c>
      <c r="D5705" t="inlineStr">
        <is>
          <t>KALMAR LÄN</t>
        </is>
      </c>
      <c r="E5705" t="inlineStr">
        <is>
          <t>VIMMERBY</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7843-2022</t>
        </is>
      </c>
      <c r="B5706" s="1" t="n">
        <v>44608</v>
      </c>
      <c r="C5706" s="1" t="n">
        <v>45715</v>
      </c>
      <c r="D5706" t="inlineStr">
        <is>
          <t>KALMAR LÄN</t>
        </is>
      </c>
      <c r="E5706" t="inlineStr">
        <is>
          <t>HULTSFRED</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7917-2022</t>
        </is>
      </c>
      <c r="B5707" s="1" t="n">
        <v>44608</v>
      </c>
      <c r="C5707" s="1" t="n">
        <v>45715</v>
      </c>
      <c r="D5707" t="inlineStr">
        <is>
          <t>KALMAR LÄN</t>
        </is>
      </c>
      <c r="E5707" t="inlineStr">
        <is>
          <t>VIMMERBY</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7962-2022</t>
        </is>
      </c>
      <c r="B5708" s="1" t="n">
        <v>44608</v>
      </c>
      <c r="C5708" s="1" t="n">
        <v>45715</v>
      </c>
      <c r="D5708" t="inlineStr">
        <is>
          <t>KALMAR LÄN</t>
        </is>
      </c>
      <c r="E5708" t="inlineStr">
        <is>
          <t>OSKARSHAMN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7994-2022</t>
        </is>
      </c>
      <c r="B5709" s="1" t="n">
        <v>44609</v>
      </c>
      <c r="C5709" s="1" t="n">
        <v>45715</v>
      </c>
      <c r="D5709" t="inlineStr">
        <is>
          <t>KALMAR LÄN</t>
        </is>
      </c>
      <c r="E5709" t="inlineStr">
        <is>
          <t>HÖGSBY</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8075-2022</t>
        </is>
      </c>
      <c r="B5710" s="1" t="n">
        <v>44609</v>
      </c>
      <c r="C5710" s="1" t="n">
        <v>45715</v>
      </c>
      <c r="D5710" t="inlineStr">
        <is>
          <t>KALMAR LÄN</t>
        </is>
      </c>
      <c r="E5710" t="inlineStr">
        <is>
          <t>NYBRO</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8194-2022</t>
        </is>
      </c>
      <c r="B5711" s="1" t="n">
        <v>44609</v>
      </c>
      <c r="C5711" s="1" t="n">
        <v>45715</v>
      </c>
      <c r="D5711" t="inlineStr">
        <is>
          <t>KALMAR LÄN</t>
        </is>
      </c>
      <c r="E5711" t="inlineStr">
        <is>
          <t>VIMMERBY</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8150-2022</t>
        </is>
      </c>
      <c r="B5712" s="1" t="n">
        <v>44609</v>
      </c>
      <c r="C5712" s="1" t="n">
        <v>45715</v>
      </c>
      <c r="D5712" t="inlineStr">
        <is>
          <t>KALMAR LÄN</t>
        </is>
      </c>
      <c r="E5712" t="inlineStr">
        <is>
          <t>NYBRO</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8199-2022</t>
        </is>
      </c>
      <c r="B5713" s="1" t="n">
        <v>44609</v>
      </c>
      <c r="C5713" s="1" t="n">
        <v>45715</v>
      </c>
      <c r="D5713" t="inlineStr">
        <is>
          <t>KALMAR LÄN</t>
        </is>
      </c>
      <c r="E5713" t="inlineStr">
        <is>
          <t>HULTSFRED</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8172-2022</t>
        </is>
      </c>
      <c r="B5714" s="1" t="n">
        <v>44609</v>
      </c>
      <c r="C5714" s="1" t="n">
        <v>45715</v>
      </c>
      <c r="D5714" t="inlineStr">
        <is>
          <t>KALMAR LÄN</t>
        </is>
      </c>
      <c r="E5714" t="inlineStr">
        <is>
          <t>NYBRO</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8198-2022</t>
        </is>
      </c>
      <c r="B5715" s="1" t="n">
        <v>44609</v>
      </c>
      <c r="C5715" s="1" t="n">
        <v>45715</v>
      </c>
      <c r="D5715" t="inlineStr">
        <is>
          <t>KALMAR LÄN</t>
        </is>
      </c>
      <c r="E5715" t="inlineStr">
        <is>
          <t>HULTSFRED</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8355-2022</t>
        </is>
      </c>
      <c r="B5716" s="1" t="n">
        <v>44610</v>
      </c>
      <c r="C5716" s="1" t="n">
        <v>45715</v>
      </c>
      <c r="D5716" t="inlineStr">
        <is>
          <t>KALMAR LÄN</t>
        </is>
      </c>
      <c r="E5716" t="inlineStr">
        <is>
          <t>VÄSTERVIK</t>
        </is>
      </c>
      <c r="F5716" t="inlineStr">
        <is>
          <t>Holmen skog AB</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8243-2022</t>
        </is>
      </c>
      <c r="B5717" s="1" t="n">
        <v>44610</v>
      </c>
      <c r="C5717" s="1" t="n">
        <v>45715</v>
      </c>
      <c r="D5717" t="inlineStr">
        <is>
          <t>KALMAR LÄN</t>
        </is>
      </c>
      <c r="E5717" t="inlineStr">
        <is>
          <t>TORSÅS</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8402-2022</t>
        </is>
      </c>
      <c r="B5718" s="1" t="n">
        <v>44610</v>
      </c>
      <c r="C5718" s="1" t="n">
        <v>45715</v>
      </c>
      <c r="D5718" t="inlineStr">
        <is>
          <t>KALMAR LÄN</t>
        </is>
      </c>
      <c r="E5718" t="inlineStr">
        <is>
          <t>HULTSFRED</t>
        </is>
      </c>
      <c r="F5718" t="inlineStr">
        <is>
          <t>Kommuner</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8439-2022</t>
        </is>
      </c>
      <c r="B5719" s="1" t="n">
        <v>44612</v>
      </c>
      <c r="C5719" s="1" t="n">
        <v>45715</v>
      </c>
      <c r="D5719" t="inlineStr">
        <is>
          <t>KALMAR LÄN</t>
        </is>
      </c>
      <c r="E5719" t="inlineStr">
        <is>
          <t>HULTSFRED</t>
        </is>
      </c>
      <c r="F5719" t="inlineStr">
        <is>
          <t>Sveaskog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8454-2022</t>
        </is>
      </c>
      <c r="B5720" s="1" t="n">
        <v>44612</v>
      </c>
      <c r="C5720" s="1" t="n">
        <v>45715</v>
      </c>
      <c r="D5720" t="inlineStr">
        <is>
          <t>KALMAR LÄN</t>
        </is>
      </c>
      <c r="E5720" t="inlineStr">
        <is>
          <t>VIMMERBY</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8437-2022</t>
        </is>
      </c>
      <c r="B5721" s="1" t="n">
        <v>44612</v>
      </c>
      <c r="C5721" s="1" t="n">
        <v>45715</v>
      </c>
      <c r="D5721" t="inlineStr">
        <is>
          <t>KALMAR LÄN</t>
        </is>
      </c>
      <c r="E5721" t="inlineStr">
        <is>
          <t>NYBRO</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8444-2022</t>
        </is>
      </c>
      <c r="B5722" s="1" t="n">
        <v>44612</v>
      </c>
      <c r="C5722" s="1" t="n">
        <v>45715</v>
      </c>
      <c r="D5722" t="inlineStr">
        <is>
          <t>KALMAR LÄN</t>
        </is>
      </c>
      <c r="E5722" t="inlineStr">
        <is>
          <t>NYBRO</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8453-2022</t>
        </is>
      </c>
      <c r="B5723" s="1" t="n">
        <v>44612</v>
      </c>
      <c r="C5723" s="1" t="n">
        <v>45715</v>
      </c>
      <c r="D5723" t="inlineStr">
        <is>
          <t>KALMAR LÄN</t>
        </is>
      </c>
      <c r="E5723" t="inlineStr">
        <is>
          <t>VIMMERBY</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8462-2022</t>
        </is>
      </c>
      <c r="B5724" s="1" t="n">
        <v>44612</v>
      </c>
      <c r="C5724" s="1" t="n">
        <v>45715</v>
      </c>
      <c r="D5724" t="inlineStr">
        <is>
          <t>KALMAR LÄN</t>
        </is>
      </c>
      <c r="E5724" t="inlineStr">
        <is>
          <t>VIMMERBY</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8613-2022</t>
        </is>
      </c>
      <c r="B5725" s="1" t="n">
        <v>44613</v>
      </c>
      <c r="C5725" s="1" t="n">
        <v>45715</v>
      </c>
      <c r="D5725" t="inlineStr">
        <is>
          <t>KALMAR LÄN</t>
        </is>
      </c>
      <c r="E5725" t="inlineStr">
        <is>
          <t>HÖGSBY</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8667-2022</t>
        </is>
      </c>
      <c r="B5726" s="1" t="n">
        <v>44613</v>
      </c>
      <c r="C5726" s="1" t="n">
        <v>45715</v>
      </c>
      <c r="D5726" t="inlineStr">
        <is>
          <t>KALMAR LÄN</t>
        </is>
      </c>
      <c r="E5726" t="inlineStr">
        <is>
          <t>OSKARSHAMN</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8650-2022</t>
        </is>
      </c>
      <c r="B5727" s="1" t="n">
        <v>44613</v>
      </c>
      <c r="C5727" s="1" t="n">
        <v>45715</v>
      </c>
      <c r="D5727" t="inlineStr">
        <is>
          <t>KALMAR LÄN</t>
        </is>
      </c>
      <c r="E5727" t="inlineStr">
        <is>
          <t>VIMMERBY</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8656-2022</t>
        </is>
      </c>
      <c r="B5728" s="1" t="n">
        <v>44613</v>
      </c>
      <c r="C5728" s="1" t="n">
        <v>45715</v>
      </c>
      <c r="D5728" t="inlineStr">
        <is>
          <t>KALMAR LÄN</t>
        </is>
      </c>
      <c r="E5728" t="inlineStr">
        <is>
          <t>OSKARSHAMN</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8509-2022</t>
        </is>
      </c>
      <c r="B5729" s="1" t="n">
        <v>44613</v>
      </c>
      <c r="C5729" s="1" t="n">
        <v>45715</v>
      </c>
      <c r="D5729" t="inlineStr">
        <is>
          <t>KALMAR LÄN</t>
        </is>
      </c>
      <c r="E5729" t="inlineStr">
        <is>
          <t>TORSÅS</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8512-2022</t>
        </is>
      </c>
      <c r="B5730" s="1" t="n">
        <v>44613</v>
      </c>
      <c r="C5730" s="1" t="n">
        <v>45715</v>
      </c>
      <c r="D5730" t="inlineStr">
        <is>
          <t>KALMAR LÄN</t>
        </is>
      </c>
      <c r="E5730" t="inlineStr">
        <is>
          <t>TORSÅS</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8479-2022</t>
        </is>
      </c>
      <c r="B5731" s="1" t="n">
        <v>44613</v>
      </c>
      <c r="C5731" s="1" t="n">
        <v>45715</v>
      </c>
      <c r="D5731" t="inlineStr">
        <is>
          <t>KALMAR LÄN</t>
        </is>
      </c>
      <c r="E5731" t="inlineStr">
        <is>
          <t>TORSÅS</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8749-2022</t>
        </is>
      </c>
      <c r="B5732" s="1" t="n">
        <v>44614</v>
      </c>
      <c r="C5732" s="1" t="n">
        <v>45715</v>
      </c>
      <c r="D5732" t="inlineStr">
        <is>
          <t>KALMAR LÄN</t>
        </is>
      </c>
      <c r="E5732" t="inlineStr">
        <is>
          <t>MÖNSTERÅS</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8841-2022</t>
        </is>
      </c>
      <c r="B5733" s="1" t="n">
        <v>44614</v>
      </c>
      <c r="C5733" s="1" t="n">
        <v>45715</v>
      </c>
      <c r="D5733" t="inlineStr">
        <is>
          <t>KALMAR LÄN</t>
        </is>
      </c>
      <c r="E5733" t="inlineStr">
        <is>
          <t>EMMABODA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8930-2022</t>
        </is>
      </c>
      <c r="B5734" s="1" t="n">
        <v>44614</v>
      </c>
      <c r="C5734" s="1" t="n">
        <v>45715</v>
      </c>
      <c r="D5734" t="inlineStr">
        <is>
          <t>KALMAR LÄN</t>
        </is>
      </c>
      <c r="E5734" t="inlineStr">
        <is>
          <t>HULTSFRED</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8999-2022</t>
        </is>
      </c>
      <c r="B5735" s="1" t="n">
        <v>44614</v>
      </c>
      <c r="C5735" s="1" t="n">
        <v>45715</v>
      </c>
      <c r="D5735" t="inlineStr">
        <is>
          <t>KALMAR LÄN</t>
        </is>
      </c>
      <c r="E5735" t="inlineStr">
        <is>
          <t>MÖRBYLÅNGA</t>
        </is>
      </c>
      <c r="F5735" t="inlineStr">
        <is>
          <t>Kyrkan</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8908-2022</t>
        </is>
      </c>
      <c r="B5736" s="1" t="n">
        <v>44614</v>
      </c>
      <c r="C5736" s="1" t="n">
        <v>45715</v>
      </c>
      <c r="D5736" t="inlineStr">
        <is>
          <t>KALMAR LÄN</t>
        </is>
      </c>
      <c r="E5736" t="inlineStr">
        <is>
          <t>VIMMERBY</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9025-2022</t>
        </is>
      </c>
      <c r="B5737" s="1" t="n">
        <v>44615</v>
      </c>
      <c r="C5737" s="1" t="n">
        <v>45715</v>
      </c>
      <c r="D5737" t="inlineStr">
        <is>
          <t>KALMAR LÄN</t>
        </is>
      </c>
      <c r="E5737" t="inlineStr">
        <is>
          <t>VÄSTERVIK</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9087-2022</t>
        </is>
      </c>
      <c r="B5738" s="1" t="n">
        <v>44615</v>
      </c>
      <c r="C5738" s="1" t="n">
        <v>45715</v>
      </c>
      <c r="D5738" t="inlineStr">
        <is>
          <t>KALMAR LÄN</t>
        </is>
      </c>
      <c r="E5738" t="inlineStr">
        <is>
          <t>KALMAR</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9047-2022</t>
        </is>
      </c>
      <c r="B5739" s="1" t="n">
        <v>44615</v>
      </c>
      <c r="C5739" s="1" t="n">
        <v>45715</v>
      </c>
      <c r="D5739" t="inlineStr">
        <is>
          <t>KALMAR LÄN</t>
        </is>
      </c>
      <c r="E5739" t="inlineStr">
        <is>
          <t>EMMABODA</t>
        </is>
      </c>
      <c r="F5739" t="inlineStr">
        <is>
          <t>Kommuner</t>
        </is>
      </c>
      <c r="G5739" t="n">
        <v>10.9</v>
      </c>
      <c r="H5739" t="n">
        <v>0</v>
      </c>
      <c r="I5739" t="n">
        <v>0</v>
      </c>
      <c r="J5739" t="n">
        <v>0</v>
      </c>
      <c r="K5739" t="n">
        <v>0</v>
      </c>
      <c r="L5739" t="n">
        <v>0</v>
      </c>
      <c r="M5739" t="n">
        <v>0</v>
      </c>
      <c r="N5739" t="n">
        <v>0</v>
      </c>
      <c r="O5739" t="n">
        <v>0</v>
      </c>
      <c r="P5739" t="n">
        <v>0</v>
      </c>
      <c r="Q5739" t="n">
        <v>0</v>
      </c>
      <c r="R5739" s="2" t="inlineStr"/>
    </row>
    <row r="5740" ht="15" customHeight="1">
      <c r="A5740" t="inlineStr">
        <is>
          <t>A 9052-2022</t>
        </is>
      </c>
      <c r="B5740" s="1" t="n">
        <v>44615</v>
      </c>
      <c r="C5740" s="1" t="n">
        <v>45715</v>
      </c>
      <c r="D5740" t="inlineStr">
        <is>
          <t>KALMAR LÄN</t>
        </is>
      </c>
      <c r="E5740" t="inlineStr">
        <is>
          <t>EMMABODA</t>
        </is>
      </c>
      <c r="F5740" t="inlineStr">
        <is>
          <t>Kommuner</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9176-2022</t>
        </is>
      </c>
      <c r="B5741" s="1" t="n">
        <v>44615</v>
      </c>
      <c r="C5741" s="1" t="n">
        <v>45715</v>
      </c>
      <c r="D5741" t="inlineStr">
        <is>
          <t>KALMAR LÄN</t>
        </is>
      </c>
      <c r="E5741" t="inlineStr">
        <is>
          <t>NYBRO</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9311-2022</t>
        </is>
      </c>
      <c r="B5742" s="1" t="n">
        <v>44616</v>
      </c>
      <c r="C5742" s="1" t="n">
        <v>45715</v>
      </c>
      <c r="D5742" t="inlineStr">
        <is>
          <t>KALMAR LÄN</t>
        </is>
      </c>
      <c r="E5742" t="inlineStr">
        <is>
          <t>VIMMERBY</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9505-2022</t>
        </is>
      </c>
      <c r="B5743" s="1" t="n">
        <v>44616</v>
      </c>
      <c r="C5743" s="1" t="n">
        <v>45715</v>
      </c>
      <c r="D5743" t="inlineStr">
        <is>
          <t>KALMAR LÄN</t>
        </is>
      </c>
      <c r="E5743" t="inlineStr">
        <is>
          <t>OSKARSHAMN</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9535-2022</t>
        </is>
      </c>
      <c r="B5744" s="1" t="n">
        <v>44617</v>
      </c>
      <c r="C5744" s="1" t="n">
        <v>45715</v>
      </c>
      <c r="D5744" t="inlineStr">
        <is>
          <t>KALMAR LÄN</t>
        </is>
      </c>
      <c r="E5744" t="inlineStr">
        <is>
          <t>KALMAR</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9605-2022</t>
        </is>
      </c>
      <c r="B5745" s="1" t="n">
        <v>44617</v>
      </c>
      <c r="C5745" s="1" t="n">
        <v>45715</v>
      </c>
      <c r="D5745" t="inlineStr">
        <is>
          <t>KALMAR LÄN</t>
        </is>
      </c>
      <c r="E5745" t="inlineStr">
        <is>
          <t>VÄSTERVIK</t>
        </is>
      </c>
      <c r="F5745" t="inlineStr">
        <is>
          <t>Holmen skog AB</t>
        </is>
      </c>
      <c r="G5745" t="n">
        <v>4.5</v>
      </c>
      <c r="H5745" t="n">
        <v>0</v>
      </c>
      <c r="I5745" t="n">
        <v>0</v>
      </c>
      <c r="J5745" t="n">
        <v>0</v>
      </c>
      <c r="K5745" t="n">
        <v>0</v>
      </c>
      <c r="L5745" t="n">
        <v>0</v>
      </c>
      <c r="M5745" t="n">
        <v>0</v>
      </c>
      <c r="N5745" t="n">
        <v>0</v>
      </c>
      <c r="O5745" t="n">
        <v>0</v>
      </c>
      <c r="P5745" t="n">
        <v>0</v>
      </c>
      <c r="Q5745" t="n">
        <v>0</v>
      </c>
      <c r="R5745" s="2" t="inlineStr"/>
      <c r="U5745">
        <f>HYPERLINK("https://klasma.github.io/Logging_0883/knärot/A 9605-2022 karta knärot.png", "A 9605-2022")</f>
        <v/>
      </c>
      <c r="V5745">
        <f>HYPERLINK("https://klasma.github.io/Logging_0883/klagomål/A 9605-2022 FSC-klagomål.docx", "A 9605-2022")</f>
        <v/>
      </c>
      <c r="W5745">
        <f>HYPERLINK("https://klasma.github.io/Logging_0883/klagomålsmail/A 9605-2022 FSC-klagomål mail.docx", "A 9605-2022")</f>
        <v/>
      </c>
      <c r="X5745">
        <f>HYPERLINK("https://klasma.github.io/Logging_0883/tillsyn/A 9605-2022 tillsynsbegäran.docx", "A 9605-2022")</f>
        <v/>
      </c>
      <c r="Y5745">
        <f>HYPERLINK("https://klasma.github.io/Logging_0883/tillsynsmail/A 9605-2022 tillsynsbegäran mail.docx", "A 9605-2022")</f>
        <v/>
      </c>
    </row>
    <row r="5746" ht="15" customHeight="1">
      <c r="A5746" t="inlineStr">
        <is>
          <t>A 9616-2022</t>
        </is>
      </c>
      <c r="B5746" s="1" t="n">
        <v>44617</v>
      </c>
      <c r="C5746" s="1" t="n">
        <v>45715</v>
      </c>
      <c r="D5746" t="inlineStr">
        <is>
          <t>KALMAR LÄN</t>
        </is>
      </c>
      <c r="E5746" t="inlineStr">
        <is>
          <t>HÖGSBY</t>
        </is>
      </c>
      <c r="G5746" t="n">
        <v>6.4</v>
      </c>
      <c r="H5746" t="n">
        <v>0</v>
      </c>
      <c r="I5746" t="n">
        <v>0</v>
      </c>
      <c r="J5746" t="n">
        <v>0</v>
      </c>
      <c r="K5746" t="n">
        <v>0</v>
      </c>
      <c r="L5746" t="n">
        <v>0</v>
      </c>
      <c r="M5746" t="n">
        <v>0</v>
      </c>
      <c r="N5746" t="n">
        <v>0</v>
      </c>
      <c r="O5746" t="n">
        <v>0</v>
      </c>
      <c r="P5746" t="n">
        <v>0</v>
      </c>
      <c r="Q5746" t="n">
        <v>0</v>
      </c>
      <c r="R5746" s="2" t="inlineStr"/>
    </row>
    <row r="5747" ht="15" customHeight="1">
      <c r="A5747" t="inlineStr">
        <is>
          <t>A 9571-2022</t>
        </is>
      </c>
      <c r="B5747" s="1" t="n">
        <v>44617</v>
      </c>
      <c r="C5747" s="1" t="n">
        <v>45715</v>
      </c>
      <c r="D5747" t="inlineStr">
        <is>
          <t>KALMAR LÄN</t>
        </is>
      </c>
      <c r="E5747" t="inlineStr">
        <is>
          <t>HULTSFRED</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9636-2022</t>
        </is>
      </c>
      <c r="B5748" s="1" t="n">
        <v>44617</v>
      </c>
      <c r="C5748" s="1" t="n">
        <v>45715</v>
      </c>
      <c r="D5748" t="inlineStr">
        <is>
          <t>KALMAR LÄN</t>
        </is>
      </c>
      <c r="E5748" t="inlineStr">
        <is>
          <t>NYBRO</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9534-2022</t>
        </is>
      </c>
      <c r="B5749" s="1" t="n">
        <v>44617</v>
      </c>
      <c r="C5749" s="1" t="n">
        <v>45715</v>
      </c>
      <c r="D5749" t="inlineStr">
        <is>
          <t>KALMAR LÄN</t>
        </is>
      </c>
      <c r="E5749" t="inlineStr">
        <is>
          <t>KALMAR</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9741-2022</t>
        </is>
      </c>
      <c r="B5750" s="1" t="n">
        <v>44618</v>
      </c>
      <c r="C5750" s="1" t="n">
        <v>45715</v>
      </c>
      <c r="D5750" t="inlineStr">
        <is>
          <t>KALMAR LÄN</t>
        </is>
      </c>
      <c r="E5750" t="inlineStr">
        <is>
          <t>KALMAR</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9778-2022</t>
        </is>
      </c>
      <c r="B5751" s="1" t="n">
        <v>44619</v>
      </c>
      <c r="C5751" s="1" t="n">
        <v>45715</v>
      </c>
      <c r="D5751" t="inlineStr">
        <is>
          <t>KALMAR LÄN</t>
        </is>
      </c>
      <c r="E5751" t="inlineStr">
        <is>
          <t>MÖNSTERÅS</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9775-2022</t>
        </is>
      </c>
      <c r="B5752" s="1" t="n">
        <v>44619</v>
      </c>
      <c r="C5752" s="1" t="n">
        <v>45715</v>
      </c>
      <c r="D5752" t="inlineStr">
        <is>
          <t>KALMAR LÄN</t>
        </is>
      </c>
      <c r="E5752" t="inlineStr">
        <is>
          <t>EMMABODA</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9827-2022</t>
        </is>
      </c>
      <c r="B5753" s="1" t="n">
        <v>44620</v>
      </c>
      <c r="C5753" s="1" t="n">
        <v>45715</v>
      </c>
      <c r="D5753" t="inlineStr">
        <is>
          <t>KALMAR LÄN</t>
        </is>
      </c>
      <c r="E5753" t="inlineStr">
        <is>
          <t>HÖGSBY</t>
        </is>
      </c>
      <c r="G5753" t="n">
        <v>8.300000000000001</v>
      </c>
      <c r="H5753" t="n">
        <v>0</v>
      </c>
      <c r="I5753" t="n">
        <v>0</v>
      </c>
      <c r="J5753" t="n">
        <v>0</v>
      </c>
      <c r="K5753" t="n">
        <v>0</v>
      </c>
      <c r="L5753" t="n">
        <v>0</v>
      </c>
      <c r="M5753" t="n">
        <v>0</v>
      </c>
      <c r="N5753" t="n">
        <v>0</v>
      </c>
      <c r="O5753" t="n">
        <v>0</v>
      </c>
      <c r="P5753" t="n">
        <v>0</v>
      </c>
      <c r="Q5753" t="n">
        <v>0</v>
      </c>
      <c r="R5753" s="2" t="inlineStr"/>
    </row>
    <row r="5754" ht="15" customHeight="1">
      <c r="A5754" t="inlineStr">
        <is>
          <t>A 9801-2022</t>
        </is>
      </c>
      <c r="B5754" s="1" t="n">
        <v>44620</v>
      </c>
      <c r="C5754" s="1" t="n">
        <v>45715</v>
      </c>
      <c r="D5754" t="inlineStr">
        <is>
          <t>KALMAR LÄN</t>
        </is>
      </c>
      <c r="E5754" t="inlineStr">
        <is>
          <t>OSKARSHAMN</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9798-2022</t>
        </is>
      </c>
      <c r="B5755" s="1" t="n">
        <v>44620</v>
      </c>
      <c r="C5755" s="1" t="n">
        <v>45715</v>
      </c>
      <c r="D5755" t="inlineStr">
        <is>
          <t>KALMAR LÄN</t>
        </is>
      </c>
      <c r="E5755" t="inlineStr">
        <is>
          <t>KALMAR</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9871-2022</t>
        </is>
      </c>
      <c r="B5756" s="1" t="n">
        <v>44620</v>
      </c>
      <c r="C5756" s="1" t="n">
        <v>45715</v>
      </c>
      <c r="D5756" t="inlineStr">
        <is>
          <t>KALMAR LÄN</t>
        </is>
      </c>
      <c r="E5756" t="inlineStr">
        <is>
          <t>KALMAR</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9919-2022</t>
        </is>
      </c>
      <c r="B5757" s="1" t="n">
        <v>44620</v>
      </c>
      <c r="C5757" s="1" t="n">
        <v>45715</v>
      </c>
      <c r="D5757" t="inlineStr">
        <is>
          <t>KALMAR LÄN</t>
        </is>
      </c>
      <c r="E5757" t="inlineStr">
        <is>
          <t>OSKARSHAMN</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9918-2022</t>
        </is>
      </c>
      <c r="B5758" s="1" t="n">
        <v>44620</v>
      </c>
      <c r="C5758" s="1" t="n">
        <v>45715</v>
      </c>
      <c r="D5758" t="inlineStr">
        <is>
          <t>KALMAR LÄN</t>
        </is>
      </c>
      <c r="E5758" t="inlineStr">
        <is>
          <t>VIMMERBY</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10037-2022</t>
        </is>
      </c>
      <c r="B5759" s="1" t="n">
        <v>44621</v>
      </c>
      <c r="C5759" s="1" t="n">
        <v>45715</v>
      </c>
      <c r="D5759" t="inlineStr">
        <is>
          <t>KALMAR LÄN</t>
        </is>
      </c>
      <c r="E5759" t="inlineStr">
        <is>
          <t>TORSÅS</t>
        </is>
      </c>
      <c r="G5759" t="n">
        <v>27.2</v>
      </c>
      <c r="H5759" t="n">
        <v>0</v>
      </c>
      <c r="I5759" t="n">
        <v>0</v>
      </c>
      <c r="J5759" t="n">
        <v>0</v>
      </c>
      <c r="K5759" t="n">
        <v>0</v>
      </c>
      <c r="L5759" t="n">
        <v>0</v>
      </c>
      <c r="M5759" t="n">
        <v>0</v>
      </c>
      <c r="N5759" t="n">
        <v>0</v>
      </c>
      <c r="O5759" t="n">
        <v>0</v>
      </c>
      <c r="P5759" t="n">
        <v>0</v>
      </c>
      <c r="Q5759" t="n">
        <v>0</v>
      </c>
      <c r="R5759" s="2" t="inlineStr"/>
    </row>
    <row r="5760" ht="15" customHeight="1">
      <c r="A5760" t="inlineStr">
        <is>
          <t>A 9974-2022</t>
        </is>
      </c>
      <c r="B5760" s="1" t="n">
        <v>44621</v>
      </c>
      <c r="C5760" s="1" t="n">
        <v>45715</v>
      </c>
      <c r="D5760" t="inlineStr">
        <is>
          <t>KALMAR LÄN</t>
        </is>
      </c>
      <c r="E5760" t="inlineStr">
        <is>
          <t>MÖNSTERÅS</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10108-2022</t>
        </is>
      </c>
      <c r="B5761" s="1" t="n">
        <v>44621</v>
      </c>
      <c r="C5761" s="1" t="n">
        <v>45715</v>
      </c>
      <c r="D5761" t="inlineStr">
        <is>
          <t>KALMAR LÄN</t>
        </is>
      </c>
      <c r="E5761" t="inlineStr">
        <is>
          <t>MÖNSTERÅS</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10071-2022</t>
        </is>
      </c>
      <c r="B5762" s="1" t="n">
        <v>44621</v>
      </c>
      <c r="C5762" s="1" t="n">
        <v>45715</v>
      </c>
      <c r="D5762" t="inlineStr">
        <is>
          <t>KALMAR LÄN</t>
        </is>
      </c>
      <c r="E5762" t="inlineStr">
        <is>
          <t>VÄSTERVIK</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10086-2022</t>
        </is>
      </c>
      <c r="B5763" s="1" t="n">
        <v>44621</v>
      </c>
      <c r="C5763" s="1" t="n">
        <v>45715</v>
      </c>
      <c r="D5763" t="inlineStr">
        <is>
          <t>KALMAR LÄN</t>
        </is>
      </c>
      <c r="E5763" t="inlineStr">
        <is>
          <t>VIMMERBY</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10089-2022</t>
        </is>
      </c>
      <c r="B5764" s="1" t="n">
        <v>44621</v>
      </c>
      <c r="C5764" s="1" t="n">
        <v>45715</v>
      </c>
      <c r="D5764" t="inlineStr">
        <is>
          <t>KALMAR LÄN</t>
        </is>
      </c>
      <c r="E5764" t="inlineStr">
        <is>
          <t>OSKARSHAMN</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10104-2022</t>
        </is>
      </c>
      <c r="B5765" s="1" t="n">
        <v>44621</v>
      </c>
      <c r="C5765" s="1" t="n">
        <v>45715</v>
      </c>
      <c r="D5765" t="inlineStr">
        <is>
          <t>KALMAR LÄN</t>
        </is>
      </c>
      <c r="E5765" t="inlineStr">
        <is>
          <t>MÖNSTERÅS</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10114-2022</t>
        </is>
      </c>
      <c r="B5766" s="1" t="n">
        <v>44621</v>
      </c>
      <c r="C5766" s="1" t="n">
        <v>45715</v>
      </c>
      <c r="D5766" t="inlineStr">
        <is>
          <t>KALMAR LÄN</t>
        </is>
      </c>
      <c r="E5766" t="inlineStr">
        <is>
          <t>NYBRO</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10119-2022</t>
        </is>
      </c>
      <c r="B5767" s="1" t="n">
        <v>44621</v>
      </c>
      <c r="C5767" s="1" t="n">
        <v>45715</v>
      </c>
      <c r="D5767" t="inlineStr">
        <is>
          <t>KALMAR LÄN</t>
        </is>
      </c>
      <c r="E5767" t="inlineStr">
        <is>
          <t>VÄSTERVIK</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10102-2022</t>
        </is>
      </c>
      <c r="B5768" s="1" t="n">
        <v>44621</v>
      </c>
      <c r="C5768" s="1" t="n">
        <v>45715</v>
      </c>
      <c r="D5768" t="inlineStr">
        <is>
          <t>KALMAR LÄN</t>
        </is>
      </c>
      <c r="E5768" t="inlineStr">
        <is>
          <t>OSKARSHAMN</t>
        </is>
      </c>
      <c r="G5768" t="n">
        <v>5.3</v>
      </c>
      <c r="H5768" t="n">
        <v>0</v>
      </c>
      <c r="I5768" t="n">
        <v>0</v>
      </c>
      <c r="J5768" t="n">
        <v>0</v>
      </c>
      <c r="K5768" t="n">
        <v>0</v>
      </c>
      <c r="L5768" t="n">
        <v>0</v>
      </c>
      <c r="M5768" t="n">
        <v>0</v>
      </c>
      <c r="N5768" t="n">
        <v>0</v>
      </c>
      <c r="O5768" t="n">
        <v>0</v>
      </c>
      <c r="P5768" t="n">
        <v>0</v>
      </c>
      <c r="Q5768" t="n">
        <v>0</v>
      </c>
      <c r="R5768" s="2" t="inlineStr"/>
    </row>
    <row r="5769" ht="15" customHeight="1">
      <c r="A5769" t="inlineStr">
        <is>
          <t>A 10107-2022</t>
        </is>
      </c>
      <c r="B5769" s="1" t="n">
        <v>44621</v>
      </c>
      <c r="C5769" s="1" t="n">
        <v>45715</v>
      </c>
      <c r="D5769" t="inlineStr">
        <is>
          <t>KALMAR LÄN</t>
        </is>
      </c>
      <c r="E5769" t="inlineStr">
        <is>
          <t>OSKARSHAMN</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10117-2022</t>
        </is>
      </c>
      <c r="B5770" s="1" t="n">
        <v>44621</v>
      </c>
      <c r="C5770" s="1" t="n">
        <v>45715</v>
      </c>
      <c r="D5770" t="inlineStr">
        <is>
          <t>KALMAR LÄN</t>
        </is>
      </c>
      <c r="E5770" t="inlineStr">
        <is>
          <t>VÄSTERVIK</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10106-2022</t>
        </is>
      </c>
      <c r="B5771" s="1" t="n">
        <v>44621</v>
      </c>
      <c r="C5771" s="1" t="n">
        <v>45715</v>
      </c>
      <c r="D5771" t="inlineStr">
        <is>
          <t>KALMAR LÄN</t>
        </is>
      </c>
      <c r="E5771" t="inlineStr">
        <is>
          <t>MÖNSTERÅS</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10116-2022</t>
        </is>
      </c>
      <c r="B5772" s="1" t="n">
        <v>44621</v>
      </c>
      <c r="C5772" s="1" t="n">
        <v>45715</v>
      </c>
      <c r="D5772" t="inlineStr">
        <is>
          <t>KALMAR LÄN</t>
        </is>
      </c>
      <c r="E5772" t="inlineStr">
        <is>
          <t>VÄSTERVIK</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10145-2022</t>
        </is>
      </c>
      <c r="B5773" s="1" t="n">
        <v>44621</v>
      </c>
      <c r="C5773" s="1" t="n">
        <v>45715</v>
      </c>
      <c r="D5773" t="inlineStr">
        <is>
          <t>KALMAR LÄN</t>
        </is>
      </c>
      <c r="E5773" t="inlineStr">
        <is>
          <t>OSKARSHAMN</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10152-2022</t>
        </is>
      </c>
      <c r="B5774" s="1" t="n">
        <v>44622</v>
      </c>
      <c r="C5774" s="1" t="n">
        <v>45715</v>
      </c>
      <c r="D5774" t="inlineStr">
        <is>
          <t>KALMAR LÄN</t>
        </is>
      </c>
      <c r="E5774" t="inlineStr">
        <is>
          <t>EMMABODA</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10219-2022</t>
        </is>
      </c>
      <c r="B5775" s="1" t="n">
        <v>44622</v>
      </c>
      <c r="C5775" s="1" t="n">
        <v>45715</v>
      </c>
      <c r="D5775" t="inlineStr">
        <is>
          <t>KALMAR LÄN</t>
        </is>
      </c>
      <c r="E5775" t="inlineStr">
        <is>
          <t>EMMABODA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10289-2022</t>
        </is>
      </c>
      <c r="B5776" s="1" t="n">
        <v>44622</v>
      </c>
      <c r="C5776" s="1" t="n">
        <v>45715</v>
      </c>
      <c r="D5776" t="inlineStr">
        <is>
          <t>KALMAR LÄN</t>
        </is>
      </c>
      <c r="E5776" t="inlineStr">
        <is>
          <t>NYBRO</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10334-2022</t>
        </is>
      </c>
      <c r="B5777" s="1" t="n">
        <v>44623</v>
      </c>
      <c r="C5777" s="1" t="n">
        <v>45715</v>
      </c>
      <c r="D5777" t="inlineStr">
        <is>
          <t>KALMAR LÄN</t>
        </is>
      </c>
      <c r="E5777" t="inlineStr">
        <is>
          <t>KALMAR</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10348-2022</t>
        </is>
      </c>
      <c r="B5778" s="1" t="n">
        <v>44623</v>
      </c>
      <c r="C5778" s="1" t="n">
        <v>45715</v>
      </c>
      <c r="D5778" t="inlineStr">
        <is>
          <t>KALMAR LÄN</t>
        </is>
      </c>
      <c r="E5778" t="inlineStr">
        <is>
          <t>BORGHOLM</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10406-2022</t>
        </is>
      </c>
      <c r="B5779" s="1" t="n">
        <v>44623</v>
      </c>
      <c r="C5779" s="1" t="n">
        <v>45715</v>
      </c>
      <c r="D5779" t="inlineStr">
        <is>
          <t>KALMAR LÄN</t>
        </is>
      </c>
      <c r="E5779" t="inlineStr">
        <is>
          <t>VÄSTERVIK</t>
        </is>
      </c>
      <c r="F5779" t="inlineStr">
        <is>
          <t>Holmen skog AB</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10412-2022</t>
        </is>
      </c>
      <c r="B5780" s="1" t="n">
        <v>44623</v>
      </c>
      <c r="C5780" s="1" t="n">
        <v>45715</v>
      </c>
      <c r="D5780" t="inlineStr">
        <is>
          <t>KALMAR LÄN</t>
        </is>
      </c>
      <c r="E5780" t="inlineStr">
        <is>
          <t>HÖGSBY</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10441-2022</t>
        </is>
      </c>
      <c r="B5781" s="1" t="n">
        <v>44623</v>
      </c>
      <c r="C5781" s="1" t="n">
        <v>45715</v>
      </c>
      <c r="D5781" t="inlineStr">
        <is>
          <t>KALMAR LÄN</t>
        </is>
      </c>
      <c r="E5781" t="inlineStr">
        <is>
          <t>VÄSTERVIK</t>
        </is>
      </c>
      <c r="F5781" t="inlineStr">
        <is>
          <t>Holmen skog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10363-2022</t>
        </is>
      </c>
      <c r="B5782" s="1" t="n">
        <v>44623</v>
      </c>
      <c r="C5782" s="1" t="n">
        <v>45715</v>
      </c>
      <c r="D5782" t="inlineStr">
        <is>
          <t>KALMAR LÄN</t>
        </is>
      </c>
      <c r="E5782" t="inlineStr">
        <is>
          <t>HÖGSBY</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10392-2022</t>
        </is>
      </c>
      <c r="B5783" s="1" t="n">
        <v>44623</v>
      </c>
      <c r="C5783" s="1" t="n">
        <v>45715</v>
      </c>
      <c r="D5783" t="inlineStr">
        <is>
          <t>KALMAR LÄN</t>
        </is>
      </c>
      <c r="E5783" t="inlineStr">
        <is>
          <t>KALMAR</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10418-2022</t>
        </is>
      </c>
      <c r="B5784" s="1" t="n">
        <v>44623</v>
      </c>
      <c r="C5784" s="1" t="n">
        <v>45715</v>
      </c>
      <c r="D5784" t="inlineStr">
        <is>
          <t>KALMAR LÄN</t>
        </is>
      </c>
      <c r="E5784" t="inlineStr">
        <is>
          <t>HÖGSBY</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10452-2022</t>
        </is>
      </c>
      <c r="B5785" s="1" t="n">
        <v>44623</v>
      </c>
      <c r="C5785" s="1" t="n">
        <v>45715</v>
      </c>
      <c r="D5785" t="inlineStr">
        <is>
          <t>KALMAR LÄN</t>
        </is>
      </c>
      <c r="E5785" t="inlineStr">
        <is>
          <t>VÄSTERVIK</t>
        </is>
      </c>
      <c r="F5785" t="inlineStr">
        <is>
          <t>Holmen skog AB</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10487-2022</t>
        </is>
      </c>
      <c r="B5786" s="1" t="n">
        <v>44623</v>
      </c>
      <c r="C5786" s="1" t="n">
        <v>45715</v>
      </c>
      <c r="D5786" t="inlineStr">
        <is>
          <t>KALMAR LÄN</t>
        </is>
      </c>
      <c r="E5786" t="inlineStr">
        <is>
          <t>VIMMERBY</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10555-2022</t>
        </is>
      </c>
      <c r="B5787" s="1" t="n">
        <v>44623</v>
      </c>
      <c r="C5787" s="1" t="n">
        <v>45715</v>
      </c>
      <c r="D5787" t="inlineStr">
        <is>
          <t>KALMAR LÄN</t>
        </is>
      </c>
      <c r="E5787" t="inlineStr">
        <is>
          <t>HULTSFRED</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10631-2022</t>
        </is>
      </c>
      <c r="B5788" s="1" t="n">
        <v>44624</v>
      </c>
      <c r="C5788" s="1" t="n">
        <v>45715</v>
      </c>
      <c r="D5788" t="inlineStr">
        <is>
          <t>KALMAR LÄN</t>
        </is>
      </c>
      <c r="E5788" t="inlineStr">
        <is>
          <t>EMMABODA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10643-2022</t>
        </is>
      </c>
      <c r="B5789" s="1" t="n">
        <v>44624</v>
      </c>
      <c r="C5789" s="1" t="n">
        <v>45715</v>
      </c>
      <c r="D5789" t="inlineStr">
        <is>
          <t>KALMAR LÄN</t>
        </is>
      </c>
      <c r="E5789" t="inlineStr">
        <is>
          <t>HULTSFRED</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10633-2022</t>
        </is>
      </c>
      <c r="B5790" s="1" t="n">
        <v>44624</v>
      </c>
      <c r="C5790" s="1" t="n">
        <v>45715</v>
      </c>
      <c r="D5790" t="inlineStr">
        <is>
          <t>KALMAR LÄN</t>
        </is>
      </c>
      <c r="E5790" t="inlineStr">
        <is>
          <t>HULTSFRED</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10621-2022</t>
        </is>
      </c>
      <c r="B5791" s="1" t="n">
        <v>44624</v>
      </c>
      <c r="C5791" s="1" t="n">
        <v>45715</v>
      </c>
      <c r="D5791" t="inlineStr">
        <is>
          <t>KALMAR LÄN</t>
        </is>
      </c>
      <c r="E5791" t="inlineStr">
        <is>
          <t>NYBRO</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10630-2022</t>
        </is>
      </c>
      <c r="B5792" s="1" t="n">
        <v>44624</v>
      </c>
      <c r="C5792" s="1" t="n">
        <v>45715</v>
      </c>
      <c r="D5792" t="inlineStr">
        <is>
          <t>KALMAR LÄN</t>
        </is>
      </c>
      <c r="E5792" t="inlineStr">
        <is>
          <t>OSKARSHAMN</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10644-2022</t>
        </is>
      </c>
      <c r="B5793" s="1" t="n">
        <v>44624</v>
      </c>
      <c r="C5793" s="1" t="n">
        <v>45715</v>
      </c>
      <c r="D5793" t="inlineStr">
        <is>
          <t>KALMAR LÄN</t>
        </is>
      </c>
      <c r="E5793" t="inlineStr">
        <is>
          <t>HULTSFRED</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10657-2022</t>
        </is>
      </c>
      <c r="B5794" s="1" t="n">
        <v>44624</v>
      </c>
      <c r="C5794" s="1" t="n">
        <v>45715</v>
      </c>
      <c r="D5794" t="inlineStr">
        <is>
          <t>KALMAR LÄN</t>
        </is>
      </c>
      <c r="E5794" t="inlineStr">
        <is>
          <t>MÖNSTERÅS</t>
        </is>
      </c>
      <c r="F5794" t="inlineStr">
        <is>
          <t>Kommuner</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10704-2022</t>
        </is>
      </c>
      <c r="B5795" s="1" t="n">
        <v>44625</v>
      </c>
      <c r="C5795" s="1" t="n">
        <v>45715</v>
      </c>
      <c r="D5795" t="inlineStr">
        <is>
          <t>KALMAR LÄN</t>
        </is>
      </c>
      <c r="E5795" t="inlineStr">
        <is>
          <t>HÖGSBY</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10706-2022</t>
        </is>
      </c>
      <c r="B5796" s="1" t="n">
        <v>44625</v>
      </c>
      <c r="C5796" s="1" t="n">
        <v>45715</v>
      </c>
      <c r="D5796" t="inlineStr">
        <is>
          <t>KALMAR LÄN</t>
        </is>
      </c>
      <c r="E5796" t="inlineStr">
        <is>
          <t>HÖGSBY</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10705-2022</t>
        </is>
      </c>
      <c r="B5797" s="1" t="n">
        <v>44625</v>
      </c>
      <c r="C5797" s="1" t="n">
        <v>45715</v>
      </c>
      <c r="D5797" t="inlineStr">
        <is>
          <t>KALMAR LÄN</t>
        </is>
      </c>
      <c r="E5797" t="inlineStr">
        <is>
          <t>KALMAR</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10736-2022</t>
        </is>
      </c>
      <c r="B5798" s="1" t="n">
        <v>44627</v>
      </c>
      <c r="C5798" s="1" t="n">
        <v>45715</v>
      </c>
      <c r="D5798" t="inlineStr">
        <is>
          <t>KALMAR LÄN</t>
        </is>
      </c>
      <c r="E5798" t="inlineStr">
        <is>
          <t>EMMABODA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10800-2022</t>
        </is>
      </c>
      <c r="B5799" s="1" t="n">
        <v>44627</v>
      </c>
      <c r="C5799" s="1" t="n">
        <v>45715</v>
      </c>
      <c r="D5799" t="inlineStr">
        <is>
          <t>KALMAR LÄN</t>
        </is>
      </c>
      <c r="E5799" t="inlineStr">
        <is>
          <t>OSKARSHAMN</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10962-2022</t>
        </is>
      </c>
      <c r="B5800" s="1" t="n">
        <v>44628</v>
      </c>
      <c r="C5800" s="1" t="n">
        <v>45715</v>
      </c>
      <c r="D5800" t="inlineStr">
        <is>
          <t>KALMAR LÄN</t>
        </is>
      </c>
      <c r="E5800" t="inlineStr">
        <is>
          <t>EMMABODA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10991-2022</t>
        </is>
      </c>
      <c r="B5801" s="1" t="n">
        <v>44628</v>
      </c>
      <c r="C5801" s="1" t="n">
        <v>45715</v>
      </c>
      <c r="D5801" t="inlineStr">
        <is>
          <t>KALMAR LÄN</t>
        </is>
      </c>
      <c r="E5801" t="inlineStr">
        <is>
          <t>HÖGSBY</t>
        </is>
      </c>
      <c r="F5801" t="inlineStr">
        <is>
          <t>Kyrkan</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10954-2022</t>
        </is>
      </c>
      <c r="B5802" s="1" t="n">
        <v>44628</v>
      </c>
      <c r="C5802" s="1" t="n">
        <v>45715</v>
      </c>
      <c r="D5802" t="inlineStr">
        <is>
          <t>KALMAR LÄN</t>
        </is>
      </c>
      <c r="E5802" t="inlineStr">
        <is>
          <t>EMMABODA</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10960-2022</t>
        </is>
      </c>
      <c r="B5803" s="1" t="n">
        <v>44628</v>
      </c>
      <c r="C5803" s="1" t="n">
        <v>45715</v>
      </c>
      <c r="D5803" t="inlineStr">
        <is>
          <t>KALMAR LÄN</t>
        </is>
      </c>
      <c r="E5803" t="inlineStr">
        <is>
          <t>EMMABODA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11068-2022</t>
        </is>
      </c>
      <c r="B5804" s="1" t="n">
        <v>44628</v>
      </c>
      <c r="C5804" s="1" t="n">
        <v>45715</v>
      </c>
      <c r="D5804" t="inlineStr">
        <is>
          <t>KALMAR LÄN</t>
        </is>
      </c>
      <c r="E5804" t="inlineStr">
        <is>
          <t>NYBRO</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11216-2022</t>
        </is>
      </c>
      <c r="B5805" s="1" t="n">
        <v>44629</v>
      </c>
      <c r="C5805" s="1" t="n">
        <v>45715</v>
      </c>
      <c r="D5805" t="inlineStr">
        <is>
          <t>KALMAR LÄN</t>
        </is>
      </c>
      <c r="E5805" t="inlineStr">
        <is>
          <t>KALMAR</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11219-2022</t>
        </is>
      </c>
      <c r="B5806" s="1" t="n">
        <v>44629</v>
      </c>
      <c r="C5806" s="1" t="n">
        <v>45715</v>
      </c>
      <c r="D5806" t="inlineStr">
        <is>
          <t>KALMAR LÄN</t>
        </is>
      </c>
      <c r="E5806" t="inlineStr">
        <is>
          <t>OSKARSHAMN</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11251-2022</t>
        </is>
      </c>
      <c r="B5807" s="1" t="n">
        <v>44629</v>
      </c>
      <c r="C5807" s="1" t="n">
        <v>45715</v>
      </c>
      <c r="D5807" t="inlineStr">
        <is>
          <t>KALMAR LÄN</t>
        </is>
      </c>
      <c r="E5807" t="inlineStr">
        <is>
          <t>EMMABODA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11151-2022</t>
        </is>
      </c>
      <c r="B5808" s="1" t="n">
        <v>44629</v>
      </c>
      <c r="C5808" s="1" t="n">
        <v>45715</v>
      </c>
      <c r="D5808" t="inlineStr">
        <is>
          <t>KALMAR LÄN</t>
        </is>
      </c>
      <c r="E5808" t="inlineStr">
        <is>
          <t>NYBRO</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11183-2022</t>
        </is>
      </c>
      <c r="B5809" s="1" t="n">
        <v>44629</v>
      </c>
      <c r="C5809" s="1" t="n">
        <v>45715</v>
      </c>
      <c r="D5809" t="inlineStr">
        <is>
          <t>KALMAR LÄN</t>
        </is>
      </c>
      <c r="E5809" t="inlineStr">
        <is>
          <t>KALMAR</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11396-2022</t>
        </is>
      </c>
      <c r="B5810" s="1" t="n">
        <v>44630</v>
      </c>
      <c r="C5810" s="1" t="n">
        <v>45715</v>
      </c>
      <c r="D5810" t="inlineStr">
        <is>
          <t>KALMAR LÄN</t>
        </is>
      </c>
      <c r="E5810" t="inlineStr">
        <is>
          <t>NYBRO</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11429-2022</t>
        </is>
      </c>
      <c r="B5811" s="1" t="n">
        <v>44630</v>
      </c>
      <c r="C5811" s="1" t="n">
        <v>45715</v>
      </c>
      <c r="D5811" t="inlineStr">
        <is>
          <t>KALMAR LÄN</t>
        </is>
      </c>
      <c r="E5811" t="inlineStr">
        <is>
          <t>VIMMERBY</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11357-2022</t>
        </is>
      </c>
      <c r="B5812" s="1" t="n">
        <v>44630</v>
      </c>
      <c r="C5812" s="1" t="n">
        <v>45715</v>
      </c>
      <c r="D5812" t="inlineStr">
        <is>
          <t>KALMAR LÄN</t>
        </is>
      </c>
      <c r="E5812" t="inlineStr">
        <is>
          <t>EMMABODA</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11464-2022</t>
        </is>
      </c>
      <c r="B5813" s="1" t="n">
        <v>44630</v>
      </c>
      <c r="C5813" s="1" t="n">
        <v>45715</v>
      </c>
      <c r="D5813" t="inlineStr">
        <is>
          <t>KALMAR LÄN</t>
        </is>
      </c>
      <c r="E5813" t="inlineStr">
        <is>
          <t>OSKARSHAMN</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11566-2022</t>
        </is>
      </c>
      <c r="B5814" s="1" t="n">
        <v>44631</v>
      </c>
      <c r="C5814" s="1" t="n">
        <v>45715</v>
      </c>
      <c r="D5814" t="inlineStr">
        <is>
          <t>KALMAR LÄN</t>
        </is>
      </c>
      <c r="E5814" t="inlineStr">
        <is>
          <t>HULTSFRED</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11540-2022</t>
        </is>
      </c>
      <c r="B5815" s="1" t="n">
        <v>44631</v>
      </c>
      <c r="C5815" s="1" t="n">
        <v>45715</v>
      </c>
      <c r="D5815" t="inlineStr">
        <is>
          <t>KALMAR LÄN</t>
        </is>
      </c>
      <c r="E5815" t="inlineStr">
        <is>
          <t>HÖGSBY</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11562-2022</t>
        </is>
      </c>
      <c r="B5816" s="1" t="n">
        <v>44631</v>
      </c>
      <c r="C5816" s="1" t="n">
        <v>45715</v>
      </c>
      <c r="D5816" t="inlineStr">
        <is>
          <t>KALMAR LÄN</t>
        </is>
      </c>
      <c r="E5816" t="inlineStr">
        <is>
          <t>HULTSFRED</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11565-2022</t>
        </is>
      </c>
      <c r="B5817" s="1" t="n">
        <v>44631</v>
      </c>
      <c r="C5817" s="1" t="n">
        <v>45715</v>
      </c>
      <c r="D5817" t="inlineStr">
        <is>
          <t>KALMAR LÄN</t>
        </is>
      </c>
      <c r="E5817" t="inlineStr">
        <is>
          <t>HULTSFRED</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11733-2022</t>
        </is>
      </c>
      <c r="B5818" s="1" t="n">
        <v>44634</v>
      </c>
      <c r="C5818" s="1" t="n">
        <v>45715</v>
      </c>
      <c r="D5818" t="inlineStr">
        <is>
          <t>KALMAR LÄN</t>
        </is>
      </c>
      <c r="E5818" t="inlineStr">
        <is>
          <t>VIMMERBY</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11814-2022</t>
        </is>
      </c>
      <c r="B5819" s="1" t="n">
        <v>44634</v>
      </c>
      <c r="C5819" s="1" t="n">
        <v>45715</v>
      </c>
      <c r="D5819" t="inlineStr">
        <is>
          <t>KALMAR LÄN</t>
        </is>
      </c>
      <c r="E5819" t="inlineStr">
        <is>
          <t>VIMMERBY</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11702-2022</t>
        </is>
      </c>
      <c r="B5820" s="1" t="n">
        <v>44634</v>
      </c>
      <c r="C5820" s="1" t="n">
        <v>45715</v>
      </c>
      <c r="D5820" t="inlineStr">
        <is>
          <t>KALMAR LÄN</t>
        </is>
      </c>
      <c r="E5820" t="inlineStr">
        <is>
          <t>MÖNSTERÅS</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11768-2022</t>
        </is>
      </c>
      <c r="B5821" s="1" t="n">
        <v>44634</v>
      </c>
      <c r="C5821" s="1" t="n">
        <v>45715</v>
      </c>
      <c r="D5821" t="inlineStr">
        <is>
          <t>KALMAR LÄN</t>
        </is>
      </c>
      <c r="E5821" t="inlineStr">
        <is>
          <t>HÖGSBY</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11819-2022</t>
        </is>
      </c>
      <c r="B5822" s="1" t="n">
        <v>44634</v>
      </c>
      <c r="C5822" s="1" t="n">
        <v>45715</v>
      </c>
      <c r="D5822" t="inlineStr">
        <is>
          <t>KALMAR LÄN</t>
        </is>
      </c>
      <c r="E5822" t="inlineStr">
        <is>
          <t>NYBRO</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11828-2022</t>
        </is>
      </c>
      <c r="B5823" s="1" t="n">
        <v>44634</v>
      </c>
      <c r="C5823" s="1" t="n">
        <v>45715</v>
      </c>
      <c r="D5823" t="inlineStr">
        <is>
          <t>KALMAR LÄN</t>
        </is>
      </c>
      <c r="E5823" t="inlineStr">
        <is>
          <t>NYBRO</t>
        </is>
      </c>
      <c r="G5823" t="n">
        <v>0.1</v>
      </c>
      <c r="H5823" t="n">
        <v>0</v>
      </c>
      <c r="I5823" t="n">
        <v>0</v>
      </c>
      <c r="J5823" t="n">
        <v>0</v>
      </c>
      <c r="K5823" t="n">
        <v>0</v>
      </c>
      <c r="L5823" t="n">
        <v>0</v>
      </c>
      <c r="M5823" t="n">
        <v>0</v>
      </c>
      <c r="N5823" t="n">
        <v>0</v>
      </c>
      <c r="O5823" t="n">
        <v>0</v>
      </c>
      <c r="P5823" t="n">
        <v>0</v>
      </c>
      <c r="Q5823" t="n">
        <v>0</v>
      </c>
      <c r="R5823" s="2" t="inlineStr"/>
    </row>
    <row r="5824" ht="15" customHeight="1">
      <c r="A5824" t="inlineStr">
        <is>
          <t>A 11928-2022</t>
        </is>
      </c>
      <c r="B5824" s="1" t="n">
        <v>44635</v>
      </c>
      <c r="C5824" s="1" t="n">
        <v>45715</v>
      </c>
      <c r="D5824" t="inlineStr">
        <is>
          <t>KALMAR LÄN</t>
        </is>
      </c>
      <c r="E5824" t="inlineStr">
        <is>
          <t>VIMMERBY</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11988-2022</t>
        </is>
      </c>
      <c r="B5825" s="1" t="n">
        <v>44635</v>
      </c>
      <c r="C5825" s="1" t="n">
        <v>45715</v>
      </c>
      <c r="D5825" t="inlineStr">
        <is>
          <t>KALMAR LÄN</t>
        </is>
      </c>
      <c r="E5825" t="inlineStr">
        <is>
          <t>VÄSTERVIK</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11930-2022</t>
        </is>
      </c>
      <c r="B5826" s="1" t="n">
        <v>44635</v>
      </c>
      <c r="C5826" s="1" t="n">
        <v>45715</v>
      </c>
      <c r="D5826" t="inlineStr">
        <is>
          <t>KALMAR LÄN</t>
        </is>
      </c>
      <c r="E5826" t="inlineStr">
        <is>
          <t>VIMMERBY</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12056-2022</t>
        </is>
      </c>
      <c r="B5827" s="1" t="n">
        <v>44636</v>
      </c>
      <c r="C5827" s="1" t="n">
        <v>45715</v>
      </c>
      <c r="D5827" t="inlineStr">
        <is>
          <t>KALMAR LÄN</t>
        </is>
      </c>
      <c r="E5827" t="inlineStr">
        <is>
          <t>TORSÅS</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12060-2022</t>
        </is>
      </c>
      <c r="B5828" s="1" t="n">
        <v>44636</v>
      </c>
      <c r="C5828" s="1" t="n">
        <v>45715</v>
      </c>
      <c r="D5828" t="inlineStr">
        <is>
          <t>KALMAR LÄN</t>
        </is>
      </c>
      <c r="E5828" t="inlineStr">
        <is>
          <t>TORSÅS</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12057-2022</t>
        </is>
      </c>
      <c r="B5829" s="1" t="n">
        <v>44636</v>
      </c>
      <c r="C5829" s="1" t="n">
        <v>45715</v>
      </c>
      <c r="D5829" t="inlineStr">
        <is>
          <t>KALMAR LÄN</t>
        </is>
      </c>
      <c r="E5829" t="inlineStr">
        <is>
          <t>TORSÅS</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12062-2022</t>
        </is>
      </c>
      <c r="B5830" s="1" t="n">
        <v>44636</v>
      </c>
      <c r="C5830" s="1" t="n">
        <v>45715</v>
      </c>
      <c r="D5830" t="inlineStr">
        <is>
          <t>KALMAR LÄN</t>
        </is>
      </c>
      <c r="E5830" t="inlineStr">
        <is>
          <t>TORSÅS</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12097-2022</t>
        </is>
      </c>
      <c r="B5831" s="1" t="n">
        <v>44636</v>
      </c>
      <c r="C5831" s="1" t="n">
        <v>45715</v>
      </c>
      <c r="D5831" t="inlineStr">
        <is>
          <t>KALMAR LÄN</t>
        </is>
      </c>
      <c r="E5831" t="inlineStr">
        <is>
          <t>KALMAR</t>
        </is>
      </c>
      <c r="G5831" t="n">
        <v>10.1</v>
      </c>
      <c r="H5831" t="n">
        <v>0</v>
      </c>
      <c r="I5831" t="n">
        <v>0</v>
      </c>
      <c r="J5831" t="n">
        <v>0</v>
      </c>
      <c r="K5831" t="n">
        <v>0</v>
      </c>
      <c r="L5831" t="n">
        <v>0</v>
      </c>
      <c r="M5831" t="n">
        <v>0</v>
      </c>
      <c r="N5831" t="n">
        <v>0</v>
      </c>
      <c r="O5831" t="n">
        <v>0</v>
      </c>
      <c r="P5831" t="n">
        <v>0</v>
      </c>
      <c r="Q5831" t="n">
        <v>0</v>
      </c>
      <c r="R5831" s="2" t="inlineStr"/>
    </row>
    <row r="5832" ht="15" customHeight="1">
      <c r="A5832" t="inlineStr">
        <is>
          <t>A 12107-2022</t>
        </is>
      </c>
      <c r="B5832" s="1" t="n">
        <v>44636</v>
      </c>
      <c r="C5832" s="1" t="n">
        <v>45715</v>
      </c>
      <c r="D5832" t="inlineStr">
        <is>
          <t>KALMAR LÄN</t>
        </is>
      </c>
      <c r="E5832" t="inlineStr">
        <is>
          <t>VIMMERBY</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12232-2022</t>
        </is>
      </c>
      <c r="B5833" s="1" t="n">
        <v>44637</v>
      </c>
      <c r="C5833" s="1" t="n">
        <v>45715</v>
      </c>
      <c r="D5833" t="inlineStr">
        <is>
          <t>KALMAR LÄN</t>
        </is>
      </c>
      <c r="E5833" t="inlineStr">
        <is>
          <t>TORSÅS</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12240-2022</t>
        </is>
      </c>
      <c r="B5834" s="1" t="n">
        <v>44637</v>
      </c>
      <c r="C5834" s="1" t="n">
        <v>45715</v>
      </c>
      <c r="D5834" t="inlineStr">
        <is>
          <t>KALMAR LÄN</t>
        </is>
      </c>
      <c r="E5834" t="inlineStr">
        <is>
          <t>TORSÅS</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12278-2022</t>
        </is>
      </c>
      <c r="B5835" s="1" t="n">
        <v>44637</v>
      </c>
      <c r="C5835" s="1" t="n">
        <v>45715</v>
      </c>
      <c r="D5835" t="inlineStr">
        <is>
          <t>KALMAR LÄN</t>
        </is>
      </c>
      <c r="E5835" t="inlineStr">
        <is>
          <t>NYBRO</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12422-2022</t>
        </is>
      </c>
      <c r="B5836" s="1" t="n">
        <v>44637</v>
      </c>
      <c r="C5836" s="1" t="n">
        <v>45715</v>
      </c>
      <c r="D5836" t="inlineStr">
        <is>
          <t>KALMAR LÄN</t>
        </is>
      </c>
      <c r="E5836" t="inlineStr">
        <is>
          <t>HÖGSBY</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12432-2022</t>
        </is>
      </c>
      <c r="B5837" s="1" t="n">
        <v>44637</v>
      </c>
      <c r="C5837" s="1" t="n">
        <v>45715</v>
      </c>
      <c r="D5837" t="inlineStr">
        <is>
          <t>KALMAR LÄN</t>
        </is>
      </c>
      <c r="E5837" t="inlineStr">
        <is>
          <t>HÖGSBY</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12436-2022</t>
        </is>
      </c>
      <c r="B5838" s="1" t="n">
        <v>44637</v>
      </c>
      <c r="C5838" s="1" t="n">
        <v>45715</v>
      </c>
      <c r="D5838" t="inlineStr">
        <is>
          <t>KALMAR LÄN</t>
        </is>
      </c>
      <c r="E5838" t="inlineStr">
        <is>
          <t>HÖGSBY</t>
        </is>
      </c>
      <c r="G5838" t="n">
        <v>7</v>
      </c>
      <c r="H5838" t="n">
        <v>0</v>
      </c>
      <c r="I5838" t="n">
        <v>0</v>
      </c>
      <c r="J5838" t="n">
        <v>0</v>
      </c>
      <c r="K5838" t="n">
        <v>0</v>
      </c>
      <c r="L5838" t="n">
        <v>0</v>
      </c>
      <c r="M5838" t="n">
        <v>0</v>
      </c>
      <c r="N5838" t="n">
        <v>0</v>
      </c>
      <c r="O5838" t="n">
        <v>0</v>
      </c>
      <c r="P5838" t="n">
        <v>0</v>
      </c>
      <c r="Q5838" t="n">
        <v>0</v>
      </c>
      <c r="R5838" s="2" t="inlineStr"/>
    </row>
    <row r="5839" ht="15" customHeight="1">
      <c r="A5839" t="inlineStr">
        <is>
          <t>A 12440-2022</t>
        </is>
      </c>
      <c r="B5839" s="1" t="n">
        <v>44637</v>
      </c>
      <c r="C5839" s="1" t="n">
        <v>45715</v>
      </c>
      <c r="D5839" t="inlineStr">
        <is>
          <t>KALMAR LÄN</t>
        </is>
      </c>
      <c r="E5839" t="inlineStr">
        <is>
          <t>HÖGSBY</t>
        </is>
      </c>
      <c r="G5839" t="n">
        <v>12.9</v>
      </c>
      <c r="H5839" t="n">
        <v>0</v>
      </c>
      <c r="I5839" t="n">
        <v>0</v>
      </c>
      <c r="J5839" t="n">
        <v>0</v>
      </c>
      <c r="K5839" t="n">
        <v>0</v>
      </c>
      <c r="L5839" t="n">
        <v>0</v>
      </c>
      <c r="M5839" t="n">
        <v>0</v>
      </c>
      <c r="N5839" t="n">
        <v>0</v>
      </c>
      <c r="O5839" t="n">
        <v>0</v>
      </c>
      <c r="P5839" t="n">
        <v>0</v>
      </c>
      <c r="Q5839" t="n">
        <v>0</v>
      </c>
      <c r="R5839" s="2" t="inlineStr"/>
    </row>
    <row r="5840" ht="15" customHeight="1">
      <c r="A5840" t="inlineStr">
        <is>
          <t>A 12461-2022</t>
        </is>
      </c>
      <c r="B5840" s="1" t="n">
        <v>44638</v>
      </c>
      <c r="C5840" s="1" t="n">
        <v>45715</v>
      </c>
      <c r="D5840" t="inlineStr">
        <is>
          <t>KALMAR LÄN</t>
        </is>
      </c>
      <c r="E5840" t="inlineStr">
        <is>
          <t>MÖNSTERÅS</t>
        </is>
      </c>
      <c r="G5840" t="n">
        <v>7</v>
      </c>
      <c r="H5840" t="n">
        <v>0</v>
      </c>
      <c r="I5840" t="n">
        <v>0</v>
      </c>
      <c r="J5840" t="n">
        <v>0</v>
      </c>
      <c r="K5840" t="n">
        <v>0</v>
      </c>
      <c r="L5840" t="n">
        <v>0</v>
      </c>
      <c r="M5840" t="n">
        <v>0</v>
      </c>
      <c r="N5840" t="n">
        <v>0</v>
      </c>
      <c r="O5840" t="n">
        <v>0</v>
      </c>
      <c r="P5840" t="n">
        <v>0</v>
      </c>
      <c r="Q5840" t="n">
        <v>0</v>
      </c>
      <c r="R5840" s="2" t="inlineStr"/>
    </row>
    <row r="5841" ht="15" customHeight="1">
      <c r="A5841" t="inlineStr">
        <is>
          <t>A 12510-2022</t>
        </is>
      </c>
      <c r="B5841" s="1" t="n">
        <v>44638</v>
      </c>
      <c r="C5841" s="1" t="n">
        <v>45715</v>
      </c>
      <c r="D5841" t="inlineStr">
        <is>
          <t>KALMAR LÄN</t>
        </is>
      </c>
      <c r="E5841" t="inlineStr">
        <is>
          <t>VIMMERBY</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12534-2022</t>
        </is>
      </c>
      <c r="B5842" s="1" t="n">
        <v>44638</v>
      </c>
      <c r="C5842" s="1" t="n">
        <v>45715</v>
      </c>
      <c r="D5842" t="inlineStr">
        <is>
          <t>KALMAR LÄN</t>
        </is>
      </c>
      <c r="E5842" t="inlineStr">
        <is>
          <t>BORGHOLM</t>
        </is>
      </c>
      <c r="G5842" t="n">
        <v>8.6</v>
      </c>
      <c r="H5842" t="n">
        <v>0</v>
      </c>
      <c r="I5842" t="n">
        <v>0</v>
      </c>
      <c r="J5842" t="n">
        <v>0</v>
      </c>
      <c r="K5842" t="n">
        <v>0</v>
      </c>
      <c r="L5842" t="n">
        <v>0</v>
      </c>
      <c r="M5842" t="n">
        <v>0</v>
      </c>
      <c r="N5842" t="n">
        <v>0</v>
      </c>
      <c r="O5842" t="n">
        <v>0</v>
      </c>
      <c r="P5842" t="n">
        <v>0</v>
      </c>
      <c r="Q5842" t="n">
        <v>0</v>
      </c>
      <c r="R5842" s="2" t="inlineStr"/>
    </row>
    <row r="5843" ht="15" customHeight="1">
      <c r="A5843" t="inlineStr">
        <is>
          <t>A 12591-2022</t>
        </is>
      </c>
      <c r="B5843" s="1" t="n">
        <v>44640</v>
      </c>
      <c r="C5843" s="1" t="n">
        <v>45715</v>
      </c>
      <c r="D5843" t="inlineStr">
        <is>
          <t>KALMAR LÄN</t>
        </is>
      </c>
      <c r="E5843" t="inlineStr">
        <is>
          <t>TORSÅS</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12652-2022</t>
        </is>
      </c>
      <c r="B5844" s="1" t="n">
        <v>44641</v>
      </c>
      <c r="C5844" s="1" t="n">
        <v>45715</v>
      </c>
      <c r="D5844" t="inlineStr">
        <is>
          <t>KALMAR LÄN</t>
        </is>
      </c>
      <c r="E5844" t="inlineStr">
        <is>
          <t>VÄSTERVIK</t>
        </is>
      </c>
      <c r="F5844" t="inlineStr">
        <is>
          <t>Holmen skog AB</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12668-2022</t>
        </is>
      </c>
      <c r="B5845" s="1" t="n">
        <v>44641</v>
      </c>
      <c r="C5845" s="1" t="n">
        <v>45715</v>
      </c>
      <c r="D5845" t="inlineStr">
        <is>
          <t>KALMAR LÄN</t>
        </is>
      </c>
      <c r="E5845" t="inlineStr">
        <is>
          <t>NYBRO</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12724-2022</t>
        </is>
      </c>
      <c r="B5846" s="1" t="n">
        <v>44641</v>
      </c>
      <c r="C5846" s="1" t="n">
        <v>45715</v>
      </c>
      <c r="D5846" t="inlineStr">
        <is>
          <t>KALMAR LÄN</t>
        </is>
      </c>
      <c r="E5846" t="inlineStr">
        <is>
          <t>NYBRO</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12793-2022</t>
        </is>
      </c>
      <c r="B5847" s="1" t="n">
        <v>44641</v>
      </c>
      <c r="C5847" s="1" t="n">
        <v>45715</v>
      </c>
      <c r="D5847" t="inlineStr">
        <is>
          <t>KALMAR LÄN</t>
        </is>
      </c>
      <c r="E5847" t="inlineStr">
        <is>
          <t>MÖNSTERÅS</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12937-2022</t>
        </is>
      </c>
      <c r="B5848" s="1" t="n">
        <v>44642</v>
      </c>
      <c r="C5848" s="1" t="n">
        <v>45715</v>
      </c>
      <c r="D5848" t="inlineStr">
        <is>
          <t>KALMAR LÄN</t>
        </is>
      </c>
      <c r="E5848" t="inlineStr">
        <is>
          <t>BORGHOLM</t>
        </is>
      </c>
      <c r="F5848" t="inlineStr">
        <is>
          <t>Sveaskog</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12896-2022</t>
        </is>
      </c>
      <c r="B5849" s="1" t="n">
        <v>44642</v>
      </c>
      <c r="C5849" s="1" t="n">
        <v>45715</v>
      </c>
      <c r="D5849" t="inlineStr">
        <is>
          <t>KALMAR LÄN</t>
        </is>
      </c>
      <c r="E5849" t="inlineStr">
        <is>
          <t>MÖNSTERÅS</t>
        </is>
      </c>
      <c r="F5849" t="inlineStr">
        <is>
          <t>Kommuner</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13035-2022</t>
        </is>
      </c>
      <c r="B5850" s="1" t="n">
        <v>44643</v>
      </c>
      <c r="C5850" s="1" t="n">
        <v>45715</v>
      </c>
      <c r="D5850" t="inlineStr">
        <is>
          <t>KALMAR LÄN</t>
        </is>
      </c>
      <c r="E5850" t="inlineStr">
        <is>
          <t>EMMABODA</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12976-2022</t>
        </is>
      </c>
      <c r="B5851" s="1" t="n">
        <v>44643</v>
      </c>
      <c r="C5851" s="1" t="n">
        <v>45715</v>
      </c>
      <c r="D5851" t="inlineStr">
        <is>
          <t>KALMAR LÄN</t>
        </is>
      </c>
      <c r="E5851" t="inlineStr">
        <is>
          <t>HULTSFRED</t>
        </is>
      </c>
      <c r="G5851" t="n">
        <v>0.2</v>
      </c>
      <c r="H5851" t="n">
        <v>0</v>
      </c>
      <c r="I5851" t="n">
        <v>0</v>
      </c>
      <c r="J5851" t="n">
        <v>0</v>
      </c>
      <c r="K5851" t="n">
        <v>0</v>
      </c>
      <c r="L5851" t="n">
        <v>0</v>
      </c>
      <c r="M5851" t="n">
        <v>0</v>
      </c>
      <c r="N5851" t="n">
        <v>0</v>
      </c>
      <c r="O5851" t="n">
        <v>0</v>
      </c>
      <c r="P5851" t="n">
        <v>0</v>
      </c>
      <c r="Q5851" t="n">
        <v>0</v>
      </c>
      <c r="R5851" s="2" t="inlineStr"/>
    </row>
    <row r="5852" ht="15" customHeight="1">
      <c r="A5852" t="inlineStr">
        <is>
          <t>A 13032-2022</t>
        </is>
      </c>
      <c r="B5852" s="1" t="n">
        <v>44643</v>
      </c>
      <c r="C5852" s="1" t="n">
        <v>45715</v>
      </c>
      <c r="D5852" t="inlineStr">
        <is>
          <t>KALMAR LÄN</t>
        </is>
      </c>
      <c r="E5852" t="inlineStr">
        <is>
          <t>NYBRO</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13015-2022</t>
        </is>
      </c>
      <c r="B5853" s="1" t="n">
        <v>44643</v>
      </c>
      <c r="C5853" s="1" t="n">
        <v>45715</v>
      </c>
      <c r="D5853" t="inlineStr">
        <is>
          <t>KALMAR LÄN</t>
        </is>
      </c>
      <c r="E5853" t="inlineStr">
        <is>
          <t>VIMMERBY</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13023-2022</t>
        </is>
      </c>
      <c r="B5854" s="1" t="n">
        <v>44643</v>
      </c>
      <c r="C5854" s="1" t="n">
        <v>45715</v>
      </c>
      <c r="D5854" t="inlineStr">
        <is>
          <t>KALMAR LÄN</t>
        </is>
      </c>
      <c r="E5854" t="inlineStr">
        <is>
          <t>VÄSTERVIK</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13047-2022</t>
        </is>
      </c>
      <c r="B5855" s="1" t="n">
        <v>44643</v>
      </c>
      <c r="C5855" s="1" t="n">
        <v>45715</v>
      </c>
      <c r="D5855" t="inlineStr">
        <is>
          <t>KALMAR LÄN</t>
        </is>
      </c>
      <c r="E5855" t="inlineStr">
        <is>
          <t>MÖNSTERÅS</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13072-2022</t>
        </is>
      </c>
      <c r="B5856" s="1" t="n">
        <v>44643</v>
      </c>
      <c r="C5856" s="1" t="n">
        <v>45715</v>
      </c>
      <c r="D5856" t="inlineStr">
        <is>
          <t>KALMAR LÄN</t>
        </is>
      </c>
      <c r="E5856" t="inlineStr">
        <is>
          <t>KALMAR</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13224-2022</t>
        </is>
      </c>
      <c r="B5857" s="1" t="n">
        <v>44644</v>
      </c>
      <c r="C5857" s="1" t="n">
        <v>45715</v>
      </c>
      <c r="D5857" t="inlineStr">
        <is>
          <t>KALMAR LÄN</t>
        </is>
      </c>
      <c r="E5857" t="inlineStr">
        <is>
          <t>MÖNSTERÅS</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13180-2022</t>
        </is>
      </c>
      <c r="B5858" s="1" t="n">
        <v>44644</v>
      </c>
      <c r="C5858" s="1" t="n">
        <v>45715</v>
      </c>
      <c r="D5858" t="inlineStr">
        <is>
          <t>KALMAR LÄN</t>
        </is>
      </c>
      <c r="E5858" t="inlineStr">
        <is>
          <t>VIMMERBY</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13226-2022</t>
        </is>
      </c>
      <c r="B5859" s="1" t="n">
        <v>44644</v>
      </c>
      <c r="C5859" s="1" t="n">
        <v>45715</v>
      </c>
      <c r="D5859" t="inlineStr">
        <is>
          <t>KALMAR LÄN</t>
        </is>
      </c>
      <c r="E5859" t="inlineStr">
        <is>
          <t>MÖNSTERÅS</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13149-2022</t>
        </is>
      </c>
      <c r="B5860" s="1" t="n">
        <v>44644</v>
      </c>
      <c r="C5860" s="1" t="n">
        <v>45715</v>
      </c>
      <c r="D5860" t="inlineStr">
        <is>
          <t>KALMAR LÄN</t>
        </is>
      </c>
      <c r="E5860" t="inlineStr">
        <is>
          <t>HÖGSBY</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13375-2022</t>
        </is>
      </c>
      <c r="B5861" s="1" t="n">
        <v>44645</v>
      </c>
      <c r="C5861" s="1" t="n">
        <v>45715</v>
      </c>
      <c r="D5861" t="inlineStr">
        <is>
          <t>KALMAR LÄN</t>
        </is>
      </c>
      <c r="E5861" t="inlineStr">
        <is>
          <t>VÄSTERVIK</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13416-2022</t>
        </is>
      </c>
      <c r="B5862" s="1" t="n">
        <v>44645</v>
      </c>
      <c r="C5862" s="1" t="n">
        <v>45715</v>
      </c>
      <c r="D5862" t="inlineStr">
        <is>
          <t>KALMAR LÄN</t>
        </is>
      </c>
      <c r="E5862" t="inlineStr">
        <is>
          <t>KALMAR</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13448-2022</t>
        </is>
      </c>
      <c r="B5863" s="1" t="n">
        <v>44645</v>
      </c>
      <c r="C5863" s="1" t="n">
        <v>45715</v>
      </c>
      <c r="D5863" t="inlineStr">
        <is>
          <t>KALMAR LÄN</t>
        </is>
      </c>
      <c r="E5863" t="inlineStr">
        <is>
          <t>NYBRO</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13445-2022</t>
        </is>
      </c>
      <c r="B5864" s="1" t="n">
        <v>44645</v>
      </c>
      <c r="C5864" s="1" t="n">
        <v>45715</v>
      </c>
      <c r="D5864" t="inlineStr">
        <is>
          <t>KALMAR LÄN</t>
        </is>
      </c>
      <c r="E5864" t="inlineStr">
        <is>
          <t>NYBRO</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13473-2022</t>
        </is>
      </c>
      <c r="B5865" s="1" t="n">
        <v>44645</v>
      </c>
      <c r="C5865" s="1" t="n">
        <v>45715</v>
      </c>
      <c r="D5865" t="inlineStr">
        <is>
          <t>KALMAR LÄN</t>
        </is>
      </c>
      <c r="E5865" t="inlineStr">
        <is>
          <t>HULTSFRED</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13472-2022</t>
        </is>
      </c>
      <c r="B5866" s="1" t="n">
        <v>44645</v>
      </c>
      <c r="C5866" s="1" t="n">
        <v>45715</v>
      </c>
      <c r="D5866" t="inlineStr">
        <is>
          <t>KALMAR LÄN</t>
        </is>
      </c>
      <c r="E5866" t="inlineStr">
        <is>
          <t>HULTSFRED</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13491-2022</t>
        </is>
      </c>
      <c r="B5867" s="1" t="n">
        <v>44646</v>
      </c>
      <c r="C5867" s="1" t="n">
        <v>45715</v>
      </c>
      <c r="D5867" t="inlineStr">
        <is>
          <t>KALMAR LÄN</t>
        </is>
      </c>
      <c r="E5867" t="inlineStr">
        <is>
          <t>VÄSTERVIK</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13489-2022</t>
        </is>
      </c>
      <c r="B5868" s="1" t="n">
        <v>44646</v>
      </c>
      <c r="C5868" s="1" t="n">
        <v>45715</v>
      </c>
      <c r="D5868" t="inlineStr">
        <is>
          <t>KALMAR LÄN</t>
        </is>
      </c>
      <c r="E5868" t="inlineStr">
        <is>
          <t>VÄSTERVIK</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13490-2022</t>
        </is>
      </c>
      <c r="B5869" s="1" t="n">
        <v>44646</v>
      </c>
      <c r="C5869" s="1" t="n">
        <v>45715</v>
      </c>
      <c r="D5869" t="inlineStr">
        <is>
          <t>KALMAR LÄN</t>
        </is>
      </c>
      <c r="E5869" t="inlineStr">
        <is>
          <t>VÄSTERVIK</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13523-2022</t>
        </is>
      </c>
      <c r="B5870" s="1" t="n">
        <v>44648</v>
      </c>
      <c r="C5870" s="1" t="n">
        <v>45715</v>
      </c>
      <c r="D5870" t="inlineStr">
        <is>
          <t>KALMAR LÄN</t>
        </is>
      </c>
      <c r="E5870" t="inlineStr">
        <is>
          <t>EMMABODA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13521-2022</t>
        </is>
      </c>
      <c r="B5871" s="1" t="n">
        <v>44648</v>
      </c>
      <c r="C5871" s="1" t="n">
        <v>45715</v>
      </c>
      <c r="D5871" t="inlineStr">
        <is>
          <t>KALMAR LÄN</t>
        </is>
      </c>
      <c r="E5871" t="inlineStr">
        <is>
          <t>EMMABODA</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13518-2022</t>
        </is>
      </c>
      <c r="B5872" s="1" t="n">
        <v>44648</v>
      </c>
      <c r="C5872" s="1" t="n">
        <v>45715</v>
      </c>
      <c r="D5872" t="inlineStr">
        <is>
          <t>KALMAR LÄN</t>
        </is>
      </c>
      <c r="E5872" t="inlineStr">
        <is>
          <t>EMMABODA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13516-2022</t>
        </is>
      </c>
      <c r="B5873" s="1" t="n">
        <v>44648</v>
      </c>
      <c r="C5873" s="1" t="n">
        <v>45715</v>
      </c>
      <c r="D5873" t="inlineStr">
        <is>
          <t>KALMAR LÄN</t>
        </is>
      </c>
      <c r="E5873" t="inlineStr">
        <is>
          <t>EMMABODA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13743-2022</t>
        </is>
      </c>
      <c r="B5874" s="1" t="n">
        <v>44649</v>
      </c>
      <c r="C5874" s="1" t="n">
        <v>45715</v>
      </c>
      <c r="D5874" t="inlineStr">
        <is>
          <t>KALMAR LÄN</t>
        </is>
      </c>
      <c r="E5874" t="inlineStr">
        <is>
          <t>MÖNSTERÅS</t>
        </is>
      </c>
      <c r="F5874" t="inlineStr">
        <is>
          <t>Kommuner</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13765-2022</t>
        </is>
      </c>
      <c r="B5875" s="1" t="n">
        <v>44649</v>
      </c>
      <c r="C5875" s="1" t="n">
        <v>45715</v>
      </c>
      <c r="D5875" t="inlineStr">
        <is>
          <t>KALMAR LÄN</t>
        </is>
      </c>
      <c r="E5875" t="inlineStr">
        <is>
          <t>VÄSTERVIK</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14030-2022</t>
        </is>
      </c>
      <c r="B5876" s="1" t="n">
        <v>44650</v>
      </c>
      <c r="C5876" s="1" t="n">
        <v>45715</v>
      </c>
      <c r="D5876" t="inlineStr">
        <is>
          <t>KALMAR LÄN</t>
        </is>
      </c>
      <c r="E5876" t="inlineStr">
        <is>
          <t>NYBRO</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14022-2022</t>
        </is>
      </c>
      <c r="B5877" s="1" t="n">
        <v>44650</v>
      </c>
      <c r="C5877" s="1" t="n">
        <v>45715</v>
      </c>
      <c r="D5877" t="inlineStr">
        <is>
          <t>KALMAR LÄN</t>
        </is>
      </c>
      <c r="E5877" t="inlineStr">
        <is>
          <t>OSKARSHAMN</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14038-2022</t>
        </is>
      </c>
      <c r="B5878" s="1" t="n">
        <v>44650</v>
      </c>
      <c r="C5878" s="1" t="n">
        <v>45715</v>
      </c>
      <c r="D5878" t="inlineStr">
        <is>
          <t>KALMAR LÄN</t>
        </is>
      </c>
      <c r="E5878" t="inlineStr">
        <is>
          <t>VÄSTERVIK</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14013-2022</t>
        </is>
      </c>
      <c r="B5879" s="1" t="n">
        <v>44650</v>
      </c>
      <c r="C5879" s="1" t="n">
        <v>45715</v>
      </c>
      <c r="D5879" t="inlineStr">
        <is>
          <t>KALMAR LÄN</t>
        </is>
      </c>
      <c r="E5879" t="inlineStr">
        <is>
          <t>HULTSFRED</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14165-2022</t>
        </is>
      </c>
      <c r="B5880" s="1" t="n">
        <v>44651</v>
      </c>
      <c r="C5880" s="1" t="n">
        <v>45715</v>
      </c>
      <c r="D5880" t="inlineStr">
        <is>
          <t>KALMAR LÄN</t>
        </is>
      </c>
      <c r="E5880" t="inlineStr">
        <is>
          <t>MÖNSTERÅS</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14139-2022</t>
        </is>
      </c>
      <c r="B5881" s="1" t="n">
        <v>44651</v>
      </c>
      <c r="C5881" s="1" t="n">
        <v>45715</v>
      </c>
      <c r="D5881" t="inlineStr">
        <is>
          <t>KALMAR LÄN</t>
        </is>
      </c>
      <c r="E5881" t="inlineStr">
        <is>
          <t>TORSÅS</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14094-2022</t>
        </is>
      </c>
      <c r="B5882" s="1" t="n">
        <v>44651</v>
      </c>
      <c r="C5882" s="1" t="n">
        <v>45715</v>
      </c>
      <c r="D5882" t="inlineStr">
        <is>
          <t>KALMAR LÄN</t>
        </is>
      </c>
      <c r="E5882" t="inlineStr">
        <is>
          <t>HULTSFRED</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14111-2022</t>
        </is>
      </c>
      <c r="B5883" s="1" t="n">
        <v>44651</v>
      </c>
      <c r="C5883" s="1" t="n">
        <v>45715</v>
      </c>
      <c r="D5883" t="inlineStr">
        <is>
          <t>KALMAR LÄN</t>
        </is>
      </c>
      <c r="E5883" t="inlineStr">
        <is>
          <t>HULTSFRED</t>
        </is>
      </c>
      <c r="F5883" t="inlineStr">
        <is>
          <t>Sveaskog</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14143-2022</t>
        </is>
      </c>
      <c r="B5884" s="1" t="n">
        <v>44651</v>
      </c>
      <c r="C5884" s="1" t="n">
        <v>45715</v>
      </c>
      <c r="D5884" t="inlineStr">
        <is>
          <t>KALMAR LÄN</t>
        </is>
      </c>
      <c r="E5884" t="inlineStr">
        <is>
          <t>NYBRO</t>
        </is>
      </c>
      <c r="F5884" t="inlineStr">
        <is>
          <t>Kyrkan</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14158-2022</t>
        </is>
      </c>
      <c r="B5885" s="1" t="n">
        <v>44651</v>
      </c>
      <c r="C5885" s="1" t="n">
        <v>45715</v>
      </c>
      <c r="D5885" t="inlineStr">
        <is>
          <t>KALMAR LÄN</t>
        </is>
      </c>
      <c r="E5885" t="inlineStr">
        <is>
          <t>NYBRO</t>
        </is>
      </c>
      <c r="F5885" t="inlineStr">
        <is>
          <t>Kyrkan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14212-2022</t>
        </is>
      </c>
      <c r="B5886" s="1" t="n">
        <v>44651</v>
      </c>
      <c r="C5886" s="1" t="n">
        <v>45715</v>
      </c>
      <c r="D5886" t="inlineStr">
        <is>
          <t>KALMAR LÄN</t>
        </is>
      </c>
      <c r="E5886" t="inlineStr">
        <is>
          <t>VÄSTERVIK</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14377-2022</t>
        </is>
      </c>
      <c r="B5887" s="1" t="n">
        <v>44652</v>
      </c>
      <c r="C5887" s="1" t="n">
        <v>45715</v>
      </c>
      <c r="D5887" t="inlineStr">
        <is>
          <t>KALMAR LÄN</t>
        </is>
      </c>
      <c r="E5887" t="inlineStr">
        <is>
          <t>EMMABODA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14374-2022</t>
        </is>
      </c>
      <c r="B5888" s="1" t="n">
        <v>44652</v>
      </c>
      <c r="C5888" s="1" t="n">
        <v>45715</v>
      </c>
      <c r="D5888" t="inlineStr">
        <is>
          <t>KALMAR LÄN</t>
        </is>
      </c>
      <c r="E5888" t="inlineStr">
        <is>
          <t>EMMABODA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14347-2022</t>
        </is>
      </c>
      <c r="B5889" s="1" t="n">
        <v>44652</v>
      </c>
      <c r="C5889" s="1" t="n">
        <v>45715</v>
      </c>
      <c r="D5889" t="inlineStr">
        <is>
          <t>KALMAR LÄN</t>
        </is>
      </c>
      <c r="E5889" t="inlineStr">
        <is>
          <t>VIMMERBY</t>
        </is>
      </c>
      <c r="F5889" t="inlineStr">
        <is>
          <t>Sveaskog</t>
        </is>
      </c>
      <c r="G5889" t="n">
        <v>7.2</v>
      </c>
      <c r="H5889" t="n">
        <v>0</v>
      </c>
      <c r="I5889" t="n">
        <v>0</v>
      </c>
      <c r="J5889" t="n">
        <v>0</v>
      </c>
      <c r="K5889" t="n">
        <v>0</v>
      </c>
      <c r="L5889" t="n">
        <v>0</v>
      </c>
      <c r="M5889" t="n">
        <v>0</v>
      </c>
      <c r="N5889" t="n">
        <v>0</v>
      </c>
      <c r="O5889" t="n">
        <v>0</v>
      </c>
      <c r="P5889" t="n">
        <v>0</v>
      </c>
      <c r="Q5889" t="n">
        <v>0</v>
      </c>
      <c r="R5889" s="2" t="inlineStr"/>
    </row>
    <row r="5890" ht="15" customHeight="1">
      <c r="A5890" t="inlineStr">
        <is>
          <t>A 14383-2022</t>
        </is>
      </c>
      <c r="B5890" s="1" t="n">
        <v>44652</v>
      </c>
      <c r="C5890" s="1" t="n">
        <v>45715</v>
      </c>
      <c r="D5890" t="inlineStr">
        <is>
          <t>KALMAR LÄN</t>
        </is>
      </c>
      <c r="E5890" t="inlineStr">
        <is>
          <t>TORSÅS</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14381-2022</t>
        </is>
      </c>
      <c r="B5891" s="1" t="n">
        <v>44652</v>
      </c>
      <c r="C5891" s="1" t="n">
        <v>45715</v>
      </c>
      <c r="D5891" t="inlineStr">
        <is>
          <t>KALMAR LÄN</t>
        </is>
      </c>
      <c r="E5891" t="inlineStr">
        <is>
          <t>EMMABODA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14478-2022</t>
        </is>
      </c>
      <c r="B5892" s="1" t="n">
        <v>44655</v>
      </c>
      <c r="C5892" s="1" t="n">
        <v>45715</v>
      </c>
      <c r="D5892" t="inlineStr">
        <is>
          <t>KALMAR LÄN</t>
        </is>
      </c>
      <c r="E5892" t="inlineStr">
        <is>
          <t>KALMAR</t>
        </is>
      </c>
      <c r="G5892" t="n">
        <v>0.1</v>
      </c>
      <c r="H5892" t="n">
        <v>0</v>
      </c>
      <c r="I5892" t="n">
        <v>0</v>
      </c>
      <c r="J5892" t="n">
        <v>0</v>
      </c>
      <c r="K5892" t="n">
        <v>0</v>
      </c>
      <c r="L5892" t="n">
        <v>0</v>
      </c>
      <c r="M5892" t="n">
        <v>0</v>
      </c>
      <c r="N5892" t="n">
        <v>0</v>
      </c>
      <c r="O5892" t="n">
        <v>0</v>
      </c>
      <c r="P5892" t="n">
        <v>0</v>
      </c>
      <c r="Q5892" t="n">
        <v>0</v>
      </c>
      <c r="R5892" s="2" t="inlineStr"/>
    </row>
    <row r="5893" ht="15" customHeight="1">
      <c r="A5893" t="inlineStr">
        <is>
          <t>A 14529-2022</t>
        </is>
      </c>
      <c r="B5893" s="1" t="n">
        <v>44655</v>
      </c>
      <c r="C5893" s="1" t="n">
        <v>45715</v>
      </c>
      <c r="D5893" t="inlineStr">
        <is>
          <t>KALMAR LÄN</t>
        </is>
      </c>
      <c r="E5893" t="inlineStr">
        <is>
          <t>VÄSTERVIK</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14599-2022</t>
        </is>
      </c>
      <c r="B5894" s="1" t="n">
        <v>44655</v>
      </c>
      <c r="C5894" s="1" t="n">
        <v>45715</v>
      </c>
      <c r="D5894" t="inlineStr">
        <is>
          <t>KALMAR LÄN</t>
        </is>
      </c>
      <c r="E5894" t="inlineStr">
        <is>
          <t>HULTSFRED</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14693-2022</t>
        </is>
      </c>
      <c r="B5895" s="1" t="n">
        <v>44656</v>
      </c>
      <c r="C5895" s="1" t="n">
        <v>45715</v>
      </c>
      <c r="D5895" t="inlineStr">
        <is>
          <t>KALMAR LÄN</t>
        </is>
      </c>
      <c r="E5895" t="inlineStr">
        <is>
          <t>EMMABODA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14726-2022</t>
        </is>
      </c>
      <c r="B5896" s="1" t="n">
        <v>44656</v>
      </c>
      <c r="C5896" s="1" t="n">
        <v>45715</v>
      </c>
      <c r="D5896" t="inlineStr">
        <is>
          <t>KALMAR LÄN</t>
        </is>
      </c>
      <c r="E5896" t="inlineStr">
        <is>
          <t>KALMAR</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14864-2022</t>
        </is>
      </c>
      <c r="B5897" s="1" t="n">
        <v>44656</v>
      </c>
      <c r="C5897" s="1" t="n">
        <v>45715</v>
      </c>
      <c r="D5897" t="inlineStr">
        <is>
          <t>KALMAR LÄN</t>
        </is>
      </c>
      <c r="E5897" t="inlineStr">
        <is>
          <t>NYBRO</t>
        </is>
      </c>
      <c r="F5897" t="inlineStr">
        <is>
          <t>Kommuner</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14892-2022</t>
        </is>
      </c>
      <c r="B5898" s="1" t="n">
        <v>44656</v>
      </c>
      <c r="C5898" s="1" t="n">
        <v>45715</v>
      </c>
      <c r="D5898" t="inlineStr">
        <is>
          <t>KALMAR LÄN</t>
        </is>
      </c>
      <c r="E5898" t="inlineStr">
        <is>
          <t>OSKARSHAMN</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14859-2022</t>
        </is>
      </c>
      <c r="B5899" s="1" t="n">
        <v>44656</v>
      </c>
      <c r="C5899" s="1" t="n">
        <v>45715</v>
      </c>
      <c r="D5899" t="inlineStr">
        <is>
          <t>KALMAR LÄN</t>
        </is>
      </c>
      <c r="E5899" t="inlineStr">
        <is>
          <t>MÖNSTERÅS</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14876-2022</t>
        </is>
      </c>
      <c r="B5900" s="1" t="n">
        <v>44656</v>
      </c>
      <c r="C5900" s="1" t="n">
        <v>45715</v>
      </c>
      <c r="D5900" t="inlineStr">
        <is>
          <t>KALMAR LÄN</t>
        </is>
      </c>
      <c r="E5900" t="inlineStr">
        <is>
          <t>OSKARSHAMN</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14937-2022</t>
        </is>
      </c>
      <c r="B5901" s="1" t="n">
        <v>44657</v>
      </c>
      <c r="C5901" s="1" t="n">
        <v>45715</v>
      </c>
      <c r="D5901" t="inlineStr">
        <is>
          <t>KALMAR LÄN</t>
        </is>
      </c>
      <c r="E5901" t="inlineStr">
        <is>
          <t>TORSÅS</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14973-2022</t>
        </is>
      </c>
      <c r="B5902" s="1" t="n">
        <v>44657</v>
      </c>
      <c r="C5902" s="1" t="n">
        <v>45715</v>
      </c>
      <c r="D5902" t="inlineStr">
        <is>
          <t>KALMAR LÄN</t>
        </is>
      </c>
      <c r="E5902" t="inlineStr">
        <is>
          <t>NYBRO</t>
        </is>
      </c>
      <c r="F5902" t="inlineStr">
        <is>
          <t>Kommuner</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14983-2022</t>
        </is>
      </c>
      <c r="B5903" s="1" t="n">
        <v>44657</v>
      </c>
      <c r="C5903" s="1" t="n">
        <v>45715</v>
      </c>
      <c r="D5903" t="inlineStr">
        <is>
          <t>KALMAR LÄN</t>
        </is>
      </c>
      <c r="E5903" t="inlineStr">
        <is>
          <t>NYBRO</t>
        </is>
      </c>
      <c r="F5903" t="inlineStr">
        <is>
          <t>Kyrkan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14976-2022</t>
        </is>
      </c>
      <c r="B5904" s="1" t="n">
        <v>44657</v>
      </c>
      <c r="C5904" s="1" t="n">
        <v>45715</v>
      </c>
      <c r="D5904" t="inlineStr">
        <is>
          <t>KALMAR LÄN</t>
        </is>
      </c>
      <c r="E5904" t="inlineStr">
        <is>
          <t>TORSÅS</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15031-2022</t>
        </is>
      </c>
      <c r="B5905" s="1" t="n">
        <v>44657</v>
      </c>
      <c r="C5905" s="1" t="n">
        <v>45715</v>
      </c>
      <c r="D5905" t="inlineStr">
        <is>
          <t>KALMAR LÄN</t>
        </is>
      </c>
      <c r="E5905" t="inlineStr">
        <is>
          <t>OSKARSHAMN</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14979-2022</t>
        </is>
      </c>
      <c r="B5906" s="1" t="n">
        <v>44657</v>
      </c>
      <c r="C5906" s="1" t="n">
        <v>45715</v>
      </c>
      <c r="D5906" t="inlineStr">
        <is>
          <t>KALMAR LÄN</t>
        </is>
      </c>
      <c r="E5906" t="inlineStr">
        <is>
          <t>NYBRO</t>
        </is>
      </c>
      <c r="F5906" t="inlineStr">
        <is>
          <t>Kommuner</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15055-2022</t>
        </is>
      </c>
      <c r="B5907" s="1" t="n">
        <v>44657</v>
      </c>
      <c r="C5907" s="1" t="n">
        <v>45715</v>
      </c>
      <c r="D5907" t="inlineStr">
        <is>
          <t>KALMAR LÄN</t>
        </is>
      </c>
      <c r="E5907" t="inlineStr">
        <is>
          <t>NYBRO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15109-2022</t>
        </is>
      </c>
      <c r="B5908" s="1" t="n">
        <v>44658</v>
      </c>
      <c r="C5908" s="1" t="n">
        <v>45715</v>
      </c>
      <c r="D5908" t="inlineStr">
        <is>
          <t>KALMAR LÄN</t>
        </is>
      </c>
      <c r="E5908" t="inlineStr">
        <is>
          <t>TORSÅS</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15146-2022</t>
        </is>
      </c>
      <c r="B5909" s="1" t="n">
        <v>44658</v>
      </c>
      <c r="C5909" s="1" t="n">
        <v>45715</v>
      </c>
      <c r="D5909" t="inlineStr">
        <is>
          <t>KALMAR LÄN</t>
        </is>
      </c>
      <c r="E5909" t="inlineStr">
        <is>
          <t>VIMMERBY</t>
        </is>
      </c>
      <c r="F5909" t="inlineStr">
        <is>
          <t>Sveaskog</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15246-2022</t>
        </is>
      </c>
      <c r="B5910" s="1" t="n">
        <v>44659</v>
      </c>
      <c r="C5910" s="1" t="n">
        <v>45715</v>
      </c>
      <c r="D5910" t="inlineStr">
        <is>
          <t>KALMAR LÄN</t>
        </is>
      </c>
      <c r="E5910" t="inlineStr">
        <is>
          <t>KALMAR</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15438-2022</t>
        </is>
      </c>
      <c r="B5911" s="1" t="n">
        <v>44659</v>
      </c>
      <c r="C5911" s="1" t="n">
        <v>45715</v>
      </c>
      <c r="D5911" t="inlineStr">
        <is>
          <t>KALMAR LÄN</t>
        </is>
      </c>
      <c r="E5911" t="inlineStr">
        <is>
          <t>VIMMERBY</t>
        </is>
      </c>
      <c r="F5911" t="inlineStr">
        <is>
          <t>Kommuner</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15379-2022</t>
        </is>
      </c>
      <c r="B5912" s="1" t="n">
        <v>44659</v>
      </c>
      <c r="C5912" s="1" t="n">
        <v>45715</v>
      </c>
      <c r="D5912" t="inlineStr">
        <is>
          <t>KALMAR LÄN</t>
        </is>
      </c>
      <c r="E5912" t="inlineStr">
        <is>
          <t>VÄSTERVIK</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15533-2022</t>
        </is>
      </c>
      <c r="B5913" s="1" t="n">
        <v>44662</v>
      </c>
      <c r="C5913" s="1" t="n">
        <v>45715</v>
      </c>
      <c r="D5913" t="inlineStr">
        <is>
          <t>KALMAR LÄN</t>
        </is>
      </c>
      <c r="E5913" t="inlineStr">
        <is>
          <t>VIMMERBY</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15535-2022</t>
        </is>
      </c>
      <c r="B5914" s="1" t="n">
        <v>44662</v>
      </c>
      <c r="C5914" s="1" t="n">
        <v>45715</v>
      </c>
      <c r="D5914" t="inlineStr">
        <is>
          <t>KALMAR LÄN</t>
        </is>
      </c>
      <c r="E5914" t="inlineStr">
        <is>
          <t>VIMMERBY</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15754-2022</t>
        </is>
      </c>
      <c r="B5915" s="1" t="n">
        <v>44663</v>
      </c>
      <c r="C5915" s="1" t="n">
        <v>45715</v>
      </c>
      <c r="D5915" t="inlineStr">
        <is>
          <t>KALMAR LÄN</t>
        </is>
      </c>
      <c r="E5915" t="inlineStr">
        <is>
          <t>OSKARSHAMN</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15867-2022</t>
        </is>
      </c>
      <c r="B5916" s="1" t="n">
        <v>44664</v>
      </c>
      <c r="C5916" s="1" t="n">
        <v>45715</v>
      </c>
      <c r="D5916" t="inlineStr">
        <is>
          <t>KALMAR LÄN</t>
        </is>
      </c>
      <c r="E5916" t="inlineStr">
        <is>
          <t>OSKARSHAMN</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15875-2022</t>
        </is>
      </c>
      <c r="B5917" s="1" t="n">
        <v>44664</v>
      </c>
      <c r="C5917" s="1" t="n">
        <v>45715</v>
      </c>
      <c r="D5917" t="inlineStr">
        <is>
          <t>KALMAR LÄN</t>
        </is>
      </c>
      <c r="E5917" t="inlineStr">
        <is>
          <t>OSKARSHAMN</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16134-2022</t>
        </is>
      </c>
      <c r="B5918" s="1" t="n">
        <v>44665</v>
      </c>
      <c r="C5918" s="1" t="n">
        <v>45715</v>
      </c>
      <c r="D5918" t="inlineStr">
        <is>
          <t>KALMAR LÄN</t>
        </is>
      </c>
      <c r="E5918" t="inlineStr">
        <is>
          <t>EMMABODA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16156-2022</t>
        </is>
      </c>
      <c r="B5919" s="1" t="n">
        <v>44666</v>
      </c>
      <c r="C5919" s="1" t="n">
        <v>45715</v>
      </c>
      <c r="D5919" t="inlineStr">
        <is>
          <t>KALMAR LÄN</t>
        </is>
      </c>
      <c r="E5919" t="inlineStr">
        <is>
          <t>VIMMERBY</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16207-2022</t>
        </is>
      </c>
      <c r="B5920" s="1" t="n">
        <v>44669</v>
      </c>
      <c r="C5920" s="1" t="n">
        <v>45715</v>
      </c>
      <c r="D5920" t="inlineStr">
        <is>
          <t>KALMAR LÄN</t>
        </is>
      </c>
      <c r="E5920" t="inlineStr">
        <is>
          <t>VÄSTERVIK</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16193-2022</t>
        </is>
      </c>
      <c r="B5921" s="1" t="n">
        <v>44670</v>
      </c>
      <c r="C5921" s="1" t="n">
        <v>45715</v>
      </c>
      <c r="D5921" t="inlineStr">
        <is>
          <t>KALMAR LÄN</t>
        </is>
      </c>
      <c r="E5921" t="inlineStr">
        <is>
          <t>HULTSFRED</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16281-2022</t>
        </is>
      </c>
      <c r="B5922" s="1" t="n">
        <v>44670</v>
      </c>
      <c r="C5922" s="1" t="n">
        <v>45715</v>
      </c>
      <c r="D5922" t="inlineStr">
        <is>
          <t>KALMAR LÄN</t>
        </is>
      </c>
      <c r="E5922" t="inlineStr">
        <is>
          <t>TORSÅS</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16288-2022</t>
        </is>
      </c>
      <c r="B5923" s="1" t="n">
        <v>44670</v>
      </c>
      <c r="C5923" s="1" t="n">
        <v>45715</v>
      </c>
      <c r="D5923" t="inlineStr">
        <is>
          <t>KALMAR LÄN</t>
        </is>
      </c>
      <c r="E5923" t="inlineStr">
        <is>
          <t>VIMMERBY</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16283-2022</t>
        </is>
      </c>
      <c r="B5924" s="1" t="n">
        <v>44670</v>
      </c>
      <c r="C5924" s="1" t="n">
        <v>45715</v>
      </c>
      <c r="D5924" t="inlineStr">
        <is>
          <t>KALMAR LÄN</t>
        </is>
      </c>
      <c r="E5924" t="inlineStr">
        <is>
          <t>VIMMERBY</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16290-2022</t>
        </is>
      </c>
      <c r="B5925" s="1" t="n">
        <v>44670</v>
      </c>
      <c r="C5925" s="1" t="n">
        <v>45715</v>
      </c>
      <c r="D5925" t="inlineStr">
        <is>
          <t>KALMAR LÄN</t>
        </is>
      </c>
      <c r="E5925" t="inlineStr">
        <is>
          <t>VIMMERBY</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16446-2022</t>
        </is>
      </c>
      <c r="B5926" s="1" t="n">
        <v>44671</v>
      </c>
      <c r="C5926" s="1" t="n">
        <v>45715</v>
      </c>
      <c r="D5926" t="inlineStr">
        <is>
          <t>KALMAR LÄN</t>
        </is>
      </c>
      <c r="E5926" t="inlineStr">
        <is>
          <t>TORSÅS</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16587-2022</t>
        </is>
      </c>
      <c r="B5927" s="1" t="n">
        <v>44672</v>
      </c>
      <c r="C5927" s="1" t="n">
        <v>45715</v>
      </c>
      <c r="D5927" t="inlineStr">
        <is>
          <t>KALMAR LÄN</t>
        </is>
      </c>
      <c r="E5927" t="inlineStr">
        <is>
          <t>VÄSTERVIK</t>
        </is>
      </c>
      <c r="F5927" t="inlineStr">
        <is>
          <t>Sveaskog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16630-2022</t>
        </is>
      </c>
      <c r="B5928" s="1" t="n">
        <v>44672</v>
      </c>
      <c r="C5928" s="1" t="n">
        <v>45715</v>
      </c>
      <c r="D5928" t="inlineStr">
        <is>
          <t>KALMAR LÄN</t>
        </is>
      </c>
      <c r="E5928" t="inlineStr">
        <is>
          <t>NYBRO</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16586-2022</t>
        </is>
      </c>
      <c r="B5929" s="1" t="n">
        <v>44672</v>
      </c>
      <c r="C5929" s="1" t="n">
        <v>45715</v>
      </c>
      <c r="D5929" t="inlineStr">
        <is>
          <t>KALMAR LÄN</t>
        </is>
      </c>
      <c r="E5929" t="inlineStr">
        <is>
          <t>VÄSTERVIK</t>
        </is>
      </c>
      <c r="F5929" t="inlineStr">
        <is>
          <t>Sveaskog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16681-2022</t>
        </is>
      </c>
      <c r="B5930" s="1" t="n">
        <v>44673</v>
      </c>
      <c r="C5930" s="1" t="n">
        <v>45715</v>
      </c>
      <c r="D5930" t="inlineStr">
        <is>
          <t>KALMAR LÄN</t>
        </is>
      </c>
      <c r="E5930" t="inlineStr">
        <is>
          <t>NYBRO</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16765-2022</t>
        </is>
      </c>
      <c r="B5931" s="1" t="n">
        <v>44673</v>
      </c>
      <c r="C5931" s="1" t="n">
        <v>45715</v>
      </c>
      <c r="D5931" t="inlineStr">
        <is>
          <t>KALMAR LÄN</t>
        </is>
      </c>
      <c r="E5931" t="inlineStr">
        <is>
          <t>VÄSTERVIK</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16813-2022</t>
        </is>
      </c>
      <c r="B5932" s="1" t="n">
        <v>44673</v>
      </c>
      <c r="C5932" s="1" t="n">
        <v>45715</v>
      </c>
      <c r="D5932" t="inlineStr">
        <is>
          <t>KALMAR LÄN</t>
        </is>
      </c>
      <c r="E5932" t="inlineStr">
        <is>
          <t>HULTSFRED</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16703-2022</t>
        </is>
      </c>
      <c r="B5933" s="1" t="n">
        <v>44673</v>
      </c>
      <c r="C5933" s="1" t="n">
        <v>45715</v>
      </c>
      <c r="D5933" t="inlineStr">
        <is>
          <t>KALMAR LÄN</t>
        </is>
      </c>
      <c r="E5933" t="inlineStr">
        <is>
          <t>EMMABODA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16902-2022</t>
        </is>
      </c>
      <c r="B5934" s="1" t="n">
        <v>44676</v>
      </c>
      <c r="C5934" s="1" t="n">
        <v>45715</v>
      </c>
      <c r="D5934" t="inlineStr">
        <is>
          <t>KALMAR LÄN</t>
        </is>
      </c>
      <c r="E5934" t="inlineStr">
        <is>
          <t>HULTSFRED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17012-2022</t>
        </is>
      </c>
      <c r="B5935" s="1" t="n">
        <v>44676</v>
      </c>
      <c r="C5935" s="1" t="n">
        <v>45715</v>
      </c>
      <c r="D5935" t="inlineStr">
        <is>
          <t>KALMAR LÄN</t>
        </is>
      </c>
      <c r="E5935" t="inlineStr">
        <is>
          <t>NYBRO</t>
        </is>
      </c>
      <c r="F5935" t="inlineStr">
        <is>
          <t>Kommuner</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17029-2022</t>
        </is>
      </c>
      <c r="B5936" s="1" t="n">
        <v>44676</v>
      </c>
      <c r="C5936" s="1" t="n">
        <v>45715</v>
      </c>
      <c r="D5936" t="inlineStr">
        <is>
          <t>KALMAR LÄN</t>
        </is>
      </c>
      <c r="E5936" t="inlineStr">
        <is>
          <t>VIMMERBY</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17009-2022</t>
        </is>
      </c>
      <c r="B5937" s="1" t="n">
        <v>44676</v>
      </c>
      <c r="C5937" s="1" t="n">
        <v>45715</v>
      </c>
      <c r="D5937" t="inlineStr">
        <is>
          <t>KALMAR LÄN</t>
        </is>
      </c>
      <c r="E5937" t="inlineStr">
        <is>
          <t>NYBRO</t>
        </is>
      </c>
      <c r="F5937" t="inlineStr">
        <is>
          <t>Kommuner</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17015-2022</t>
        </is>
      </c>
      <c r="B5938" s="1" t="n">
        <v>44676</v>
      </c>
      <c r="C5938" s="1" t="n">
        <v>45715</v>
      </c>
      <c r="D5938" t="inlineStr">
        <is>
          <t>KALMAR LÄN</t>
        </is>
      </c>
      <c r="E5938" t="inlineStr">
        <is>
          <t>NYBRO</t>
        </is>
      </c>
      <c r="F5938" t="inlineStr">
        <is>
          <t>Kommuner</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17022-2022</t>
        </is>
      </c>
      <c r="B5939" s="1" t="n">
        <v>44676</v>
      </c>
      <c r="C5939" s="1" t="n">
        <v>45715</v>
      </c>
      <c r="D5939" t="inlineStr">
        <is>
          <t>KALMAR LÄN</t>
        </is>
      </c>
      <c r="E5939" t="inlineStr">
        <is>
          <t>NYBRO</t>
        </is>
      </c>
      <c r="F5939" t="inlineStr">
        <is>
          <t>Kommuner</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17185-2022</t>
        </is>
      </c>
      <c r="B5940" s="1" t="n">
        <v>44677</v>
      </c>
      <c r="C5940" s="1" t="n">
        <v>45715</v>
      </c>
      <c r="D5940" t="inlineStr">
        <is>
          <t>KALMAR LÄN</t>
        </is>
      </c>
      <c r="E5940" t="inlineStr">
        <is>
          <t>HÖGSBY</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17188-2022</t>
        </is>
      </c>
      <c r="B5941" s="1" t="n">
        <v>44677</v>
      </c>
      <c r="C5941" s="1" t="n">
        <v>45715</v>
      </c>
      <c r="D5941" t="inlineStr">
        <is>
          <t>KALMAR LÄN</t>
        </is>
      </c>
      <c r="E5941" t="inlineStr">
        <is>
          <t>OSKARSHAMN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17183-2022</t>
        </is>
      </c>
      <c r="B5942" s="1" t="n">
        <v>44677</v>
      </c>
      <c r="C5942" s="1" t="n">
        <v>45715</v>
      </c>
      <c r="D5942" t="inlineStr">
        <is>
          <t>KALMAR LÄN</t>
        </is>
      </c>
      <c r="E5942" t="inlineStr">
        <is>
          <t>OSKARSHAMN</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17157-2022</t>
        </is>
      </c>
      <c r="B5943" s="1" t="n">
        <v>44677</v>
      </c>
      <c r="C5943" s="1" t="n">
        <v>45715</v>
      </c>
      <c r="D5943" t="inlineStr">
        <is>
          <t>KALMAR LÄN</t>
        </is>
      </c>
      <c r="E5943" t="inlineStr">
        <is>
          <t>NYBRO</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17253-2022</t>
        </is>
      </c>
      <c r="B5944" s="1" t="n">
        <v>44678</v>
      </c>
      <c r="C5944" s="1" t="n">
        <v>45715</v>
      </c>
      <c r="D5944" t="inlineStr">
        <is>
          <t>KALMAR LÄN</t>
        </is>
      </c>
      <c r="E5944" t="inlineStr">
        <is>
          <t>VIMMERBY</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17540-2022</t>
        </is>
      </c>
      <c r="B5945" s="1" t="n">
        <v>44679</v>
      </c>
      <c r="C5945" s="1" t="n">
        <v>45715</v>
      </c>
      <c r="D5945" t="inlineStr">
        <is>
          <t>KALMAR LÄN</t>
        </is>
      </c>
      <c r="E5945" t="inlineStr">
        <is>
          <t>KALMAR</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17523-2022</t>
        </is>
      </c>
      <c r="B5946" s="1" t="n">
        <v>44679</v>
      </c>
      <c r="C5946" s="1" t="n">
        <v>45715</v>
      </c>
      <c r="D5946" t="inlineStr">
        <is>
          <t>KALMAR LÄN</t>
        </is>
      </c>
      <c r="E5946" t="inlineStr">
        <is>
          <t>TORSÅS</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17529-2022</t>
        </is>
      </c>
      <c r="B5947" s="1" t="n">
        <v>44679</v>
      </c>
      <c r="C5947" s="1" t="n">
        <v>45715</v>
      </c>
      <c r="D5947" t="inlineStr">
        <is>
          <t>KALMAR LÄN</t>
        </is>
      </c>
      <c r="E5947" t="inlineStr">
        <is>
          <t>KALMAR</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17819-2022</t>
        </is>
      </c>
      <c r="B5948" s="1" t="n">
        <v>44683</v>
      </c>
      <c r="C5948" s="1" t="n">
        <v>45715</v>
      </c>
      <c r="D5948" t="inlineStr">
        <is>
          <t>KALMAR LÄN</t>
        </is>
      </c>
      <c r="E5948" t="inlineStr">
        <is>
          <t>TORSÅS</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17820-2022</t>
        </is>
      </c>
      <c r="B5949" s="1" t="n">
        <v>44683</v>
      </c>
      <c r="C5949" s="1" t="n">
        <v>45715</v>
      </c>
      <c r="D5949" t="inlineStr">
        <is>
          <t>KALMAR LÄN</t>
        </is>
      </c>
      <c r="E5949" t="inlineStr">
        <is>
          <t>TORSÅS</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17934-2022</t>
        </is>
      </c>
      <c r="B5950" s="1" t="n">
        <v>44683</v>
      </c>
      <c r="C5950" s="1" t="n">
        <v>45715</v>
      </c>
      <c r="D5950" t="inlineStr">
        <is>
          <t>KALMAR LÄN</t>
        </is>
      </c>
      <c r="E5950" t="inlineStr">
        <is>
          <t>EMMABODA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17953-2022</t>
        </is>
      </c>
      <c r="B5951" s="1" t="n">
        <v>44683</v>
      </c>
      <c r="C5951" s="1" t="n">
        <v>45715</v>
      </c>
      <c r="D5951" t="inlineStr">
        <is>
          <t>KALMAR LÄN</t>
        </is>
      </c>
      <c r="E5951" t="inlineStr">
        <is>
          <t>VÄSTERVIK</t>
        </is>
      </c>
      <c r="F5951" t="inlineStr">
        <is>
          <t>Sveaskog</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17826-2022</t>
        </is>
      </c>
      <c r="B5952" s="1" t="n">
        <v>44683</v>
      </c>
      <c r="C5952" s="1" t="n">
        <v>45715</v>
      </c>
      <c r="D5952" t="inlineStr">
        <is>
          <t>KALMAR LÄN</t>
        </is>
      </c>
      <c r="E5952" t="inlineStr">
        <is>
          <t>EMMABODA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17966-2022</t>
        </is>
      </c>
      <c r="B5953" s="1" t="n">
        <v>44683</v>
      </c>
      <c r="C5953" s="1" t="n">
        <v>45715</v>
      </c>
      <c r="D5953" t="inlineStr">
        <is>
          <t>KALMAR LÄN</t>
        </is>
      </c>
      <c r="E5953" t="inlineStr">
        <is>
          <t>HULTSFRED</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18087-2022</t>
        </is>
      </c>
      <c r="B5954" s="1" t="n">
        <v>44683</v>
      </c>
      <c r="C5954" s="1" t="n">
        <v>45715</v>
      </c>
      <c r="D5954" t="inlineStr">
        <is>
          <t>KALMAR LÄN</t>
        </is>
      </c>
      <c r="E5954" t="inlineStr">
        <is>
          <t>OSKARSHAMN</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18083-2022</t>
        </is>
      </c>
      <c r="B5955" s="1" t="n">
        <v>44683</v>
      </c>
      <c r="C5955" s="1" t="n">
        <v>45715</v>
      </c>
      <c r="D5955" t="inlineStr">
        <is>
          <t>KALMAR LÄN</t>
        </is>
      </c>
      <c r="E5955" t="inlineStr">
        <is>
          <t>OSKARSHAMN</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17954-2022</t>
        </is>
      </c>
      <c r="B5956" s="1" t="n">
        <v>44683</v>
      </c>
      <c r="C5956" s="1" t="n">
        <v>45715</v>
      </c>
      <c r="D5956" t="inlineStr">
        <is>
          <t>KALMAR LÄN</t>
        </is>
      </c>
      <c r="E5956" t="inlineStr">
        <is>
          <t>VÄSTERVIK</t>
        </is>
      </c>
      <c r="F5956" t="inlineStr">
        <is>
          <t>Sveaskog</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17896-2022</t>
        </is>
      </c>
      <c r="B5957" s="1" t="n">
        <v>44683</v>
      </c>
      <c r="C5957" s="1" t="n">
        <v>45715</v>
      </c>
      <c r="D5957" t="inlineStr">
        <is>
          <t>KALMAR LÄN</t>
        </is>
      </c>
      <c r="E5957" t="inlineStr">
        <is>
          <t>KALMAR</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18072-2022</t>
        </is>
      </c>
      <c r="B5958" s="1" t="n">
        <v>44684</v>
      </c>
      <c r="C5958" s="1" t="n">
        <v>45715</v>
      </c>
      <c r="D5958" t="inlineStr">
        <is>
          <t>KALMAR LÄN</t>
        </is>
      </c>
      <c r="E5958" t="inlineStr">
        <is>
          <t>NYBRO</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18077-2022</t>
        </is>
      </c>
      <c r="B5959" s="1" t="n">
        <v>44684</v>
      </c>
      <c r="C5959" s="1" t="n">
        <v>45715</v>
      </c>
      <c r="D5959" t="inlineStr">
        <is>
          <t>KALMAR LÄN</t>
        </is>
      </c>
      <c r="E5959" t="inlineStr">
        <is>
          <t>NYBRO</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18113-2022</t>
        </is>
      </c>
      <c r="B5960" s="1" t="n">
        <v>44684</v>
      </c>
      <c r="C5960" s="1" t="n">
        <v>45715</v>
      </c>
      <c r="D5960" t="inlineStr">
        <is>
          <t>KALMAR LÄN</t>
        </is>
      </c>
      <c r="E5960" t="inlineStr">
        <is>
          <t>KALMAR</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18274-2022</t>
        </is>
      </c>
      <c r="B5961" s="1" t="n">
        <v>44685</v>
      </c>
      <c r="C5961" s="1" t="n">
        <v>45715</v>
      </c>
      <c r="D5961" t="inlineStr">
        <is>
          <t>KALMAR LÄN</t>
        </is>
      </c>
      <c r="E5961" t="inlineStr">
        <is>
          <t>HULTSFRED</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18323-2022</t>
        </is>
      </c>
      <c r="B5962" s="1" t="n">
        <v>44685</v>
      </c>
      <c r="C5962" s="1" t="n">
        <v>45715</v>
      </c>
      <c r="D5962" t="inlineStr">
        <is>
          <t>KALMAR LÄN</t>
        </is>
      </c>
      <c r="E5962" t="inlineStr">
        <is>
          <t>EMMABODA</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18278-2022</t>
        </is>
      </c>
      <c r="B5963" s="1" t="n">
        <v>44685</v>
      </c>
      <c r="C5963" s="1" t="n">
        <v>45715</v>
      </c>
      <c r="D5963" t="inlineStr">
        <is>
          <t>KALMAR LÄN</t>
        </is>
      </c>
      <c r="E5963" t="inlineStr">
        <is>
          <t>OSKARSHAMN</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18523-2022</t>
        </is>
      </c>
      <c r="B5964" s="1" t="n">
        <v>44686</v>
      </c>
      <c r="C5964" s="1" t="n">
        <v>45715</v>
      </c>
      <c r="D5964" t="inlineStr">
        <is>
          <t>KALMAR LÄN</t>
        </is>
      </c>
      <c r="E5964" t="inlineStr">
        <is>
          <t>KALMAR</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18536-2022</t>
        </is>
      </c>
      <c r="B5965" s="1" t="n">
        <v>44686</v>
      </c>
      <c r="C5965" s="1" t="n">
        <v>45715</v>
      </c>
      <c r="D5965" t="inlineStr">
        <is>
          <t>KALMAR LÄN</t>
        </is>
      </c>
      <c r="E5965" t="inlineStr">
        <is>
          <t>HULTSFRED</t>
        </is>
      </c>
      <c r="F5965" t="inlineStr">
        <is>
          <t>Övriga Aktiebolag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18398-2022</t>
        </is>
      </c>
      <c r="B5966" s="1" t="n">
        <v>44686</v>
      </c>
      <c r="C5966" s="1" t="n">
        <v>45715</v>
      </c>
      <c r="D5966" t="inlineStr">
        <is>
          <t>KALMAR LÄN</t>
        </is>
      </c>
      <c r="E5966" t="inlineStr">
        <is>
          <t>HÖGSBY</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18784-2022</t>
        </is>
      </c>
      <c r="B5967" s="1" t="n">
        <v>44690</v>
      </c>
      <c r="C5967" s="1" t="n">
        <v>45715</v>
      </c>
      <c r="D5967" t="inlineStr">
        <is>
          <t>KALMAR LÄN</t>
        </is>
      </c>
      <c r="E5967" t="inlineStr">
        <is>
          <t>EMMABODA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18804-2022</t>
        </is>
      </c>
      <c r="B5968" s="1" t="n">
        <v>44690</v>
      </c>
      <c r="C5968" s="1" t="n">
        <v>45715</v>
      </c>
      <c r="D5968" t="inlineStr">
        <is>
          <t>KALMAR LÄN</t>
        </is>
      </c>
      <c r="E5968" t="inlineStr">
        <is>
          <t>KALMAR</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18825-2022</t>
        </is>
      </c>
      <c r="B5969" s="1" t="n">
        <v>44690</v>
      </c>
      <c r="C5969" s="1" t="n">
        <v>45715</v>
      </c>
      <c r="D5969" t="inlineStr">
        <is>
          <t>KALMAR LÄN</t>
        </is>
      </c>
      <c r="E5969" t="inlineStr">
        <is>
          <t>MÖNSTERÅS</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18884-2022</t>
        </is>
      </c>
      <c r="B5970" s="1" t="n">
        <v>44690</v>
      </c>
      <c r="C5970" s="1" t="n">
        <v>45715</v>
      </c>
      <c r="D5970" t="inlineStr">
        <is>
          <t>KALMAR LÄN</t>
        </is>
      </c>
      <c r="E5970" t="inlineStr">
        <is>
          <t>NYBRO</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18909-2022</t>
        </is>
      </c>
      <c r="B5971" s="1" t="n">
        <v>44690</v>
      </c>
      <c r="C5971" s="1" t="n">
        <v>45715</v>
      </c>
      <c r="D5971" t="inlineStr">
        <is>
          <t>KALMAR LÄN</t>
        </is>
      </c>
      <c r="E5971" t="inlineStr">
        <is>
          <t>EMMABODA</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18947-2022</t>
        </is>
      </c>
      <c r="B5972" s="1" t="n">
        <v>44690</v>
      </c>
      <c r="C5972" s="1" t="n">
        <v>45715</v>
      </c>
      <c r="D5972" t="inlineStr">
        <is>
          <t>KALMAR LÄN</t>
        </is>
      </c>
      <c r="E5972" t="inlineStr">
        <is>
          <t>EMMABODA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18946-2022</t>
        </is>
      </c>
      <c r="B5973" s="1" t="n">
        <v>44690</v>
      </c>
      <c r="C5973" s="1" t="n">
        <v>45715</v>
      </c>
      <c r="D5973" t="inlineStr">
        <is>
          <t>KALMAR LÄN</t>
        </is>
      </c>
      <c r="E5973" t="inlineStr">
        <is>
          <t>EMMABODA</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19102-2022</t>
        </is>
      </c>
      <c r="B5974" s="1" t="n">
        <v>44691</v>
      </c>
      <c r="C5974" s="1" t="n">
        <v>45715</v>
      </c>
      <c r="D5974" t="inlineStr">
        <is>
          <t>KALMAR LÄN</t>
        </is>
      </c>
      <c r="E5974" t="inlineStr">
        <is>
          <t>NYBRO</t>
        </is>
      </c>
      <c r="G5974" t="n">
        <v>7.5</v>
      </c>
      <c r="H5974" t="n">
        <v>0</v>
      </c>
      <c r="I5974" t="n">
        <v>0</v>
      </c>
      <c r="J5974" t="n">
        <v>0</v>
      </c>
      <c r="K5974" t="n">
        <v>0</v>
      </c>
      <c r="L5974" t="n">
        <v>0</v>
      </c>
      <c r="M5974" t="n">
        <v>0</v>
      </c>
      <c r="N5974" t="n">
        <v>0</v>
      </c>
      <c r="O5974" t="n">
        <v>0</v>
      </c>
      <c r="P5974" t="n">
        <v>0</v>
      </c>
      <c r="Q5974" t="n">
        <v>0</v>
      </c>
      <c r="R5974" s="2" t="inlineStr"/>
    </row>
    <row r="5975" ht="15" customHeight="1">
      <c r="A5975" t="inlineStr">
        <is>
          <t>A 19163-2022</t>
        </is>
      </c>
      <c r="B5975" s="1" t="n">
        <v>44691</v>
      </c>
      <c r="C5975" s="1" t="n">
        <v>45715</v>
      </c>
      <c r="D5975" t="inlineStr">
        <is>
          <t>KALMAR LÄN</t>
        </is>
      </c>
      <c r="E5975" t="inlineStr">
        <is>
          <t>EMMABODA</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19244-2022</t>
        </is>
      </c>
      <c r="B5976" s="1" t="n">
        <v>44692</v>
      </c>
      <c r="C5976" s="1" t="n">
        <v>45715</v>
      </c>
      <c r="D5976" t="inlineStr">
        <is>
          <t>KALMAR LÄN</t>
        </is>
      </c>
      <c r="E5976" t="inlineStr">
        <is>
          <t>NYBRO</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19535-2022</t>
        </is>
      </c>
      <c r="B5977" s="1" t="n">
        <v>44693</v>
      </c>
      <c r="C5977" s="1" t="n">
        <v>45715</v>
      </c>
      <c r="D5977" t="inlineStr">
        <is>
          <t>KALMAR LÄN</t>
        </is>
      </c>
      <c r="E5977" t="inlineStr">
        <is>
          <t>VIMMERBY</t>
        </is>
      </c>
      <c r="F5977" t="inlineStr">
        <is>
          <t>Sveaskog</t>
        </is>
      </c>
      <c r="G5977" t="n">
        <v>7.1</v>
      </c>
      <c r="H5977" t="n">
        <v>0</v>
      </c>
      <c r="I5977" t="n">
        <v>0</v>
      </c>
      <c r="J5977" t="n">
        <v>0</v>
      </c>
      <c r="K5977" t="n">
        <v>0</v>
      </c>
      <c r="L5977" t="n">
        <v>0</v>
      </c>
      <c r="M5977" t="n">
        <v>0</v>
      </c>
      <c r="N5977" t="n">
        <v>0</v>
      </c>
      <c r="O5977" t="n">
        <v>0</v>
      </c>
      <c r="P5977" t="n">
        <v>0</v>
      </c>
      <c r="Q5977" t="n">
        <v>0</v>
      </c>
      <c r="R5977" s="2" t="inlineStr"/>
    </row>
    <row r="5978" ht="15" customHeight="1">
      <c r="A5978" t="inlineStr">
        <is>
          <t>A 19537-2022</t>
        </is>
      </c>
      <c r="B5978" s="1" t="n">
        <v>44693</v>
      </c>
      <c r="C5978" s="1" t="n">
        <v>45715</v>
      </c>
      <c r="D5978" t="inlineStr">
        <is>
          <t>KALMAR LÄN</t>
        </is>
      </c>
      <c r="E5978" t="inlineStr">
        <is>
          <t>VIMMERBY</t>
        </is>
      </c>
      <c r="F5978" t="inlineStr">
        <is>
          <t>Sveaskog</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19648-2022</t>
        </is>
      </c>
      <c r="B5979" s="1" t="n">
        <v>44694</v>
      </c>
      <c r="C5979" s="1" t="n">
        <v>45715</v>
      </c>
      <c r="D5979" t="inlineStr">
        <is>
          <t>KALMAR LÄN</t>
        </is>
      </c>
      <c r="E5979" t="inlineStr">
        <is>
          <t>VÄSTERVIK</t>
        </is>
      </c>
      <c r="F5979" t="inlineStr">
        <is>
          <t>Sveaskog</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19656-2022</t>
        </is>
      </c>
      <c r="B5980" s="1" t="n">
        <v>44694</v>
      </c>
      <c r="C5980" s="1" t="n">
        <v>45715</v>
      </c>
      <c r="D5980" t="inlineStr">
        <is>
          <t>KALMAR LÄN</t>
        </is>
      </c>
      <c r="E5980" t="inlineStr">
        <is>
          <t>VÄSTERVIK</t>
        </is>
      </c>
      <c r="F5980" t="inlineStr">
        <is>
          <t>Sveaskog</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19653-2022</t>
        </is>
      </c>
      <c r="B5981" s="1" t="n">
        <v>44694</v>
      </c>
      <c r="C5981" s="1" t="n">
        <v>45715</v>
      </c>
      <c r="D5981" t="inlineStr">
        <is>
          <t>KALMAR LÄN</t>
        </is>
      </c>
      <c r="E5981" t="inlineStr">
        <is>
          <t>VÄSTERVIK</t>
        </is>
      </c>
      <c r="F5981" t="inlineStr">
        <is>
          <t>Sveaskog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19684-2022</t>
        </is>
      </c>
      <c r="B5982" s="1" t="n">
        <v>44694</v>
      </c>
      <c r="C5982" s="1" t="n">
        <v>45715</v>
      </c>
      <c r="D5982" t="inlineStr">
        <is>
          <t>KALMAR LÄN</t>
        </is>
      </c>
      <c r="E5982" t="inlineStr">
        <is>
          <t>HULTSFRED</t>
        </is>
      </c>
      <c r="G5982" t="n">
        <v>5.7</v>
      </c>
      <c r="H5982" t="n">
        <v>0</v>
      </c>
      <c r="I5982" t="n">
        <v>0</v>
      </c>
      <c r="J5982" t="n">
        <v>0</v>
      </c>
      <c r="K5982" t="n">
        <v>0</v>
      </c>
      <c r="L5982" t="n">
        <v>0</v>
      </c>
      <c r="M5982" t="n">
        <v>0</v>
      </c>
      <c r="N5982" t="n">
        <v>0</v>
      </c>
      <c r="O5982" t="n">
        <v>0</v>
      </c>
      <c r="P5982" t="n">
        <v>0</v>
      </c>
      <c r="Q5982" t="n">
        <v>0</v>
      </c>
      <c r="R5982" s="2" t="inlineStr"/>
    </row>
    <row r="5983" ht="15" customHeight="1">
      <c r="A5983" t="inlineStr">
        <is>
          <t>A 19714-2022</t>
        </is>
      </c>
      <c r="B5983" s="1" t="n">
        <v>44694</v>
      </c>
      <c r="C5983" s="1" t="n">
        <v>45715</v>
      </c>
      <c r="D5983" t="inlineStr">
        <is>
          <t>KALMAR LÄN</t>
        </is>
      </c>
      <c r="E5983" t="inlineStr">
        <is>
          <t>TORSÅS</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19986-2022</t>
        </is>
      </c>
      <c r="B5984" s="1" t="n">
        <v>44697</v>
      </c>
      <c r="C5984" s="1" t="n">
        <v>45715</v>
      </c>
      <c r="D5984" t="inlineStr">
        <is>
          <t>KALMAR LÄN</t>
        </is>
      </c>
      <c r="E5984" t="inlineStr">
        <is>
          <t>OSKARSHAMN</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19943-2022</t>
        </is>
      </c>
      <c r="B5985" s="1" t="n">
        <v>44697</v>
      </c>
      <c r="C5985" s="1" t="n">
        <v>45715</v>
      </c>
      <c r="D5985" t="inlineStr">
        <is>
          <t>KALMAR LÄN</t>
        </is>
      </c>
      <c r="E5985" t="inlineStr">
        <is>
          <t>NYBRO</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19932-2022</t>
        </is>
      </c>
      <c r="B5986" s="1" t="n">
        <v>44697</v>
      </c>
      <c r="C5986" s="1" t="n">
        <v>45715</v>
      </c>
      <c r="D5986" t="inlineStr">
        <is>
          <t>KALMAR LÄN</t>
        </is>
      </c>
      <c r="E5986" t="inlineStr">
        <is>
          <t>NYBRO</t>
        </is>
      </c>
      <c r="F5986" t="inlineStr">
        <is>
          <t>Kyrkan</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19948-2022</t>
        </is>
      </c>
      <c r="B5987" s="1" t="n">
        <v>44697</v>
      </c>
      <c r="C5987" s="1" t="n">
        <v>45715</v>
      </c>
      <c r="D5987" t="inlineStr">
        <is>
          <t>KALMAR LÄN</t>
        </is>
      </c>
      <c r="E5987" t="inlineStr">
        <is>
          <t>NYBRO</t>
        </is>
      </c>
      <c r="F5987" t="inlineStr">
        <is>
          <t>Kyrkan</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20128-2022</t>
        </is>
      </c>
      <c r="B5988" s="1" t="n">
        <v>44698</v>
      </c>
      <c r="C5988" s="1" t="n">
        <v>45715</v>
      </c>
      <c r="D5988" t="inlineStr">
        <is>
          <t>KALMAR LÄN</t>
        </is>
      </c>
      <c r="E5988" t="inlineStr">
        <is>
          <t>HÖGSBY</t>
        </is>
      </c>
      <c r="F5988" t="inlineStr">
        <is>
          <t>Sveaskog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20102-2022</t>
        </is>
      </c>
      <c r="B5989" s="1" t="n">
        <v>44698</v>
      </c>
      <c r="C5989" s="1" t="n">
        <v>45715</v>
      </c>
      <c r="D5989" t="inlineStr">
        <is>
          <t>KALMAR LÄN</t>
        </is>
      </c>
      <c r="E5989" t="inlineStr">
        <is>
          <t>EMMABODA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20250-2022</t>
        </is>
      </c>
      <c r="B5990" s="1" t="n">
        <v>44698</v>
      </c>
      <c r="C5990" s="1" t="n">
        <v>45715</v>
      </c>
      <c r="D5990" t="inlineStr">
        <is>
          <t>KALMAR LÄN</t>
        </is>
      </c>
      <c r="E5990" t="inlineStr">
        <is>
          <t>MÖNSTERÅS</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20389-2022</t>
        </is>
      </c>
      <c r="B5991" s="1" t="n">
        <v>44699</v>
      </c>
      <c r="C5991" s="1" t="n">
        <v>45715</v>
      </c>
      <c r="D5991" t="inlineStr">
        <is>
          <t>KALMAR LÄN</t>
        </is>
      </c>
      <c r="E5991" t="inlineStr">
        <is>
          <t>NYBRO</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20503-2022</t>
        </is>
      </c>
      <c r="B5992" s="1" t="n">
        <v>44699</v>
      </c>
      <c r="C5992" s="1" t="n">
        <v>45715</v>
      </c>
      <c r="D5992" t="inlineStr">
        <is>
          <t>KALMAR LÄN</t>
        </is>
      </c>
      <c r="E5992" t="inlineStr">
        <is>
          <t>EMMABODA</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20504-2022</t>
        </is>
      </c>
      <c r="B5993" s="1" t="n">
        <v>44699</v>
      </c>
      <c r="C5993" s="1" t="n">
        <v>45715</v>
      </c>
      <c r="D5993" t="inlineStr">
        <is>
          <t>KALMAR LÄN</t>
        </is>
      </c>
      <c r="E5993" t="inlineStr">
        <is>
          <t>EMMABODA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20505-2022</t>
        </is>
      </c>
      <c r="B5994" s="1" t="n">
        <v>44699</v>
      </c>
      <c r="C5994" s="1" t="n">
        <v>45715</v>
      </c>
      <c r="D5994" t="inlineStr">
        <is>
          <t>KALMAR LÄN</t>
        </is>
      </c>
      <c r="E5994" t="inlineStr">
        <is>
          <t>EMMABODA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20502-2022</t>
        </is>
      </c>
      <c r="B5995" s="1" t="n">
        <v>44699</v>
      </c>
      <c r="C5995" s="1" t="n">
        <v>45715</v>
      </c>
      <c r="D5995" t="inlineStr">
        <is>
          <t>KALMAR LÄN</t>
        </is>
      </c>
      <c r="E5995" t="inlineStr">
        <is>
          <t>EMMABODA</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20566-2022</t>
        </is>
      </c>
      <c r="B5996" s="1" t="n">
        <v>44700</v>
      </c>
      <c r="C5996" s="1" t="n">
        <v>45715</v>
      </c>
      <c r="D5996" t="inlineStr">
        <is>
          <t>KALMAR LÄN</t>
        </is>
      </c>
      <c r="E5996" t="inlineStr">
        <is>
          <t>HULTSFRED</t>
        </is>
      </c>
      <c r="F5996" t="inlineStr">
        <is>
          <t>Sveaskog</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20621-2022</t>
        </is>
      </c>
      <c r="B5997" s="1" t="n">
        <v>44700</v>
      </c>
      <c r="C5997" s="1" t="n">
        <v>45715</v>
      </c>
      <c r="D5997" t="inlineStr">
        <is>
          <t>KALMAR LÄN</t>
        </is>
      </c>
      <c r="E5997" t="inlineStr">
        <is>
          <t>NYBRO</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20648-2022</t>
        </is>
      </c>
      <c r="B5998" s="1" t="n">
        <v>44700</v>
      </c>
      <c r="C5998" s="1" t="n">
        <v>45715</v>
      </c>
      <c r="D5998" t="inlineStr">
        <is>
          <t>KALMAR LÄN</t>
        </is>
      </c>
      <c r="E5998" t="inlineStr">
        <is>
          <t>EMMABODA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21059-2022</t>
        </is>
      </c>
      <c r="B5999" s="1" t="n">
        <v>44704</v>
      </c>
      <c r="C5999" s="1" t="n">
        <v>45715</v>
      </c>
      <c r="D5999" t="inlineStr">
        <is>
          <t>KALMAR LÄN</t>
        </is>
      </c>
      <c r="E5999" t="inlineStr">
        <is>
          <t>OSKARSHAMN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21065-2022</t>
        </is>
      </c>
      <c r="B6000" s="1" t="n">
        <v>44704</v>
      </c>
      <c r="C6000" s="1" t="n">
        <v>45715</v>
      </c>
      <c r="D6000" t="inlineStr">
        <is>
          <t>KALMAR LÄN</t>
        </is>
      </c>
      <c r="E6000" t="inlineStr">
        <is>
          <t>OSKARSHAMN</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21268-2022</t>
        </is>
      </c>
      <c r="B6001" s="1" t="n">
        <v>44705</v>
      </c>
      <c r="C6001" s="1" t="n">
        <v>45715</v>
      </c>
      <c r="D6001" t="inlineStr">
        <is>
          <t>KALMAR LÄN</t>
        </is>
      </c>
      <c r="E6001" t="inlineStr">
        <is>
          <t>HULTSFRED</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21254-2022</t>
        </is>
      </c>
      <c r="B6002" s="1" t="n">
        <v>44705</v>
      </c>
      <c r="C6002" s="1" t="n">
        <v>45715</v>
      </c>
      <c r="D6002" t="inlineStr">
        <is>
          <t>KALMAR LÄN</t>
        </is>
      </c>
      <c r="E6002" t="inlineStr">
        <is>
          <t>HULTSFRED</t>
        </is>
      </c>
      <c r="G6002" t="n">
        <v>11.3</v>
      </c>
      <c r="H6002" t="n">
        <v>0</v>
      </c>
      <c r="I6002" t="n">
        <v>0</v>
      </c>
      <c r="J6002" t="n">
        <v>0</v>
      </c>
      <c r="K6002" t="n">
        <v>0</v>
      </c>
      <c r="L6002" t="n">
        <v>0</v>
      </c>
      <c r="M6002" t="n">
        <v>0</v>
      </c>
      <c r="N6002" t="n">
        <v>0</v>
      </c>
      <c r="O6002" t="n">
        <v>0</v>
      </c>
      <c r="P6002" t="n">
        <v>0</v>
      </c>
      <c r="Q6002" t="n">
        <v>0</v>
      </c>
      <c r="R6002" s="2" t="inlineStr"/>
    </row>
    <row r="6003" ht="15" customHeight="1">
      <c r="A6003" t="inlineStr">
        <is>
          <t>A 21337-2022</t>
        </is>
      </c>
      <c r="B6003" s="1" t="n">
        <v>44705</v>
      </c>
      <c r="C6003" s="1" t="n">
        <v>45715</v>
      </c>
      <c r="D6003" t="inlineStr">
        <is>
          <t>KALMAR LÄN</t>
        </is>
      </c>
      <c r="E6003" t="inlineStr">
        <is>
          <t>HULTSFRED</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21577-2022</t>
        </is>
      </c>
      <c r="B6004" s="1" t="n">
        <v>44706</v>
      </c>
      <c r="C6004" s="1" t="n">
        <v>45715</v>
      </c>
      <c r="D6004" t="inlineStr">
        <is>
          <t>KALMAR LÄN</t>
        </is>
      </c>
      <c r="E6004" t="inlineStr">
        <is>
          <t>TORSÅS</t>
        </is>
      </c>
      <c r="G6004" t="n">
        <v>8.300000000000001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21916-2022</t>
        </is>
      </c>
      <c r="B6005" s="1" t="n">
        <v>44711</v>
      </c>
      <c r="C6005" s="1" t="n">
        <v>45715</v>
      </c>
      <c r="D6005" t="inlineStr">
        <is>
          <t>KALMAR LÄN</t>
        </is>
      </c>
      <c r="E6005" t="inlineStr">
        <is>
          <t>OSKARSHAMN</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21964-2022</t>
        </is>
      </c>
      <c r="B6006" s="1" t="n">
        <v>44711</v>
      </c>
      <c r="C6006" s="1" t="n">
        <v>45715</v>
      </c>
      <c r="D6006" t="inlineStr">
        <is>
          <t>KALMAR LÄN</t>
        </is>
      </c>
      <c r="E6006" t="inlineStr">
        <is>
          <t>OSKARSHAMN</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21906-2022</t>
        </is>
      </c>
      <c r="B6007" s="1" t="n">
        <v>44711</v>
      </c>
      <c r="C6007" s="1" t="n">
        <v>45715</v>
      </c>
      <c r="D6007" t="inlineStr">
        <is>
          <t>KALMAR LÄN</t>
        </is>
      </c>
      <c r="E6007" t="inlineStr">
        <is>
          <t>OSKARSHAMN</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21908-2022</t>
        </is>
      </c>
      <c r="B6008" s="1" t="n">
        <v>44711</v>
      </c>
      <c r="C6008" s="1" t="n">
        <v>45715</v>
      </c>
      <c r="D6008" t="inlineStr">
        <is>
          <t>KALMAR LÄN</t>
        </is>
      </c>
      <c r="E6008" t="inlineStr">
        <is>
          <t>BORGHOLM</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21921-2022</t>
        </is>
      </c>
      <c r="B6009" s="1" t="n">
        <v>44711</v>
      </c>
      <c r="C6009" s="1" t="n">
        <v>45715</v>
      </c>
      <c r="D6009" t="inlineStr">
        <is>
          <t>KALMAR LÄN</t>
        </is>
      </c>
      <c r="E6009" t="inlineStr">
        <is>
          <t>OSKARSHAMN</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21931-2022</t>
        </is>
      </c>
      <c r="B6010" s="1" t="n">
        <v>44711</v>
      </c>
      <c r="C6010" s="1" t="n">
        <v>45715</v>
      </c>
      <c r="D6010" t="inlineStr">
        <is>
          <t>KALMAR LÄN</t>
        </is>
      </c>
      <c r="E6010" t="inlineStr">
        <is>
          <t>OSKARSHAMN</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21889-2022</t>
        </is>
      </c>
      <c r="B6011" s="1" t="n">
        <v>44711</v>
      </c>
      <c r="C6011" s="1" t="n">
        <v>45715</v>
      </c>
      <c r="D6011" t="inlineStr">
        <is>
          <t>KALMAR LÄN</t>
        </is>
      </c>
      <c r="E6011" t="inlineStr">
        <is>
          <t>TORSÅS</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22128-2022</t>
        </is>
      </c>
      <c r="B6012" s="1" t="n">
        <v>44712</v>
      </c>
      <c r="C6012" s="1" t="n">
        <v>45715</v>
      </c>
      <c r="D6012" t="inlineStr">
        <is>
          <t>KALMAR LÄN</t>
        </is>
      </c>
      <c r="E6012" t="inlineStr">
        <is>
          <t>KALMAR</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22278-2022</t>
        </is>
      </c>
      <c r="B6013" s="1" t="n">
        <v>44712</v>
      </c>
      <c r="C6013" s="1" t="n">
        <v>45715</v>
      </c>
      <c r="D6013" t="inlineStr">
        <is>
          <t>KALMAR LÄN</t>
        </is>
      </c>
      <c r="E6013" t="inlineStr">
        <is>
          <t>OSKARSHAMN</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22131-2022</t>
        </is>
      </c>
      <c r="B6014" s="1" t="n">
        <v>44712</v>
      </c>
      <c r="C6014" s="1" t="n">
        <v>45715</v>
      </c>
      <c r="D6014" t="inlineStr">
        <is>
          <t>KALMAR LÄN</t>
        </is>
      </c>
      <c r="E6014" t="inlineStr">
        <is>
          <t>KALMAR</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22189-2022</t>
        </is>
      </c>
      <c r="B6015" s="1" t="n">
        <v>44712</v>
      </c>
      <c r="C6015" s="1" t="n">
        <v>45715</v>
      </c>
      <c r="D6015" t="inlineStr">
        <is>
          <t>KALMAR LÄN</t>
        </is>
      </c>
      <c r="E6015" t="inlineStr">
        <is>
          <t>EMMABODA</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22233-2022</t>
        </is>
      </c>
      <c r="B6016" s="1" t="n">
        <v>44712</v>
      </c>
      <c r="C6016" s="1" t="n">
        <v>45715</v>
      </c>
      <c r="D6016" t="inlineStr">
        <is>
          <t>KALMAR LÄN</t>
        </is>
      </c>
      <c r="E6016" t="inlineStr">
        <is>
          <t>HULTSFRED</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22229-2022</t>
        </is>
      </c>
      <c r="B6017" s="1" t="n">
        <v>44712</v>
      </c>
      <c r="C6017" s="1" t="n">
        <v>45715</v>
      </c>
      <c r="D6017" t="inlineStr">
        <is>
          <t>KALMAR LÄN</t>
        </is>
      </c>
      <c r="E6017" t="inlineStr">
        <is>
          <t>HULTSFRED</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22282-2022</t>
        </is>
      </c>
      <c r="B6018" s="1" t="n">
        <v>44712</v>
      </c>
      <c r="C6018" s="1" t="n">
        <v>45715</v>
      </c>
      <c r="D6018" t="inlineStr">
        <is>
          <t>KALMAR LÄN</t>
        </is>
      </c>
      <c r="E6018" t="inlineStr">
        <is>
          <t>OSKARSHAMN</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22291-2022</t>
        </is>
      </c>
      <c r="B6019" s="1" t="n">
        <v>44712</v>
      </c>
      <c r="C6019" s="1" t="n">
        <v>45715</v>
      </c>
      <c r="D6019" t="inlineStr">
        <is>
          <t>KALMAR LÄN</t>
        </is>
      </c>
      <c r="E6019" t="inlineStr">
        <is>
          <t>OSKARSHAMN</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22377-2022</t>
        </is>
      </c>
      <c r="B6020" s="1" t="n">
        <v>44713</v>
      </c>
      <c r="C6020" s="1" t="n">
        <v>45715</v>
      </c>
      <c r="D6020" t="inlineStr">
        <is>
          <t>KALMAR LÄN</t>
        </is>
      </c>
      <c r="E6020" t="inlineStr">
        <is>
          <t>MÖNSTERÅS</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22487-2022</t>
        </is>
      </c>
      <c r="B6021" s="1" t="n">
        <v>44713</v>
      </c>
      <c r="C6021" s="1" t="n">
        <v>45715</v>
      </c>
      <c r="D6021" t="inlineStr">
        <is>
          <t>KALMAR LÄN</t>
        </is>
      </c>
      <c r="E6021" t="inlineStr">
        <is>
          <t>NYBRO</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22443-2022</t>
        </is>
      </c>
      <c r="B6022" s="1" t="n">
        <v>44713</v>
      </c>
      <c r="C6022" s="1" t="n">
        <v>45715</v>
      </c>
      <c r="D6022" t="inlineStr">
        <is>
          <t>KALMAR LÄN</t>
        </is>
      </c>
      <c r="E6022" t="inlineStr">
        <is>
          <t>HULTSFRED</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22489-2022</t>
        </is>
      </c>
      <c r="B6023" s="1" t="n">
        <v>44713</v>
      </c>
      <c r="C6023" s="1" t="n">
        <v>45715</v>
      </c>
      <c r="D6023" t="inlineStr">
        <is>
          <t>KALMAR LÄN</t>
        </is>
      </c>
      <c r="E6023" t="inlineStr">
        <is>
          <t>NYBRO</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22488-2022</t>
        </is>
      </c>
      <c r="B6024" s="1" t="n">
        <v>44713</v>
      </c>
      <c r="C6024" s="1" t="n">
        <v>45715</v>
      </c>
      <c r="D6024" t="inlineStr">
        <is>
          <t>KALMAR LÄN</t>
        </is>
      </c>
      <c r="E6024" t="inlineStr">
        <is>
          <t>NYBRO</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22543-2022</t>
        </is>
      </c>
      <c r="B6025" s="1" t="n">
        <v>44713</v>
      </c>
      <c r="C6025" s="1" t="n">
        <v>45715</v>
      </c>
      <c r="D6025" t="inlineStr">
        <is>
          <t>KALMAR LÄN</t>
        </is>
      </c>
      <c r="E6025" t="inlineStr">
        <is>
          <t>OSKARSHAMN</t>
        </is>
      </c>
      <c r="G6025" t="n">
        <v>6.2</v>
      </c>
      <c r="H6025" t="n">
        <v>0</v>
      </c>
      <c r="I6025" t="n">
        <v>0</v>
      </c>
      <c r="J6025" t="n">
        <v>0</v>
      </c>
      <c r="K6025" t="n">
        <v>0</v>
      </c>
      <c r="L6025" t="n">
        <v>0</v>
      </c>
      <c r="M6025" t="n">
        <v>0</v>
      </c>
      <c r="N6025" t="n">
        <v>0</v>
      </c>
      <c r="O6025" t="n">
        <v>0</v>
      </c>
      <c r="P6025" t="n">
        <v>0</v>
      </c>
      <c r="Q6025" t="n">
        <v>0</v>
      </c>
      <c r="R6025" s="2" t="inlineStr"/>
    </row>
    <row r="6026" ht="15" customHeight="1">
      <c r="A6026" t="inlineStr">
        <is>
          <t>A 22539-2022</t>
        </is>
      </c>
      <c r="B6026" s="1" t="n">
        <v>44713</v>
      </c>
      <c r="C6026" s="1" t="n">
        <v>45715</v>
      </c>
      <c r="D6026" t="inlineStr">
        <is>
          <t>KALMAR LÄN</t>
        </is>
      </c>
      <c r="E6026" t="inlineStr">
        <is>
          <t>OSKARSHAMN</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22676-2022</t>
        </is>
      </c>
      <c r="B6027" s="1" t="n">
        <v>44714</v>
      </c>
      <c r="C6027" s="1" t="n">
        <v>45715</v>
      </c>
      <c r="D6027" t="inlineStr">
        <is>
          <t>KALMAR LÄN</t>
        </is>
      </c>
      <c r="E6027" t="inlineStr">
        <is>
          <t>HULTSFRED</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22908-2022</t>
        </is>
      </c>
      <c r="B6028" s="1" t="n">
        <v>44715</v>
      </c>
      <c r="C6028" s="1" t="n">
        <v>45715</v>
      </c>
      <c r="D6028" t="inlineStr">
        <is>
          <t>KALMAR LÄN</t>
        </is>
      </c>
      <c r="E6028" t="inlineStr">
        <is>
          <t>EMMABODA</t>
        </is>
      </c>
      <c r="F6028" t="inlineStr">
        <is>
          <t>Sveaskog</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23057-2022</t>
        </is>
      </c>
      <c r="B6029" s="1" t="n">
        <v>44719</v>
      </c>
      <c r="C6029" s="1" t="n">
        <v>45715</v>
      </c>
      <c r="D6029" t="inlineStr">
        <is>
          <t>KALMAR LÄN</t>
        </is>
      </c>
      <c r="E6029" t="inlineStr">
        <is>
          <t>NYBRO</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23105-2022</t>
        </is>
      </c>
      <c r="B6030" s="1" t="n">
        <v>44719</v>
      </c>
      <c r="C6030" s="1" t="n">
        <v>45715</v>
      </c>
      <c r="D6030" t="inlineStr">
        <is>
          <t>KALMAR LÄN</t>
        </is>
      </c>
      <c r="E6030" t="inlineStr">
        <is>
          <t>HÖGSBY</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23147-2022</t>
        </is>
      </c>
      <c r="B6031" s="1" t="n">
        <v>44719</v>
      </c>
      <c r="C6031" s="1" t="n">
        <v>45715</v>
      </c>
      <c r="D6031" t="inlineStr">
        <is>
          <t>KALMAR LÄN</t>
        </is>
      </c>
      <c r="E6031" t="inlineStr">
        <is>
          <t>HULTSFRED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23167-2022</t>
        </is>
      </c>
      <c r="B6032" s="1" t="n">
        <v>44719</v>
      </c>
      <c r="C6032" s="1" t="n">
        <v>45715</v>
      </c>
      <c r="D6032" t="inlineStr">
        <is>
          <t>KALMAR LÄN</t>
        </is>
      </c>
      <c r="E6032" t="inlineStr">
        <is>
          <t>VÄSTERVIK</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23341-2022</t>
        </is>
      </c>
      <c r="B6033" s="1" t="n">
        <v>44720</v>
      </c>
      <c r="C6033" s="1" t="n">
        <v>45715</v>
      </c>
      <c r="D6033" t="inlineStr">
        <is>
          <t>KALMAR LÄN</t>
        </is>
      </c>
      <c r="E6033" t="inlineStr">
        <is>
          <t>VIMMERBY</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23411-2022</t>
        </is>
      </c>
      <c r="B6034" s="1" t="n">
        <v>44720</v>
      </c>
      <c r="C6034" s="1" t="n">
        <v>45715</v>
      </c>
      <c r="D6034" t="inlineStr">
        <is>
          <t>KALMAR LÄN</t>
        </is>
      </c>
      <c r="E6034" t="inlineStr">
        <is>
          <t>VÄSTERVIK</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23607-2022</t>
        </is>
      </c>
      <c r="B6035" s="1" t="n">
        <v>44721</v>
      </c>
      <c r="C6035" s="1" t="n">
        <v>45715</v>
      </c>
      <c r="D6035" t="inlineStr">
        <is>
          <t>KALMAR LÄN</t>
        </is>
      </c>
      <c r="E6035" t="inlineStr">
        <is>
          <t>NYBRO</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23636-2022</t>
        </is>
      </c>
      <c r="B6036" s="1" t="n">
        <v>44721</v>
      </c>
      <c r="C6036" s="1" t="n">
        <v>45715</v>
      </c>
      <c r="D6036" t="inlineStr">
        <is>
          <t>KALMAR LÄN</t>
        </is>
      </c>
      <c r="E6036" t="inlineStr">
        <is>
          <t>EMMABODA</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23589-2022</t>
        </is>
      </c>
      <c r="B6037" s="1" t="n">
        <v>44721</v>
      </c>
      <c r="C6037" s="1" t="n">
        <v>45715</v>
      </c>
      <c r="D6037" t="inlineStr">
        <is>
          <t>KALMAR LÄN</t>
        </is>
      </c>
      <c r="E6037" t="inlineStr">
        <is>
          <t>VÄSTERVIK</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23743-2022</t>
        </is>
      </c>
      <c r="B6038" s="1" t="n">
        <v>44722</v>
      </c>
      <c r="C6038" s="1" t="n">
        <v>45715</v>
      </c>
      <c r="D6038" t="inlineStr">
        <is>
          <t>KALMAR LÄN</t>
        </is>
      </c>
      <c r="E6038" t="inlineStr">
        <is>
          <t>VÄSTERVIK</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23720-2022</t>
        </is>
      </c>
      <c r="B6039" s="1" t="n">
        <v>44722</v>
      </c>
      <c r="C6039" s="1" t="n">
        <v>45715</v>
      </c>
      <c r="D6039" t="inlineStr">
        <is>
          <t>KALMAR LÄN</t>
        </is>
      </c>
      <c r="E6039" t="inlineStr">
        <is>
          <t>MÖNSTERÅS</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23776-2022</t>
        </is>
      </c>
      <c r="B6040" s="1" t="n">
        <v>44722</v>
      </c>
      <c r="C6040" s="1" t="n">
        <v>45715</v>
      </c>
      <c r="D6040" t="inlineStr">
        <is>
          <t>KALMAR LÄN</t>
        </is>
      </c>
      <c r="E6040" t="inlineStr">
        <is>
          <t>TORSÅS</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23825-2022</t>
        </is>
      </c>
      <c r="B6041" s="1" t="n">
        <v>44722</v>
      </c>
      <c r="C6041" s="1" t="n">
        <v>45715</v>
      </c>
      <c r="D6041" t="inlineStr">
        <is>
          <t>KALMAR LÄN</t>
        </is>
      </c>
      <c r="E6041" t="inlineStr">
        <is>
          <t>VIMMERBY</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23829-2022</t>
        </is>
      </c>
      <c r="B6042" s="1" t="n">
        <v>44722</v>
      </c>
      <c r="C6042" s="1" t="n">
        <v>45715</v>
      </c>
      <c r="D6042" t="inlineStr">
        <is>
          <t>KALMAR LÄN</t>
        </is>
      </c>
      <c r="E6042" t="inlineStr">
        <is>
          <t>EMMABODA</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23855-2022</t>
        </is>
      </c>
      <c r="B6043" s="1" t="n">
        <v>44722</v>
      </c>
      <c r="C6043" s="1" t="n">
        <v>45715</v>
      </c>
      <c r="D6043" t="inlineStr">
        <is>
          <t>KALMAR LÄN</t>
        </is>
      </c>
      <c r="E6043" t="inlineStr">
        <is>
          <t>KALMAR</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23945-2022</t>
        </is>
      </c>
      <c r="B6044" s="1" t="n">
        <v>44722</v>
      </c>
      <c r="C6044" s="1" t="n">
        <v>45715</v>
      </c>
      <c r="D6044" t="inlineStr">
        <is>
          <t>KALMAR LÄN</t>
        </is>
      </c>
      <c r="E6044" t="inlineStr">
        <is>
          <t>NYBRO</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23934-2022</t>
        </is>
      </c>
      <c r="B6045" s="1" t="n">
        <v>44722</v>
      </c>
      <c r="C6045" s="1" t="n">
        <v>45715</v>
      </c>
      <c r="D6045" t="inlineStr">
        <is>
          <t>KALMAR LÄN</t>
        </is>
      </c>
      <c r="E6045" t="inlineStr">
        <is>
          <t>EMMABODA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24040-2022</t>
        </is>
      </c>
      <c r="B6046" s="1" t="n">
        <v>44724</v>
      </c>
      <c r="C6046" s="1" t="n">
        <v>45715</v>
      </c>
      <c r="D6046" t="inlineStr">
        <is>
          <t>KALMAR LÄN</t>
        </is>
      </c>
      <c r="E6046" t="inlineStr">
        <is>
          <t>VÄSTERVIK</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24166-2022</t>
        </is>
      </c>
      <c r="B6047" s="1" t="n">
        <v>44725</v>
      </c>
      <c r="C6047" s="1" t="n">
        <v>45715</v>
      </c>
      <c r="D6047" t="inlineStr">
        <is>
          <t>KALMAR LÄN</t>
        </is>
      </c>
      <c r="E6047" t="inlineStr">
        <is>
          <t>BORGHOLM</t>
        </is>
      </c>
      <c r="G6047" t="n">
        <v>10.7</v>
      </c>
      <c r="H6047" t="n">
        <v>0</v>
      </c>
      <c r="I6047" t="n">
        <v>0</v>
      </c>
      <c r="J6047" t="n">
        <v>0</v>
      </c>
      <c r="K6047" t="n">
        <v>0</v>
      </c>
      <c r="L6047" t="n">
        <v>0</v>
      </c>
      <c r="M6047" t="n">
        <v>0</v>
      </c>
      <c r="N6047" t="n">
        <v>0</v>
      </c>
      <c r="O6047" t="n">
        <v>0</v>
      </c>
      <c r="P6047" t="n">
        <v>0</v>
      </c>
      <c r="Q6047" t="n">
        <v>0</v>
      </c>
      <c r="R6047" s="2" t="inlineStr"/>
    </row>
    <row r="6048" ht="15" customHeight="1">
      <c r="A6048" t="inlineStr">
        <is>
          <t>A 24159-2022</t>
        </is>
      </c>
      <c r="B6048" s="1" t="n">
        <v>44725</v>
      </c>
      <c r="C6048" s="1" t="n">
        <v>45715</v>
      </c>
      <c r="D6048" t="inlineStr">
        <is>
          <t>KALMAR LÄN</t>
        </is>
      </c>
      <c r="E6048" t="inlineStr">
        <is>
          <t>TORSÅS</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24257-2022</t>
        </is>
      </c>
      <c r="B6049" s="1" t="n">
        <v>44725</v>
      </c>
      <c r="C6049" s="1" t="n">
        <v>45715</v>
      </c>
      <c r="D6049" t="inlineStr">
        <is>
          <t>KALMAR LÄN</t>
        </is>
      </c>
      <c r="E6049" t="inlineStr">
        <is>
          <t>HULTSFRED</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24268-2022</t>
        </is>
      </c>
      <c r="B6050" s="1" t="n">
        <v>44725</v>
      </c>
      <c r="C6050" s="1" t="n">
        <v>45715</v>
      </c>
      <c r="D6050" t="inlineStr">
        <is>
          <t>KALMAR LÄN</t>
        </is>
      </c>
      <c r="E6050" t="inlineStr">
        <is>
          <t>EMMABODA</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24258-2022</t>
        </is>
      </c>
      <c r="B6051" s="1" t="n">
        <v>44725</v>
      </c>
      <c r="C6051" s="1" t="n">
        <v>45715</v>
      </c>
      <c r="D6051" t="inlineStr">
        <is>
          <t>KALMAR LÄN</t>
        </is>
      </c>
      <c r="E6051" t="inlineStr">
        <is>
          <t>HULTSFRED</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24292-2022</t>
        </is>
      </c>
      <c r="B6052" s="1" t="n">
        <v>44725</v>
      </c>
      <c r="C6052" s="1" t="n">
        <v>45715</v>
      </c>
      <c r="D6052" t="inlineStr">
        <is>
          <t>KALMAR LÄN</t>
        </is>
      </c>
      <c r="E6052" t="inlineStr">
        <is>
          <t>HÖGSBY</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24157-2022</t>
        </is>
      </c>
      <c r="B6053" s="1" t="n">
        <v>44725</v>
      </c>
      <c r="C6053" s="1" t="n">
        <v>45715</v>
      </c>
      <c r="D6053" t="inlineStr">
        <is>
          <t>KALMAR LÄN</t>
        </is>
      </c>
      <c r="E6053" t="inlineStr">
        <is>
          <t>TORSÅS</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24065-2022</t>
        </is>
      </c>
      <c r="B6054" s="1" t="n">
        <v>44725</v>
      </c>
      <c r="C6054" s="1" t="n">
        <v>45715</v>
      </c>
      <c r="D6054" t="inlineStr">
        <is>
          <t>KALMAR LÄN</t>
        </is>
      </c>
      <c r="E6054" t="inlineStr">
        <is>
          <t>BORGHOLM</t>
        </is>
      </c>
      <c r="G6054" t="n">
        <v>5</v>
      </c>
      <c r="H6054" t="n">
        <v>0</v>
      </c>
      <c r="I6054" t="n">
        <v>0</v>
      </c>
      <c r="J6054" t="n">
        <v>0</v>
      </c>
      <c r="K6054" t="n">
        <v>0</v>
      </c>
      <c r="L6054" t="n">
        <v>0</v>
      </c>
      <c r="M6054" t="n">
        <v>0</v>
      </c>
      <c r="N6054" t="n">
        <v>0</v>
      </c>
      <c r="O6054" t="n">
        <v>0</v>
      </c>
      <c r="P6054" t="n">
        <v>0</v>
      </c>
      <c r="Q6054" t="n">
        <v>0</v>
      </c>
      <c r="R6054" s="2" t="inlineStr"/>
    </row>
    <row r="6055" ht="15" customHeight="1">
      <c r="A6055" t="inlineStr">
        <is>
          <t>A 24148-2022</t>
        </is>
      </c>
      <c r="B6055" s="1" t="n">
        <v>44725</v>
      </c>
      <c r="C6055" s="1" t="n">
        <v>45715</v>
      </c>
      <c r="D6055" t="inlineStr">
        <is>
          <t>KALMAR LÄN</t>
        </is>
      </c>
      <c r="E6055" t="inlineStr">
        <is>
          <t>TORSÅS</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24497-2022</t>
        </is>
      </c>
      <c r="B6056" s="1" t="n">
        <v>44726</v>
      </c>
      <c r="C6056" s="1" t="n">
        <v>45715</v>
      </c>
      <c r="D6056" t="inlineStr">
        <is>
          <t>KALMAR LÄN</t>
        </is>
      </c>
      <c r="E6056" t="inlineStr">
        <is>
          <t>OSKARSHAMN</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24460-2022</t>
        </is>
      </c>
      <c r="B6057" s="1" t="n">
        <v>44726</v>
      </c>
      <c r="C6057" s="1" t="n">
        <v>45715</v>
      </c>
      <c r="D6057" t="inlineStr">
        <is>
          <t>KALMAR LÄN</t>
        </is>
      </c>
      <c r="E6057" t="inlineStr">
        <is>
          <t>EMMABODA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24550-2022</t>
        </is>
      </c>
      <c r="B6058" s="1" t="n">
        <v>44727</v>
      </c>
      <c r="C6058" s="1" t="n">
        <v>45715</v>
      </c>
      <c r="D6058" t="inlineStr">
        <is>
          <t>KALMAR LÄN</t>
        </is>
      </c>
      <c r="E6058" t="inlineStr">
        <is>
          <t>NYBRO</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24573-2022</t>
        </is>
      </c>
      <c r="B6059" s="1" t="n">
        <v>44727</v>
      </c>
      <c r="C6059" s="1" t="n">
        <v>45715</v>
      </c>
      <c r="D6059" t="inlineStr">
        <is>
          <t>KALMAR LÄN</t>
        </is>
      </c>
      <c r="E6059" t="inlineStr">
        <is>
          <t>NYBRO</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24716-2022</t>
        </is>
      </c>
      <c r="B6060" s="1" t="n">
        <v>44727</v>
      </c>
      <c r="C6060" s="1" t="n">
        <v>45715</v>
      </c>
      <c r="D6060" t="inlineStr">
        <is>
          <t>KALMAR LÄN</t>
        </is>
      </c>
      <c r="E6060" t="inlineStr">
        <is>
          <t>MÖNSTERÅS</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24743-2022</t>
        </is>
      </c>
      <c r="B6061" s="1" t="n">
        <v>44727</v>
      </c>
      <c r="C6061" s="1" t="n">
        <v>45715</v>
      </c>
      <c r="D6061" t="inlineStr">
        <is>
          <t>KALMAR LÄN</t>
        </is>
      </c>
      <c r="E6061" t="inlineStr">
        <is>
          <t>MÖNSTERÅS</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24830-2022</t>
        </is>
      </c>
      <c r="B6062" s="1" t="n">
        <v>44728</v>
      </c>
      <c r="C6062" s="1" t="n">
        <v>45715</v>
      </c>
      <c r="D6062" t="inlineStr">
        <is>
          <t>KALMAR LÄN</t>
        </is>
      </c>
      <c r="E6062" t="inlineStr">
        <is>
          <t>VÄSTERVIK</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24779-2022</t>
        </is>
      </c>
      <c r="B6063" s="1" t="n">
        <v>44728</v>
      </c>
      <c r="C6063" s="1" t="n">
        <v>45715</v>
      </c>
      <c r="D6063" t="inlineStr">
        <is>
          <t>KALMAR LÄN</t>
        </is>
      </c>
      <c r="E6063" t="inlineStr">
        <is>
          <t>EMMABODA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24776-2022</t>
        </is>
      </c>
      <c r="B6064" s="1" t="n">
        <v>44728</v>
      </c>
      <c r="C6064" s="1" t="n">
        <v>45715</v>
      </c>
      <c r="D6064" t="inlineStr">
        <is>
          <t>KALMAR LÄN</t>
        </is>
      </c>
      <c r="E6064" t="inlineStr">
        <is>
          <t>EMMABODA</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24829-2022</t>
        </is>
      </c>
      <c r="B6065" s="1" t="n">
        <v>44728</v>
      </c>
      <c r="C6065" s="1" t="n">
        <v>45715</v>
      </c>
      <c r="D6065" t="inlineStr">
        <is>
          <t>KALMAR LÄN</t>
        </is>
      </c>
      <c r="E6065" t="inlineStr">
        <is>
          <t>VÄSTERVIK</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24984-2022</t>
        </is>
      </c>
      <c r="B6066" s="1" t="n">
        <v>44728</v>
      </c>
      <c r="C6066" s="1" t="n">
        <v>45715</v>
      </c>
      <c r="D6066" t="inlineStr">
        <is>
          <t>KALMAR LÄN</t>
        </is>
      </c>
      <c r="E6066" t="inlineStr">
        <is>
          <t>EMMABODA</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24983-2022</t>
        </is>
      </c>
      <c r="B6067" s="1" t="n">
        <v>44728</v>
      </c>
      <c r="C6067" s="1" t="n">
        <v>45715</v>
      </c>
      <c r="D6067" t="inlineStr">
        <is>
          <t>KALMAR LÄN</t>
        </is>
      </c>
      <c r="E6067" t="inlineStr">
        <is>
          <t>EMMABODA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25049-2022</t>
        </is>
      </c>
      <c r="B6068" s="1" t="n">
        <v>44729</v>
      </c>
      <c r="C6068" s="1" t="n">
        <v>45715</v>
      </c>
      <c r="D6068" t="inlineStr">
        <is>
          <t>KALMAR LÄN</t>
        </is>
      </c>
      <c r="E6068" t="inlineStr">
        <is>
          <t>VIMMERBY</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25090-2022</t>
        </is>
      </c>
      <c r="B6069" s="1" t="n">
        <v>44729</v>
      </c>
      <c r="C6069" s="1" t="n">
        <v>45715</v>
      </c>
      <c r="D6069" t="inlineStr">
        <is>
          <t>KALMAR LÄN</t>
        </is>
      </c>
      <c r="E6069" t="inlineStr">
        <is>
          <t>EMMABODA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25223-2022</t>
        </is>
      </c>
      <c r="B6070" s="1" t="n">
        <v>44729</v>
      </c>
      <c r="C6070" s="1" t="n">
        <v>45715</v>
      </c>
      <c r="D6070" t="inlineStr">
        <is>
          <t>KALMAR LÄN</t>
        </is>
      </c>
      <c r="E6070" t="inlineStr">
        <is>
          <t>HÖGSBY</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25316-2022</t>
        </is>
      </c>
      <c r="B6071" s="1" t="n">
        <v>44731</v>
      </c>
      <c r="C6071" s="1" t="n">
        <v>45715</v>
      </c>
      <c r="D6071" t="inlineStr">
        <is>
          <t>KALMAR LÄN</t>
        </is>
      </c>
      <c r="E6071" t="inlineStr">
        <is>
          <t>EMMABODA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25370-2022</t>
        </is>
      </c>
      <c r="B6072" s="1" t="n">
        <v>44732</v>
      </c>
      <c r="C6072" s="1" t="n">
        <v>45715</v>
      </c>
      <c r="D6072" t="inlineStr">
        <is>
          <t>KALMAR LÄN</t>
        </is>
      </c>
      <c r="E6072" t="inlineStr">
        <is>
          <t>VIMMERBY</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25515-2022</t>
        </is>
      </c>
      <c r="B6073" s="1" t="n">
        <v>44732</v>
      </c>
      <c r="C6073" s="1" t="n">
        <v>45715</v>
      </c>
      <c r="D6073" t="inlineStr">
        <is>
          <t>KALMAR LÄN</t>
        </is>
      </c>
      <c r="E6073" t="inlineStr">
        <is>
          <t>KALMAR</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25539-2022</t>
        </is>
      </c>
      <c r="B6074" s="1" t="n">
        <v>44732</v>
      </c>
      <c r="C6074" s="1" t="n">
        <v>45715</v>
      </c>
      <c r="D6074" t="inlineStr">
        <is>
          <t>KALMAR LÄN</t>
        </is>
      </c>
      <c r="E6074" t="inlineStr">
        <is>
          <t>NYBRO</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25510-2022</t>
        </is>
      </c>
      <c r="B6075" s="1" t="n">
        <v>44732</v>
      </c>
      <c r="C6075" s="1" t="n">
        <v>45715</v>
      </c>
      <c r="D6075" t="inlineStr">
        <is>
          <t>KALMAR LÄN</t>
        </is>
      </c>
      <c r="E6075" t="inlineStr">
        <is>
          <t>KALMAR</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25582-2022</t>
        </is>
      </c>
      <c r="B6076" s="1" t="n">
        <v>44732</v>
      </c>
      <c r="C6076" s="1" t="n">
        <v>45715</v>
      </c>
      <c r="D6076" t="inlineStr">
        <is>
          <t>KALMAR LÄN</t>
        </is>
      </c>
      <c r="E6076" t="inlineStr">
        <is>
          <t>HULTSFRED</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25738-2022</t>
        </is>
      </c>
      <c r="B6077" s="1" t="n">
        <v>44733</v>
      </c>
      <c r="C6077" s="1" t="n">
        <v>45715</v>
      </c>
      <c r="D6077" t="inlineStr">
        <is>
          <t>KALMAR LÄN</t>
        </is>
      </c>
      <c r="E6077" t="inlineStr">
        <is>
          <t>VIMMERBY</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25846-2022</t>
        </is>
      </c>
      <c r="B6078" s="1" t="n">
        <v>44733</v>
      </c>
      <c r="C6078" s="1" t="n">
        <v>45715</v>
      </c>
      <c r="D6078" t="inlineStr">
        <is>
          <t>KALMAR LÄN</t>
        </is>
      </c>
      <c r="E6078" t="inlineStr">
        <is>
          <t>NYBRO</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25717-2022</t>
        </is>
      </c>
      <c r="B6079" s="1" t="n">
        <v>44733</v>
      </c>
      <c r="C6079" s="1" t="n">
        <v>45715</v>
      </c>
      <c r="D6079" t="inlineStr">
        <is>
          <t>KALMAR LÄN</t>
        </is>
      </c>
      <c r="E6079" t="inlineStr">
        <is>
          <t>NYBRO</t>
        </is>
      </c>
      <c r="G6079" t="n">
        <v>0.1</v>
      </c>
      <c r="H6079" t="n">
        <v>0</v>
      </c>
      <c r="I6079" t="n">
        <v>0</v>
      </c>
      <c r="J6079" t="n">
        <v>0</v>
      </c>
      <c r="K6079" t="n">
        <v>0</v>
      </c>
      <c r="L6079" t="n">
        <v>0</v>
      </c>
      <c r="M6079" t="n">
        <v>0</v>
      </c>
      <c r="N6079" t="n">
        <v>0</v>
      </c>
      <c r="O6079" t="n">
        <v>0</v>
      </c>
      <c r="P6079" t="n">
        <v>0</v>
      </c>
      <c r="Q6079" t="n">
        <v>0</v>
      </c>
      <c r="R6079" s="2" t="inlineStr"/>
    </row>
    <row r="6080" ht="15" customHeight="1">
      <c r="A6080" t="inlineStr">
        <is>
          <t>A 25859-2022</t>
        </is>
      </c>
      <c r="B6080" s="1" t="n">
        <v>44733</v>
      </c>
      <c r="C6080" s="1" t="n">
        <v>45715</v>
      </c>
      <c r="D6080" t="inlineStr">
        <is>
          <t>KALMAR LÄN</t>
        </is>
      </c>
      <c r="E6080" t="inlineStr">
        <is>
          <t>VIMMERBY</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25868-2022</t>
        </is>
      </c>
      <c r="B6081" s="1" t="n">
        <v>44733</v>
      </c>
      <c r="C6081" s="1" t="n">
        <v>45715</v>
      </c>
      <c r="D6081" t="inlineStr">
        <is>
          <t>KALMAR LÄN</t>
        </is>
      </c>
      <c r="E6081" t="inlineStr">
        <is>
          <t>VIMMERBY</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25867-2022</t>
        </is>
      </c>
      <c r="B6082" s="1" t="n">
        <v>44733</v>
      </c>
      <c r="C6082" s="1" t="n">
        <v>45715</v>
      </c>
      <c r="D6082" t="inlineStr">
        <is>
          <t>KALMAR LÄN</t>
        </is>
      </c>
      <c r="E6082" t="inlineStr">
        <is>
          <t>OSKARSHAMN</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25877-2022</t>
        </is>
      </c>
      <c r="B6083" s="1" t="n">
        <v>44733</v>
      </c>
      <c r="C6083" s="1" t="n">
        <v>45715</v>
      </c>
      <c r="D6083" t="inlineStr">
        <is>
          <t>KALMAR LÄN</t>
        </is>
      </c>
      <c r="E6083" t="inlineStr">
        <is>
          <t>KALMAR</t>
        </is>
      </c>
      <c r="G6083" t="n">
        <v>7.6</v>
      </c>
      <c r="H6083" t="n">
        <v>0</v>
      </c>
      <c r="I6083" t="n">
        <v>0</v>
      </c>
      <c r="J6083" t="n">
        <v>0</v>
      </c>
      <c r="K6083" t="n">
        <v>0</v>
      </c>
      <c r="L6083" t="n">
        <v>0</v>
      </c>
      <c r="M6083" t="n">
        <v>0</v>
      </c>
      <c r="N6083" t="n">
        <v>0</v>
      </c>
      <c r="O6083" t="n">
        <v>0</v>
      </c>
      <c r="P6083" t="n">
        <v>0</v>
      </c>
      <c r="Q6083" t="n">
        <v>0</v>
      </c>
      <c r="R6083" s="2" t="inlineStr"/>
    </row>
    <row r="6084" ht="15" customHeight="1">
      <c r="A6084" t="inlineStr">
        <is>
          <t>A 26059-2022</t>
        </is>
      </c>
      <c r="B6084" s="1" t="n">
        <v>44734</v>
      </c>
      <c r="C6084" s="1" t="n">
        <v>45715</v>
      </c>
      <c r="D6084" t="inlineStr">
        <is>
          <t>KALMAR LÄN</t>
        </is>
      </c>
      <c r="E6084" t="inlineStr">
        <is>
          <t>VÄSTERVIK</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26074-2022</t>
        </is>
      </c>
      <c r="B6085" s="1" t="n">
        <v>44734</v>
      </c>
      <c r="C6085" s="1" t="n">
        <v>45715</v>
      </c>
      <c r="D6085" t="inlineStr">
        <is>
          <t>KALMAR LÄN</t>
        </is>
      </c>
      <c r="E6085" t="inlineStr">
        <is>
          <t>NYBRO</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26459-2022</t>
        </is>
      </c>
      <c r="B6086" s="1" t="n">
        <v>44739</v>
      </c>
      <c r="C6086" s="1" t="n">
        <v>45715</v>
      </c>
      <c r="D6086" t="inlineStr">
        <is>
          <t>KALMAR LÄN</t>
        </is>
      </c>
      <c r="E6086" t="inlineStr">
        <is>
          <t>TORSÅS</t>
        </is>
      </c>
      <c r="G6086" t="n">
        <v>7.7</v>
      </c>
      <c r="H6086" t="n">
        <v>0</v>
      </c>
      <c r="I6086" t="n">
        <v>0</v>
      </c>
      <c r="J6086" t="n">
        <v>0</v>
      </c>
      <c r="K6086" t="n">
        <v>0</v>
      </c>
      <c r="L6086" t="n">
        <v>0</v>
      </c>
      <c r="M6086" t="n">
        <v>0</v>
      </c>
      <c r="N6086" t="n">
        <v>0</v>
      </c>
      <c r="O6086" t="n">
        <v>0</v>
      </c>
      <c r="P6086" t="n">
        <v>0</v>
      </c>
      <c r="Q6086" t="n">
        <v>0</v>
      </c>
      <c r="R6086" s="2" t="inlineStr"/>
    </row>
    <row r="6087" ht="15" customHeight="1">
      <c r="A6087" t="inlineStr">
        <is>
          <t>A 26515-2022</t>
        </is>
      </c>
      <c r="B6087" s="1" t="n">
        <v>44739</v>
      </c>
      <c r="C6087" s="1" t="n">
        <v>45715</v>
      </c>
      <c r="D6087" t="inlineStr">
        <is>
          <t>KALMAR LÄN</t>
        </is>
      </c>
      <c r="E6087" t="inlineStr">
        <is>
          <t>TORSÅS</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26715-2022</t>
        </is>
      </c>
      <c r="B6088" s="1" t="n">
        <v>44739</v>
      </c>
      <c r="C6088" s="1" t="n">
        <v>45715</v>
      </c>
      <c r="D6088" t="inlineStr">
        <is>
          <t>KALMAR LÄN</t>
        </is>
      </c>
      <c r="E6088" t="inlineStr">
        <is>
          <t>NYBRO</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26701-2022</t>
        </is>
      </c>
      <c r="B6089" s="1" t="n">
        <v>44739</v>
      </c>
      <c r="C6089" s="1" t="n">
        <v>45715</v>
      </c>
      <c r="D6089" t="inlineStr">
        <is>
          <t>KALMAR LÄN</t>
        </is>
      </c>
      <c r="E6089" t="inlineStr">
        <is>
          <t>MÖNSTERÅS</t>
        </is>
      </c>
      <c r="G6089" t="n">
        <v>6.5</v>
      </c>
      <c r="H6089" t="n">
        <v>0</v>
      </c>
      <c r="I6089" t="n">
        <v>0</v>
      </c>
      <c r="J6089" t="n">
        <v>0</v>
      </c>
      <c r="K6089" t="n">
        <v>0</v>
      </c>
      <c r="L6089" t="n">
        <v>0</v>
      </c>
      <c r="M6089" t="n">
        <v>0</v>
      </c>
      <c r="N6089" t="n">
        <v>0</v>
      </c>
      <c r="O6089" t="n">
        <v>0</v>
      </c>
      <c r="P6089" t="n">
        <v>0</v>
      </c>
      <c r="Q6089" t="n">
        <v>0</v>
      </c>
      <c r="R6089" s="2" t="inlineStr"/>
    </row>
    <row r="6090" ht="15" customHeight="1">
      <c r="A6090" t="inlineStr">
        <is>
          <t>A 26491-2022</t>
        </is>
      </c>
      <c r="B6090" s="1" t="n">
        <v>44739</v>
      </c>
      <c r="C6090" s="1" t="n">
        <v>45715</v>
      </c>
      <c r="D6090" t="inlineStr">
        <is>
          <t>KALMAR LÄN</t>
        </is>
      </c>
      <c r="E6090" t="inlineStr">
        <is>
          <t>TORSÅS</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26460-2022</t>
        </is>
      </c>
      <c r="B6091" s="1" t="n">
        <v>44739</v>
      </c>
      <c r="C6091" s="1" t="n">
        <v>45715</v>
      </c>
      <c r="D6091" t="inlineStr">
        <is>
          <t>KALMAR LÄN</t>
        </is>
      </c>
      <c r="E6091" t="inlineStr">
        <is>
          <t>TORSÅS</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26486-2022</t>
        </is>
      </c>
      <c r="B6092" s="1" t="n">
        <v>44739</v>
      </c>
      <c r="C6092" s="1" t="n">
        <v>45715</v>
      </c>
      <c r="D6092" t="inlineStr">
        <is>
          <t>KALMAR LÄN</t>
        </is>
      </c>
      <c r="E6092" t="inlineStr">
        <is>
          <t>EMMABODA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26827-2022</t>
        </is>
      </c>
      <c r="B6093" s="1" t="n">
        <v>44740</v>
      </c>
      <c r="C6093" s="1" t="n">
        <v>45715</v>
      </c>
      <c r="D6093" t="inlineStr">
        <is>
          <t>KALMAR LÄN</t>
        </is>
      </c>
      <c r="E6093" t="inlineStr">
        <is>
          <t>KALMAR</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26828-2022</t>
        </is>
      </c>
      <c r="B6094" s="1" t="n">
        <v>44740</v>
      </c>
      <c r="C6094" s="1" t="n">
        <v>45715</v>
      </c>
      <c r="D6094" t="inlineStr">
        <is>
          <t>KALMAR LÄN</t>
        </is>
      </c>
      <c r="E6094" t="inlineStr">
        <is>
          <t>TORSÅS</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26876-2022</t>
        </is>
      </c>
      <c r="B6095" s="1" t="n">
        <v>44740</v>
      </c>
      <c r="C6095" s="1" t="n">
        <v>45715</v>
      </c>
      <c r="D6095" t="inlineStr">
        <is>
          <t>KALMAR LÄN</t>
        </is>
      </c>
      <c r="E6095" t="inlineStr">
        <is>
          <t>MÖRBYLÅNGA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26909-2022</t>
        </is>
      </c>
      <c r="B6096" s="1" t="n">
        <v>44740</v>
      </c>
      <c r="C6096" s="1" t="n">
        <v>45715</v>
      </c>
      <c r="D6096" t="inlineStr">
        <is>
          <t>KALMAR LÄN</t>
        </is>
      </c>
      <c r="E6096" t="inlineStr">
        <is>
          <t>HULTSFRED</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26985-2022</t>
        </is>
      </c>
      <c r="B6097" s="1" t="n">
        <v>44740</v>
      </c>
      <c r="C6097" s="1" t="n">
        <v>45715</v>
      </c>
      <c r="D6097" t="inlineStr">
        <is>
          <t>KALMAR LÄN</t>
        </is>
      </c>
      <c r="E6097" t="inlineStr">
        <is>
          <t>EMMABODA</t>
        </is>
      </c>
      <c r="F6097" t="inlineStr">
        <is>
          <t>Sveaskog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26986-2022</t>
        </is>
      </c>
      <c r="B6098" s="1" t="n">
        <v>44740</v>
      </c>
      <c r="C6098" s="1" t="n">
        <v>45715</v>
      </c>
      <c r="D6098" t="inlineStr">
        <is>
          <t>KALMAR LÄN</t>
        </is>
      </c>
      <c r="E6098" t="inlineStr">
        <is>
          <t>EMMABODA</t>
        </is>
      </c>
      <c r="F6098" t="inlineStr">
        <is>
          <t>Sveaskog</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27054-2022</t>
        </is>
      </c>
      <c r="B6099" s="1" t="n">
        <v>44740</v>
      </c>
      <c r="C6099" s="1" t="n">
        <v>45715</v>
      </c>
      <c r="D6099" t="inlineStr">
        <is>
          <t>KALMAR LÄN</t>
        </is>
      </c>
      <c r="E6099" t="inlineStr">
        <is>
          <t>KALMAR</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27077-2022</t>
        </is>
      </c>
      <c r="B6100" s="1" t="n">
        <v>44741</v>
      </c>
      <c r="C6100" s="1" t="n">
        <v>45715</v>
      </c>
      <c r="D6100" t="inlineStr">
        <is>
          <t>KALMAR LÄN</t>
        </is>
      </c>
      <c r="E6100" t="inlineStr">
        <is>
          <t>MÖNSTERÅS</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27256-2022</t>
        </is>
      </c>
      <c r="B6101" s="1" t="n">
        <v>44741</v>
      </c>
      <c r="C6101" s="1" t="n">
        <v>45715</v>
      </c>
      <c r="D6101" t="inlineStr">
        <is>
          <t>KALMAR LÄN</t>
        </is>
      </c>
      <c r="E6101" t="inlineStr">
        <is>
          <t>HULTSFRED</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27259-2022</t>
        </is>
      </c>
      <c r="B6102" s="1" t="n">
        <v>44741</v>
      </c>
      <c r="C6102" s="1" t="n">
        <v>45715</v>
      </c>
      <c r="D6102" t="inlineStr">
        <is>
          <t>KALMAR LÄN</t>
        </is>
      </c>
      <c r="E6102" t="inlineStr">
        <is>
          <t>HULTSFRED</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27217-2022</t>
        </is>
      </c>
      <c r="B6103" s="1" t="n">
        <v>44741</v>
      </c>
      <c r="C6103" s="1" t="n">
        <v>45715</v>
      </c>
      <c r="D6103" t="inlineStr">
        <is>
          <t>KALMAR LÄN</t>
        </is>
      </c>
      <c r="E6103" t="inlineStr">
        <is>
          <t>TORSÅS</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27257-2022</t>
        </is>
      </c>
      <c r="B6104" s="1" t="n">
        <v>44741</v>
      </c>
      <c r="C6104" s="1" t="n">
        <v>45715</v>
      </c>
      <c r="D6104" t="inlineStr">
        <is>
          <t>KALMAR LÄN</t>
        </is>
      </c>
      <c r="E6104" t="inlineStr">
        <is>
          <t>TORSÅS</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27455-2022</t>
        </is>
      </c>
      <c r="B6105" s="1" t="n">
        <v>44742</v>
      </c>
      <c r="C6105" s="1" t="n">
        <v>45715</v>
      </c>
      <c r="D6105" t="inlineStr">
        <is>
          <t>KALMAR LÄN</t>
        </is>
      </c>
      <c r="E6105" t="inlineStr">
        <is>
          <t>VIMMERBY</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27419-2022</t>
        </is>
      </c>
      <c r="B6106" s="1" t="n">
        <v>44742</v>
      </c>
      <c r="C6106" s="1" t="n">
        <v>45715</v>
      </c>
      <c r="D6106" t="inlineStr">
        <is>
          <t>KALMAR LÄN</t>
        </is>
      </c>
      <c r="E6106" t="inlineStr">
        <is>
          <t>NYBRO</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27437-2022</t>
        </is>
      </c>
      <c r="B6107" s="1" t="n">
        <v>44742</v>
      </c>
      <c r="C6107" s="1" t="n">
        <v>45715</v>
      </c>
      <c r="D6107" t="inlineStr">
        <is>
          <t>KALMAR LÄN</t>
        </is>
      </c>
      <c r="E6107" t="inlineStr">
        <is>
          <t>BORGHOLM</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27552-2022</t>
        </is>
      </c>
      <c r="B6108" s="1" t="n">
        <v>44742</v>
      </c>
      <c r="C6108" s="1" t="n">
        <v>45715</v>
      </c>
      <c r="D6108" t="inlineStr">
        <is>
          <t>KALMAR LÄN</t>
        </is>
      </c>
      <c r="E6108" t="inlineStr">
        <is>
          <t>VÄSTERVIK</t>
        </is>
      </c>
      <c r="G6108" t="n">
        <v>8.199999999999999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27660-2022</t>
        </is>
      </c>
      <c r="B6109" s="1" t="n">
        <v>44743</v>
      </c>
      <c r="C6109" s="1" t="n">
        <v>45715</v>
      </c>
      <c r="D6109" t="inlineStr">
        <is>
          <t>KALMAR LÄN</t>
        </is>
      </c>
      <c r="E6109" t="inlineStr">
        <is>
          <t>EMMABODA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27674-2022</t>
        </is>
      </c>
      <c r="B6110" s="1" t="n">
        <v>44743</v>
      </c>
      <c r="C6110" s="1" t="n">
        <v>45715</v>
      </c>
      <c r="D6110" t="inlineStr">
        <is>
          <t>KALMAR LÄN</t>
        </is>
      </c>
      <c r="E6110" t="inlineStr">
        <is>
          <t>EMMABODA</t>
        </is>
      </c>
      <c r="G6110" t="n">
        <v>6</v>
      </c>
      <c r="H6110" t="n">
        <v>0</v>
      </c>
      <c r="I6110" t="n">
        <v>0</v>
      </c>
      <c r="J6110" t="n">
        <v>0</v>
      </c>
      <c r="K6110" t="n">
        <v>0</v>
      </c>
      <c r="L6110" t="n">
        <v>0</v>
      </c>
      <c r="M6110" t="n">
        <v>0</v>
      </c>
      <c r="N6110" t="n">
        <v>0</v>
      </c>
      <c r="O6110" t="n">
        <v>0</v>
      </c>
      <c r="P6110" t="n">
        <v>0</v>
      </c>
      <c r="Q6110" t="n">
        <v>0</v>
      </c>
      <c r="R6110" s="2" t="inlineStr"/>
    </row>
    <row r="6111" ht="15" customHeight="1">
      <c r="A6111" t="inlineStr">
        <is>
          <t>A 27678-2022</t>
        </is>
      </c>
      <c r="B6111" s="1" t="n">
        <v>44743</v>
      </c>
      <c r="C6111" s="1" t="n">
        <v>45715</v>
      </c>
      <c r="D6111" t="inlineStr">
        <is>
          <t>KALMAR LÄN</t>
        </is>
      </c>
      <c r="E6111" t="inlineStr">
        <is>
          <t>EMMABODA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27610-2022</t>
        </is>
      </c>
      <c r="B6112" s="1" t="n">
        <v>44743</v>
      </c>
      <c r="C6112" s="1" t="n">
        <v>45715</v>
      </c>
      <c r="D6112" t="inlineStr">
        <is>
          <t>KALMAR LÄN</t>
        </is>
      </c>
      <c r="E6112" t="inlineStr">
        <is>
          <t>NYBRO</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27661-2022</t>
        </is>
      </c>
      <c r="B6113" s="1" t="n">
        <v>44743</v>
      </c>
      <c r="C6113" s="1" t="n">
        <v>45715</v>
      </c>
      <c r="D6113" t="inlineStr">
        <is>
          <t>KALMAR LÄN</t>
        </is>
      </c>
      <c r="E6113" t="inlineStr">
        <is>
          <t>EMMABODA</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27684-2022</t>
        </is>
      </c>
      <c r="B6114" s="1" t="n">
        <v>44743</v>
      </c>
      <c r="C6114" s="1" t="n">
        <v>45715</v>
      </c>
      <c r="D6114" t="inlineStr">
        <is>
          <t>KALMAR LÄN</t>
        </is>
      </c>
      <c r="E6114" t="inlineStr">
        <is>
          <t>OSKARSHAMN</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27810-2022</t>
        </is>
      </c>
      <c r="B6115" s="1" t="n">
        <v>44743</v>
      </c>
      <c r="C6115" s="1" t="n">
        <v>45715</v>
      </c>
      <c r="D6115" t="inlineStr">
        <is>
          <t>KALMAR LÄN</t>
        </is>
      </c>
      <c r="E6115" t="inlineStr">
        <is>
          <t>HULTSFRED</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27797-2022</t>
        </is>
      </c>
      <c r="B6116" s="1" t="n">
        <v>44743</v>
      </c>
      <c r="C6116" s="1" t="n">
        <v>45715</v>
      </c>
      <c r="D6116" t="inlineStr">
        <is>
          <t>KALMAR LÄN</t>
        </is>
      </c>
      <c r="E6116" t="inlineStr">
        <is>
          <t>NYBRO</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27676-2022</t>
        </is>
      </c>
      <c r="B6117" s="1" t="n">
        <v>44743</v>
      </c>
      <c r="C6117" s="1" t="n">
        <v>45715</v>
      </c>
      <c r="D6117" t="inlineStr">
        <is>
          <t>KALMAR LÄN</t>
        </is>
      </c>
      <c r="E6117" t="inlineStr">
        <is>
          <t>EMMABODA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27993-2022</t>
        </is>
      </c>
      <c r="B6118" s="1" t="n">
        <v>44745</v>
      </c>
      <c r="C6118" s="1" t="n">
        <v>45715</v>
      </c>
      <c r="D6118" t="inlineStr">
        <is>
          <t>KALMAR LÄN</t>
        </is>
      </c>
      <c r="E6118" t="inlineStr">
        <is>
          <t>VIMMERBY</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28034-2022</t>
        </is>
      </c>
      <c r="B6119" s="1" t="n">
        <v>44746</v>
      </c>
      <c r="C6119" s="1" t="n">
        <v>45715</v>
      </c>
      <c r="D6119" t="inlineStr">
        <is>
          <t>KALMAR LÄN</t>
        </is>
      </c>
      <c r="E6119" t="inlineStr">
        <is>
          <t>VIMMERBY</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28164-2022</t>
        </is>
      </c>
      <c r="B6120" s="1" t="n">
        <v>44746</v>
      </c>
      <c r="C6120" s="1" t="n">
        <v>45715</v>
      </c>
      <c r="D6120" t="inlineStr">
        <is>
          <t>KALMAR LÄN</t>
        </is>
      </c>
      <c r="E6120" t="inlineStr">
        <is>
          <t>NYBRO</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28168-2022</t>
        </is>
      </c>
      <c r="B6121" s="1" t="n">
        <v>44746</v>
      </c>
      <c r="C6121" s="1" t="n">
        <v>45715</v>
      </c>
      <c r="D6121" t="inlineStr">
        <is>
          <t>KALMAR LÄN</t>
        </is>
      </c>
      <c r="E6121" t="inlineStr">
        <is>
          <t>NYBRO</t>
        </is>
      </c>
      <c r="G6121" t="n">
        <v>6.8</v>
      </c>
      <c r="H6121" t="n">
        <v>0</v>
      </c>
      <c r="I6121" t="n">
        <v>0</v>
      </c>
      <c r="J6121" t="n">
        <v>0</v>
      </c>
      <c r="K6121" t="n">
        <v>0</v>
      </c>
      <c r="L6121" t="n">
        <v>0</v>
      </c>
      <c r="M6121" t="n">
        <v>0</v>
      </c>
      <c r="N6121" t="n">
        <v>0</v>
      </c>
      <c r="O6121" t="n">
        <v>0</v>
      </c>
      <c r="P6121" t="n">
        <v>0</v>
      </c>
      <c r="Q6121" t="n">
        <v>0</v>
      </c>
      <c r="R6121" s="2" t="inlineStr"/>
    </row>
    <row r="6122" ht="15" customHeight="1">
      <c r="A6122" t="inlineStr">
        <is>
          <t>A 28145-2022</t>
        </is>
      </c>
      <c r="B6122" s="1" t="n">
        <v>44746</v>
      </c>
      <c r="C6122" s="1" t="n">
        <v>45715</v>
      </c>
      <c r="D6122" t="inlineStr">
        <is>
          <t>KALMAR LÄN</t>
        </is>
      </c>
      <c r="E6122" t="inlineStr">
        <is>
          <t>NYBRO</t>
        </is>
      </c>
      <c r="G6122" t="n">
        <v>8.4</v>
      </c>
      <c r="H6122" t="n">
        <v>0</v>
      </c>
      <c r="I6122" t="n">
        <v>0</v>
      </c>
      <c r="J6122" t="n">
        <v>0</v>
      </c>
      <c r="K6122" t="n">
        <v>0</v>
      </c>
      <c r="L6122" t="n">
        <v>0</v>
      </c>
      <c r="M6122" t="n">
        <v>0</v>
      </c>
      <c r="N6122" t="n">
        <v>0</v>
      </c>
      <c r="O6122" t="n">
        <v>0</v>
      </c>
      <c r="P6122" t="n">
        <v>0</v>
      </c>
      <c r="Q6122" t="n">
        <v>0</v>
      </c>
      <c r="R6122" s="2" t="inlineStr"/>
    </row>
    <row r="6123" ht="15" customHeight="1">
      <c r="A6123" t="inlineStr">
        <is>
          <t>A 28406-2022</t>
        </is>
      </c>
      <c r="B6123" s="1" t="n">
        <v>44747</v>
      </c>
      <c r="C6123" s="1" t="n">
        <v>45715</v>
      </c>
      <c r="D6123" t="inlineStr">
        <is>
          <t>KALMAR LÄN</t>
        </is>
      </c>
      <c r="E6123" t="inlineStr">
        <is>
          <t>VIMMERBY</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28345-2022</t>
        </is>
      </c>
      <c r="B6124" s="1" t="n">
        <v>44747</v>
      </c>
      <c r="C6124" s="1" t="n">
        <v>45715</v>
      </c>
      <c r="D6124" t="inlineStr">
        <is>
          <t>KALMAR LÄN</t>
        </is>
      </c>
      <c r="E6124" t="inlineStr">
        <is>
          <t>BORGHOLM</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28426-2022</t>
        </is>
      </c>
      <c r="B6125" s="1" t="n">
        <v>44747</v>
      </c>
      <c r="C6125" s="1" t="n">
        <v>45715</v>
      </c>
      <c r="D6125" t="inlineStr">
        <is>
          <t>KALMAR LÄN</t>
        </is>
      </c>
      <c r="E6125" t="inlineStr">
        <is>
          <t>VÄSTERVIK</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28588-2022</t>
        </is>
      </c>
      <c r="B6126" s="1" t="n">
        <v>44748</v>
      </c>
      <c r="C6126" s="1" t="n">
        <v>45715</v>
      </c>
      <c r="D6126" t="inlineStr">
        <is>
          <t>KALMAR LÄN</t>
        </is>
      </c>
      <c r="E6126" t="inlineStr">
        <is>
          <t>VÄSTERVIK</t>
        </is>
      </c>
      <c r="F6126" t="inlineStr">
        <is>
          <t>Övriga Aktiebolag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28646-2022</t>
        </is>
      </c>
      <c r="B6127" s="1" t="n">
        <v>44748</v>
      </c>
      <c r="C6127" s="1" t="n">
        <v>45715</v>
      </c>
      <c r="D6127" t="inlineStr">
        <is>
          <t>KALMAR LÄN</t>
        </is>
      </c>
      <c r="E6127" t="inlineStr">
        <is>
          <t>VIMMERBY</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28537-2022</t>
        </is>
      </c>
      <c r="B6128" s="1" t="n">
        <v>44748</v>
      </c>
      <c r="C6128" s="1" t="n">
        <v>45715</v>
      </c>
      <c r="D6128" t="inlineStr">
        <is>
          <t>KALMAR LÄN</t>
        </is>
      </c>
      <c r="E6128" t="inlineStr">
        <is>
          <t>NYBRO</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28600-2022</t>
        </is>
      </c>
      <c r="B6129" s="1" t="n">
        <v>44748</v>
      </c>
      <c r="C6129" s="1" t="n">
        <v>45715</v>
      </c>
      <c r="D6129" t="inlineStr">
        <is>
          <t>KALMAR LÄN</t>
        </is>
      </c>
      <c r="E6129" t="inlineStr">
        <is>
          <t>EMMABODA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28592-2022</t>
        </is>
      </c>
      <c r="B6130" s="1" t="n">
        <v>44748</v>
      </c>
      <c r="C6130" s="1" t="n">
        <v>45715</v>
      </c>
      <c r="D6130" t="inlineStr">
        <is>
          <t>KALMAR LÄN</t>
        </is>
      </c>
      <c r="E6130" t="inlineStr">
        <is>
          <t>TORSÅS</t>
        </is>
      </c>
      <c r="G6130" t="n">
        <v>0.1</v>
      </c>
      <c r="H6130" t="n">
        <v>0</v>
      </c>
      <c r="I6130" t="n">
        <v>0</v>
      </c>
      <c r="J6130" t="n">
        <v>0</v>
      </c>
      <c r="K6130" t="n">
        <v>0</v>
      </c>
      <c r="L6130" t="n">
        <v>0</v>
      </c>
      <c r="M6130" t="n">
        <v>0</v>
      </c>
      <c r="N6130" t="n">
        <v>0</v>
      </c>
      <c r="O6130" t="n">
        <v>0</v>
      </c>
      <c r="P6130" t="n">
        <v>0</v>
      </c>
      <c r="Q6130" t="n">
        <v>0</v>
      </c>
      <c r="R6130" s="2" t="inlineStr"/>
    </row>
    <row r="6131" ht="15" customHeight="1">
      <c r="A6131" t="inlineStr">
        <is>
          <t>A 28679-2022</t>
        </is>
      </c>
      <c r="B6131" s="1" t="n">
        <v>44748</v>
      </c>
      <c r="C6131" s="1" t="n">
        <v>45715</v>
      </c>
      <c r="D6131" t="inlineStr">
        <is>
          <t>KALMAR LÄN</t>
        </is>
      </c>
      <c r="E6131" t="inlineStr">
        <is>
          <t>VÄSTERVIK</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28795-2022</t>
        </is>
      </c>
      <c r="B6132" s="1" t="n">
        <v>44749</v>
      </c>
      <c r="C6132" s="1" t="n">
        <v>45715</v>
      </c>
      <c r="D6132" t="inlineStr">
        <is>
          <t>KALMAR LÄN</t>
        </is>
      </c>
      <c r="E6132" t="inlineStr">
        <is>
          <t>NYBRO</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29023-2022</t>
        </is>
      </c>
      <c r="B6133" s="1" t="n">
        <v>44749</v>
      </c>
      <c r="C6133" s="1" t="n">
        <v>45715</v>
      </c>
      <c r="D6133" t="inlineStr">
        <is>
          <t>KALMAR LÄN</t>
        </is>
      </c>
      <c r="E6133" t="inlineStr">
        <is>
          <t>EMMABODA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28798-2022</t>
        </is>
      </c>
      <c r="B6134" s="1" t="n">
        <v>44749</v>
      </c>
      <c r="C6134" s="1" t="n">
        <v>45715</v>
      </c>
      <c r="D6134" t="inlineStr">
        <is>
          <t>KALMAR LÄN</t>
        </is>
      </c>
      <c r="E6134" t="inlineStr">
        <is>
          <t>VÄSTERVIK</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28878-2022</t>
        </is>
      </c>
      <c r="B6135" s="1" t="n">
        <v>44749</v>
      </c>
      <c r="C6135" s="1" t="n">
        <v>45715</v>
      </c>
      <c r="D6135" t="inlineStr">
        <is>
          <t>KALMAR LÄN</t>
        </is>
      </c>
      <c r="E6135" t="inlineStr">
        <is>
          <t>HULTSFRED</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29022-2022</t>
        </is>
      </c>
      <c r="B6136" s="1" t="n">
        <v>44749</v>
      </c>
      <c r="C6136" s="1" t="n">
        <v>45715</v>
      </c>
      <c r="D6136" t="inlineStr">
        <is>
          <t>KALMAR LÄN</t>
        </is>
      </c>
      <c r="E6136" t="inlineStr">
        <is>
          <t>OSKARSHAMN</t>
        </is>
      </c>
      <c r="G6136" t="n">
        <v>5.6</v>
      </c>
      <c r="H6136" t="n">
        <v>0</v>
      </c>
      <c r="I6136" t="n">
        <v>0</v>
      </c>
      <c r="J6136" t="n">
        <v>0</v>
      </c>
      <c r="K6136" t="n">
        <v>0</v>
      </c>
      <c r="L6136" t="n">
        <v>0</v>
      </c>
      <c r="M6136" t="n">
        <v>0</v>
      </c>
      <c r="N6136" t="n">
        <v>0</v>
      </c>
      <c r="O6136" t="n">
        <v>0</v>
      </c>
      <c r="P6136" t="n">
        <v>0</v>
      </c>
      <c r="Q6136" t="n">
        <v>0</v>
      </c>
      <c r="R6136" s="2" t="inlineStr"/>
    </row>
    <row r="6137" ht="15" customHeight="1">
      <c r="A6137" t="inlineStr">
        <is>
          <t>A 29021-2022</t>
        </is>
      </c>
      <c r="B6137" s="1" t="n">
        <v>44749</v>
      </c>
      <c r="C6137" s="1" t="n">
        <v>45715</v>
      </c>
      <c r="D6137" t="inlineStr">
        <is>
          <t>KALMAR LÄN</t>
        </is>
      </c>
      <c r="E6137" t="inlineStr">
        <is>
          <t>OSKARSHAMN</t>
        </is>
      </c>
      <c r="G6137" t="n">
        <v>8.4</v>
      </c>
      <c r="H6137" t="n">
        <v>0</v>
      </c>
      <c r="I6137" t="n">
        <v>0</v>
      </c>
      <c r="J6137" t="n">
        <v>0</v>
      </c>
      <c r="K6137" t="n">
        <v>0</v>
      </c>
      <c r="L6137" t="n">
        <v>0</v>
      </c>
      <c r="M6137" t="n">
        <v>0</v>
      </c>
      <c r="N6137" t="n">
        <v>0</v>
      </c>
      <c r="O6137" t="n">
        <v>0</v>
      </c>
      <c r="P6137" t="n">
        <v>0</v>
      </c>
      <c r="Q6137" t="n">
        <v>0</v>
      </c>
      <c r="R6137" s="2" t="inlineStr"/>
    </row>
    <row r="6138" ht="15" customHeight="1">
      <c r="A6138" t="inlineStr">
        <is>
          <t>A 29347-2022</t>
        </is>
      </c>
      <c r="B6138" s="1" t="n">
        <v>44753</v>
      </c>
      <c r="C6138" s="1" t="n">
        <v>45715</v>
      </c>
      <c r="D6138" t="inlineStr">
        <is>
          <t>KALMAR LÄN</t>
        </is>
      </c>
      <c r="E6138" t="inlineStr">
        <is>
          <t>MÖNSTERÅS</t>
        </is>
      </c>
      <c r="G6138" t="n">
        <v>0</v>
      </c>
      <c r="H6138" t="n">
        <v>0</v>
      </c>
      <c r="I6138" t="n">
        <v>0</v>
      </c>
      <c r="J6138" t="n">
        <v>0</v>
      </c>
      <c r="K6138" t="n">
        <v>0</v>
      </c>
      <c r="L6138" t="n">
        <v>0</v>
      </c>
      <c r="M6138" t="n">
        <v>0</v>
      </c>
      <c r="N6138" t="n">
        <v>0</v>
      </c>
      <c r="O6138" t="n">
        <v>0</v>
      </c>
      <c r="P6138" t="n">
        <v>0</v>
      </c>
      <c r="Q6138" t="n">
        <v>0</v>
      </c>
      <c r="R6138" s="2" t="inlineStr"/>
    </row>
    <row r="6139" ht="15" customHeight="1">
      <c r="A6139" t="inlineStr">
        <is>
          <t>A 29442-2022</t>
        </is>
      </c>
      <c r="B6139" s="1" t="n">
        <v>44753</v>
      </c>
      <c r="C6139" s="1" t="n">
        <v>45715</v>
      </c>
      <c r="D6139" t="inlineStr">
        <is>
          <t>KALMAR LÄN</t>
        </is>
      </c>
      <c r="E6139" t="inlineStr">
        <is>
          <t>EMMABODA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29609-2022</t>
        </is>
      </c>
      <c r="B6140" s="1" t="n">
        <v>44754</v>
      </c>
      <c r="C6140" s="1" t="n">
        <v>45715</v>
      </c>
      <c r="D6140" t="inlineStr">
        <is>
          <t>KALMAR LÄN</t>
        </is>
      </c>
      <c r="E6140" t="inlineStr">
        <is>
          <t>OSKARSHAMN</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29616-2022</t>
        </is>
      </c>
      <c r="B6141" s="1" t="n">
        <v>44754</v>
      </c>
      <c r="C6141" s="1" t="n">
        <v>45715</v>
      </c>
      <c r="D6141" t="inlineStr">
        <is>
          <t>KALMAR LÄN</t>
        </is>
      </c>
      <c r="E6141" t="inlineStr">
        <is>
          <t>VIMMERBY</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29745-2022</t>
        </is>
      </c>
      <c r="B6142" s="1" t="n">
        <v>44755</v>
      </c>
      <c r="C6142" s="1" t="n">
        <v>45715</v>
      </c>
      <c r="D6142" t="inlineStr">
        <is>
          <t>KALMAR LÄN</t>
        </is>
      </c>
      <c r="E6142" t="inlineStr">
        <is>
          <t>OSKARSHAMN</t>
        </is>
      </c>
      <c r="G6142" t="n">
        <v>7.9</v>
      </c>
      <c r="H6142" t="n">
        <v>0</v>
      </c>
      <c r="I6142" t="n">
        <v>0</v>
      </c>
      <c r="J6142" t="n">
        <v>0</v>
      </c>
      <c r="K6142" t="n">
        <v>0</v>
      </c>
      <c r="L6142" t="n">
        <v>0</v>
      </c>
      <c r="M6142" t="n">
        <v>0</v>
      </c>
      <c r="N6142" t="n">
        <v>0</v>
      </c>
      <c r="O6142" t="n">
        <v>0</v>
      </c>
      <c r="P6142" t="n">
        <v>0</v>
      </c>
      <c r="Q6142" t="n">
        <v>0</v>
      </c>
      <c r="R6142" s="2" t="inlineStr"/>
    </row>
    <row r="6143" ht="15" customHeight="1">
      <c r="A6143" t="inlineStr">
        <is>
          <t>A 29755-2022</t>
        </is>
      </c>
      <c r="B6143" s="1" t="n">
        <v>44755</v>
      </c>
      <c r="C6143" s="1" t="n">
        <v>45715</v>
      </c>
      <c r="D6143" t="inlineStr">
        <is>
          <t>KALMAR LÄN</t>
        </is>
      </c>
      <c r="E6143" t="inlineStr">
        <is>
          <t>OSKARSHAMN</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29741-2022</t>
        </is>
      </c>
      <c r="B6144" s="1" t="n">
        <v>44755</v>
      </c>
      <c r="C6144" s="1" t="n">
        <v>45715</v>
      </c>
      <c r="D6144" t="inlineStr">
        <is>
          <t>KALMAR LÄN</t>
        </is>
      </c>
      <c r="E6144" t="inlineStr">
        <is>
          <t>HULTSFRED</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29816-2022</t>
        </is>
      </c>
      <c r="B6145" s="1" t="n">
        <v>44755</v>
      </c>
      <c r="C6145" s="1" t="n">
        <v>45715</v>
      </c>
      <c r="D6145" t="inlineStr">
        <is>
          <t>KALMAR LÄN</t>
        </is>
      </c>
      <c r="E6145" t="inlineStr">
        <is>
          <t>VÄSTERVIK</t>
        </is>
      </c>
      <c r="F6145" t="inlineStr">
        <is>
          <t>Holmen skog AB</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29715-2022</t>
        </is>
      </c>
      <c r="B6146" s="1" t="n">
        <v>44755</v>
      </c>
      <c r="C6146" s="1" t="n">
        <v>45715</v>
      </c>
      <c r="D6146" t="inlineStr">
        <is>
          <t>KALMAR LÄN</t>
        </is>
      </c>
      <c r="E6146" t="inlineStr">
        <is>
          <t>NYBRO</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29788-2022</t>
        </is>
      </c>
      <c r="B6147" s="1" t="n">
        <v>44755</v>
      </c>
      <c r="C6147" s="1" t="n">
        <v>45715</v>
      </c>
      <c r="D6147" t="inlineStr">
        <is>
          <t>KALMAR LÄN</t>
        </is>
      </c>
      <c r="E6147" t="inlineStr">
        <is>
          <t>OSKARSHAMN</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29910-2022</t>
        </is>
      </c>
      <c r="B6148" s="1" t="n">
        <v>44756</v>
      </c>
      <c r="C6148" s="1" t="n">
        <v>45715</v>
      </c>
      <c r="D6148" t="inlineStr">
        <is>
          <t>KALMAR LÄN</t>
        </is>
      </c>
      <c r="E6148" t="inlineStr">
        <is>
          <t>VIMMERBY</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29932-2022</t>
        </is>
      </c>
      <c r="B6149" s="1" t="n">
        <v>44756</v>
      </c>
      <c r="C6149" s="1" t="n">
        <v>45715</v>
      </c>
      <c r="D6149" t="inlineStr">
        <is>
          <t>KALMAR LÄN</t>
        </is>
      </c>
      <c r="E6149" t="inlineStr">
        <is>
          <t>OSKARSHAMN</t>
        </is>
      </c>
      <c r="G6149" t="n">
        <v>6.3</v>
      </c>
      <c r="H6149" t="n">
        <v>0</v>
      </c>
      <c r="I6149" t="n">
        <v>0</v>
      </c>
      <c r="J6149" t="n">
        <v>0</v>
      </c>
      <c r="K6149" t="n">
        <v>0</v>
      </c>
      <c r="L6149" t="n">
        <v>0</v>
      </c>
      <c r="M6149" t="n">
        <v>0</v>
      </c>
      <c r="N6149" t="n">
        <v>0</v>
      </c>
      <c r="O6149" t="n">
        <v>0</v>
      </c>
      <c r="P6149" t="n">
        <v>0</v>
      </c>
      <c r="Q6149" t="n">
        <v>0</v>
      </c>
      <c r="R6149" s="2" t="inlineStr"/>
    </row>
    <row r="6150" ht="15" customHeight="1">
      <c r="A6150" t="inlineStr">
        <is>
          <t>A 29941-2022</t>
        </is>
      </c>
      <c r="B6150" s="1" t="n">
        <v>44756</v>
      </c>
      <c r="C6150" s="1" t="n">
        <v>45715</v>
      </c>
      <c r="D6150" t="inlineStr">
        <is>
          <t>KALMAR LÄN</t>
        </is>
      </c>
      <c r="E6150" t="inlineStr">
        <is>
          <t>OSKARSHAMN</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29847-2022</t>
        </is>
      </c>
      <c r="B6151" s="1" t="n">
        <v>44756</v>
      </c>
      <c r="C6151" s="1" t="n">
        <v>45715</v>
      </c>
      <c r="D6151" t="inlineStr">
        <is>
          <t>KALMAR LÄN</t>
        </is>
      </c>
      <c r="E6151" t="inlineStr">
        <is>
          <t>NYBRO</t>
        </is>
      </c>
      <c r="F6151" t="inlineStr">
        <is>
          <t>Kyrkan</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29909-2022</t>
        </is>
      </c>
      <c r="B6152" s="1" t="n">
        <v>44756</v>
      </c>
      <c r="C6152" s="1" t="n">
        <v>45715</v>
      </c>
      <c r="D6152" t="inlineStr">
        <is>
          <t>KALMAR LÄN</t>
        </is>
      </c>
      <c r="E6152" t="inlineStr">
        <is>
          <t>VÄSTERVIK</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29952-2022</t>
        </is>
      </c>
      <c r="B6153" s="1" t="n">
        <v>44756</v>
      </c>
      <c r="C6153" s="1" t="n">
        <v>45715</v>
      </c>
      <c r="D6153" t="inlineStr">
        <is>
          <t>KALMAR LÄN</t>
        </is>
      </c>
      <c r="E6153" t="inlineStr">
        <is>
          <t>VÄSTERVIK</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30000-2022</t>
        </is>
      </c>
      <c r="B6154" s="1" t="n">
        <v>44756</v>
      </c>
      <c r="C6154" s="1" t="n">
        <v>45715</v>
      </c>
      <c r="D6154" t="inlineStr">
        <is>
          <t>KALMAR LÄN</t>
        </is>
      </c>
      <c r="E6154" t="inlineStr">
        <is>
          <t>OSKARSHAMN</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29957-2022</t>
        </is>
      </c>
      <c r="B6155" s="1" t="n">
        <v>44756</v>
      </c>
      <c r="C6155" s="1" t="n">
        <v>45715</v>
      </c>
      <c r="D6155" t="inlineStr">
        <is>
          <t>KALMAR LÄN</t>
        </is>
      </c>
      <c r="E6155" t="inlineStr">
        <is>
          <t>MÖNSTERÅS</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30186-2022</t>
        </is>
      </c>
      <c r="B6156" s="1" t="n">
        <v>44757</v>
      </c>
      <c r="C6156" s="1" t="n">
        <v>45715</v>
      </c>
      <c r="D6156" t="inlineStr">
        <is>
          <t>KALMAR LÄN</t>
        </is>
      </c>
      <c r="E6156" t="inlineStr">
        <is>
          <t>VÄSTERVIK</t>
        </is>
      </c>
      <c r="F6156" t="inlineStr">
        <is>
          <t>Övriga Aktiebolag</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30266-2022</t>
        </is>
      </c>
      <c r="B6157" s="1" t="n">
        <v>44759</v>
      </c>
      <c r="C6157" s="1" t="n">
        <v>45715</v>
      </c>
      <c r="D6157" t="inlineStr">
        <is>
          <t>KALMAR LÄN</t>
        </is>
      </c>
      <c r="E6157" t="inlineStr">
        <is>
          <t>EMMABODA</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30262-2022</t>
        </is>
      </c>
      <c r="B6158" s="1" t="n">
        <v>44759</v>
      </c>
      <c r="C6158" s="1" t="n">
        <v>45715</v>
      </c>
      <c r="D6158" t="inlineStr">
        <is>
          <t>KALMAR LÄN</t>
        </is>
      </c>
      <c r="E6158" t="inlineStr">
        <is>
          <t>EMMABODA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30259-2022</t>
        </is>
      </c>
      <c r="B6159" s="1" t="n">
        <v>44759</v>
      </c>
      <c r="C6159" s="1" t="n">
        <v>45715</v>
      </c>
      <c r="D6159" t="inlineStr">
        <is>
          <t>KALMAR LÄN</t>
        </is>
      </c>
      <c r="E6159" t="inlineStr">
        <is>
          <t>EMMABODA</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30267-2022</t>
        </is>
      </c>
      <c r="B6160" s="1" t="n">
        <v>44759</v>
      </c>
      <c r="C6160" s="1" t="n">
        <v>45715</v>
      </c>
      <c r="D6160" t="inlineStr">
        <is>
          <t>KALMAR LÄN</t>
        </is>
      </c>
      <c r="E6160" t="inlineStr">
        <is>
          <t>EMMABODA</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30265-2022</t>
        </is>
      </c>
      <c r="B6161" s="1" t="n">
        <v>44759</v>
      </c>
      <c r="C6161" s="1" t="n">
        <v>45715</v>
      </c>
      <c r="D6161" t="inlineStr">
        <is>
          <t>KALMAR LÄN</t>
        </is>
      </c>
      <c r="E6161" t="inlineStr">
        <is>
          <t>EMMABODA</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30294-2022</t>
        </is>
      </c>
      <c r="B6162" s="1" t="n">
        <v>44760</v>
      </c>
      <c r="C6162" s="1" t="n">
        <v>45715</v>
      </c>
      <c r="D6162" t="inlineStr">
        <is>
          <t>KALMAR LÄN</t>
        </is>
      </c>
      <c r="E6162" t="inlineStr">
        <is>
          <t>HÖGSBY</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30489-2022</t>
        </is>
      </c>
      <c r="B6163" s="1" t="n">
        <v>44762</v>
      </c>
      <c r="C6163" s="1" t="n">
        <v>45715</v>
      </c>
      <c r="D6163" t="inlineStr">
        <is>
          <t>KALMAR LÄN</t>
        </is>
      </c>
      <c r="E6163" t="inlineStr">
        <is>
          <t>OSKARSHAMN</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30458-2022</t>
        </is>
      </c>
      <c r="B6164" s="1" t="n">
        <v>44761</v>
      </c>
      <c r="C6164" s="1" t="n">
        <v>45715</v>
      </c>
      <c r="D6164" t="inlineStr">
        <is>
          <t>KALMAR LÄN</t>
        </is>
      </c>
      <c r="E6164" t="inlineStr">
        <is>
          <t>EMMABODA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30466-2022</t>
        </is>
      </c>
      <c r="B6165" s="1" t="n">
        <v>44761</v>
      </c>
      <c r="C6165" s="1" t="n">
        <v>45715</v>
      </c>
      <c r="D6165" t="inlineStr">
        <is>
          <t>KALMAR LÄN</t>
        </is>
      </c>
      <c r="E6165" t="inlineStr">
        <is>
          <t>EMMABODA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30460-2022</t>
        </is>
      </c>
      <c r="B6166" s="1" t="n">
        <v>44761</v>
      </c>
      <c r="C6166" s="1" t="n">
        <v>45715</v>
      </c>
      <c r="D6166" t="inlineStr">
        <is>
          <t>KALMAR LÄN</t>
        </is>
      </c>
      <c r="E6166" t="inlineStr">
        <is>
          <t>EMMABODA</t>
        </is>
      </c>
      <c r="G6166" t="n">
        <v>7</v>
      </c>
      <c r="H6166" t="n">
        <v>0</v>
      </c>
      <c r="I6166" t="n">
        <v>0</v>
      </c>
      <c r="J6166" t="n">
        <v>0</v>
      </c>
      <c r="K6166" t="n">
        <v>0</v>
      </c>
      <c r="L6166" t="n">
        <v>0</v>
      </c>
      <c r="M6166" t="n">
        <v>0</v>
      </c>
      <c r="N6166" t="n">
        <v>0</v>
      </c>
      <c r="O6166" t="n">
        <v>0</v>
      </c>
      <c r="P6166" t="n">
        <v>0</v>
      </c>
      <c r="Q6166" t="n">
        <v>0</v>
      </c>
      <c r="R6166" s="2" t="inlineStr"/>
    </row>
    <row r="6167" ht="15" customHeight="1">
      <c r="A6167" t="inlineStr">
        <is>
          <t>A 30448-2022</t>
        </is>
      </c>
      <c r="B6167" s="1" t="n">
        <v>44761</v>
      </c>
      <c r="C6167" s="1" t="n">
        <v>45715</v>
      </c>
      <c r="D6167" t="inlineStr">
        <is>
          <t>KALMAR LÄN</t>
        </is>
      </c>
      <c r="E6167" t="inlineStr">
        <is>
          <t>OSKARSHAMN</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30646-2022</t>
        </is>
      </c>
      <c r="B6168" s="1" t="n">
        <v>44762</v>
      </c>
      <c r="C6168" s="1" t="n">
        <v>45715</v>
      </c>
      <c r="D6168" t="inlineStr">
        <is>
          <t>KALMAR LÄN</t>
        </is>
      </c>
      <c r="E6168" t="inlineStr">
        <is>
          <t>OSKARSHAMN</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30639-2022</t>
        </is>
      </c>
      <c r="B6169" s="1" t="n">
        <v>44762</v>
      </c>
      <c r="C6169" s="1" t="n">
        <v>45715</v>
      </c>
      <c r="D6169" t="inlineStr">
        <is>
          <t>KALMAR LÄN</t>
        </is>
      </c>
      <c r="E6169" t="inlineStr">
        <is>
          <t>OSKARSHAMN</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30699-2022</t>
        </is>
      </c>
      <c r="B6170" s="1" t="n">
        <v>44763</v>
      </c>
      <c r="C6170" s="1" t="n">
        <v>45715</v>
      </c>
      <c r="D6170" t="inlineStr">
        <is>
          <t>KALMAR LÄN</t>
        </is>
      </c>
      <c r="E6170" t="inlineStr">
        <is>
          <t>OSKARSHAMN</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30647-2022</t>
        </is>
      </c>
      <c r="B6171" s="1" t="n">
        <v>44763</v>
      </c>
      <c r="C6171" s="1" t="n">
        <v>45715</v>
      </c>
      <c r="D6171" t="inlineStr">
        <is>
          <t>KALMAR LÄN</t>
        </is>
      </c>
      <c r="E6171" t="inlineStr">
        <is>
          <t>TORSÅS</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30648-2022</t>
        </is>
      </c>
      <c r="B6172" s="1" t="n">
        <v>44763</v>
      </c>
      <c r="C6172" s="1" t="n">
        <v>45715</v>
      </c>
      <c r="D6172" t="inlineStr">
        <is>
          <t>KALMAR LÄN</t>
        </is>
      </c>
      <c r="E6172" t="inlineStr">
        <is>
          <t>TORSÅS</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30744-2022</t>
        </is>
      </c>
      <c r="B6173" s="1" t="n">
        <v>44764</v>
      </c>
      <c r="C6173" s="1" t="n">
        <v>45715</v>
      </c>
      <c r="D6173" t="inlineStr">
        <is>
          <t>KALMAR LÄN</t>
        </is>
      </c>
      <c r="E6173" t="inlineStr">
        <is>
          <t>EMMABODA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30823-2022</t>
        </is>
      </c>
      <c r="B6174" s="1" t="n">
        <v>44766</v>
      </c>
      <c r="C6174" s="1" t="n">
        <v>45715</v>
      </c>
      <c r="D6174" t="inlineStr">
        <is>
          <t>KALMAR LÄN</t>
        </is>
      </c>
      <c r="E6174" t="inlineStr">
        <is>
          <t>EMMABODA</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30930-2022</t>
        </is>
      </c>
      <c r="B6175" s="1" t="n">
        <v>44767</v>
      </c>
      <c r="C6175" s="1" t="n">
        <v>45715</v>
      </c>
      <c r="D6175" t="inlineStr">
        <is>
          <t>KALMAR LÄN</t>
        </is>
      </c>
      <c r="E6175" t="inlineStr">
        <is>
          <t>OSKARSHAMN</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30926-2022</t>
        </is>
      </c>
      <c r="B6176" s="1" t="n">
        <v>44767</v>
      </c>
      <c r="C6176" s="1" t="n">
        <v>45715</v>
      </c>
      <c r="D6176" t="inlineStr">
        <is>
          <t>KALMAR LÄN</t>
        </is>
      </c>
      <c r="E6176" t="inlineStr">
        <is>
          <t>OSKARSHAMN</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30965-2022</t>
        </is>
      </c>
      <c r="B6177" s="1" t="n">
        <v>44768</v>
      </c>
      <c r="C6177" s="1" t="n">
        <v>45715</v>
      </c>
      <c r="D6177" t="inlineStr">
        <is>
          <t>KALMAR LÄN</t>
        </is>
      </c>
      <c r="E6177" t="inlineStr">
        <is>
          <t>OSKARSHAMN</t>
        </is>
      </c>
      <c r="F6177" t="inlineStr">
        <is>
          <t>Sveaskog</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30966-2022</t>
        </is>
      </c>
      <c r="B6178" s="1" t="n">
        <v>44768</v>
      </c>
      <c r="C6178" s="1" t="n">
        <v>45715</v>
      </c>
      <c r="D6178" t="inlineStr">
        <is>
          <t>KALMAR LÄN</t>
        </is>
      </c>
      <c r="E6178" t="inlineStr">
        <is>
          <t>OSKARSHAMN</t>
        </is>
      </c>
      <c r="F6178" t="inlineStr">
        <is>
          <t>Sveaskog</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31033-2022</t>
        </is>
      </c>
      <c r="B6179" s="1" t="n">
        <v>44768</v>
      </c>
      <c r="C6179" s="1" t="n">
        <v>45715</v>
      </c>
      <c r="D6179" t="inlineStr">
        <is>
          <t>KALMAR LÄN</t>
        </is>
      </c>
      <c r="E6179" t="inlineStr">
        <is>
          <t>EMMABODA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31031-2022</t>
        </is>
      </c>
      <c r="B6180" s="1" t="n">
        <v>44768</v>
      </c>
      <c r="C6180" s="1" t="n">
        <v>45715</v>
      </c>
      <c r="D6180" t="inlineStr">
        <is>
          <t>KALMAR LÄN</t>
        </is>
      </c>
      <c r="E6180" t="inlineStr">
        <is>
          <t>EMMABODA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31053-2022</t>
        </is>
      </c>
      <c r="B6181" s="1" t="n">
        <v>44769</v>
      </c>
      <c r="C6181" s="1" t="n">
        <v>45715</v>
      </c>
      <c r="D6181" t="inlineStr">
        <is>
          <t>KALMAR LÄN</t>
        </is>
      </c>
      <c r="E6181" t="inlineStr">
        <is>
          <t>VIMMERBY</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31070-2022</t>
        </is>
      </c>
      <c r="B6182" s="1" t="n">
        <v>44769</v>
      </c>
      <c r="C6182" s="1" t="n">
        <v>45715</v>
      </c>
      <c r="D6182" t="inlineStr">
        <is>
          <t>KALMAR LÄN</t>
        </is>
      </c>
      <c r="E6182" t="inlineStr">
        <is>
          <t>EMMABODA</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31056-2022</t>
        </is>
      </c>
      <c r="B6183" s="1" t="n">
        <v>44769</v>
      </c>
      <c r="C6183" s="1" t="n">
        <v>45715</v>
      </c>
      <c r="D6183" t="inlineStr">
        <is>
          <t>KALMAR LÄN</t>
        </is>
      </c>
      <c r="E6183" t="inlineStr">
        <is>
          <t>VIMMERBY</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31141-2022</t>
        </is>
      </c>
      <c r="B6184" s="1" t="n">
        <v>44770</v>
      </c>
      <c r="C6184" s="1" t="n">
        <v>45715</v>
      </c>
      <c r="D6184" t="inlineStr">
        <is>
          <t>KALMAR LÄN</t>
        </is>
      </c>
      <c r="E6184" t="inlineStr">
        <is>
          <t>EMMABODA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31222-2022</t>
        </is>
      </c>
      <c r="B6185" s="1" t="n">
        <v>44771</v>
      </c>
      <c r="C6185" s="1" t="n">
        <v>45715</v>
      </c>
      <c r="D6185" t="inlineStr">
        <is>
          <t>KALMAR LÄN</t>
        </is>
      </c>
      <c r="E6185" t="inlineStr">
        <is>
          <t>NYBRO</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31226-2022</t>
        </is>
      </c>
      <c r="B6186" s="1" t="n">
        <v>44771</v>
      </c>
      <c r="C6186" s="1" t="n">
        <v>45715</v>
      </c>
      <c r="D6186" t="inlineStr">
        <is>
          <t>KALMAR LÄN</t>
        </is>
      </c>
      <c r="E6186" t="inlineStr">
        <is>
          <t>EMMABODA</t>
        </is>
      </c>
      <c r="G6186" t="n">
        <v>0</v>
      </c>
      <c r="H6186" t="n">
        <v>0</v>
      </c>
      <c r="I6186" t="n">
        <v>0</v>
      </c>
      <c r="J6186" t="n">
        <v>0</v>
      </c>
      <c r="K6186" t="n">
        <v>0</v>
      </c>
      <c r="L6186" t="n">
        <v>0</v>
      </c>
      <c r="M6186" t="n">
        <v>0</v>
      </c>
      <c r="N6186" t="n">
        <v>0</v>
      </c>
      <c r="O6186" t="n">
        <v>0</v>
      </c>
      <c r="P6186" t="n">
        <v>0</v>
      </c>
      <c r="Q6186" t="n">
        <v>0</v>
      </c>
      <c r="R6186" s="2" t="inlineStr"/>
    </row>
    <row r="6187" ht="15" customHeight="1">
      <c r="A6187" t="inlineStr">
        <is>
          <t>A 31291-2022</t>
        </is>
      </c>
      <c r="B6187" s="1" t="n">
        <v>44771</v>
      </c>
      <c r="C6187" s="1" t="n">
        <v>45715</v>
      </c>
      <c r="D6187" t="inlineStr">
        <is>
          <t>KALMAR LÄN</t>
        </is>
      </c>
      <c r="E6187" t="inlineStr">
        <is>
          <t>EMMABODA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31309-2022</t>
        </is>
      </c>
      <c r="B6188" s="1" t="n">
        <v>44774</v>
      </c>
      <c r="C6188" s="1" t="n">
        <v>45715</v>
      </c>
      <c r="D6188" t="inlineStr">
        <is>
          <t>KALMAR LÄN</t>
        </is>
      </c>
      <c r="E6188" t="inlineStr">
        <is>
          <t>OSKARSHAMN</t>
        </is>
      </c>
      <c r="G6188" t="n">
        <v>8.1</v>
      </c>
      <c r="H6188" t="n">
        <v>0</v>
      </c>
      <c r="I6188" t="n">
        <v>0</v>
      </c>
      <c r="J6188" t="n">
        <v>0</v>
      </c>
      <c r="K6188" t="n">
        <v>0</v>
      </c>
      <c r="L6188" t="n">
        <v>0</v>
      </c>
      <c r="M6188" t="n">
        <v>0</v>
      </c>
      <c r="N6188" t="n">
        <v>0</v>
      </c>
      <c r="O6188" t="n">
        <v>0</v>
      </c>
      <c r="P6188" t="n">
        <v>0</v>
      </c>
      <c r="Q6188" t="n">
        <v>0</v>
      </c>
      <c r="R6188" s="2" t="inlineStr"/>
    </row>
    <row r="6189" ht="15" customHeight="1">
      <c r="A6189" t="inlineStr">
        <is>
          <t>A 31533-2022</t>
        </is>
      </c>
      <c r="B6189" s="1" t="n">
        <v>44774</v>
      </c>
      <c r="C6189" s="1" t="n">
        <v>45715</v>
      </c>
      <c r="D6189" t="inlineStr">
        <is>
          <t>KALMAR LÄN</t>
        </is>
      </c>
      <c r="E6189" t="inlineStr">
        <is>
          <t>VIMMERBY</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31699-2022</t>
        </is>
      </c>
      <c r="B6190" s="1" t="n">
        <v>44776</v>
      </c>
      <c r="C6190" s="1" t="n">
        <v>45715</v>
      </c>
      <c r="D6190" t="inlineStr">
        <is>
          <t>KALMAR LÄN</t>
        </is>
      </c>
      <c r="E6190" t="inlineStr">
        <is>
          <t>BORGHOLM</t>
        </is>
      </c>
      <c r="F6190" t="inlineStr">
        <is>
          <t>Sveaskog</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31709-2022</t>
        </is>
      </c>
      <c r="B6191" s="1" t="n">
        <v>44776</v>
      </c>
      <c r="C6191" s="1" t="n">
        <v>45715</v>
      </c>
      <c r="D6191" t="inlineStr">
        <is>
          <t>KALMAR LÄN</t>
        </is>
      </c>
      <c r="E6191" t="inlineStr">
        <is>
          <t>NYBRO</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31720-2022</t>
        </is>
      </c>
      <c r="B6192" s="1" t="n">
        <v>44776</v>
      </c>
      <c r="C6192" s="1" t="n">
        <v>45715</v>
      </c>
      <c r="D6192" t="inlineStr">
        <is>
          <t>KALMAR LÄN</t>
        </is>
      </c>
      <c r="E6192" t="inlineStr">
        <is>
          <t>BORGHOLM</t>
        </is>
      </c>
      <c r="F6192" t="inlineStr">
        <is>
          <t>Sveaskog</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31760-2022</t>
        </is>
      </c>
      <c r="B6193" s="1" t="n">
        <v>44776</v>
      </c>
      <c r="C6193" s="1" t="n">
        <v>45715</v>
      </c>
      <c r="D6193" t="inlineStr">
        <is>
          <t>KALMAR LÄN</t>
        </is>
      </c>
      <c r="E6193" t="inlineStr">
        <is>
          <t>TORSÅS</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31825-2022</t>
        </is>
      </c>
      <c r="B6194" s="1" t="n">
        <v>44776</v>
      </c>
      <c r="C6194" s="1" t="n">
        <v>45715</v>
      </c>
      <c r="D6194" t="inlineStr">
        <is>
          <t>KALMAR LÄN</t>
        </is>
      </c>
      <c r="E6194" t="inlineStr">
        <is>
          <t>VÄSTERVIK</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31824-2022</t>
        </is>
      </c>
      <c r="B6195" s="1" t="n">
        <v>44776</v>
      </c>
      <c r="C6195" s="1" t="n">
        <v>45715</v>
      </c>
      <c r="D6195" t="inlineStr">
        <is>
          <t>KALMAR LÄN</t>
        </is>
      </c>
      <c r="E6195" t="inlineStr">
        <is>
          <t>VIMMERBY</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31860-2022</t>
        </is>
      </c>
      <c r="B6196" s="1" t="n">
        <v>44777</v>
      </c>
      <c r="C6196" s="1" t="n">
        <v>45715</v>
      </c>
      <c r="D6196" t="inlineStr">
        <is>
          <t>KALMAR LÄN</t>
        </is>
      </c>
      <c r="E6196" t="inlineStr">
        <is>
          <t>EMMABODA</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32034-2022</t>
        </is>
      </c>
      <c r="B6197" s="1" t="n">
        <v>44778</v>
      </c>
      <c r="C6197" s="1" t="n">
        <v>45715</v>
      </c>
      <c r="D6197" t="inlineStr">
        <is>
          <t>KALMAR LÄN</t>
        </is>
      </c>
      <c r="E6197" t="inlineStr">
        <is>
          <t>OSKARSHAMN</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32048-2022</t>
        </is>
      </c>
      <c r="B6198" s="1" t="n">
        <v>44778</v>
      </c>
      <c r="C6198" s="1" t="n">
        <v>45715</v>
      </c>
      <c r="D6198" t="inlineStr">
        <is>
          <t>KALMAR LÄN</t>
        </is>
      </c>
      <c r="E6198" t="inlineStr">
        <is>
          <t>NYBRO</t>
        </is>
      </c>
      <c r="G6198" t="n">
        <v>13.7</v>
      </c>
      <c r="H6198" t="n">
        <v>0</v>
      </c>
      <c r="I6198" t="n">
        <v>0</v>
      </c>
      <c r="J6198" t="n">
        <v>0</v>
      </c>
      <c r="K6198" t="n">
        <v>0</v>
      </c>
      <c r="L6198" t="n">
        <v>0</v>
      </c>
      <c r="M6198" t="n">
        <v>0</v>
      </c>
      <c r="N6198" t="n">
        <v>0</v>
      </c>
      <c r="O6198" t="n">
        <v>0</v>
      </c>
      <c r="P6198" t="n">
        <v>0</v>
      </c>
      <c r="Q6198" t="n">
        <v>0</v>
      </c>
      <c r="R6198" s="2" t="inlineStr"/>
    </row>
    <row r="6199" ht="15" customHeight="1">
      <c r="A6199" t="inlineStr">
        <is>
          <t>A 32104-2022</t>
        </is>
      </c>
      <c r="B6199" s="1" t="n">
        <v>44778</v>
      </c>
      <c r="C6199" s="1" t="n">
        <v>45715</v>
      </c>
      <c r="D6199" t="inlineStr">
        <is>
          <t>KALMAR LÄN</t>
        </is>
      </c>
      <c r="E6199" t="inlineStr">
        <is>
          <t>VÄSTERVIK</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32180-2022</t>
        </is>
      </c>
      <c r="B6200" s="1" t="n">
        <v>44781</v>
      </c>
      <c r="C6200" s="1" t="n">
        <v>45715</v>
      </c>
      <c r="D6200" t="inlineStr">
        <is>
          <t>KALMAR LÄN</t>
        </is>
      </c>
      <c r="E6200" t="inlineStr">
        <is>
          <t>BORGHOLM</t>
        </is>
      </c>
      <c r="F6200" t="inlineStr">
        <is>
          <t>Sveaskog</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32242-2022</t>
        </is>
      </c>
      <c r="B6201" s="1" t="n">
        <v>44781</v>
      </c>
      <c r="C6201" s="1" t="n">
        <v>45715</v>
      </c>
      <c r="D6201" t="inlineStr">
        <is>
          <t>KALMAR LÄN</t>
        </is>
      </c>
      <c r="E6201" t="inlineStr">
        <is>
          <t>EMMABODA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32345-2022</t>
        </is>
      </c>
      <c r="B6202" s="1" t="n">
        <v>44781</v>
      </c>
      <c r="C6202" s="1" t="n">
        <v>45715</v>
      </c>
      <c r="D6202" t="inlineStr">
        <is>
          <t>KALMAR LÄN</t>
        </is>
      </c>
      <c r="E6202" t="inlineStr">
        <is>
          <t>HULTSFRED</t>
        </is>
      </c>
      <c r="G6202" t="n">
        <v>11.7</v>
      </c>
      <c r="H6202" t="n">
        <v>0</v>
      </c>
      <c r="I6202" t="n">
        <v>0</v>
      </c>
      <c r="J6202" t="n">
        <v>0</v>
      </c>
      <c r="K6202" t="n">
        <v>0</v>
      </c>
      <c r="L6202" t="n">
        <v>0</v>
      </c>
      <c r="M6202" t="n">
        <v>0</v>
      </c>
      <c r="N6202" t="n">
        <v>0</v>
      </c>
      <c r="O6202" t="n">
        <v>0</v>
      </c>
      <c r="P6202" t="n">
        <v>0</v>
      </c>
      <c r="Q6202" t="n">
        <v>0</v>
      </c>
      <c r="R6202" s="2" t="inlineStr"/>
    </row>
    <row r="6203" ht="15" customHeight="1">
      <c r="A6203" t="inlineStr">
        <is>
          <t>A 32283-2022</t>
        </is>
      </c>
      <c r="B6203" s="1" t="n">
        <v>44781</v>
      </c>
      <c r="C6203" s="1" t="n">
        <v>45715</v>
      </c>
      <c r="D6203" t="inlineStr">
        <is>
          <t>KALMAR LÄN</t>
        </is>
      </c>
      <c r="E6203" t="inlineStr">
        <is>
          <t>OSKARSHAMN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32409-2022</t>
        </is>
      </c>
      <c r="B6204" s="1" t="n">
        <v>44782</v>
      </c>
      <c r="C6204" s="1" t="n">
        <v>45715</v>
      </c>
      <c r="D6204" t="inlineStr">
        <is>
          <t>KALMAR LÄN</t>
        </is>
      </c>
      <c r="E6204" t="inlineStr">
        <is>
          <t>MÖNSTERÅS</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32499-2022</t>
        </is>
      </c>
      <c r="B6205" s="1" t="n">
        <v>44782</v>
      </c>
      <c r="C6205" s="1" t="n">
        <v>45715</v>
      </c>
      <c r="D6205" t="inlineStr">
        <is>
          <t>KALMAR LÄN</t>
        </is>
      </c>
      <c r="E6205" t="inlineStr">
        <is>
          <t>KALMAR</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32500-2022</t>
        </is>
      </c>
      <c r="B6206" s="1" t="n">
        <v>44782</v>
      </c>
      <c r="C6206" s="1" t="n">
        <v>45715</v>
      </c>
      <c r="D6206" t="inlineStr">
        <is>
          <t>KALMAR LÄN</t>
        </is>
      </c>
      <c r="E6206" t="inlineStr">
        <is>
          <t>KALMAR</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32702-2022</t>
        </is>
      </c>
      <c r="B6207" s="1" t="n">
        <v>44783</v>
      </c>
      <c r="C6207" s="1" t="n">
        <v>45715</v>
      </c>
      <c r="D6207" t="inlineStr">
        <is>
          <t>KALMAR LÄN</t>
        </is>
      </c>
      <c r="E6207" t="inlineStr">
        <is>
          <t>VÄSTERVIK</t>
        </is>
      </c>
      <c r="F6207" t="inlineStr">
        <is>
          <t>Holmen skog AB</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32608-2022</t>
        </is>
      </c>
      <c r="B6208" s="1" t="n">
        <v>44783</v>
      </c>
      <c r="C6208" s="1" t="n">
        <v>45715</v>
      </c>
      <c r="D6208" t="inlineStr">
        <is>
          <t>KALMAR LÄN</t>
        </is>
      </c>
      <c r="E6208" t="inlineStr">
        <is>
          <t>BORGHOLM</t>
        </is>
      </c>
      <c r="F6208" t="inlineStr">
        <is>
          <t>Sveaskog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32763-2022</t>
        </is>
      </c>
      <c r="B6209" s="1" t="n">
        <v>44783</v>
      </c>
      <c r="C6209" s="1" t="n">
        <v>45715</v>
      </c>
      <c r="D6209" t="inlineStr">
        <is>
          <t>KALMAR LÄN</t>
        </is>
      </c>
      <c r="E6209" t="inlineStr">
        <is>
          <t>VÄSTERVIK</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32665-2022</t>
        </is>
      </c>
      <c r="B6210" s="1" t="n">
        <v>44783</v>
      </c>
      <c r="C6210" s="1" t="n">
        <v>45715</v>
      </c>
      <c r="D6210" t="inlineStr">
        <is>
          <t>KALMAR LÄN</t>
        </is>
      </c>
      <c r="E6210" t="inlineStr">
        <is>
          <t>BORGHOLM</t>
        </is>
      </c>
      <c r="F6210" t="inlineStr">
        <is>
          <t>Sveaskog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32605-2022</t>
        </is>
      </c>
      <c r="B6211" s="1" t="n">
        <v>44783</v>
      </c>
      <c r="C6211" s="1" t="n">
        <v>45715</v>
      </c>
      <c r="D6211" t="inlineStr">
        <is>
          <t>KALMAR LÄN</t>
        </is>
      </c>
      <c r="E6211" t="inlineStr">
        <is>
          <t>NYBRO</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32551-2022</t>
        </is>
      </c>
      <c r="B6212" s="1" t="n">
        <v>44783</v>
      </c>
      <c r="C6212" s="1" t="n">
        <v>45715</v>
      </c>
      <c r="D6212" t="inlineStr">
        <is>
          <t>KALMAR LÄN</t>
        </is>
      </c>
      <c r="E6212" t="inlineStr">
        <is>
          <t>NYBRO</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32561-2022</t>
        </is>
      </c>
      <c r="B6213" s="1" t="n">
        <v>44783</v>
      </c>
      <c r="C6213" s="1" t="n">
        <v>45715</v>
      </c>
      <c r="D6213" t="inlineStr">
        <is>
          <t>KALMAR LÄN</t>
        </is>
      </c>
      <c r="E6213" t="inlineStr">
        <is>
          <t>EMMABODA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32764-2022</t>
        </is>
      </c>
      <c r="B6214" s="1" t="n">
        <v>44783</v>
      </c>
      <c r="C6214" s="1" t="n">
        <v>45715</v>
      </c>
      <c r="D6214" t="inlineStr">
        <is>
          <t>KALMAR LÄN</t>
        </is>
      </c>
      <c r="E6214" t="inlineStr">
        <is>
          <t>VÄSTERVIK</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32835-2022</t>
        </is>
      </c>
      <c r="B6215" s="1" t="n">
        <v>44784</v>
      </c>
      <c r="C6215" s="1" t="n">
        <v>45715</v>
      </c>
      <c r="D6215" t="inlineStr">
        <is>
          <t>KALMAR LÄN</t>
        </is>
      </c>
      <c r="E6215" t="inlineStr">
        <is>
          <t>VIMMERBY</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32915-2022</t>
        </is>
      </c>
      <c r="B6216" s="1" t="n">
        <v>44784</v>
      </c>
      <c r="C6216" s="1" t="n">
        <v>45715</v>
      </c>
      <c r="D6216" t="inlineStr">
        <is>
          <t>KALMAR LÄN</t>
        </is>
      </c>
      <c r="E6216" t="inlineStr">
        <is>
          <t>KALMAR</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32921-2022</t>
        </is>
      </c>
      <c r="B6217" s="1" t="n">
        <v>44784</v>
      </c>
      <c r="C6217" s="1" t="n">
        <v>45715</v>
      </c>
      <c r="D6217" t="inlineStr">
        <is>
          <t>KALMAR LÄN</t>
        </is>
      </c>
      <c r="E6217" t="inlineStr">
        <is>
          <t>KALMAR</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32919-2022</t>
        </is>
      </c>
      <c r="B6218" s="1" t="n">
        <v>44784</v>
      </c>
      <c r="C6218" s="1" t="n">
        <v>45715</v>
      </c>
      <c r="D6218" t="inlineStr">
        <is>
          <t>KALMAR LÄN</t>
        </is>
      </c>
      <c r="E6218" t="inlineStr">
        <is>
          <t>VIMMERBY</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32934-2022</t>
        </is>
      </c>
      <c r="B6219" s="1" t="n">
        <v>44784</v>
      </c>
      <c r="C6219" s="1" t="n">
        <v>45715</v>
      </c>
      <c r="D6219" t="inlineStr">
        <is>
          <t>KALMAR LÄN</t>
        </is>
      </c>
      <c r="E6219" t="inlineStr">
        <is>
          <t>VÄSTERVIK</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33035-2022</t>
        </is>
      </c>
      <c r="B6220" s="1" t="n">
        <v>44785</v>
      </c>
      <c r="C6220" s="1" t="n">
        <v>45715</v>
      </c>
      <c r="D6220" t="inlineStr">
        <is>
          <t>KALMAR LÄN</t>
        </is>
      </c>
      <c r="E6220" t="inlineStr">
        <is>
          <t>NYBRO</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33030-2022</t>
        </is>
      </c>
      <c r="B6221" s="1" t="n">
        <v>44785</v>
      </c>
      <c r="C6221" s="1" t="n">
        <v>45715</v>
      </c>
      <c r="D6221" t="inlineStr">
        <is>
          <t>KALMAR LÄN</t>
        </is>
      </c>
      <c r="E6221" t="inlineStr">
        <is>
          <t>NYBRO</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33064-2022</t>
        </is>
      </c>
      <c r="B6222" s="1" t="n">
        <v>44785</v>
      </c>
      <c r="C6222" s="1" t="n">
        <v>45715</v>
      </c>
      <c r="D6222" t="inlineStr">
        <is>
          <t>KALMAR LÄN</t>
        </is>
      </c>
      <c r="E6222" t="inlineStr">
        <is>
          <t>OSKARSHAMN</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33051-2022</t>
        </is>
      </c>
      <c r="B6223" s="1" t="n">
        <v>44785</v>
      </c>
      <c r="C6223" s="1" t="n">
        <v>45715</v>
      </c>
      <c r="D6223" t="inlineStr">
        <is>
          <t>KALMAR LÄN</t>
        </is>
      </c>
      <c r="E6223" t="inlineStr">
        <is>
          <t>VIMMERBY</t>
        </is>
      </c>
      <c r="G6223" t="n">
        <v>0.3</v>
      </c>
      <c r="H6223" t="n">
        <v>0</v>
      </c>
      <c r="I6223" t="n">
        <v>0</v>
      </c>
      <c r="J6223" t="n">
        <v>0</v>
      </c>
      <c r="K6223" t="n">
        <v>0</v>
      </c>
      <c r="L6223" t="n">
        <v>0</v>
      </c>
      <c r="M6223" t="n">
        <v>0</v>
      </c>
      <c r="N6223" t="n">
        <v>0</v>
      </c>
      <c r="O6223" t="n">
        <v>0</v>
      </c>
      <c r="P6223" t="n">
        <v>0</v>
      </c>
      <c r="Q6223" t="n">
        <v>0</v>
      </c>
      <c r="R6223" s="2" t="inlineStr"/>
    </row>
    <row r="6224" ht="15" customHeight="1">
      <c r="A6224" t="inlineStr">
        <is>
          <t>A 33206-2022</t>
        </is>
      </c>
      <c r="B6224" s="1" t="n">
        <v>44785</v>
      </c>
      <c r="C6224" s="1" t="n">
        <v>45715</v>
      </c>
      <c r="D6224" t="inlineStr">
        <is>
          <t>KALMAR LÄN</t>
        </is>
      </c>
      <c r="E6224" t="inlineStr">
        <is>
          <t>VÄSTERVIK</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33204-2022</t>
        </is>
      </c>
      <c r="B6225" s="1" t="n">
        <v>44785</v>
      </c>
      <c r="C6225" s="1" t="n">
        <v>45715</v>
      </c>
      <c r="D6225" t="inlineStr">
        <is>
          <t>KALMAR LÄN</t>
        </is>
      </c>
      <c r="E6225" t="inlineStr">
        <is>
          <t>VÄSTERVIK</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33208-2022</t>
        </is>
      </c>
      <c r="B6226" s="1" t="n">
        <v>44785</v>
      </c>
      <c r="C6226" s="1" t="n">
        <v>45715</v>
      </c>
      <c r="D6226" t="inlineStr">
        <is>
          <t>KALMAR LÄN</t>
        </is>
      </c>
      <c r="E6226" t="inlineStr">
        <is>
          <t>VÄSTERVIK</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33210-2022</t>
        </is>
      </c>
      <c r="B6227" s="1" t="n">
        <v>44785</v>
      </c>
      <c r="C6227" s="1" t="n">
        <v>45715</v>
      </c>
      <c r="D6227" t="inlineStr">
        <is>
          <t>KALMAR LÄN</t>
        </is>
      </c>
      <c r="E6227" t="inlineStr">
        <is>
          <t>VÄSTERVIK</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33207-2022</t>
        </is>
      </c>
      <c r="B6228" s="1" t="n">
        <v>44785</v>
      </c>
      <c r="C6228" s="1" t="n">
        <v>45715</v>
      </c>
      <c r="D6228" t="inlineStr">
        <is>
          <t>KALMAR LÄN</t>
        </is>
      </c>
      <c r="E6228" t="inlineStr">
        <is>
          <t>VÄSTERVIK</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33211-2022</t>
        </is>
      </c>
      <c r="B6229" s="1" t="n">
        <v>44785</v>
      </c>
      <c r="C6229" s="1" t="n">
        <v>45715</v>
      </c>
      <c r="D6229" t="inlineStr">
        <is>
          <t>KALMAR LÄN</t>
        </is>
      </c>
      <c r="E6229" t="inlineStr">
        <is>
          <t>VÄSTERVIK</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33364-2022</t>
        </is>
      </c>
      <c r="B6230" s="1" t="n">
        <v>44788</v>
      </c>
      <c r="C6230" s="1" t="n">
        <v>45715</v>
      </c>
      <c r="D6230" t="inlineStr">
        <is>
          <t>KALMAR LÄN</t>
        </is>
      </c>
      <c r="E6230" t="inlineStr">
        <is>
          <t>TORSÅS</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33271-2022</t>
        </is>
      </c>
      <c r="B6231" s="1" t="n">
        <v>44788</v>
      </c>
      <c r="C6231" s="1" t="n">
        <v>45715</v>
      </c>
      <c r="D6231" t="inlineStr">
        <is>
          <t>KALMAR LÄN</t>
        </is>
      </c>
      <c r="E6231" t="inlineStr">
        <is>
          <t>HULTSFRED</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33352-2022</t>
        </is>
      </c>
      <c r="B6232" s="1" t="n">
        <v>44788</v>
      </c>
      <c r="C6232" s="1" t="n">
        <v>45715</v>
      </c>
      <c r="D6232" t="inlineStr">
        <is>
          <t>KALMAR LÄN</t>
        </is>
      </c>
      <c r="E6232" t="inlineStr">
        <is>
          <t>VIMMERBY</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33390-2022</t>
        </is>
      </c>
      <c r="B6233" s="1" t="n">
        <v>44788</v>
      </c>
      <c r="C6233" s="1" t="n">
        <v>45715</v>
      </c>
      <c r="D6233" t="inlineStr">
        <is>
          <t>KALMAR LÄN</t>
        </is>
      </c>
      <c r="E6233" t="inlineStr">
        <is>
          <t>TORSÅS</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33452-2022</t>
        </is>
      </c>
      <c r="B6234" s="1" t="n">
        <v>44788</v>
      </c>
      <c r="C6234" s="1" t="n">
        <v>45715</v>
      </c>
      <c r="D6234" t="inlineStr">
        <is>
          <t>KALMAR LÄN</t>
        </is>
      </c>
      <c r="E6234" t="inlineStr">
        <is>
          <t>EMMABODA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33457-2022</t>
        </is>
      </c>
      <c r="B6235" s="1" t="n">
        <v>44788</v>
      </c>
      <c r="C6235" s="1" t="n">
        <v>45715</v>
      </c>
      <c r="D6235" t="inlineStr">
        <is>
          <t>KALMAR LÄN</t>
        </is>
      </c>
      <c r="E6235" t="inlineStr">
        <is>
          <t>EMMABODA</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33536-2022</t>
        </is>
      </c>
      <c r="B6236" s="1" t="n">
        <v>44789</v>
      </c>
      <c r="C6236" s="1" t="n">
        <v>45715</v>
      </c>
      <c r="D6236" t="inlineStr">
        <is>
          <t>KALMAR LÄN</t>
        </is>
      </c>
      <c r="E6236" t="inlineStr">
        <is>
          <t>EMMABODA</t>
        </is>
      </c>
      <c r="G6236" t="n">
        <v>5.9</v>
      </c>
      <c r="H6236" t="n">
        <v>0</v>
      </c>
      <c r="I6236" t="n">
        <v>0</v>
      </c>
      <c r="J6236" t="n">
        <v>0</v>
      </c>
      <c r="K6236" t="n">
        <v>0</v>
      </c>
      <c r="L6236" t="n">
        <v>0</v>
      </c>
      <c r="M6236" t="n">
        <v>0</v>
      </c>
      <c r="N6236" t="n">
        <v>0</v>
      </c>
      <c r="O6236" t="n">
        <v>0</v>
      </c>
      <c r="P6236" t="n">
        <v>0</v>
      </c>
      <c r="Q6236" t="n">
        <v>0</v>
      </c>
      <c r="R6236" s="2" t="inlineStr"/>
    </row>
    <row r="6237" ht="15" customHeight="1">
      <c r="A6237" t="inlineStr">
        <is>
          <t>A 33606-2022</t>
        </is>
      </c>
      <c r="B6237" s="1" t="n">
        <v>44789</v>
      </c>
      <c r="C6237" s="1" t="n">
        <v>45715</v>
      </c>
      <c r="D6237" t="inlineStr">
        <is>
          <t>KALMAR LÄN</t>
        </is>
      </c>
      <c r="E6237" t="inlineStr">
        <is>
          <t>OSKARSHAMN</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33552-2022</t>
        </is>
      </c>
      <c r="B6238" s="1" t="n">
        <v>44789</v>
      </c>
      <c r="C6238" s="1" t="n">
        <v>45715</v>
      </c>
      <c r="D6238" t="inlineStr">
        <is>
          <t>KALMAR LÄN</t>
        </is>
      </c>
      <c r="E6238" t="inlineStr">
        <is>
          <t>OSKARSHAMN</t>
        </is>
      </c>
      <c r="F6238" t="inlineStr">
        <is>
          <t>Övriga Aktiebolag</t>
        </is>
      </c>
      <c r="G6238" t="n">
        <v>8.699999999999999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33681-2022</t>
        </is>
      </c>
      <c r="B6239" s="1" t="n">
        <v>44789</v>
      </c>
      <c r="C6239" s="1" t="n">
        <v>45715</v>
      </c>
      <c r="D6239" t="inlineStr">
        <is>
          <t>KALMAR LÄN</t>
        </is>
      </c>
      <c r="E6239" t="inlineStr">
        <is>
          <t>VIMMERBY</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33690-2022</t>
        </is>
      </c>
      <c r="B6240" s="1" t="n">
        <v>44789</v>
      </c>
      <c r="C6240" s="1" t="n">
        <v>45715</v>
      </c>
      <c r="D6240" t="inlineStr">
        <is>
          <t>KALMAR LÄN</t>
        </is>
      </c>
      <c r="E6240" t="inlineStr">
        <is>
          <t>VIMMERBY</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33815-2022</t>
        </is>
      </c>
      <c r="B6241" s="1" t="n">
        <v>44790</v>
      </c>
      <c r="C6241" s="1" t="n">
        <v>45715</v>
      </c>
      <c r="D6241" t="inlineStr">
        <is>
          <t>KALMAR LÄN</t>
        </is>
      </c>
      <c r="E6241" t="inlineStr">
        <is>
          <t>VIMMERBY</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33829-2022</t>
        </is>
      </c>
      <c r="B6242" s="1" t="n">
        <v>44790</v>
      </c>
      <c r="C6242" s="1" t="n">
        <v>45715</v>
      </c>
      <c r="D6242" t="inlineStr">
        <is>
          <t>KALMAR LÄN</t>
        </is>
      </c>
      <c r="E6242" t="inlineStr">
        <is>
          <t>VIMMERBY</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33838-2022</t>
        </is>
      </c>
      <c r="B6243" s="1" t="n">
        <v>44790</v>
      </c>
      <c r="C6243" s="1" t="n">
        <v>45715</v>
      </c>
      <c r="D6243" t="inlineStr">
        <is>
          <t>KALMAR LÄN</t>
        </is>
      </c>
      <c r="E6243" t="inlineStr">
        <is>
          <t>VIMMERBY</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33820-2022</t>
        </is>
      </c>
      <c r="B6244" s="1" t="n">
        <v>44790</v>
      </c>
      <c r="C6244" s="1" t="n">
        <v>45715</v>
      </c>
      <c r="D6244" t="inlineStr">
        <is>
          <t>KALMAR LÄN</t>
        </is>
      </c>
      <c r="E6244" t="inlineStr">
        <is>
          <t>VIMMERBY</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33831-2022</t>
        </is>
      </c>
      <c r="B6245" s="1" t="n">
        <v>44790</v>
      </c>
      <c r="C6245" s="1" t="n">
        <v>45715</v>
      </c>
      <c r="D6245" t="inlineStr">
        <is>
          <t>KALMAR LÄN</t>
        </is>
      </c>
      <c r="E6245" t="inlineStr">
        <is>
          <t>VIMMERBY</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33842-2022</t>
        </is>
      </c>
      <c r="B6246" s="1" t="n">
        <v>44790</v>
      </c>
      <c r="C6246" s="1" t="n">
        <v>45715</v>
      </c>
      <c r="D6246" t="inlineStr">
        <is>
          <t>KALMAR LÄN</t>
        </is>
      </c>
      <c r="E6246" t="inlineStr">
        <is>
          <t>VIMMERBY</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33824-2022</t>
        </is>
      </c>
      <c r="B6247" s="1" t="n">
        <v>44790</v>
      </c>
      <c r="C6247" s="1" t="n">
        <v>45715</v>
      </c>
      <c r="D6247" t="inlineStr">
        <is>
          <t>KALMAR LÄN</t>
        </is>
      </c>
      <c r="E6247" t="inlineStr">
        <is>
          <t>VIMMERBY</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33830-2022</t>
        </is>
      </c>
      <c r="B6248" s="1" t="n">
        <v>44790</v>
      </c>
      <c r="C6248" s="1" t="n">
        <v>45715</v>
      </c>
      <c r="D6248" t="inlineStr">
        <is>
          <t>KALMAR LÄN</t>
        </is>
      </c>
      <c r="E6248" t="inlineStr">
        <is>
          <t>KALMAR</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33840-2022</t>
        </is>
      </c>
      <c r="B6249" s="1" t="n">
        <v>44790</v>
      </c>
      <c r="C6249" s="1" t="n">
        <v>45715</v>
      </c>
      <c r="D6249" t="inlineStr">
        <is>
          <t>KALMAR LÄN</t>
        </is>
      </c>
      <c r="E6249" t="inlineStr">
        <is>
          <t>VIMMERBY</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33939-2022</t>
        </is>
      </c>
      <c r="B6250" s="1" t="n">
        <v>44790</v>
      </c>
      <c r="C6250" s="1" t="n">
        <v>45715</v>
      </c>
      <c r="D6250" t="inlineStr">
        <is>
          <t>KALMAR LÄN</t>
        </is>
      </c>
      <c r="E6250" t="inlineStr">
        <is>
          <t>TORSÅS</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34155-2022</t>
        </is>
      </c>
      <c r="B6251" s="1" t="n">
        <v>44791</v>
      </c>
      <c r="C6251" s="1" t="n">
        <v>45715</v>
      </c>
      <c r="D6251" t="inlineStr">
        <is>
          <t>KALMAR LÄN</t>
        </is>
      </c>
      <c r="E6251" t="inlineStr">
        <is>
          <t>OSKARSHAMN</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34032-2022</t>
        </is>
      </c>
      <c r="B6252" s="1" t="n">
        <v>44791</v>
      </c>
      <c r="C6252" s="1" t="n">
        <v>45715</v>
      </c>
      <c r="D6252" t="inlineStr">
        <is>
          <t>KALMAR LÄN</t>
        </is>
      </c>
      <c r="E6252" t="inlineStr">
        <is>
          <t>EMMABODA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34079-2022</t>
        </is>
      </c>
      <c r="B6253" s="1" t="n">
        <v>44791</v>
      </c>
      <c r="C6253" s="1" t="n">
        <v>45715</v>
      </c>
      <c r="D6253" t="inlineStr">
        <is>
          <t>KALMAR LÄN</t>
        </is>
      </c>
      <c r="E6253" t="inlineStr">
        <is>
          <t>MÖNSTERÅS</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34241-2022</t>
        </is>
      </c>
      <c r="B6254" s="1" t="n">
        <v>44791</v>
      </c>
      <c r="C6254" s="1" t="n">
        <v>45715</v>
      </c>
      <c r="D6254" t="inlineStr">
        <is>
          <t>KALMAR LÄN</t>
        </is>
      </c>
      <c r="E6254" t="inlineStr">
        <is>
          <t>VÄSTERVIK</t>
        </is>
      </c>
      <c r="F6254" t="inlineStr">
        <is>
          <t>Holmen skog AB</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34207-2022</t>
        </is>
      </c>
      <c r="B6255" s="1" t="n">
        <v>44791</v>
      </c>
      <c r="C6255" s="1" t="n">
        <v>45715</v>
      </c>
      <c r="D6255" t="inlineStr">
        <is>
          <t>KALMAR LÄN</t>
        </is>
      </c>
      <c r="E6255" t="inlineStr">
        <is>
          <t>MÖNSTERÅS</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34238-2022</t>
        </is>
      </c>
      <c r="B6256" s="1" t="n">
        <v>44791</v>
      </c>
      <c r="C6256" s="1" t="n">
        <v>45715</v>
      </c>
      <c r="D6256" t="inlineStr">
        <is>
          <t>KALMAR LÄN</t>
        </is>
      </c>
      <c r="E6256" t="inlineStr">
        <is>
          <t>OSKARSHAMN</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34376-2022</t>
        </is>
      </c>
      <c r="B6257" s="1" t="n">
        <v>44792</v>
      </c>
      <c r="C6257" s="1" t="n">
        <v>45715</v>
      </c>
      <c r="D6257" t="inlineStr">
        <is>
          <t>KALMAR LÄN</t>
        </is>
      </c>
      <c r="E6257" t="inlineStr">
        <is>
          <t>VIMMERBY</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34329-2022</t>
        </is>
      </c>
      <c r="B6258" s="1" t="n">
        <v>44792</v>
      </c>
      <c r="C6258" s="1" t="n">
        <v>45715</v>
      </c>
      <c r="D6258" t="inlineStr">
        <is>
          <t>KALMAR LÄN</t>
        </is>
      </c>
      <c r="E6258" t="inlineStr">
        <is>
          <t>VIMMERBY</t>
        </is>
      </c>
      <c r="F6258" t="inlineStr">
        <is>
          <t>Sveaskog</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34565-2022</t>
        </is>
      </c>
      <c r="B6259" s="1" t="n">
        <v>44794</v>
      </c>
      <c r="C6259" s="1" t="n">
        <v>45715</v>
      </c>
      <c r="D6259" t="inlineStr">
        <is>
          <t>KALMAR LÄN</t>
        </is>
      </c>
      <c r="E6259" t="inlineStr">
        <is>
          <t>HULTSFRED</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34564-2022</t>
        </is>
      </c>
      <c r="B6260" s="1" t="n">
        <v>44794</v>
      </c>
      <c r="C6260" s="1" t="n">
        <v>45715</v>
      </c>
      <c r="D6260" t="inlineStr">
        <is>
          <t>KALMAR LÄN</t>
        </is>
      </c>
      <c r="E6260" t="inlineStr">
        <is>
          <t>HULTSFRED</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34597-2022</t>
        </is>
      </c>
      <c r="B6261" s="1" t="n">
        <v>44795</v>
      </c>
      <c r="C6261" s="1" t="n">
        <v>45715</v>
      </c>
      <c r="D6261" t="inlineStr">
        <is>
          <t>KALMAR LÄN</t>
        </is>
      </c>
      <c r="E6261" t="inlineStr">
        <is>
          <t>VIMMERBY</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34622-2022</t>
        </is>
      </c>
      <c r="B6262" s="1" t="n">
        <v>44795</v>
      </c>
      <c r="C6262" s="1" t="n">
        <v>45715</v>
      </c>
      <c r="D6262" t="inlineStr">
        <is>
          <t>KALMAR LÄN</t>
        </is>
      </c>
      <c r="E6262" t="inlineStr">
        <is>
          <t>TORSÅS</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34644-2022</t>
        </is>
      </c>
      <c r="B6263" s="1" t="n">
        <v>44795</v>
      </c>
      <c r="C6263" s="1" t="n">
        <v>45715</v>
      </c>
      <c r="D6263" t="inlineStr">
        <is>
          <t>KALMAR LÄN</t>
        </is>
      </c>
      <c r="E6263" t="inlineStr">
        <is>
          <t>VÄSTERVIK</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34675-2022</t>
        </is>
      </c>
      <c r="B6264" s="1" t="n">
        <v>44795</v>
      </c>
      <c r="C6264" s="1" t="n">
        <v>45715</v>
      </c>
      <c r="D6264" t="inlineStr">
        <is>
          <t>KALMAR LÄN</t>
        </is>
      </c>
      <c r="E6264" t="inlineStr">
        <is>
          <t>VÄSTERVIK</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34630-2022</t>
        </is>
      </c>
      <c r="B6265" s="1" t="n">
        <v>44795</v>
      </c>
      <c r="C6265" s="1" t="n">
        <v>45715</v>
      </c>
      <c r="D6265" t="inlineStr">
        <is>
          <t>KALMAR LÄN</t>
        </is>
      </c>
      <c r="E6265" t="inlineStr">
        <is>
          <t>TORSÅS</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34623-2022</t>
        </is>
      </c>
      <c r="B6266" s="1" t="n">
        <v>44795</v>
      </c>
      <c r="C6266" s="1" t="n">
        <v>45715</v>
      </c>
      <c r="D6266" t="inlineStr">
        <is>
          <t>KALMAR LÄN</t>
        </is>
      </c>
      <c r="E6266" t="inlineStr">
        <is>
          <t>TORSÅS</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34638-2022</t>
        </is>
      </c>
      <c r="B6267" s="1" t="n">
        <v>44795</v>
      </c>
      <c r="C6267" s="1" t="n">
        <v>45715</v>
      </c>
      <c r="D6267" t="inlineStr">
        <is>
          <t>KALMAR LÄN</t>
        </is>
      </c>
      <c r="E6267" t="inlineStr">
        <is>
          <t>TORSÅS</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34672-2022</t>
        </is>
      </c>
      <c r="B6268" s="1" t="n">
        <v>44795</v>
      </c>
      <c r="C6268" s="1" t="n">
        <v>45715</v>
      </c>
      <c r="D6268" t="inlineStr">
        <is>
          <t>KALMAR LÄN</t>
        </is>
      </c>
      <c r="E6268" t="inlineStr">
        <is>
          <t>VÄSTERVIK</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34636-2022</t>
        </is>
      </c>
      <c r="B6269" s="1" t="n">
        <v>44795</v>
      </c>
      <c r="C6269" s="1" t="n">
        <v>45715</v>
      </c>
      <c r="D6269" t="inlineStr">
        <is>
          <t>KALMAR LÄN</t>
        </is>
      </c>
      <c r="E6269" t="inlineStr">
        <is>
          <t>TORSÅS</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34780-2022</t>
        </is>
      </c>
      <c r="B6270" s="1" t="n">
        <v>44795</v>
      </c>
      <c r="C6270" s="1" t="n">
        <v>45715</v>
      </c>
      <c r="D6270" t="inlineStr">
        <is>
          <t>KALMAR LÄN</t>
        </is>
      </c>
      <c r="E6270" t="inlineStr">
        <is>
          <t>BORGHOLM</t>
        </is>
      </c>
      <c r="F6270" t="inlineStr">
        <is>
          <t>Sveaskog</t>
        </is>
      </c>
      <c r="G6270" t="n">
        <v>6.7</v>
      </c>
      <c r="H6270" t="n">
        <v>0</v>
      </c>
      <c r="I6270" t="n">
        <v>0</v>
      </c>
      <c r="J6270" t="n">
        <v>0</v>
      </c>
      <c r="K6270" t="n">
        <v>0</v>
      </c>
      <c r="L6270" t="n">
        <v>0</v>
      </c>
      <c r="M6270" t="n">
        <v>0</v>
      </c>
      <c r="N6270" t="n">
        <v>0</v>
      </c>
      <c r="O6270" t="n">
        <v>0</v>
      </c>
      <c r="P6270" t="n">
        <v>0</v>
      </c>
      <c r="Q6270" t="n">
        <v>0</v>
      </c>
      <c r="R6270" s="2" t="inlineStr"/>
    </row>
    <row r="6271" ht="15" customHeight="1">
      <c r="A6271" t="inlineStr">
        <is>
          <t>A 34825-2022</t>
        </is>
      </c>
      <c r="B6271" s="1" t="n">
        <v>44795</v>
      </c>
      <c r="C6271" s="1" t="n">
        <v>45715</v>
      </c>
      <c r="D6271" t="inlineStr">
        <is>
          <t>KALMAR LÄN</t>
        </is>
      </c>
      <c r="E6271" t="inlineStr">
        <is>
          <t>TORSÅS</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34836-2022</t>
        </is>
      </c>
      <c r="B6272" s="1" t="n">
        <v>44796</v>
      </c>
      <c r="C6272" s="1" t="n">
        <v>45715</v>
      </c>
      <c r="D6272" t="inlineStr">
        <is>
          <t>KALMAR LÄN</t>
        </is>
      </c>
      <c r="E6272" t="inlineStr">
        <is>
          <t>VÄSTERVIK</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34910-2022</t>
        </is>
      </c>
      <c r="B6273" s="1" t="n">
        <v>44796</v>
      </c>
      <c r="C6273" s="1" t="n">
        <v>45715</v>
      </c>
      <c r="D6273" t="inlineStr">
        <is>
          <t>KALMAR LÄN</t>
        </is>
      </c>
      <c r="E6273" t="inlineStr">
        <is>
          <t>NYBRO</t>
        </is>
      </c>
      <c r="F6273" t="inlineStr">
        <is>
          <t>Sveaskog</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34935-2022</t>
        </is>
      </c>
      <c r="B6274" s="1" t="n">
        <v>44796</v>
      </c>
      <c r="C6274" s="1" t="n">
        <v>45715</v>
      </c>
      <c r="D6274" t="inlineStr">
        <is>
          <t>KALMAR LÄN</t>
        </is>
      </c>
      <c r="E6274" t="inlineStr">
        <is>
          <t>KALMAR</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34855-2022</t>
        </is>
      </c>
      <c r="B6275" s="1" t="n">
        <v>44796</v>
      </c>
      <c r="C6275" s="1" t="n">
        <v>45715</v>
      </c>
      <c r="D6275" t="inlineStr">
        <is>
          <t>KALMAR LÄN</t>
        </is>
      </c>
      <c r="E6275" t="inlineStr">
        <is>
          <t>KALMAR</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34951-2022</t>
        </is>
      </c>
      <c r="B6276" s="1" t="n">
        <v>44796</v>
      </c>
      <c r="C6276" s="1" t="n">
        <v>45715</v>
      </c>
      <c r="D6276" t="inlineStr">
        <is>
          <t>KALMAR LÄN</t>
        </is>
      </c>
      <c r="E6276" t="inlineStr">
        <is>
          <t>BORGHOLM</t>
        </is>
      </c>
      <c r="F6276" t="inlineStr">
        <is>
          <t>Sveaskog</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35064-2022</t>
        </is>
      </c>
      <c r="B6277" s="1" t="n">
        <v>44796</v>
      </c>
      <c r="C6277" s="1" t="n">
        <v>45715</v>
      </c>
      <c r="D6277" t="inlineStr">
        <is>
          <t>KALMAR LÄN</t>
        </is>
      </c>
      <c r="E6277" t="inlineStr">
        <is>
          <t>NYBRO</t>
        </is>
      </c>
      <c r="G6277" t="n">
        <v>9.9</v>
      </c>
      <c r="H6277" t="n">
        <v>0</v>
      </c>
      <c r="I6277" t="n">
        <v>0</v>
      </c>
      <c r="J6277" t="n">
        <v>0</v>
      </c>
      <c r="K6277" t="n">
        <v>0</v>
      </c>
      <c r="L6277" t="n">
        <v>0</v>
      </c>
      <c r="M6277" t="n">
        <v>0</v>
      </c>
      <c r="N6277" t="n">
        <v>0</v>
      </c>
      <c r="O6277" t="n">
        <v>0</v>
      </c>
      <c r="P6277" t="n">
        <v>0</v>
      </c>
      <c r="Q6277" t="n">
        <v>0</v>
      </c>
      <c r="R6277" s="2" t="inlineStr"/>
    </row>
    <row r="6278" ht="15" customHeight="1">
      <c r="A6278" t="inlineStr">
        <is>
          <t>A 35067-2022</t>
        </is>
      </c>
      <c r="B6278" s="1" t="n">
        <v>44796</v>
      </c>
      <c r="C6278" s="1" t="n">
        <v>45715</v>
      </c>
      <c r="D6278" t="inlineStr">
        <is>
          <t>KALMAR LÄN</t>
        </is>
      </c>
      <c r="E6278" t="inlineStr">
        <is>
          <t>NYBRO</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35086-2022</t>
        </is>
      </c>
      <c r="B6279" s="1" t="n">
        <v>44796</v>
      </c>
      <c r="C6279" s="1" t="n">
        <v>45715</v>
      </c>
      <c r="D6279" t="inlineStr">
        <is>
          <t>KALMAR LÄN</t>
        </is>
      </c>
      <c r="E6279" t="inlineStr">
        <is>
          <t>NYBRO</t>
        </is>
      </c>
      <c r="F6279" t="inlineStr">
        <is>
          <t>Kyrkan</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35211-2022</t>
        </is>
      </c>
      <c r="B6280" s="1" t="n">
        <v>44797</v>
      </c>
      <c r="C6280" s="1" t="n">
        <v>45715</v>
      </c>
      <c r="D6280" t="inlineStr">
        <is>
          <t>KALMAR LÄN</t>
        </is>
      </c>
      <c r="E6280" t="inlineStr">
        <is>
          <t>TORSÅS</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35369-2022</t>
        </is>
      </c>
      <c r="B6281" s="1" t="n">
        <v>44798</v>
      </c>
      <c r="C6281" s="1" t="n">
        <v>45715</v>
      </c>
      <c r="D6281" t="inlineStr">
        <is>
          <t>KALMAR LÄN</t>
        </is>
      </c>
      <c r="E6281" t="inlineStr">
        <is>
          <t>NYBRO</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35371-2022</t>
        </is>
      </c>
      <c r="B6282" s="1" t="n">
        <v>44798</v>
      </c>
      <c r="C6282" s="1" t="n">
        <v>45715</v>
      </c>
      <c r="D6282" t="inlineStr">
        <is>
          <t>KALMAR LÄN</t>
        </is>
      </c>
      <c r="E6282" t="inlineStr">
        <is>
          <t>NYBRO</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35417-2022</t>
        </is>
      </c>
      <c r="B6283" s="1" t="n">
        <v>44798</v>
      </c>
      <c r="C6283" s="1" t="n">
        <v>45715</v>
      </c>
      <c r="D6283" t="inlineStr">
        <is>
          <t>KALMAR LÄN</t>
        </is>
      </c>
      <c r="E6283" t="inlineStr">
        <is>
          <t>VÄSTERVIK</t>
        </is>
      </c>
      <c r="G6283" t="n">
        <v>5.2</v>
      </c>
      <c r="H6283" t="n">
        <v>0</v>
      </c>
      <c r="I6283" t="n">
        <v>0</v>
      </c>
      <c r="J6283" t="n">
        <v>0</v>
      </c>
      <c r="K6283" t="n">
        <v>0</v>
      </c>
      <c r="L6283" t="n">
        <v>0</v>
      </c>
      <c r="M6283" t="n">
        <v>0</v>
      </c>
      <c r="N6283" t="n">
        <v>0</v>
      </c>
      <c r="O6283" t="n">
        <v>0</v>
      </c>
      <c r="P6283" t="n">
        <v>0</v>
      </c>
      <c r="Q6283" t="n">
        <v>0</v>
      </c>
      <c r="R6283" s="2" t="inlineStr"/>
    </row>
    <row r="6284" ht="15" customHeight="1">
      <c r="A6284" t="inlineStr">
        <is>
          <t>A 35406-2022</t>
        </is>
      </c>
      <c r="B6284" s="1" t="n">
        <v>44798</v>
      </c>
      <c r="C6284" s="1" t="n">
        <v>45715</v>
      </c>
      <c r="D6284" t="inlineStr">
        <is>
          <t>KALMAR LÄN</t>
        </is>
      </c>
      <c r="E6284" t="inlineStr">
        <is>
          <t>NYBRO</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35429-2022</t>
        </is>
      </c>
      <c r="B6285" s="1" t="n">
        <v>44798</v>
      </c>
      <c r="C6285" s="1" t="n">
        <v>45715</v>
      </c>
      <c r="D6285" t="inlineStr">
        <is>
          <t>KALMAR LÄN</t>
        </is>
      </c>
      <c r="E6285" t="inlineStr">
        <is>
          <t>VIMMERBY</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35388-2022</t>
        </is>
      </c>
      <c r="B6286" s="1" t="n">
        <v>44798</v>
      </c>
      <c r="C6286" s="1" t="n">
        <v>45715</v>
      </c>
      <c r="D6286" t="inlineStr">
        <is>
          <t>KALMAR LÄN</t>
        </is>
      </c>
      <c r="E6286" t="inlineStr">
        <is>
          <t>NYBRO</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35522-2022</t>
        </is>
      </c>
      <c r="B6287" s="1" t="n">
        <v>44799</v>
      </c>
      <c r="C6287" s="1" t="n">
        <v>45715</v>
      </c>
      <c r="D6287" t="inlineStr">
        <is>
          <t>KALMAR LÄN</t>
        </is>
      </c>
      <c r="E6287" t="inlineStr">
        <is>
          <t>EMMABODA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35620-2022</t>
        </is>
      </c>
      <c r="B6288" s="1" t="n">
        <v>44799</v>
      </c>
      <c r="C6288" s="1" t="n">
        <v>45715</v>
      </c>
      <c r="D6288" t="inlineStr">
        <is>
          <t>KALMAR LÄN</t>
        </is>
      </c>
      <c r="E6288" t="inlineStr">
        <is>
          <t>TORSÅS</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35615-2022</t>
        </is>
      </c>
      <c r="B6289" s="1" t="n">
        <v>44799</v>
      </c>
      <c r="C6289" s="1" t="n">
        <v>45715</v>
      </c>
      <c r="D6289" t="inlineStr">
        <is>
          <t>KALMAR LÄN</t>
        </is>
      </c>
      <c r="E6289" t="inlineStr">
        <is>
          <t>VIMMERBY</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35715-2022</t>
        </is>
      </c>
      <c r="B6290" s="1" t="n">
        <v>44799</v>
      </c>
      <c r="C6290" s="1" t="n">
        <v>45715</v>
      </c>
      <c r="D6290" t="inlineStr">
        <is>
          <t>KALMAR LÄN</t>
        </is>
      </c>
      <c r="E6290" t="inlineStr">
        <is>
          <t>MÖNSTERÅS</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35883-2022</t>
        </is>
      </c>
      <c r="B6291" s="1" t="n">
        <v>44802</v>
      </c>
      <c r="C6291" s="1" t="n">
        <v>45715</v>
      </c>
      <c r="D6291" t="inlineStr">
        <is>
          <t>KALMAR LÄN</t>
        </is>
      </c>
      <c r="E6291" t="inlineStr">
        <is>
          <t>MÖNSTERÅS</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35805-2022</t>
        </is>
      </c>
      <c r="B6292" s="1" t="n">
        <v>44802</v>
      </c>
      <c r="C6292" s="1" t="n">
        <v>45715</v>
      </c>
      <c r="D6292" t="inlineStr">
        <is>
          <t>KALMAR LÄN</t>
        </is>
      </c>
      <c r="E6292" t="inlineStr">
        <is>
          <t>MÖNSTERÅS</t>
        </is>
      </c>
      <c r="G6292" t="n">
        <v>12.9</v>
      </c>
      <c r="H6292" t="n">
        <v>0</v>
      </c>
      <c r="I6292" t="n">
        <v>0</v>
      </c>
      <c r="J6292" t="n">
        <v>0</v>
      </c>
      <c r="K6292" t="n">
        <v>0</v>
      </c>
      <c r="L6292" t="n">
        <v>0</v>
      </c>
      <c r="M6292" t="n">
        <v>0</v>
      </c>
      <c r="N6292" t="n">
        <v>0</v>
      </c>
      <c r="O6292" t="n">
        <v>0</v>
      </c>
      <c r="P6292" t="n">
        <v>0</v>
      </c>
      <c r="Q6292" t="n">
        <v>0</v>
      </c>
      <c r="R6292" s="2" t="inlineStr"/>
    </row>
    <row r="6293" ht="15" customHeight="1">
      <c r="A6293" t="inlineStr">
        <is>
          <t>A 36043-2022</t>
        </is>
      </c>
      <c r="B6293" s="1" t="n">
        <v>44802</v>
      </c>
      <c r="C6293" s="1" t="n">
        <v>45715</v>
      </c>
      <c r="D6293" t="inlineStr">
        <is>
          <t>KALMAR LÄN</t>
        </is>
      </c>
      <c r="E6293" t="inlineStr">
        <is>
          <t>EMMABODA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35803-2022</t>
        </is>
      </c>
      <c r="B6294" s="1" t="n">
        <v>44802</v>
      </c>
      <c r="C6294" s="1" t="n">
        <v>45715</v>
      </c>
      <c r="D6294" t="inlineStr">
        <is>
          <t>KALMAR LÄN</t>
        </is>
      </c>
      <c r="E6294" t="inlineStr">
        <is>
          <t>MÖNSTERÅS</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36007-2022</t>
        </is>
      </c>
      <c r="B6295" s="1" t="n">
        <v>44802</v>
      </c>
      <c r="C6295" s="1" t="n">
        <v>45715</v>
      </c>
      <c r="D6295" t="inlineStr">
        <is>
          <t>KALMAR LÄN</t>
        </is>
      </c>
      <c r="E6295" t="inlineStr">
        <is>
          <t>OSKARSHAMN</t>
        </is>
      </c>
      <c r="F6295" t="inlineStr">
        <is>
          <t>Övriga Aktiebolag</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36006-2022</t>
        </is>
      </c>
      <c r="B6296" s="1" t="n">
        <v>44802</v>
      </c>
      <c r="C6296" s="1" t="n">
        <v>45715</v>
      </c>
      <c r="D6296" t="inlineStr">
        <is>
          <t>KALMAR LÄN</t>
        </is>
      </c>
      <c r="E6296" t="inlineStr">
        <is>
          <t>MÖNSTERÅS</t>
        </is>
      </c>
      <c r="G6296" t="n">
        <v>5.8</v>
      </c>
      <c r="H6296" t="n">
        <v>0</v>
      </c>
      <c r="I6296" t="n">
        <v>0</v>
      </c>
      <c r="J6296" t="n">
        <v>0</v>
      </c>
      <c r="K6296" t="n">
        <v>0</v>
      </c>
      <c r="L6296" t="n">
        <v>0</v>
      </c>
      <c r="M6296" t="n">
        <v>0</v>
      </c>
      <c r="N6296" t="n">
        <v>0</v>
      </c>
      <c r="O6296" t="n">
        <v>0</v>
      </c>
      <c r="P6296" t="n">
        <v>0</v>
      </c>
      <c r="Q6296" t="n">
        <v>0</v>
      </c>
      <c r="R6296" s="2" t="inlineStr"/>
    </row>
    <row r="6297" ht="15" customHeight="1">
      <c r="A6297" t="inlineStr">
        <is>
          <t>A 36259-2022</t>
        </is>
      </c>
      <c r="B6297" s="1" t="n">
        <v>44803</v>
      </c>
      <c r="C6297" s="1" t="n">
        <v>45715</v>
      </c>
      <c r="D6297" t="inlineStr">
        <is>
          <t>KALMAR LÄN</t>
        </is>
      </c>
      <c r="E6297" t="inlineStr">
        <is>
          <t>VIMMERBY</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36286-2022</t>
        </is>
      </c>
      <c r="B6298" s="1" t="n">
        <v>44803</v>
      </c>
      <c r="C6298" s="1" t="n">
        <v>45715</v>
      </c>
      <c r="D6298" t="inlineStr">
        <is>
          <t>KALMAR LÄN</t>
        </is>
      </c>
      <c r="E6298" t="inlineStr">
        <is>
          <t>MÖNSTERÅS</t>
        </is>
      </c>
      <c r="F6298" t="inlineStr">
        <is>
          <t>Övriga Aktiebolag</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36247-2022</t>
        </is>
      </c>
      <c r="B6299" s="1" t="n">
        <v>44803</v>
      </c>
      <c r="C6299" s="1" t="n">
        <v>45715</v>
      </c>
      <c r="D6299" t="inlineStr">
        <is>
          <t>KALMAR LÄN</t>
        </is>
      </c>
      <c r="E6299" t="inlineStr">
        <is>
          <t>NYBRO</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36268-2022</t>
        </is>
      </c>
      <c r="B6300" s="1" t="n">
        <v>44803</v>
      </c>
      <c r="C6300" s="1" t="n">
        <v>45715</v>
      </c>
      <c r="D6300" t="inlineStr">
        <is>
          <t>KALMAR LÄN</t>
        </is>
      </c>
      <c r="E6300" t="inlineStr">
        <is>
          <t>VIMMERBY</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36313-2022</t>
        </is>
      </c>
      <c r="B6301" s="1" t="n">
        <v>44803</v>
      </c>
      <c r="C6301" s="1" t="n">
        <v>45715</v>
      </c>
      <c r="D6301" t="inlineStr">
        <is>
          <t>KALMAR LÄN</t>
        </is>
      </c>
      <c r="E6301" t="inlineStr">
        <is>
          <t>OSKARSHAMN</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36320-2022</t>
        </is>
      </c>
      <c r="B6302" s="1" t="n">
        <v>44803</v>
      </c>
      <c r="C6302" s="1" t="n">
        <v>45715</v>
      </c>
      <c r="D6302" t="inlineStr">
        <is>
          <t>KALMAR LÄN</t>
        </is>
      </c>
      <c r="E6302" t="inlineStr">
        <is>
          <t>VIMMERBY</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36735-2022</t>
        </is>
      </c>
      <c r="B6303" s="1" t="n">
        <v>44804</v>
      </c>
      <c r="C6303" s="1" t="n">
        <v>45715</v>
      </c>
      <c r="D6303" t="inlineStr">
        <is>
          <t>KALMAR LÄN</t>
        </is>
      </c>
      <c r="E6303" t="inlineStr">
        <is>
          <t>KALMAR</t>
        </is>
      </c>
      <c r="F6303" t="inlineStr">
        <is>
          <t>Kyrkan</t>
        </is>
      </c>
      <c r="G6303" t="n">
        <v>4.6</v>
      </c>
      <c r="H6303" t="n">
        <v>0</v>
      </c>
      <c r="I6303" t="n">
        <v>0</v>
      </c>
      <c r="J6303" t="n">
        <v>0</v>
      </c>
      <c r="K6303" t="n">
        <v>0</v>
      </c>
      <c r="L6303" t="n">
        <v>0</v>
      </c>
      <c r="M6303" t="n">
        <v>0</v>
      </c>
      <c r="N6303" t="n">
        <v>0</v>
      </c>
      <c r="O6303" t="n">
        <v>0</v>
      </c>
      <c r="P6303" t="n">
        <v>0</v>
      </c>
      <c r="Q6303" t="n">
        <v>0</v>
      </c>
      <c r="R6303" s="2" t="inlineStr"/>
    </row>
    <row r="6304" ht="15" customHeight="1">
      <c r="A6304" t="inlineStr">
        <is>
          <t>A 36601-2022</t>
        </is>
      </c>
      <c r="B6304" s="1" t="n">
        <v>44804</v>
      </c>
      <c r="C6304" s="1" t="n">
        <v>45715</v>
      </c>
      <c r="D6304" t="inlineStr">
        <is>
          <t>KALMAR LÄN</t>
        </is>
      </c>
      <c r="E6304" t="inlineStr">
        <is>
          <t>HÖGSBY</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36904-2022</t>
        </is>
      </c>
      <c r="B6305" s="1" t="n">
        <v>44805</v>
      </c>
      <c r="C6305" s="1" t="n">
        <v>45715</v>
      </c>
      <c r="D6305" t="inlineStr">
        <is>
          <t>KALMAR LÄN</t>
        </is>
      </c>
      <c r="E6305" t="inlineStr">
        <is>
          <t>NYBRO</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37003-2022</t>
        </is>
      </c>
      <c r="B6306" s="1" t="n">
        <v>44806</v>
      </c>
      <c r="C6306" s="1" t="n">
        <v>45715</v>
      </c>
      <c r="D6306" t="inlineStr">
        <is>
          <t>KALMAR LÄN</t>
        </is>
      </c>
      <c r="E6306" t="inlineStr">
        <is>
          <t>OSKARSHAMN</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36951-2022</t>
        </is>
      </c>
      <c r="B6307" s="1" t="n">
        <v>44806</v>
      </c>
      <c r="C6307" s="1" t="n">
        <v>45715</v>
      </c>
      <c r="D6307" t="inlineStr">
        <is>
          <t>KALMAR LÄN</t>
        </is>
      </c>
      <c r="E6307" t="inlineStr">
        <is>
          <t>NYBRO</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37096-2022</t>
        </is>
      </c>
      <c r="B6308" s="1" t="n">
        <v>44806</v>
      </c>
      <c r="C6308" s="1" t="n">
        <v>45715</v>
      </c>
      <c r="D6308" t="inlineStr">
        <is>
          <t>KALMAR LÄN</t>
        </is>
      </c>
      <c r="E6308" t="inlineStr">
        <is>
          <t>MÖNSTERÅS</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37074-2022</t>
        </is>
      </c>
      <c r="B6309" s="1" t="n">
        <v>44806</v>
      </c>
      <c r="C6309" s="1" t="n">
        <v>45715</v>
      </c>
      <c r="D6309" t="inlineStr">
        <is>
          <t>KALMAR LÄN</t>
        </is>
      </c>
      <c r="E6309" t="inlineStr">
        <is>
          <t>NYBRO</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37094-2022</t>
        </is>
      </c>
      <c r="B6310" s="1" t="n">
        <v>44806</v>
      </c>
      <c r="C6310" s="1" t="n">
        <v>45715</v>
      </c>
      <c r="D6310" t="inlineStr">
        <is>
          <t>KALMAR LÄN</t>
        </is>
      </c>
      <c r="E6310" t="inlineStr">
        <is>
          <t>MÖNSTERÅS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37297-2022</t>
        </is>
      </c>
      <c r="B6311" s="1" t="n">
        <v>44808</v>
      </c>
      <c r="C6311" s="1" t="n">
        <v>45715</v>
      </c>
      <c r="D6311" t="inlineStr">
        <is>
          <t>KALMAR LÄN</t>
        </is>
      </c>
      <c r="E6311" t="inlineStr">
        <is>
          <t>EMMABODA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37301-2022</t>
        </is>
      </c>
      <c r="B6312" s="1" t="n">
        <v>44808</v>
      </c>
      <c r="C6312" s="1" t="n">
        <v>45715</v>
      </c>
      <c r="D6312" t="inlineStr">
        <is>
          <t>KALMAR LÄN</t>
        </is>
      </c>
      <c r="E6312" t="inlineStr">
        <is>
          <t>EMMABODA</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37296-2022</t>
        </is>
      </c>
      <c r="B6313" s="1" t="n">
        <v>44808</v>
      </c>
      <c r="C6313" s="1" t="n">
        <v>45715</v>
      </c>
      <c r="D6313" t="inlineStr">
        <is>
          <t>KALMAR LÄN</t>
        </is>
      </c>
      <c r="E6313" t="inlineStr">
        <is>
          <t>EMMABODA</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37320-2022</t>
        </is>
      </c>
      <c r="B6314" s="1" t="n">
        <v>44809</v>
      </c>
      <c r="C6314" s="1" t="n">
        <v>45715</v>
      </c>
      <c r="D6314" t="inlineStr">
        <is>
          <t>KALMAR LÄN</t>
        </is>
      </c>
      <c r="E6314" t="inlineStr">
        <is>
          <t>HÖGSBY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37377-2022</t>
        </is>
      </c>
      <c r="B6315" s="1" t="n">
        <v>44809</v>
      </c>
      <c r="C6315" s="1" t="n">
        <v>45715</v>
      </c>
      <c r="D6315" t="inlineStr">
        <is>
          <t>KALMAR LÄN</t>
        </is>
      </c>
      <c r="E6315" t="inlineStr">
        <is>
          <t>HULTSFRED</t>
        </is>
      </c>
      <c r="F6315" t="inlineStr">
        <is>
          <t>Sveaskog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37405-2022</t>
        </is>
      </c>
      <c r="B6316" s="1" t="n">
        <v>44809</v>
      </c>
      <c r="C6316" s="1" t="n">
        <v>45715</v>
      </c>
      <c r="D6316" t="inlineStr">
        <is>
          <t>KALMAR LÄN</t>
        </is>
      </c>
      <c r="E6316" t="inlineStr">
        <is>
          <t>EMMABODA</t>
        </is>
      </c>
      <c r="G6316" t="n">
        <v>5.6</v>
      </c>
      <c r="H6316" t="n">
        <v>0</v>
      </c>
      <c r="I6316" t="n">
        <v>0</v>
      </c>
      <c r="J6316" t="n">
        <v>0</v>
      </c>
      <c r="K6316" t="n">
        <v>0</v>
      </c>
      <c r="L6316" t="n">
        <v>0</v>
      </c>
      <c r="M6316" t="n">
        <v>0</v>
      </c>
      <c r="N6316" t="n">
        <v>0</v>
      </c>
      <c r="O6316" t="n">
        <v>0</v>
      </c>
      <c r="P6316" t="n">
        <v>0</v>
      </c>
      <c r="Q6316" t="n">
        <v>0</v>
      </c>
      <c r="R6316" s="2" t="inlineStr"/>
    </row>
    <row r="6317" ht="15" customHeight="1">
      <c r="A6317" t="inlineStr">
        <is>
          <t>A 37497-2022</t>
        </is>
      </c>
      <c r="B6317" s="1" t="n">
        <v>44809</v>
      </c>
      <c r="C6317" s="1" t="n">
        <v>45715</v>
      </c>
      <c r="D6317" t="inlineStr">
        <is>
          <t>KALMAR LÄN</t>
        </is>
      </c>
      <c r="E6317" t="inlineStr">
        <is>
          <t>HÖGSBY</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37698-2022</t>
        </is>
      </c>
      <c r="B6318" s="1" t="n">
        <v>44810</v>
      </c>
      <c r="C6318" s="1" t="n">
        <v>45715</v>
      </c>
      <c r="D6318" t="inlineStr">
        <is>
          <t>KALMAR LÄN</t>
        </is>
      </c>
      <c r="E6318" t="inlineStr">
        <is>
          <t>KALMAR</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37741-2022</t>
        </is>
      </c>
      <c r="B6319" s="1" t="n">
        <v>44810</v>
      </c>
      <c r="C6319" s="1" t="n">
        <v>45715</v>
      </c>
      <c r="D6319" t="inlineStr">
        <is>
          <t>KALMAR LÄN</t>
        </is>
      </c>
      <c r="E6319" t="inlineStr">
        <is>
          <t>KALMAR</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37797-2022</t>
        </is>
      </c>
      <c r="B6320" s="1" t="n">
        <v>44810</v>
      </c>
      <c r="C6320" s="1" t="n">
        <v>45715</v>
      </c>
      <c r="D6320" t="inlineStr">
        <is>
          <t>KALMAR LÄN</t>
        </is>
      </c>
      <c r="E6320" t="inlineStr">
        <is>
          <t>KALMAR</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37968-2022</t>
        </is>
      </c>
      <c r="B6321" s="1" t="n">
        <v>44811</v>
      </c>
      <c r="C6321" s="1" t="n">
        <v>45715</v>
      </c>
      <c r="D6321" t="inlineStr">
        <is>
          <t>KALMAR LÄN</t>
        </is>
      </c>
      <c r="E6321" t="inlineStr">
        <is>
          <t>TORSÅS</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37916-2022</t>
        </is>
      </c>
      <c r="B6322" s="1" t="n">
        <v>44811</v>
      </c>
      <c r="C6322" s="1" t="n">
        <v>45715</v>
      </c>
      <c r="D6322" t="inlineStr">
        <is>
          <t>KALMAR LÄN</t>
        </is>
      </c>
      <c r="E6322" t="inlineStr">
        <is>
          <t>HULTSFRED</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37905-2022</t>
        </is>
      </c>
      <c r="B6323" s="1" t="n">
        <v>44811</v>
      </c>
      <c r="C6323" s="1" t="n">
        <v>45715</v>
      </c>
      <c r="D6323" t="inlineStr">
        <is>
          <t>KALMAR LÄN</t>
        </is>
      </c>
      <c r="E6323" t="inlineStr">
        <is>
          <t>EMMABODA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37936-2022</t>
        </is>
      </c>
      <c r="B6324" s="1" t="n">
        <v>44811</v>
      </c>
      <c r="C6324" s="1" t="n">
        <v>45715</v>
      </c>
      <c r="D6324" t="inlineStr">
        <is>
          <t>KALMAR LÄN</t>
        </is>
      </c>
      <c r="E6324" t="inlineStr">
        <is>
          <t>VÄSTERVIK</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37919-2022</t>
        </is>
      </c>
      <c r="B6325" s="1" t="n">
        <v>44811</v>
      </c>
      <c r="C6325" s="1" t="n">
        <v>45715</v>
      </c>
      <c r="D6325" t="inlineStr">
        <is>
          <t>KALMAR LÄN</t>
        </is>
      </c>
      <c r="E6325" t="inlineStr">
        <is>
          <t>HULTSFRED</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37960-2022</t>
        </is>
      </c>
      <c r="B6326" s="1" t="n">
        <v>44811</v>
      </c>
      <c r="C6326" s="1" t="n">
        <v>45715</v>
      </c>
      <c r="D6326" t="inlineStr">
        <is>
          <t>KALMAR LÄN</t>
        </is>
      </c>
      <c r="E6326" t="inlineStr">
        <is>
          <t>HULTSFRED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37967-2022</t>
        </is>
      </c>
      <c r="B6327" s="1" t="n">
        <v>44811</v>
      </c>
      <c r="C6327" s="1" t="n">
        <v>45715</v>
      </c>
      <c r="D6327" t="inlineStr">
        <is>
          <t>KALMAR LÄN</t>
        </is>
      </c>
      <c r="E6327" t="inlineStr">
        <is>
          <t>NYBRO</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38069-2022</t>
        </is>
      </c>
      <c r="B6328" s="1" t="n">
        <v>44811</v>
      </c>
      <c r="C6328" s="1" t="n">
        <v>45715</v>
      </c>
      <c r="D6328" t="inlineStr">
        <is>
          <t>KALMAR LÄN</t>
        </is>
      </c>
      <c r="E6328" t="inlineStr">
        <is>
          <t>VÄSTERVIK</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37966-2022</t>
        </is>
      </c>
      <c r="B6329" s="1" t="n">
        <v>44811</v>
      </c>
      <c r="C6329" s="1" t="n">
        <v>45715</v>
      </c>
      <c r="D6329" t="inlineStr">
        <is>
          <t>KALMAR LÄN</t>
        </is>
      </c>
      <c r="E6329" t="inlineStr">
        <is>
          <t>TORSÅS</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38031-2022</t>
        </is>
      </c>
      <c r="B6330" s="1" t="n">
        <v>44811</v>
      </c>
      <c r="C6330" s="1" t="n">
        <v>45715</v>
      </c>
      <c r="D6330" t="inlineStr">
        <is>
          <t>KALMAR LÄN</t>
        </is>
      </c>
      <c r="E6330" t="inlineStr">
        <is>
          <t>NYBRO</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38147-2022</t>
        </is>
      </c>
      <c r="B6331" s="1" t="n">
        <v>44812</v>
      </c>
      <c r="C6331" s="1" t="n">
        <v>45715</v>
      </c>
      <c r="D6331" t="inlineStr">
        <is>
          <t>KALMAR LÄN</t>
        </is>
      </c>
      <c r="E6331" t="inlineStr">
        <is>
          <t>TORSÅS</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38151-2022</t>
        </is>
      </c>
      <c r="B6332" s="1" t="n">
        <v>44812</v>
      </c>
      <c r="C6332" s="1" t="n">
        <v>45715</v>
      </c>
      <c r="D6332" t="inlineStr">
        <is>
          <t>KALMAR LÄN</t>
        </is>
      </c>
      <c r="E6332" t="inlineStr">
        <is>
          <t>TORSÅS</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38399-2022</t>
        </is>
      </c>
      <c r="B6333" s="1" t="n">
        <v>44812</v>
      </c>
      <c r="C6333" s="1" t="n">
        <v>45715</v>
      </c>
      <c r="D6333" t="inlineStr">
        <is>
          <t>KALMAR LÄN</t>
        </is>
      </c>
      <c r="E6333" t="inlineStr">
        <is>
          <t>VÄSTERVIK</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38550-2022</t>
        </is>
      </c>
      <c r="B6334" s="1" t="n">
        <v>44813</v>
      </c>
      <c r="C6334" s="1" t="n">
        <v>45715</v>
      </c>
      <c r="D6334" t="inlineStr">
        <is>
          <t>KALMAR LÄN</t>
        </is>
      </c>
      <c r="E6334" t="inlineStr">
        <is>
          <t>NYBRO</t>
        </is>
      </c>
      <c r="F6334" t="inlineStr">
        <is>
          <t>Sveaskog</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38448-2022</t>
        </is>
      </c>
      <c r="B6335" s="1" t="n">
        <v>44813</v>
      </c>
      <c r="C6335" s="1" t="n">
        <v>45715</v>
      </c>
      <c r="D6335" t="inlineStr">
        <is>
          <t>KALMAR LÄN</t>
        </is>
      </c>
      <c r="E6335" t="inlineStr">
        <is>
          <t>EMMABODA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38579-2022</t>
        </is>
      </c>
      <c r="B6336" s="1" t="n">
        <v>44813</v>
      </c>
      <c r="C6336" s="1" t="n">
        <v>45715</v>
      </c>
      <c r="D6336" t="inlineStr">
        <is>
          <t>KALMAR LÄN</t>
        </is>
      </c>
      <c r="E6336" t="inlineStr">
        <is>
          <t>MÖNSTERÅS</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38789-2022</t>
        </is>
      </c>
      <c r="B6337" s="1" t="n">
        <v>44816</v>
      </c>
      <c r="C6337" s="1" t="n">
        <v>45715</v>
      </c>
      <c r="D6337" t="inlineStr">
        <is>
          <t>KALMAR LÄN</t>
        </is>
      </c>
      <c r="E6337" t="inlineStr">
        <is>
          <t>TORSÅS</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38781-2022</t>
        </is>
      </c>
      <c r="B6338" s="1" t="n">
        <v>44816</v>
      </c>
      <c r="C6338" s="1" t="n">
        <v>45715</v>
      </c>
      <c r="D6338" t="inlineStr">
        <is>
          <t>KALMAR LÄN</t>
        </is>
      </c>
      <c r="E6338" t="inlineStr">
        <is>
          <t>KALMAR</t>
        </is>
      </c>
      <c r="G6338" t="n">
        <v>6.2</v>
      </c>
      <c r="H6338" t="n">
        <v>0</v>
      </c>
      <c r="I6338" t="n">
        <v>0</v>
      </c>
      <c r="J6338" t="n">
        <v>0</v>
      </c>
      <c r="K6338" t="n">
        <v>0</v>
      </c>
      <c r="L6338" t="n">
        <v>0</v>
      </c>
      <c r="M6338" t="n">
        <v>0</v>
      </c>
      <c r="N6338" t="n">
        <v>0</v>
      </c>
      <c r="O6338" t="n">
        <v>0</v>
      </c>
      <c r="P6338" t="n">
        <v>0</v>
      </c>
      <c r="Q6338" t="n">
        <v>0</v>
      </c>
      <c r="R6338" s="2" t="inlineStr"/>
    </row>
    <row r="6339" ht="15" customHeight="1">
      <c r="A6339" t="inlineStr">
        <is>
          <t>A 38772-2022</t>
        </is>
      </c>
      <c r="B6339" s="1" t="n">
        <v>44816</v>
      </c>
      <c r="C6339" s="1" t="n">
        <v>45715</v>
      </c>
      <c r="D6339" t="inlineStr">
        <is>
          <t>KALMAR LÄN</t>
        </is>
      </c>
      <c r="E6339" t="inlineStr">
        <is>
          <t>NYBRO</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38814-2022</t>
        </is>
      </c>
      <c r="B6340" s="1" t="n">
        <v>44816</v>
      </c>
      <c r="C6340" s="1" t="n">
        <v>45715</v>
      </c>
      <c r="D6340" t="inlineStr">
        <is>
          <t>KALMAR LÄN</t>
        </is>
      </c>
      <c r="E6340" t="inlineStr">
        <is>
          <t>NYBRO</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38901-2022</t>
        </is>
      </c>
      <c r="B6341" s="1" t="n">
        <v>44816</v>
      </c>
      <c r="C6341" s="1" t="n">
        <v>45715</v>
      </c>
      <c r="D6341" t="inlineStr">
        <is>
          <t>KALMAR LÄN</t>
        </is>
      </c>
      <c r="E6341" t="inlineStr">
        <is>
          <t>HÖGSBY</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38908-2022</t>
        </is>
      </c>
      <c r="B6342" s="1" t="n">
        <v>44816</v>
      </c>
      <c r="C6342" s="1" t="n">
        <v>45715</v>
      </c>
      <c r="D6342" t="inlineStr">
        <is>
          <t>KALMAR LÄN</t>
        </is>
      </c>
      <c r="E6342" t="inlineStr">
        <is>
          <t>NYBRO</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38924-2022</t>
        </is>
      </c>
      <c r="B6343" s="1" t="n">
        <v>44816</v>
      </c>
      <c r="C6343" s="1" t="n">
        <v>45715</v>
      </c>
      <c r="D6343" t="inlineStr">
        <is>
          <t>KALMAR LÄN</t>
        </is>
      </c>
      <c r="E6343" t="inlineStr">
        <is>
          <t>EMMABODA</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38971-2022</t>
        </is>
      </c>
      <c r="B6344" s="1" t="n">
        <v>44816</v>
      </c>
      <c r="C6344" s="1" t="n">
        <v>45715</v>
      </c>
      <c r="D6344" t="inlineStr">
        <is>
          <t>KALMAR LÄN</t>
        </is>
      </c>
      <c r="E6344" t="inlineStr">
        <is>
          <t>HULTSFRED</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39193-2022</t>
        </is>
      </c>
      <c r="B6345" s="1" t="n">
        <v>44817</v>
      </c>
      <c r="C6345" s="1" t="n">
        <v>45715</v>
      </c>
      <c r="D6345" t="inlineStr">
        <is>
          <t>KALMAR LÄN</t>
        </is>
      </c>
      <c r="E6345" t="inlineStr">
        <is>
          <t>MÖNSTERÅS</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39201-2022</t>
        </is>
      </c>
      <c r="B6346" s="1" t="n">
        <v>44817</v>
      </c>
      <c r="C6346" s="1" t="n">
        <v>45715</v>
      </c>
      <c r="D6346" t="inlineStr">
        <is>
          <t>KALMAR LÄN</t>
        </is>
      </c>
      <c r="E6346" t="inlineStr">
        <is>
          <t>OSKARSHAMN</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39212-2022</t>
        </is>
      </c>
      <c r="B6347" s="1" t="n">
        <v>44817</v>
      </c>
      <c r="C6347" s="1" t="n">
        <v>45715</v>
      </c>
      <c r="D6347" t="inlineStr">
        <is>
          <t>KALMAR LÄN</t>
        </is>
      </c>
      <c r="E6347" t="inlineStr">
        <is>
          <t>MÖNSTERÅS</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39225-2022</t>
        </is>
      </c>
      <c r="B6348" s="1" t="n">
        <v>44817</v>
      </c>
      <c r="C6348" s="1" t="n">
        <v>45715</v>
      </c>
      <c r="D6348" t="inlineStr">
        <is>
          <t>KALMAR LÄN</t>
        </is>
      </c>
      <c r="E6348" t="inlineStr">
        <is>
          <t>VIMMERBY</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39262-2022</t>
        </is>
      </c>
      <c r="B6349" s="1" t="n">
        <v>44817</v>
      </c>
      <c r="C6349" s="1" t="n">
        <v>45715</v>
      </c>
      <c r="D6349" t="inlineStr">
        <is>
          <t>KALMAR LÄN</t>
        </is>
      </c>
      <c r="E6349" t="inlineStr">
        <is>
          <t>MÖNSTERÅS</t>
        </is>
      </c>
      <c r="F6349" t="inlineStr">
        <is>
          <t>Kommuner</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39272-2022</t>
        </is>
      </c>
      <c r="B6350" s="1" t="n">
        <v>44817</v>
      </c>
      <c r="C6350" s="1" t="n">
        <v>45715</v>
      </c>
      <c r="D6350" t="inlineStr">
        <is>
          <t>KALMAR LÄN</t>
        </is>
      </c>
      <c r="E6350" t="inlineStr">
        <is>
          <t>MÖNSTERÅS</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39294-2022</t>
        </is>
      </c>
      <c r="B6351" s="1" t="n">
        <v>44817</v>
      </c>
      <c r="C6351" s="1" t="n">
        <v>45715</v>
      </c>
      <c r="D6351" t="inlineStr">
        <is>
          <t>KALMAR LÄN</t>
        </is>
      </c>
      <c r="E6351" t="inlineStr">
        <is>
          <t>HÖGSBY</t>
        </is>
      </c>
      <c r="F6351" t="inlineStr">
        <is>
          <t>Övriga Aktiebolag</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39042-2022</t>
        </is>
      </c>
      <c r="B6352" s="1" t="n">
        <v>44817</v>
      </c>
      <c r="C6352" s="1" t="n">
        <v>45715</v>
      </c>
      <c r="D6352" t="inlineStr">
        <is>
          <t>KALMAR LÄN</t>
        </is>
      </c>
      <c r="E6352" t="inlineStr">
        <is>
          <t>VIMMERBY</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39158-2022</t>
        </is>
      </c>
      <c r="B6353" s="1" t="n">
        <v>44817</v>
      </c>
      <c r="C6353" s="1" t="n">
        <v>45715</v>
      </c>
      <c r="D6353" t="inlineStr">
        <is>
          <t>KALMAR LÄN</t>
        </is>
      </c>
      <c r="E6353" t="inlineStr">
        <is>
          <t>MÖNSTERÅS</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39119-2022</t>
        </is>
      </c>
      <c r="B6354" s="1" t="n">
        <v>44817</v>
      </c>
      <c r="C6354" s="1" t="n">
        <v>45715</v>
      </c>
      <c r="D6354" t="inlineStr">
        <is>
          <t>KALMAR LÄN</t>
        </is>
      </c>
      <c r="E6354" t="inlineStr">
        <is>
          <t>EMMABODA</t>
        </is>
      </c>
      <c r="G6354" t="n">
        <v>6.3</v>
      </c>
      <c r="H6354" t="n">
        <v>0</v>
      </c>
      <c r="I6354" t="n">
        <v>0</v>
      </c>
      <c r="J6354" t="n">
        <v>0</v>
      </c>
      <c r="K6354" t="n">
        <v>0</v>
      </c>
      <c r="L6354" t="n">
        <v>0</v>
      </c>
      <c r="M6354" t="n">
        <v>0</v>
      </c>
      <c r="N6354" t="n">
        <v>0</v>
      </c>
      <c r="O6354" t="n">
        <v>0</v>
      </c>
      <c r="P6354" t="n">
        <v>0</v>
      </c>
      <c r="Q6354" t="n">
        <v>0</v>
      </c>
      <c r="R6354" s="2" t="inlineStr"/>
    </row>
    <row r="6355" ht="15" customHeight="1">
      <c r="A6355" t="inlineStr">
        <is>
          <t>A 39203-2022</t>
        </is>
      </c>
      <c r="B6355" s="1" t="n">
        <v>44817</v>
      </c>
      <c r="C6355" s="1" t="n">
        <v>45715</v>
      </c>
      <c r="D6355" t="inlineStr">
        <is>
          <t>KALMAR LÄN</t>
        </is>
      </c>
      <c r="E6355" t="inlineStr">
        <is>
          <t>EMMABODA</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39209-2022</t>
        </is>
      </c>
      <c r="B6356" s="1" t="n">
        <v>44817</v>
      </c>
      <c r="C6356" s="1" t="n">
        <v>45715</v>
      </c>
      <c r="D6356" t="inlineStr">
        <is>
          <t>KALMAR LÄN</t>
        </is>
      </c>
      <c r="E6356" t="inlineStr">
        <is>
          <t>EMMABODA</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39453-2022</t>
        </is>
      </c>
      <c r="B6357" s="1" t="n">
        <v>44818</v>
      </c>
      <c r="C6357" s="1" t="n">
        <v>45715</v>
      </c>
      <c r="D6357" t="inlineStr">
        <is>
          <t>KALMAR LÄN</t>
        </is>
      </c>
      <c r="E6357" t="inlineStr">
        <is>
          <t>KALMAR</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39598-2022</t>
        </is>
      </c>
      <c r="B6358" s="1" t="n">
        <v>44818</v>
      </c>
      <c r="C6358" s="1" t="n">
        <v>45715</v>
      </c>
      <c r="D6358" t="inlineStr">
        <is>
          <t>KALMAR LÄN</t>
        </is>
      </c>
      <c r="E6358" t="inlineStr">
        <is>
          <t>HULTSFRED</t>
        </is>
      </c>
      <c r="F6358" t="inlineStr">
        <is>
          <t>Övriga Aktiebolag</t>
        </is>
      </c>
      <c r="G6358" t="n">
        <v>17.1</v>
      </c>
      <c r="H6358" t="n">
        <v>0</v>
      </c>
      <c r="I6358" t="n">
        <v>0</v>
      </c>
      <c r="J6358" t="n">
        <v>0</v>
      </c>
      <c r="K6358" t="n">
        <v>0</v>
      </c>
      <c r="L6358" t="n">
        <v>0</v>
      </c>
      <c r="M6358" t="n">
        <v>0</v>
      </c>
      <c r="N6358" t="n">
        <v>0</v>
      </c>
      <c r="O6358" t="n">
        <v>0</v>
      </c>
      <c r="P6358" t="n">
        <v>0</v>
      </c>
      <c r="Q6358" t="n">
        <v>0</v>
      </c>
      <c r="R6358" s="2" t="inlineStr"/>
    </row>
    <row r="6359" ht="15" customHeight="1">
      <c r="A6359" t="inlineStr">
        <is>
          <t>A 39433-2022</t>
        </is>
      </c>
      <c r="B6359" s="1" t="n">
        <v>44818</v>
      </c>
      <c r="C6359" s="1" t="n">
        <v>45715</v>
      </c>
      <c r="D6359" t="inlineStr">
        <is>
          <t>KALMAR LÄN</t>
        </is>
      </c>
      <c r="E6359" t="inlineStr">
        <is>
          <t>NYBRO</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39520-2022</t>
        </is>
      </c>
      <c r="B6360" s="1" t="n">
        <v>44818</v>
      </c>
      <c r="C6360" s="1" t="n">
        <v>45715</v>
      </c>
      <c r="D6360" t="inlineStr">
        <is>
          <t>KALMAR LÄN</t>
        </is>
      </c>
      <c r="E6360" t="inlineStr">
        <is>
          <t>HÖGSBY</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39535-2022</t>
        </is>
      </c>
      <c r="B6361" s="1" t="n">
        <v>44818</v>
      </c>
      <c r="C6361" s="1" t="n">
        <v>45715</v>
      </c>
      <c r="D6361" t="inlineStr">
        <is>
          <t>KALMAR LÄN</t>
        </is>
      </c>
      <c r="E6361" t="inlineStr">
        <is>
          <t>NYBRO</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39553-2022</t>
        </is>
      </c>
      <c r="B6362" s="1" t="n">
        <v>44818</v>
      </c>
      <c r="C6362" s="1" t="n">
        <v>45715</v>
      </c>
      <c r="D6362" t="inlineStr">
        <is>
          <t>KALMAR LÄN</t>
        </is>
      </c>
      <c r="E6362" t="inlineStr">
        <is>
          <t>MÖNSTERÅS</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39525-2022</t>
        </is>
      </c>
      <c r="B6363" s="1" t="n">
        <v>44818</v>
      </c>
      <c r="C6363" s="1" t="n">
        <v>45715</v>
      </c>
      <c r="D6363" t="inlineStr">
        <is>
          <t>KALMAR LÄN</t>
        </is>
      </c>
      <c r="E6363" t="inlineStr">
        <is>
          <t>KALMAR</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39539-2022</t>
        </is>
      </c>
      <c r="B6364" s="1" t="n">
        <v>44818</v>
      </c>
      <c r="C6364" s="1" t="n">
        <v>45715</v>
      </c>
      <c r="D6364" t="inlineStr">
        <is>
          <t>KALMAR LÄN</t>
        </is>
      </c>
      <c r="E6364" t="inlineStr">
        <is>
          <t>KALMAR</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39635-2022</t>
        </is>
      </c>
      <c r="B6365" s="1" t="n">
        <v>44818</v>
      </c>
      <c r="C6365" s="1" t="n">
        <v>45715</v>
      </c>
      <c r="D6365" t="inlineStr">
        <is>
          <t>KALMAR LÄN</t>
        </is>
      </c>
      <c r="E6365" t="inlineStr">
        <is>
          <t>KALMAR</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39651-2022</t>
        </is>
      </c>
      <c r="B6366" s="1" t="n">
        <v>44818</v>
      </c>
      <c r="C6366" s="1" t="n">
        <v>45715</v>
      </c>
      <c r="D6366" t="inlineStr">
        <is>
          <t>KALMAR LÄN</t>
        </is>
      </c>
      <c r="E6366" t="inlineStr">
        <is>
          <t>OSKARSHAMN</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39616-2022</t>
        </is>
      </c>
      <c r="B6367" s="1" t="n">
        <v>44818</v>
      </c>
      <c r="C6367" s="1" t="n">
        <v>45715</v>
      </c>
      <c r="D6367" t="inlineStr">
        <is>
          <t>KALMAR LÄN</t>
        </is>
      </c>
      <c r="E6367" t="inlineStr">
        <is>
          <t>TORSÅS</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39633-2022</t>
        </is>
      </c>
      <c r="B6368" s="1" t="n">
        <v>44818</v>
      </c>
      <c r="C6368" s="1" t="n">
        <v>45715</v>
      </c>
      <c r="D6368" t="inlineStr">
        <is>
          <t>KALMAR LÄN</t>
        </is>
      </c>
      <c r="E6368" t="inlineStr">
        <is>
          <t>OSKARSHAMN</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39670-2022</t>
        </is>
      </c>
      <c r="B6369" s="1" t="n">
        <v>44818</v>
      </c>
      <c r="C6369" s="1" t="n">
        <v>45715</v>
      </c>
      <c r="D6369" t="inlineStr">
        <is>
          <t>KALMAR LÄN</t>
        </is>
      </c>
      <c r="E6369" t="inlineStr">
        <is>
          <t>OSKARSHAMN</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39629-2022</t>
        </is>
      </c>
      <c r="B6370" s="1" t="n">
        <v>44818</v>
      </c>
      <c r="C6370" s="1" t="n">
        <v>45715</v>
      </c>
      <c r="D6370" t="inlineStr">
        <is>
          <t>KALMAR LÄN</t>
        </is>
      </c>
      <c r="E6370" t="inlineStr">
        <is>
          <t>OSKARSHAMN</t>
        </is>
      </c>
      <c r="G6370" t="n">
        <v>14.8</v>
      </c>
      <c r="H6370" t="n">
        <v>0</v>
      </c>
      <c r="I6370" t="n">
        <v>0</v>
      </c>
      <c r="J6370" t="n">
        <v>0</v>
      </c>
      <c r="K6370" t="n">
        <v>0</v>
      </c>
      <c r="L6370" t="n">
        <v>0</v>
      </c>
      <c r="M6370" t="n">
        <v>0</v>
      </c>
      <c r="N6370" t="n">
        <v>0</v>
      </c>
      <c r="O6370" t="n">
        <v>0</v>
      </c>
      <c r="P6370" t="n">
        <v>0</v>
      </c>
      <c r="Q6370" t="n">
        <v>0</v>
      </c>
      <c r="R6370" s="2" t="inlineStr"/>
    </row>
    <row r="6371" ht="15" customHeight="1">
      <c r="A6371" t="inlineStr">
        <is>
          <t>A 39655-2022</t>
        </is>
      </c>
      <c r="B6371" s="1" t="n">
        <v>44818</v>
      </c>
      <c r="C6371" s="1" t="n">
        <v>45715</v>
      </c>
      <c r="D6371" t="inlineStr">
        <is>
          <t>KALMAR LÄN</t>
        </is>
      </c>
      <c r="E6371" t="inlineStr">
        <is>
          <t>OSKARSHAMN</t>
        </is>
      </c>
      <c r="G6371" t="n">
        <v>5.9</v>
      </c>
      <c r="H6371" t="n">
        <v>0</v>
      </c>
      <c r="I6371" t="n">
        <v>0</v>
      </c>
      <c r="J6371" t="n">
        <v>0</v>
      </c>
      <c r="K6371" t="n">
        <v>0</v>
      </c>
      <c r="L6371" t="n">
        <v>0</v>
      </c>
      <c r="M6371" t="n">
        <v>0</v>
      </c>
      <c r="N6371" t="n">
        <v>0</v>
      </c>
      <c r="O6371" t="n">
        <v>0</v>
      </c>
      <c r="P6371" t="n">
        <v>0</v>
      </c>
      <c r="Q6371" t="n">
        <v>0</v>
      </c>
      <c r="R6371" s="2" t="inlineStr"/>
    </row>
    <row r="6372" ht="15" customHeight="1">
      <c r="A6372" t="inlineStr">
        <is>
          <t>A 39662-2022</t>
        </is>
      </c>
      <c r="B6372" s="1" t="n">
        <v>44818</v>
      </c>
      <c r="C6372" s="1" t="n">
        <v>45715</v>
      </c>
      <c r="D6372" t="inlineStr">
        <is>
          <t>KALMAR LÄN</t>
        </is>
      </c>
      <c r="E6372" t="inlineStr">
        <is>
          <t>OSKARSHAMN</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39674-2022</t>
        </is>
      </c>
      <c r="B6373" s="1" t="n">
        <v>44818</v>
      </c>
      <c r="C6373" s="1" t="n">
        <v>45715</v>
      </c>
      <c r="D6373" t="inlineStr">
        <is>
          <t>KALMAR LÄN</t>
        </is>
      </c>
      <c r="E6373" t="inlineStr">
        <is>
          <t>OSKARSHAMN</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39677-2022</t>
        </is>
      </c>
      <c r="B6374" s="1" t="n">
        <v>44818</v>
      </c>
      <c r="C6374" s="1" t="n">
        <v>45715</v>
      </c>
      <c r="D6374" t="inlineStr">
        <is>
          <t>KALMAR LÄN</t>
        </is>
      </c>
      <c r="E6374" t="inlineStr">
        <is>
          <t>OSKARSHAMN</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40105-2022</t>
        </is>
      </c>
      <c r="B6375" s="1" t="n">
        <v>44818</v>
      </c>
      <c r="C6375" s="1" t="n">
        <v>45715</v>
      </c>
      <c r="D6375" t="inlineStr">
        <is>
          <t>KALMAR LÄN</t>
        </is>
      </c>
      <c r="E6375" t="inlineStr">
        <is>
          <t>HÖGSBY</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39771-2022</t>
        </is>
      </c>
      <c r="B6376" s="1" t="n">
        <v>44819</v>
      </c>
      <c r="C6376" s="1" t="n">
        <v>45715</v>
      </c>
      <c r="D6376" t="inlineStr">
        <is>
          <t>KALMAR LÄN</t>
        </is>
      </c>
      <c r="E6376" t="inlineStr">
        <is>
          <t>NYBRO</t>
        </is>
      </c>
      <c r="F6376" t="inlineStr">
        <is>
          <t>Kommuner</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39845-2022</t>
        </is>
      </c>
      <c r="B6377" s="1" t="n">
        <v>44819</v>
      </c>
      <c r="C6377" s="1" t="n">
        <v>45715</v>
      </c>
      <c r="D6377" t="inlineStr">
        <is>
          <t>KALMAR LÄN</t>
        </is>
      </c>
      <c r="E6377" t="inlineStr">
        <is>
          <t>HULTSFRED</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39757-2022</t>
        </is>
      </c>
      <c r="B6378" s="1" t="n">
        <v>44819</v>
      </c>
      <c r="C6378" s="1" t="n">
        <v>45715</v>
      </c>
      <c r="D6378" t="inlineStr">
        <is>
          <t>KALMAR LÄN</t>
        </is>
      </c>
      <c r="E6378" t="inlineStr">
        <is>
          <t>EMMABODA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39843-2022</t>
        </is>
      </c>
      <c r="B6379" s="1" t="n">
        <v>44819</v>
      </c>
      <c r="C6379" s="1" t="n">
        <v>45715</v>
      </c>
      <c r="D6379" t="inlineStr">
        <is>
          <t>KALMAR LÄN</t>
        </is>
      </c>
      <c r="E6379" t="inlineStr">
        <is>
          <t>KALMAR</t>
        </is>
      </c>
      <c r="G6379" t="n">
        <v>4.2</v>
      </c>
      <c r="H6379" t="n">
        <v>0</v>
      </c>
      <c r="I6379" t="n">
        <v>0</v>
      </c>
      <c r="J6379" t="n">
        <v>0</v>
      </c>
      <c r="K6379" t="n">
        <v>0</v>
      </c>
      <c r="L6379" t="n">
        <v>0</v>
      </c>
      <c r="M6379" t="n">
        <v>0</v>
      </c>
      <c r="N6379" t="n">
        <v>0</v>
      </c>
      <c r="O6379" t="n">
        <v>0</v>
      </c>
      <c r="P6379" t="n">
        <v>0</v>
      </c>
      <c r="Q6379" t="n">
        <v>0</v>
      </c>
      <c r="R6379" s="2" t="inlineStr"/>
    </row>
    <row r="6380" ht="15" customHeight="1">
      <c r="A6380" t="inlineStr">
        <is>
          <t>A 39959-2022</t>
        </is>
      </c>
      <c r="B6380" s="1" t="n">
        <v>44819</v>
      </c>
      <c r="C6380" s="1" t="n">
        <v>45715</v>
      </c>
      <c r="D6380" t="inlineStr">
        <is>
          <t>KALMAR LÄN</t>
        </is>
      </c>
      <c r="E6380" t="inlineStr">
        <is>
          <t>VIMMERBY</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40444-2022</t>
        </is>
      </c>
      <c r="B6381" s="1" t="n">
        <v>44819</v>
      </c>
      <c r="C6381" s="1" t="n">
        <v>45715</v>
      </c>
      <c r="D6381" t="inlineStr">
        <is>
          <t>KALMAR LÄN</t>
        </is>
      </c>
      <c r="E6381" t="inlineStr">
        <is>
          <t>NYBRO</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40062-2022</t>
        </is>
      </c>
      <c r="B6382" s="1" t="n">
        <v>44820</v>
      </c>
      <c r="C6382" s="1" t="n">
        <v>45715</v>
      </c>
      <c r="D6382" t="inlineStr">
        <is>
          <t>KALMAR LÄN</t>
        </is>
      </c>
      <c r="E6382" t="inlineStr">
        <is>
          <t>VÄSTERVIK</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40095-2022</t>
        </is>
      </c>
      <c r="B6383" s="1" t="n">
        <v>44820</v>
      </c>
      <c r="C6383" s="1" t="n">
        <v>45715</v>
      </c>
      <c r="D6383" t="inlineStr">
        <is>
          <t>KALMAR LÄN</t>
        </is>
      </c>
      <c r="E6383" t="inlineStr">
        <is>
          <t>VIMMERBY</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40026-2022</t>
        </is>
      </c>
      <c r="B6384" s="1" t="n">
        <v>44820</v>
      </c>
      <c r="C6384" s="1" t="n">
        <v>45715</v>
      </c>
      <c r="D6384" t="inlineStr">
        <is>
          <t>KALMAR LÄN</t>
        </is>
      </c>
      <c r="E6384" t="inlineStr">
        <is>
          <t>VIMMERBY</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40241-2022</t>
        </is>
      </c>
      <c r="B6385" s="1" t="n">
        <v>44820</v>
      </c>
      <c r="C6385" s="1" t="n">
        <v>45715</v>
      </c>
      <c r="D6385" t="inlineStr">
        <is>
          <t>KALMAR LÄN</t>
        </is>
      </c>
      <c r="E6385" t="inlineStr">
        <is>
          <t>MÖNSTERÅS</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40255-2022</t>
        </is>
      </c>
      <c r="B6386" s="1" t="n">
        <v>44820</v>
      </c>
      <c r="C6386" s="1" t="n">
        <v>45715</v>
      </c>
      <c r="D6386" t="inlineStr">
        <is>
          <t>KALMAR LÄN</t>
        </is>
      </c>
      <c r="E6386" t="inlineStr">
        <is>
          <t>OSKARSHAMN</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40167-2022</t>
        </is>
      </c>
      <c r="B6387" s="1" t="n">
        <v>44820</v>
      </c>
      <c r="C6387" s="1" t="n">
        <v>45715</v>
      </c>
      <c r="D6387" t="inlineStr">
        <is>
          <t>KALMAR LÄN</t>
        </is>
      </c>
      <c r="E6387" t="inlineStr">
        <is>
          <t>KALMAR</t>
        </is>
      </c>
      <c r="F6387" t="inlineStr">
        <is>
          <t>Sveaskog</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40257-2022</t>
        </is>
      </c>
      <c r="B6388" s="1" t="n">
        <v>44820</v>
      </c>
      <c r="C6388" s="1" t="n">
        <v>45715</v>
      </c>
      <c r="D6388" t="inlineStr">
        <is>
          <t>KALMAR LÄN</t>
        </is>
      </c>
      <c r="E6388" t="inlineStr">
        <is>
          <t>OSKARSHAMN</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40050-2022</t>
        </is>
      </c>
      <c r="B6389" s="1" t="n">
        <v>44820</v>
      </c>
      <c r="C6389" s="1" t="n">
        <v>45715</v>
      </c>
      <c r="D6389" t="inlineStr">
        <is>
          <t>KALMAR LÄN</t>
        </is>
      </c>
      <c r="E6389" t="inlineStr">
        <is>
          <t>VÄSTERVIK</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40077-2022</t>
        </is>
      </c>
      <c r="B6390" s="1" t="n">
        <v>44820</v>
      </c>
      <c r="C6390" s="1" t="n">
        <v>45715</v>
      </c>
      <c r="D6390" t="inlineStr">
        <is>
          <t>KALMAR LÄN</t>
        </is>
      </c>
      <c r="E6390" t="inlineStr">
        <is>
          <t>MÖNSTERÅS</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40254-2022</t>
        </is>
      </c>
      <c r="B6391" s="1" t="n">
        <v>44820</v>
      </c>
      <c r="C6391" s="1" t="n">
        <v>45715</v>
      </c>
      <c r="D6391" t="inlineStr">
        <is>
          <t>KALMAR LÄN</t>
        </is>
      </c>
      <c r="E6391" t="inlineStr">
        <is>
          <t>OSKARSHAMN</t>
        </is>
      </c>
      <c r="G6391" t="n">
        <v>12.8</v>
      </c>
      <c r="H6391" t="n">
        <v>0</v>
      </c>
      <c r="I6391" t="n">
        <v>0</v>
      </c>
      <c r="J6391" t="n">
        <v>0</v>
      </c>
      <c r="K6391" t="n">
        <v>0</v>
      </c>
      <c r="L6391" t="n">
        <v>0</v>
      </c>
      <c r="M6391" t="n">
        <v>0</v>
      </c>
      <c r="N6391" t="n">
        <v>0</v>
      </c>
      <c r="O6391" t="n">
        <v>0</v>
      </c>
      <c r="P6391" t="n">
        <v>0</v>
      </c>
      <c r="Q6391" t="n">
        <v>0</v>
      </c>
      <c r="R6391" s="2" t="inlineStr"/>
    </row>
    <row r="6392" ht="15" customHeight="1">
      <c r="A6392" t="inlineStr">
        <is>
          <t>A 40242-2022</t>
        </is>
      </c>
      <c r="B6392" s="1" t="n">
        <v>44820</v>
      </c>
      <c r="C6392" s="1" t="n">
        <v>45715</v>
      </c>
      <c r="D6392" t="inlineStr">
        <is>
          <t>KALMAR LÄN</t>
        </is>
      </c>
      <c r="E6392" t="inlineStr">
        <is>
          <t>MÖNSTERÅS</t>
        </is>
      </c>
      <c r="G6392" t="n">
        <v>0.2</v>
      </c>
      <c r="H6392" t="n">
        <v>0</v>
      </c>
      <c r="I6392" t="n">
        <v>0</v>
      </c>
      <c r="J6392" t="n">
        <v>0</v>
      </c>
      <c r="K6392" t="n">
        <v>0</v>
      </c>
      <c r="L6392" t="n">
        <v>0</v>
      </c>
      <c r="M6392" t="n">
        <v>0</v>
      </c>
      <c r="N6392" t="n">
        <v>0</v>
      </c>
      <c r="O6392" t="n">
        <v>0</v>
      </c>
      <c r="P6392" t="n">
        <v>0</v>
      </c>
      <c r="Q6392" t="n">
        <v>0</v>
      </c>
      <c r="R6392" s="2" t="inlineStr"/>
    </row>
    <row r="6393" ht="15" customHeight="1">
      <c r="A6393" t="inlineStr">
        <is>
          <t>A 40256-2022</t>
        </is>
      </c>
      <c r="B6393" s="1" t="n">
        <v>44820</v>
      </c>
      <c r="C6393" s="1" t="n">
        <v>45715</v>
      </c>
      <c r="D6393" t="inlineStr">
        <is>
          <t>KALMAR LÄN</t>
        </is>
      </c>
      <c r="E6393" t="inlineStr">
        <is>
          <t>OSKARSHAMN</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40916-2022</t>
        </is>
      </c>
      <c r="B6394" s="1" t="n">
        <v>44820</v>
      </c>
      <c r="C6394" s="1" t="n">
        <v>45715</v>
      </c>
      <c r="D6394" t="inlineStr">
        <is>
          <t>KALMAR LÄN</t>
        </is>
      </c>
      <c r="E6394" t="inlineStr">
        <is>
          <t>VIMMERBY</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40934-2022</t>
        </is>
      </c>
      <c r="B6395" s="1" t="n">
        <v>44820</v>
      </c>
      <c r="C6395" s="1" t="n">
        <v>45715</v>
      </c>
      <c r="D6395" t="inlineStr">
        <is>
          <t>KALMAR LÄN</t>
        </is>
      </c>
      <c r="E6395" t="inlineStr">
        <is>
          <t>EMMABODA</t>
        </is>
      </c>
      <c r="F6395" t="inlineStr">
        <is>
          <t>Övriga Aktiebolag</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40364-2022</t>
        </is>
      </c>
      <c r="B6396" s="1" t="n">
        <v>44823</v>
      </c>
      <c r="C6396" s="1" t="n">
        <v>45715</v>
      </c>
      <c r="D6396" t="inlineStr">
        <is>
          <t>KALMAR LÄN</t>
        </is>
      </c>
      <c r="E6396" t="inlineStr">
        <is>
          <t>KALMAR</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40346-2022</t>
        </is>
      </c>
      <c r="B6397" s="1" t="n">
        <v>44823</v>
      </c>
      <c r="C6397" s="1" t="n">
        <v>45715</v>
      </c>
      <c r="D6397" t="inlineStr">
        <is>
          <t>KALMAR LÄN</t>
        </is>
      </c>
      <c r="E6397" t="inlineStr">
        <is>
          <t>KALMAR</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40404-2022</t>
        </is>
      </c>
      <c r="B6398" s="1" t="n">
        <v>44823</v>
      </c>
      <c r="C6398" s="1" t="n">
        <v>45715</v>
      </c>
      <c r="D6398" t="inlineStr">
        <is>
          <t>KALMAR LÄN</t>
        </is>
      </c>
      <c r="E6398" t="inlineStr">
        <is>
          <t>KALMAR</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40472-2022</t>
        </is>
      </c>
      <c r="B6399" s="1" t="n">
        <v>44823</v>
      </c>
      <c r="C6399" s="1" t="n">
        <v>45715</v>
      </c>
      <c r="D6399" t="inlineStr">
        <is>
          <t>KALMAR LÄN</t>
        </is>
      </c>
      <c r="E6399" t="inlineStr">
        <is>
          <t>VIMMERBY</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40523-2022</t>
        </is>
      </c>
      <c r="B6400" s="1" t="n">
        <v>44823</v>
      </c>
      <c r="C6400" s="1" t="n">
        <v>45715</v>
      </c>
      <c r="D6400" t="inlineStr">
        <is>
          <t>KALMAR LÄN</t>
        </is>
      </c>
      <c r="E6400" t="inlineStr">
        <is>
          <t>KALMAR</t>
        </is>
      </c>
      <c r="F6400" t="inlineStr">
        <is>
          <t>Sveaskog</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40583-2022</t>
        </is>
      </c>
      <c r="B6401" s="1" t="n">
        <v>44823</v>
      </c>
      <c r="C6401" s="1" t="n">
        <v>45715</v>
      </c>
      <c r="D6401" t="inlineStr">
        <is>
          <t>KALMAR LÄN</t>
        </is>
      </c>
      <c r="E6401" t="inlineStr">
        <is>
          <t>MÖNSTERÅS</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40449-2022</t>
        </is>
      </c>
      <c r="B6402" s="1" t="n">
        <v>44823</v>
      </c>
      <c r="C6402" s="1" t="n">
        <v>45715</v>
      </c>
      <c r="D6402" t="inlineStr">
        <is>
          <t>KALMAR LÄN</t>
        </is>
      </c>
      <c r="E6402" t="inlineStr">
        <is>
          <t>KALMAR</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40457-2022</t>
        </is>
      </c>
      <c r="B6403" s="1" t="n">
        <v>44823</v>
      </c>
      <c r="C6403" s="1" t="n">
        <v>45715</v>
      </c>
      <c r="D6403" t="inlineStr">
        <is>
          <t>KALMAR LÄN</t>
        </is>
      </c>
      <c r="E6403" t="inlineStr">
        <is>
          <t>KALMAR</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40647-2022</t>
        </is>
      </c>
      <c r="B6404" s="1" t="n">
        <v>44824</v>
      </c>
      <c r="C6404" s="1" t="n">
        <v>45715</v>
      </c>
      <c r="D6404" t="inlineStr">
        <is>
          <t>KALMAR LÄN</t>
        </is>
      </c>
      <c r="E6404" t="inlineStr">
        <is>
          <t>KALMAR</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40728-2022</t>
        </is>
      </c>
      <c r="B6405" s="1" t="n">
        <v>44824</v>
      </c>
      <c r="C6405" s="1" t="n">
        <v>45715</v>
      </c>
      <c r="D6405" t="inlineStr">
        <is>
          <t>KALMAR LÄN</t>
        </is>
      </c>
      <c r="E6405" t="inlineStr">
        <is>
          <t>VIMMERBY</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40792-2022</t>
        </is>
      </c>
      <c r="B6406" s="1" t="n">
        <v>44824</v>
      </c>
      <c r="C6406" s="1" t="n">
        <v>45715</v>
      </c>
      <c r="D6406" t="inlineStr">
        <is>
          <t>KALMAR LÄN</t>
        </is>
      </c>
      <c r="E6406" t="inlineStr">
        <is>
          <t>HULTSFRED</t>
        </is>
      </c>
      <c r="G6406" t="n">
        <v>5.1</v>
      </c>
      <c r="H6406" t="n">
        <v>0</v>
      </c>
      <c r="I6406" t="n">
        <v>0</v>
      </c>
      <c r="J6406" t="n">
        <v>0</v>
      </c>
      <c r="K6406" t="n">
        <v>0</v>
      </c>
      <c r="L6406" t="n">
        <v>0</v>
      </c>
      <c r="M6406" t="n">
        <v>0</v>
      </c>
      <c r="N6406" t="n">
        <v>0</v>
      </c>
      <c r="O6406" t="n">
        <v>0</v>
      </c>
      <c r="P6406" t="n">
        <v>0</v>
      </c>
      <c r="Q6406" t="n">
        <v>0</v>
      </c>
      <c r="R6406" s="2" t="inlineStr"/>
    </row>
    <row r="6407" ht="15" customHeight="1">
      <c r="A6407" t="inlineStr">
        <is>
          <t>A 40817-2022</t>
        </is>
      </c>
      <c r="B6407" s="1" t="n">
        <v>44824</v>
      </c>
      <c r="C6407" s="1" t="n">
        <v>45715</v>
      </c>
      <c r="D6407" t="inlineStr">
        <is>
          <t>KALMAR LÄN</t>
        </is>
      </c>
      <c r="E6407" t="inlineStr">
        <is>
          <t>MÖNSTERÅS</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41056-2022</t>
        </is>
      </c>
      <c r="B6408" s="1" t="n">
        <v>44824</v>
      </c>
      <c r="C6408" s="1" t="n">
        <v>45715</v>
      </c>
      <c r="D6408" t="inlineStr">
        <is>
          <t>KALMAR LÄN</t>
        </is>
      </c>
      <c r="E6408" t="inlineStr">
        <is>
          <t>VIMMERBY</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41340-2022</t>
        </is>
      </c>
      <c r="B6409" s="1" t="n">
        <v>44824</v>
      </c>
      <c r="C6409" s="1" t="n">
        <v>45715</v>
      </c>
      <c r="D6409" t="inlineStr">
        <is>
          <t>KALMAR LÄN</t>
        </is>
      </c>
      <c r="E6409" t="inlineStr">
        <is>
          <t>HÖGSBY</t>
        </is>
      </c>
      <c r="G6409" t="n">
        <v>10.8</v>
      </c>
      <c r="H6409" t="n">
        <v>0</v>
      </c>
      <c r="I6409" t="n">
        <v>0</v>
      </c>
      <c r="J6409" t="n">
        <v>0</v>
      </c>
      <c r="K6409" t="n">
        <v>0</v>
      </c>
      <c r="L6409" t="n">
        <v>0</v>
      </c>
      <c r="M6409" t="n">
        <v>0</v>
      </c>
      <c r="N6409" t="n">
        <v>0</v>
      </c>
      <c r="O6409" t="n">
        <v>0</v>
      </c>
      <c r="P6409" t="n">
        <v>0</v>
      </c>
      <c r="Q6409" t="n">
        <v>0</v>
      </c>
      <c r="R6409" s="2" t="inlineStr"/>
    </row>
    <row r="6410" ht="15" customHeight="1">
      <c r="A6410" t="inlineStr">
        <is>
          <t>A 40857-2022</t>
        </is>
      </c>
      <c r="B6410" s="1" t="n">
        <v>44825</v>
      </c>
      <c r="C6410" s="1" t="n">
        <v>45715</v>
      </c>
      <c r="D6410" t="inlineStr">
        <is>
          <t>KALMAR LÄN</t>
        </is>
      </c>
      <c r="E6410" t="inlineStr">
        <is>
          <t>OSKARSHAMN</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40929-2022</t>
        </is>
      </c>
      <c r="B6411" s="1" t="n">
        <v>44825</v>
      </c>
      <c r="C6411" s="1" t="n">
        <v>45715</v>
      </c>
      <c r="D6411" t="inlineStr">
        <is>
          <t>KALMAR LÄN</t>
        </is>
      </c>
      <c r="E6411" t="inlineStr">
        <is>
          <t>VIMMERBY</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40865-2022</t>
        </is>
      </c>
      <c r="B6412" s="1" t="n">
        <v>44825</v>
      </c>
      <c r="C6412" s="1" t="n">
        <v>45715</v>
      </c>
      <c r="D6412" t="inlineStr">
        <is>
          <t>KALMAR LÄN</t>
        </is>
      </c>
      <c r="E6412" t="inlineStr">
        <is>
          <t>HULTSFRED</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40877-2022</t>
        </is>
      </c>
      <c r="B6413" s="1" t="n">
        <v>44825</v>
      </c>
      <c r="C6413" s="1" t="n">
        <v>45715</v>
      </c>
      <c r="D6413" t="inlineStr">
        <is>
          <t>KALMAR LÄN</t>
        </is>
      </c>
      <c r="E6413" t="inlineStr">
        <is>
          <t>HULTSFRED</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40925-2022</t>
        </is>
      </c>
      <c r="B6414" s="1" t="n">
        <v>44825</v>
      </c>
      <c r="C6414" s="1" t="n">
        <v>45715</v>
      </c>
      <c r="D6414" t="inlineStr">
        <is>
          <t>KALMAR LÄN</t>
        </is>
      </c>
      <c r="E6414" t="inlineStr">
        <is>
          <t>VÄSTERVIK</t>
        </is>
      </c>
      <c r="F6414" t="inlineStr">
        <is>
          <t>Sveaskog</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40902-2022</t>
        </is>
      </c>
      <c r="B6415" s="1" t="n">
        <v>44825</v>
      </c>
      <c r="C6415" s="1" t="n">
        <v>45715</v>
      </c>
      <c r="D6415" t="inlineStr">
        <is>
          <t>KALMAR LÄN</t>
        </is>
      </c>
      <c r="E6415" t="inlineStr">
        <is>
          <t>NYBRO</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40920-2022</t>
        </is>
      </c>
      <c r="B6416" s="1" t="n">
        <v>44825</v>
      </c>
      <c r="C6416" s="1" t="n">
        <v>45715</v>
      </c>
      <c r="D6416" t="inlineStr">
        <is>
          <t>KALMAR LÄN</t>
        </is>
      </c>
      <c r="E6416" t="inlineStr">
        <is>
          <t>VÄSTERVIK</t>
        </is>
      </c>
      <c r="F6416" t="inlineStr">
        <is>
          <t>Sveaskog</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40927-2022</t>
        </is>
      </c>
      <c r="B6417" s="1" t="n">
        <v>44825</v>
      </c>
      <c r="C6417" s="1" t="n">
        <v>45715</v>
      </c>
      <c r="D6417" t="inlineStr">
        <is>
          <t>KALMAR LÄN</t>
        </is>
      </c>
      <c r="E6417" t="inlineStr">
        <is>
          <t>VIMMERBY</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41060-2022</t>
        </is>
      </c>
      <c r="B6418" s="1" t="n">
        <v>44825</v>
      </c>
      <c r="C6418" s="1" t="n">
        <v>45715</v>
      </c>
      <c r="D6418" t="inlineStr">
        <is>
          <t>KALMAR LÄN</t>
        </is>
      </c>
      <c r="E6418" t="inlineStr">
        <is>
          <t>NYBRO</t>
        </is>
      </c>
      <c r="G6418" t="n">
        <v>18.6</v>
      </c>
      <c r="H6418" t="n">
        <v>0</v>
      </c>
      <c r="I6418" t="n">
        <v>0</v>
      </c>
      <c r="J6418" t="n">
        <v>0</v>
      </c>
      <c r="K6418" t="n">
        <v>0</v>
      </c>
      <c r="L6418" t="n">
        <v>0</v>
      </c>
      <c r="M6418" t="n">
        <v>0</v>
      </c>
      <c r="N6418" t="n">
        <v>0</v>
      </c>
      <c r="O6418" t="n">
        <v>0</v>
      </c>
      <c r="P6418" t="n">
        <v>0</v>
      </c>
      <c r="Q6418" t="n">
        <v>0</v>
      </c>
      <c r="R6418" s="2" t="inlineStr"/>
    </row>
    <row r="6419" ht="15" customHeight="1">
      <c r="A6419" t="inlineStr">
        <is>
          <t>A 41277-2022</t>
        </is>
      </c>
      <c r="B6419" s="1" t="n">
        <v>44826</v>
      </c>
      <c r="C6419" s="1" t="n">
        <v>45715</v>
      </c>
      <c r="D6419" t="inlineStr">
        <is>
          <t>KALMAR LÄN</t>
        </is>
      </c>
      <c r="E6419" t="inlineStr">
        <is>
          <t>HULTSFRED</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41424-2022</t>
        </is>
      </c>
      <c r="B6420" s="1" t="n">
        <v>44826</v>
      </c>
      <c r="C6420" s="1" t="n">
        <v>45715</v>
      </c>
      <c r="D6420" t="inlineStr">
        <is>
          <t>KALMAR LÄN</t>
        </is>
      </c>
      <c r="E6420" t="inlineStr">
        <is>
          <t>VIMMERBY</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41452-2022</t>
        </is>
      </c>
      <c r="B6421" s="1" t="n">
        <v>44826</v>
      </c>
      <c r="C6421" s="1" t="n">
        <v>45715</v>
      </c>
      <c r="D6421" t="inlineStr">
        <is>
          <t>KALMAR LÄN</t>
        </is>
      </c>
      <c r="E6421" t="inlineStr">
        <is>
          <t>TORSÅS</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41438-2022</t>
        </is>
      </c>
      <c r="B6422" s="1" t="n">
        <v>44826</v>
      </c>
      <c r="C6422" s="1" t="n">
        <v>45715</v>
      </c>
      <c r="D6422" t="inlineStr">
        <is>
          <t>KALMAR LÄN</t>
        </is>
      </c>
      <c r="E6422" t="inlineStr">
        <is>
          <t>VIMMERBY</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41543-2022</t>
        </is>
      </c>
      <c r="B6423" s="1" t="n">
        <v>44827</v>
      </c>
      <c r="C6423" s="1" t="n">
        <v>45715</v>
      </c>
      <c r="D6423" t="inlineStr">
        <is>
          <t>KALMAR LÄN</t>
        </is>
      </c>
      <c r="E6423" t="inlineStr">
        <is>
          <t>EMMABODA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41695-2022</t>
        </is>
      </c>
      <c r="B6424" s="1" t="n">
        <v>44827</v>
      </c>
      <c r="C6424" s="1" t="n">
        <v>45715</v>
      </c>
      <c r="D6424" t="inlineStr">
        <is>
          <t>KALMAR LÄN</t>
        </is>
      </c>
      <c r="E6424" t="inlineStr">
        <is>
          <t>HULTSFRED</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41649-2022</t>
        </is>
      </c>
      <c r="B6425" s="1" t="n">
        <v>44827</v>
      </c>
      <c r="C6425" s="1" t="n">
        <v>45715</v>
      </c>
      <c r="D6425" t="inlineStr">
        <is>
          <t>KALMAR LÄN</t>
        </is>
      </c>
      <c r="E6425" t="inlineStr">
        <is>
          <t>NYBRO</t>
        </is>
      </c>
      <c r="G6425" t="n">
        <v>12.1</v>
      </c>
      <c r="H6425" t="n">
        <v>0</v>
      </c>
      <c r="I6425" t="n">
        <v>0</v>
      </c>
      <c r="J6425" t="n">
        <v>0</v>
      </c>
      <c r="K6425" t="n">
        <v>0</v>
      </c>
      <c r="L6425" t="n">
        <v>0</v>
      </c>
      <c r="M6425" t="n">
        <v>0</v>
      </c>
      <c r="N6425" t="n">
        <v>0</v>
      </c>
      <c r="O6425" t="n">
        <v>0</v>
      </c>
      <c r="P6425" t="n">
        <v>0</v>
      </c>
      <c r="Q6425" t="n">
        <v>0</v>
      </c>
      <c r="R6425" s="2" t="inlineStr"/>
    </row>
    <row r="6426" ht="15" customHeight="1">
      <c r="A6426" t="inlineStr">
        <is>
          <t>A 41665-2022</t>
        </is>
      </c>
      <c r="B6426" s="1" t="n">
        <v>44827</v>
      </c>
      <c r="C6426" s="1" t="n">
        <v>45715</v>
      </c>
      <c r="D6426" t="inlineStr">
        <is>
          <t>KALMAR LÄN</t>
        </is>
      </c>
      <c r="E6426" t="inlineStr">
        <is>
          <t>MÖNSTERÅS</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41731-2022</t>
        </is>
      </c>
      <c r="B6427" s="1" t="n">
        <v>44827</v>
      </c>
      <c r="C6427" s="1" t="n">
        <v>45715</v>
      </c>
      <c r="D6427" t="inlineStr">
        <is>
          <t>KALMAR LÄN</t>
        </is>
      </c>
      <c r="E6427" t="inlineStr">
        <is>
          <t>HULTSFRED</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41694-2022</t>
        </is>
      </c>
      <c r="B6428" s="1" t="n">
        <v>44827</v>
      </c>
      <c r="C6428" s="1" t="n">
        <v>45715</v>
      </c>
      <c r="D6428" t="inlineStr">
        <is>
          <t>KALMAR LÄN</t>
        </is>
      </c>
      <c r="E6428" t="inlineStr">
        <is>
          <t>HULTSFRED</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41699-2022</t>
        </is>
      </c>
      <c r="B6429" s="1" t="n">
        <v>44827</v>
      </c>
      <c r="C6429" s="1" t="n">
        <v>45715</v>
      </c>
      <c r="D6429" t="inlineStr">
        <is>
          <t>KALMAR LÄN</t>
        </is>
      </c>
      <c r="E6429" t="inlineStr">
        <is>
          <t>HULTSFRED</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41729-2022</t>
        </is>
      </c>
      <c r="B6430" s="1" t="n">
        <v>44827</v>
      </c>
      <c r="C6430" s="1" t="n">
        <v>45715</v>
      </c>
      <c r="D6430" t="inlineStr">
        <is>
          <t>KALMAR LÄN</t>
        </is>
      </c>
      <c r="E6430" t="inlineStr">
        <is>
          <t>HULTSFRED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41545-2022</t>
        </is>
      </c>
      <c r="B6431" s="1" t="n">
        <v>44827</v>
      </c>
      <c r="C6431" s="1" t="n">
        <v>45715</v>
      </c>
      <c r="D6431" t="inlineStr">
        <is>
          <t>KALMAR LÄN</t>
        </is>
      </c>
      <c r="E6431" t="inlineStr">
        <is>
          <t>EMMABODA</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41566-2022</t>
        </is>
      </c>
      <c r="B6432" s="1" t="n">
        <v>44827</v>
      </c>
      <c r="C6432" s="1" t="n">
        <v>45715</v>
      </c>
      <c r="D6432" t="inlineStr">
        <is>
          <t>KALMAR LÄN</t>
        </is>
      </c>
      <c r="E6432" t="inlineStr">
        <is>
          <t>TORSÅS</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41572-2022</t>
        </is>
      </c>
      <c r="B6433" s="1" t="n">
        <v>44827</v>
      </c>
      <c r="C6433" s="1" t="n">
        <v>45715</v>
      </c>
      <c r="D6433" t="inlineStr">
        <is>
          <t>KALMAR LÄN</t>
        </is>
      </c>
      <c r="E6433" t="inlineStr">
        <is>
          <t>TORSÅS</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41617-2022</t>
        </is>
      </c>
      <c r="B6434" s="1" t="n">
        <v>44827</v>
      </c>
      <c r="C6434" s="1" t="n">
        <v>45715</v>
      </c>
      <c r="D6434" t="inlineStr">
        <is>
          <t>KALMAR LÄN</t>
        </is>
      </c>
      <c r="E6434" t="inlineStr">
        <is>
          <t>HULTSFRED</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41689-2022</t>
        </is>
      </c>
      <c r="B6435" s="1" t="n">
        <v>44827</v>
      </c>
      <c r="C6435" s="1" t="n">
        <v>45715</v>
      </c>
      <c r="D6435" t="inlineStr">
        <is>
          <t>KALMAR LÄN</t>
        </is>
      </c>
      <c r="E6435" t="inlineStr">
        <is>
          <t>MÖNSTERÅS</t>
        </is>
      </c>
      <c r="G6435" t="n">
        <v>0.1</v>
      </c>
      <c r="H6435" t="n">
        <v>0</v>
      </c>
      <c r="I6435" t="n">
        <v>0</v>
      </c>
      <c r="J6435" t="n">
        <v>0</v>
      </c>
      <c r="K6435" t="n">
        <v>0</v>
      </c>
      <c r="L6435" t="n">
        <v>0</v>
      </c>
      <c r="M6435" t="n">
        <v>0</v>
      </c>
      <c r="N6435" t="n">
        <v>0</v>
      </c>
      <c r="O6435" t="n">
        <v>0</v>
      </c>
      <c r="P6435" t="n">
        <v>0</v>
      </c>
      <c r="Q6435" t="n">
        <v>0</v>
      </c>
      <c r="R6435" s="2" t="inlineStr"/>
    </row>
    <row r="6436" ht="15" customHeight="1">
      <c r="A6436" t="inlineStr">
        <is>
          <t>A 41728-2022</t>
        </is>
      </c>
      <c r="B6436" s="1" t="n">
        <v>44827</v>
      </c>
      <c r="C6436" s="1" t="n">
        <v>45715</v>
      </c>
      <c r="D6436" t="inlineStr">
        <is>
          <t>KALMAR LÄN</t>
        </is>
      </c>
      <c r="E6436" t="inlineStr">
        <is>
          <t>HULTSFRED</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42122-2022</t>
        </is>
      </c>
      <c r="B6437" s="1" t="n">
        <v>44830</v>
      </c>
      <c r="C6437" s="1" t="n">
        <v>45715</v>
      </c>
      <c r="D6437" t="inlineStr">
        <is>
          <t>KALMAR LÄN</t>
        </is>
      </c>
      <c r="E6437" t="inlineStr">
        <is>
          <t>VÄSTERVIK</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42130-2022</t>
        </is>
      </c>
      <c r="B6438" s="1" t="n">
        <v>44830</v>
      </c>
      <c r="C6438" s="1" t="n">
        <v>45715</v>
      </c>
      <c r="D6438" t="inlineStr">
        <is>
          <t>KALMAR LÄN</t>
        </is>
      </c>
      <c r="E6438" t="inlineStr">
        <is>
          <t>VÄSTERVIK</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42065-2022</t>
        </is>
      </c>
      <c r="B6439" s="1" t="n">
        <v>44830</v>
      </c>
      <c r="C6439" s="1" t="n">
        <v>45715</v>
      </c>
      <c r="D6439" t="inlineStr">
        <is>
          <t>KALMAR LÄN</t>
        </is>
      </c>
      <c r="E6439" t="inlineStr">
        <is>
          <t>TORSÅS</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41976-2022</t>
        </is>
      </c>
      <c r="B6440" s="1" t="n">
        <v>44830</v>
      </c>
      <c r="C6440" s="1" t="n">
        <v>45715</v>
      </c>
      <c r="D6440" t="inlineStr">
        <is>
          <t>KALMAR LÄN</t>
        </is>
      </c>
      <c r="E6440" t="inlineStr">
        <is>
          <t>HULTSFRED</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42040-2022</t>
        </is>
      </c>
      <c r="B6441" s="1" t="n">
        <v>44830</v>
      </c>
      <c r="C6441" s="1" t="n">
        <v>45715</v>
      </c>
      <c r="D6441" t="inlineStr">
        <is>
          <t>KALMAR LÄN</t>
        </is>
      </c>
      <c r="E6441" t="inlineStr">
        <is>
          <t>KALMAR</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42119-2022</t>
        </is>
      </c>
      <c r="B6442" s="1" t="n">
        <v>44830</v>
      </c>
      <c r="C6442" s="1" t="n">
        <v>45715</v>
      </c>
      <c r="D6442" t="inlineStr">
        <is>
          <t>KALMAR LÄN</t>
        </is>
      </c>
      <c r="E6442" t="inlineStr">
        <is>
          <t>VÄSTERVIK</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42315-2022</t>
        </is>
      </c>
      <c r="B6443" s="1" t="n">
        <v>44831</v>
      </c>
      <c r="C6443" s="1" t="n">
        <v>45715</v>
      </c>
      <c r="D6443" t="inlineStr">
        <is>
          <t>KALMAR LÄN</t>
        </is>
      </c>
      <c r="E6443" t="inlineStr">
        <is>
          <t>HULTSFRED</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42498-2022</t>
        </is>
      </c>
      <c r="B6444" s="1" t="n">
        <v>44831</v>
      </c>
      <c r="C6444" s="1" t="n">
        <v>45715</v>
      </c>
      <c r="D6444" t="inlineStr">
        <is>
          <t>KALMAR LÄN</t>
        </is>
      </c>
      <c r="E6444" t="inlineStr">
        <is>
          <t>HULTSFRED</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42465-2022</t>
        </is>
      </c>
      <c r="B6445" s="1" t="n">
        <v>44831</v>
      </c>
      <c r="C6445" s="1" t="n">
        <v>45715</v>
      </c>
      <c r="D6445" t="inlineStr">
        <is>
          <t>KALMAR LÄN</t>
        </is>
      </c>
      <c r="E6445" t="inlineStr">
        <is>
          <t>NYBRO</t>
        </is>
      </c>
      <c r="F6445" t="inlineStr">
        <is>
          <t>Sveaskog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42436-2022</t>
        </is>
      </c>
      <c r="B6446" s="1" t="n">
        <v>44831</v>
      </c>
      <c r="C6446" s="1" t="n">
        <v>45715</v>
      </c>
      <c r="D6446" t="inlineStr">
        <is>
          <t>KALMAR LÄN</t>
        </is>
      </c>
      <c r="E6446" t="inlineStr">
        <is>
          <t>HULTSFRED</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42463-2022</t>
        </is>
      </c>
      <c r="B6447" s="1" t="n">
        <v>44831</v>
      </c>
      <c r="C6447" s="1" t="n">
        <v>45715</v>
      </c>
      <c r="D6447" t="inlineStr">
        <is>
          <t>KALMAR LÄN</t>
        </is>
      </c>
      <c r="E6447" t="inlineStr">
        <is>
          <t>KALMAR</t>
        </is>
      </c>
      <c r="F6447" t="inlineStr">
        <is>
          <t>Sveaskog</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42567-2022</t>
        </is>
      </c>
      <c r="B6448" s="1" t="n">
        <v>44831</v>
      </c>
      <c r="C6448" s="1" t="n">
        <v>45715</v>
      </c>
      <c r="D6448" t="inlineStr">
        <is>
          <t>KALMAR LÄN</t>
        </is>
      </c>
      <c r="E6448" t="inlineStr">
        <is>
          <t>HULTSFRED</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42583-2022</t>
        </is>
      </c>
      <c r="B6449" s="1" t="n">
        <v>44831</v>
      </c>
      <c r="C6449" s="1" t="n">
        <v>45715</v>
      </c>
      <c r="D6449" t="inlineStr">
        <is>
          <t>KALMAR LÄN</t>
        </is>
      </c>
      <c r="E6449" t="inlineStr">
        <is>
          <t>OSKARSHAMN</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42597-2022</t>
        </is>
      </c>
      <c r="B6450" s="1" t="n">
        <v>44831</v>
      </c>
      <c r="C6450" s="1" t="n">
        <v>45715</v>
      </c>
      <c r="D6450" t="inlineStr">
        <is>
          <t>KALMAR LÄN</t>
        </is>
      </c>
      <c r="E6450" t="inlineStr">
        <is>
          <t>HULTSFRED</t>
        </is>
      </c>
      <c r="G6450" t="n">
        <v>4.6</v>
      </c>
      <c r="H6450" t="n">
        <v>0</v>
      </c>
      <c r="I6450" t="n">
        <v>0</v>
      </c>
      <c r="J6450" t="n">
        <v>0</v>
      </c>
      <c r="K6450" t="n">
        <v>0</v>
      </c>
      <c r="L6450" t="n">
        <v>0</v>
      </c>
      <c r="M6450" t="n">
        <v>0</v>
      </c>
      <c r="N6450" t="n">
        <v>0</v>
      </c>
      <c r="O6450" t="n">
        <v>0</v>
      </c>
      <c r="P6450" t="n">
        <v>0</v>
      </c>
      <c r="Q6450" t="n">
        <v>0</v>
      </c>
      <c r="R6450" s="2" t="inlineStr"/>
    </row>
    <row r="6451" ht="15" customHeight="1">
      <c r="A6451" t="inlineStr">
        <is>
          <t>A 42719-2022</t>
        </is>
      </c>
      <c r="B6451" s="1" t="n">
        <v>44831</v>
      </c>
      <c r="C6451" s="1" t="n">
        <v>45715</v>
      </c>
      <c r="D6451" t="inlineStr">
        <is>
          <t>KALMAR LÄN</t>
        </is>
      </c>
      <c r="E6451" t="inlineStr">
        <is>
          <t>HÖGSBY</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42598-2022</t>
        </is>
      </c>
      <c r="B6452" s="1" t="n">
        <v>44831</v>
      </c>
      <c r="C6452" s="1" t="n">
        <v>45715</v>
      </c>
      <c r="D6452" t="inlineStr">
        <is>
          <t>KALMAR LÄN</t>
        </is>
      </c>
      <c r="E6452" t="inlineStr">
        <is>
          <t>HULTSFRED</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42740-2022</t>
        </is>
      </c>
      <c r="B6453" s="1" t="n">
        <v>44832</v>
      </c>
      <c r="C6453" s="1" t="n">
        <v>45715</v>
      </c>
      <c r="D6453" t="inlineStr">
        <is>
          <t>KALMAR LÄN</t>
        </is>
      </c>
      <c r="E6453" t="inlineStr">
        <is>
          <t>NYBRO</t>
        </is>
      </c>
      <c r="F6453" t="inlineStr">
        <is>
          <t>Sveaskog</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42681-2022</t>
        </is>
      </c>
      <c r="B6454" s="1" t="n">
        <v>44832</v>
      </c>
      <c r="C6454" s="1" t="n">
        <v>45715</v>
      </c>
      <c r="D6454" t="inlineStr">
        <is>
          <t>KALMAR LÄN</t>
        </is>
      </c>
      <c r="E6454" t="inlineStr">
        <is>
          <t>MÖNSTERÅS</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42850-2022</t>
        </is>
      </c>
      <c r="B6455" s="1" t="n">
        <v>44832</v>
      </c>
      <c r="C6455" s="1" t="n">
        <v>45715</v>
      </c>
      <c r="D6455" t="inlineStr">
        <is>
          <t>KALMAR LÄN</t>
        </is>
      </c>
      <c r="E6455" t="inlineStr">
        <is>
          <t>VIMMERBY</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43038-2022</t>
        </is>
      </c>
      <c r="B6456" s="1" t="n">
        <v>44833</v>
      </c>
      <c r="C6456" s="1" t="n">
        <v>45715</v>
      </c>
      <c r="D6456" t="inlineStr">
        <is>
          <t>KALMAR LÄN</t>
        </is>
      </c>
      <c r="E6456" t="inlineStr">
        <is>
          <t>VIMMERBY</t>
        </is>
      </c>
      <c r="G6456" t="n">
        <v>4.2</v>
      </c>
      <c r="H6456" t="n">
        <v>0</v>
      </c>
      <c r="I6456" t="n">
        <v>0</v>
      </c>
      <c r="J6456" t="n">
        <v>0</v>
      </c>
      <c r="K6456" t="n">
        <v>0</v>
      </c>
      <c r="L6456" t="n">
        <v>0</v>
      </c>
      <c r="M6456" t="n">
        <v>0</v>
      </c>
      <c r="N6456" t="n">
        <v>0</v>
      </c>
      <c r="O6456" t="n">
        <v>0</v>
      </c>
      <c r="P6456" t="n">
        <v>0</v>
      </c>
      <c r="Q6456" t="n">
        <v>0</v>
      </c>
      <c r="R6456" s="2" t="inlineStr"/>
    </row>
    <row r="6457" ht="15" customHeight="1">
      <c r="A6457" t="inlineStr">
        <is>
          <t>A 43043-2022</t>
        </is>
      </c>
      <c r="B6457" s="1" t="n">
        <v>44833</v>
      </c>
      <c r="C6457" s="1" t="n">
        <v>45715</v>
      </c>
      <c r="D6457" t="inlineStr">
        <is>
          <t>KALMAR LÄN</t>
        </is>
      </c>
      <c r="E6457" t="inlineStr">
        <is>
          <t>OSKARSHAMN</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43096-2022</t>
        </is>
      </c>
      <c r="B6458" s="1" t="n">
        <v>44833</v>
      </c>
      <c r="C6458" s="1" t="n">
        <v>45715</v>
      </c>
      <c r="D6458" t="inlineStr">
        <is>
          <t>KALMAR LÄN</t>
        </is>
      </c>
      <c r="E6458" t="inlineStr">
        <is>
          <t>HULTSFRED</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43108-2022</t>
        </is>
      </c>
      <c r="B6459" s="1" t="n">
        <v>44833</v>
      </c>
      <c r="C6459" s="1" t="n">
        <v>45715</v>
      </c>
      <c r="D6459" t="inlineStr">
        <is>
          <t>KALMAR LÄN</t>
        </is>
      </c>
      <c r="E6459" t="inlineStr">
        <is>
          <t>HULTSFRED</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43115-2022</t>
        </is>
      </c>
      <c r="B6460" s="1" t="n">
        <v>44833</v>
      </c>
      <c r="C6460" s="1" t="n">
        <v>45715</v>
      </c>
      <c r="D6460" t="inlineStr">
        <is>
          <t>KALMAR LÄN</t>
        </is>
      </c>
      <c r="E6460" t="inlineStr">
        <is>
          <t>NYBRO</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43118-2022</t>
        </is>
      </c>
      <c r="B6461" s="1" t="n">
        <v>44833</v>
      </c>
      <c r="C6461" s="1" t="n">
        <v>45715</v>
      </c>
      <c r="D6461" t="inlineStr">
        <is>
          <t>KALMAR LÄN</t>
        </is>
      </c>
      <c r="E6461" t="inlineStr">
        <is>
          <t>NYBRO</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43202-2022</t>
        </is>
      </c>
      <c r="B6462" s="1" t="n">
        <v>44834</v>
      </c>
      <c r="C6462" s="1" t="n">
        <v>45715</v>
      </c>
      <c r="D6462" t="inlineStr">
        <is>
          <t>KALMAR LÄN</t>
        </is>
      </c>
      <c r="E6462" t="inlineStr">
        <is>
          <t>NYBRO</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43239-2022</t>
        </is>
      </c>
      <c r="B6463" s="1" t="n">
        <v>44834</v>
      </c>
      <c r="C6463" s="1" t="n">
        <v>45715</v>
      </c>
      <c r="D6463" t="inlineStr">
        <is>
          <t>KALMAR LÄN</t>
        </is>
      </c>
      <c r="E6463" t="inlineStr">
        <is>
          <t>EMMABODA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43256-2022</t>
        </is>
      </c>
      <c r="B6464" s="1" t="n">
        <v>44834</v>
      </c>
      <c r="C6464" s="1" t="n">
        <v>45715</v>
      </c>
      <c r="D6464" t="inlineStr">
        <is>
          <t>KALMAR LÄN</t>
        </is>
      </c>
      <c r="E6464" t="inlineStr">
        <is>
          <t>EMMABODA</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43284-2022</t>
        </is>
      </c>
      <c r="B6465" s="1" t="n">
        <v>44834</v>
      </c>
      <c r="C6465" s="1" t="n">
        <v>45715</v>
      </c>
      <c r="D6465" t="inlineStr">
        <is>
          <t>KALMAR LÄN</t>
        </is>
      </c>
      <c r="E6465" t="inlineStr">
        <is>
          <t>HULTSFRED</t>
        </is>
      </c>
      <c r="G6465" t="n">
        <v>10.5</v>
      </c>
      <c r="H6465" t="n">
        <v>0</v>
      </c>
      <c r="I6465" t="n">
        <v>0</v>
      </c>
      <c r="J6465" t="n">
        <v>0</v>
      </c>
      <c r="K6465" t="n">
        <v>0</v>
      </c>
      <c r="L6465" t="n">
        <v>0</v>
      </c>
      <c r="M6465" t="n">
        <v>0</v>
      </c>
      <c r="N6465" t="n">
        <v>0</v>
      </c>
      <c r="O6465" t="n">
        <v>0</v>
      </c>
      <c r="P6465" t="n">
        <v>0</v>
      </c>
      <c r="Q6465" t="n">
        <v>0</v>
      </c>
      <c r="R6465" s="2" t="inlineStr"/>
    </row>
    <row r="6466" ht="15" customHeight="1">
      <c r="A6466" t="inlineStr">
        <is>
          <t>A 43272-2022</t>
        </is>
      </c>
      <c r="B6466" s="1" t="n">
        <v>44834</v>
      </c>
      <c r="C6466" s="1" t="n">
        <v>45715</v>
      </c>
      <c r="D6466" t="inlineStr">
        <is>
          <t>KALMAR LÄN</t>
        </is>
      </c>
      <c r="E6466" t="inlineStr">
        <is>
          <t>VIMMERBY</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43463-2022</t>
        </is>
      </c>
      <c r="B6467" s="1" t="n">
        <v>44836</v>
      </c>
      <c r="C6467" s="1" t="n">
        <v>45715</v>
      </c>
      <c r="D6467" t="inlineStr">
        <is>
          <t>KALMAR LÄN</t>
        </is>
      </c>
      <c r="E6467" t="inlineStr">
        <is>
          <t>OSKARSHAMN</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43517-2022</t>
        </is>
      </c>
      <c r="B6468" s="1" t="n">
        <v>44837</v>
      </c>
      <c r="C6468" s="1" t="n">
        <v>45715</v>
      </c>
      <c r="D6468" t="inlineStr">
        <is>
          <t>KALMAR LÄN</t>
        </is>
      </c>
      <c r="E6468" t="inlineStr">
        <is>
          <t>NYBRO</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43575-2022</t>
        </is>
      </c>
      <c r="B6469" s="1" t="n">
        <v>44837</v>
      </c>
      <c r="C6469" s="1" t="n">
        <v>45715</v>
      </c>
      <c r="D6469" t="inlineStr">
        <is>
          <t>KALMAR LÄN</t>
        </is>
      </c>
      <c r="E6469" t="inlineStr">
        <is>
          <t>TORSÅS</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43548-2022</t>
        </is>
      </c>
      <c r="B6470" s="1" t="n">
        <v>44837</v>
      </c>
      <c r="C6470" s="1" t="n">
        <v>45715</v>
      </c>
      <c r="D6470" t="inlineStr">
        <is>
          <t>KALMAR LÄN</t>
        </is>
      </c>
      <c r="E6470" t="inlineStr">
        <is>
          <t>OSKARSHAMN</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43555-2022</t>
        </is>
      </c>
      <c r="B6471" s="1" t="n">
        <v>44837</v>
      </c>
      <c r="C6471" s="1" t="n">
        <v>45715</v>
      </c>
      <c r="D6471" t="inlineStr">
        <is>
          <t>KALMAR LÄN</t>
        </is>
      </c>
      <c r="E6471" t="inlineStr">
        <is>
          <t>EMMABODA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43553-2022</t>
        </is>
      </c>
      <c r="B6472" s="1" t="n">
        <v>44837</v>
      </c>
      <c r="C6472" s="1" t="n">
        <v>45715</v>
      </c>
      <c r="D6472" t="inlineStr">
        <is>
          <t>KALMAR LÄN</t>
        </is>
      </c>
      <c r="E6472" t="inlineStr">
        <is>
          <t>VIMMERBY</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43970-2022</t>
        </is>
      </c>
      <c r="B6473" s="1" t="n">
        <v>44838</v>
      </c>
      <c r="C6473" s="1" t="n">
        <v>45715</v>
      </c>
      <c r="D6473" t="inlineStr">
        <is>
          <t>KALMAR LÄN</t>
        </is>
      </c>
      <c r="E6473" t="inlineStr">
        <is>
          <t>NYBRO</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43965-2022</t>
        </is>
      </c>
      <c r="B6474" s="1" t="n">
        <v>44838</v>
      </c>
      <c r="C6474" s="1" t="n">
        <v>45715</v>
      </c>
      <c r="D6474" t="inlineStr">
        <is>
          <t>KALMAR LÄN</t>
        </is>
      </c>
      <c r="E6474" t="inlineStr">
        <is>
          <t>VÄSTERVIK</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44014-2022</t>
        </is>
      </c>
      <c r="B6475" s="1" t="n">
        <v>44838</v>
      </c>
      <c r="C6475" s="1" t="n">
        <v>45715</v>
      </c>
      <c r="D6475" t="inlineStr">
        <is>
          <t>KALMAR LÄN</t>
        </is>
      </c>
      <c r="E6475" t="inlineStr">
        <is>
          <t>NYBRO</t>
        </is>
      </c>
      <c r="G6475" t="n">
        <v>4.5</v>
      </c>
      <c r="H6475" t="n">
        <v>0</v>
      </c>
      <c r="I6475" t="n">
        <v>0</v>
      </c>
      <c r="J6475" t="n">
        <v>0</v>
      </c>
      <c r="K6475" t="n">
        <v>0</v>
      </c>
      <c r="L6475" t="n">
        <v>0</v>
      </c>
      <c r="M6475" t="n">
        <v>0</v>
      </c>
      <c r="N6475" t="n">
        <v>0</v>
      </c>
      <c r="O6475" t="n">
        <v>0</v>
      </c>
      <c r="P6475" t="n">
        <v>0</v>
      </c>
      <c r="Q6475" t="n">
        <v>0</v>
      </c>
      <c r="R6475" s="2" t="inlineStr"/>
    </row>
    <row r="6476" ht="15" customHeight="1">
      <c r="A6476" t="inlineStr">
        <is>
          <t>A 44068-2022</t>
        </is>
      </c>
      <c r="B6476" s="1" t="n">
        <v>44839</v>
      </c>
      <c r="C6476" s="1" t="n">
        <v>45715</v>
      </c>
      <c r="D6476" t="inlineStr">
        <is>
          <t>KALMAR LÄN</t>
        </is>
      </c>
      <c r="E6476" t="inlineStr">
        <is>
          <t>EMMABODA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44117-2022</t>
        </is>
      </c>
      <c r="B6477" s="1" t="n">
        <v>44839</v>
      </c>
      <c r="C6477" s="1" t="n">
        <v>45715</v>
      </c>
      <c r="D6477" t="inlineStr">
        <is>
          <t>KALMAR LÄN</t>
        </is>
      </c>
      <c r="E6477" t="inlineStr">
        <is>
          <t>TORSÅS</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44073-2022</t>
        </is>
      </c>
      <c r="B6478" s="1" t="n">
        <v>44839</v>
      </c>
      <c r="C6478" s="1" t="n">
        <v>45715</v>
      </c>
      <c r="D6478" t="inlineStr">
        <is>
          <t>KALMAR LÄN</t>
        </is>
      </c>
      <c r="E6478" t="inlineStr">
        <is>
          <t>NYBRO</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44179-2022</t>
        </is>
      </c>
      <c r="B6479" s="1" t="n">
        <v>44839</v>
      </c>
      <c r="C6479" s="1" t="n">
        <v>45715</v>
      </c>
      <c r="D6479" t="inlineStr">
        <is>
          <t>KALMAR LÄN</t>
        </is>
      </c>
      <c r="E6479" t="inlineStr">
        <is>
          <t>VIMMERBY</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44197-2022</t>
        </is>
      </c>
      <c r="B6480" s="1" t="n">
        <v>44839</v>
      </c>
      <c r="C6480" s="1" t="n">
        <v>45715</v>
      </c>
      <c r="D6480" t="inlineStr">
        <is>
          <t>KALMAR LÄN</t>
        </is>
      </c>
      <c r="E6480" t="inlineStr">
        <is>
          <t>HULTSFRED</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44358-2022</t>
        </is>
      </c>
      <c r="B6481" s="1" t="n">
        <v>44839</v>
      </c>
      <c r="C6481" s="1" t="n">
        <v>45715</v>
      </c>
      <c r="D6481" t="inlineStr">
        <is>
          <t>KALMAR LÄN</t>
        </is>
      </c>
      <c r="E6481" t="inlineStr">
        <is>
          <t>NYBRO</t>
        </is>
      </c>
      <c r="G6481" t="n">
        <v>8.300000000000001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44200-2022</t>
        </is>
      </c>
      <c r="B6482" s="1" t="n">
        <v>44839</v>
      </c>
      <c r="C6482" s="1" t="n">
        <v>45715</v>
      </c>
      <c r="D6482" t="inlineStr">
        <is>
          <t>KALMAR LÄN</t>
        </is>
      </c>
      <c r="E6482" t="inlineStr">
        <is>
          <t>HULTSFRED</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44395-2022</t>
        </is>
      </c>
      <c r="B6483" s="1" t="n">
        <v>44839</v>
      </c>
      <c r="C6483" s="1" t="n">
        <v>45715</v>
      </c>
      <c r="D6483" t="inlineStr">
        <is>
          <t>KALMAR LÄN</t>
        </is>
      </c>
      <c r="E6483" t="inlineStr">
        <is>
          <t>NYBRO</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44410-2022</t>
        </is>
      </c>
      <c r="B6484" s="1" t="n">
        <v>44839</v>
      </c>
      <c r="C6484" s="1" t="n">
        <v>45715</v>
      </c>
      <c r="D6484" t="inlineStr">
        <is>
          <t>KALMAR LÄN</t>
        </is>
      </c>
      <c r="E6484" t="inlineStr">
        <is>
          <t>HULTSFRED</t>
        </is>
      </c>
      <c r="G6484" t="n">
        <v>8.699999999999999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44671-2022</t>
        </is>
      </c>
      <c r="B6485" s="1" t="n">
        <v>44839</v>
      </c>
      <c r="C6485" s="1" t="n">
        <v>45715</v>
      </c>
      <c r="D6485" t="inlineStr">
        <is>
          <t>KALMAR LÄN</t>
        </is>
      </c>
      <c r="E6485" t="inlineStr">
        <is>
          <t>EMMABODA</t>
        </is>
      </c>
      <c r="F6485" t="inlineStr">
        <is>
          <t>Övriga Aktiebolag</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44477-2022</t>
        </is>
      </c>
      <c r="B6486" s="1" t="n">
        <v>44840</v>
      </c>
      <c r="C6486" s="1" t="n">
        <v>45715</v>
      </c>
      <c r="D6486" t="inlineStr">
        <is>
          <t>KALMAR LÄN</t>
        </is>
      </c>
      <c r="E6486" t="inlineStr">
        <is>
          <t>NYBRO</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44678-2022</t>
        </is>
      </c>
      <c r="B6487" s="1" t="n">
        <v>44840</v>
      </c>
      <c r="C6487" s="1" t="n">
        <v>45715</v>
      </c>
      <c r="D6487" t="inlineStr">
        <is>
          <t>KALMAR LÄN</t>
        </is>
      </c>
      <c r="E6487" t="inlineStr">
        <is>
          <t>BORGHOLM</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44721-2022</t>
        </is>
      </c>
      <c r="B6488" s="1" t="n">
        <v>44840</v>
      </c>
      <c r="C6488" s="1" t="n">
        <v>45715</v>
      </c>
      <c r="D6488" t="inlineStr">
        <is>
          <t>KALMAR LÄN</t>
        </is>
      </c>
      <c r="E6488" t="inlineStr">
        <is>
          <t>NYBRO</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44924-2022</t>
        </is>
      </c>
      <c r="B6489" s="1" t="n">
        <v>44840</v>
      </c>
      <c r="C6489" s="1" t="n">
        <v>45715</v>
      </c>
      <c r="D6489" t="inlineStr">
        <is>
          <t>KALMAR LÄN</t>
        </is>
      </c>
      <c r="E6489" t="inlineStr">
        <is>
          <t>EMMABODA</t>
        </is>
      </c>
      <c r="F6489" t="inlineStr">
        <is>
          <t>Övriga Aktiebolag</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44583-2022</t>
        </is>
      </c>
      <c r="B6490" s="1" t="n">
        <v>44840</v>
      </c>
      <c r="C6490" s="1" t="n">
        <v>45715</v>
      </c>
      <c r="D6490" t="inlineStr">
        <is>
          <t>KALMAR LÄN</t>
        </is>
      </c>
      <c r="E6490" t="inlineStr">
        <is>
          <t>TORSÅS</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44580-2022</t>
        </is>
      </c>
      <c r="B6491" s="1" t="n">
        <v>44840</v>
      </c>
      <c r="C6491" s="1" t="n">
        <v>45715</v>
      </c>
      <c r="D6491" t="inlineStr">
        <is>
          <t>KALMAR LÄN</t>
        </is>
      </c>
      <c r="E6491" t="inlineStr">
        <is>
          <t>TORSÅS</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44654-2022</t>
        </is>
      </c>
      <c r="B6492" s="1" t="n">
        <v>44840</v>
      </c>
      <c r="C6492" s="1" t="n">
        <v>45715</v>
      </c>
      <c r="D6492" t="inlineStr">
        <is>
          <t>KALMAR LÄN</t>
        </is>
      </c>
      <c r="E6492" t="inlineStr">
        <is>
          <t>VIMMERBY</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44681-2022</t>
        </is>
      </c>
      <c r="B6493" s="1" t="n">
        <v>44840</v>
      </c>
      <c r="C6493" s="1" t="n">
        <v>45715</v>
      </c>
      <c r="D6493" t="inlineStr">
        <is>
          <t>KALMAR LÄN</t>
        </is>
      </c>
      <c r="E6493" t="inlineStr">
        <is>
          <t>BORGHOLM</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44651-2022</t>
        </is>
      </c>
      <c r="B6494" s="1" t="n">
        <v>44840</v>
      </c>
      <c r="C6494" s="1" t="n">
        <v>45715</v>
      </c>
      <c r="D6494" t="inlineStr">
        <is>
          <t>KALMAR LÄN</t>
        </is>
      </c>
      <c r="E6494" t="inlineStr">
        <is>
          <t>VIMMERBY</t>
        </is>
      </c>
      <c r="G6494" t="n">
        <v>5.3</v>
      </c>
      <c r="H6494" t="n">
        <v>0</v>
      </c>
      <c r="I6494" t="n">
        <v>0</v>
      </c>
      <c r="J6494" t="n">
        <v>0</v>
      </c>
      <c r="K6494" t="n">
        <v>0</v>
      </c>
      <c r="L6494" t="n">
        <v>0</v>
      </c>
      <c r="M6494" t="n">
        <v>0</v>
      </c>
      <c r="N6494" t="n">
        <v>0</v>
      </c>
      <c r="O6494" t="n">
        <v>0</v>
      </c>
      <c r="P6494" t="n">
        <v>0</v>
      </c>
      <c r="Q6494" t="n">
        <v>0</v>
      </c>
      <c r="R6494" s="2" t="inlineStr"/>
    </row>
    <row r="6495" ht="15" customHeight="1">
      <c r="A6495" t="inlineStr">
        <is>
          <t>A 44656-2022</t>
        </is>
      </c>
      <c r="B6495" s="1" t="n">
        <v>44840</v>
      </c>
      <c r="C6495" s="1" t="n">
        <v>45715</v>
      </c>
      <c r="D6495" t="inlineStr">
        <is>
          <t>KALMAR LÄN</t>
        </is>
      </c>
      <c r="E6495" t="inlineStr">
        <is>
          <t>VIMMERBY</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44792-2022</t>
        </is>
      </c>
      <c r="B6496" s="1" t="n">
        <v>44841</v>
      </c>
      <c r="C6496" s="1" t="n">
        <v>45715</v>
      </c>
      <c r="D6496" t="inlineStr">
        <is>
          <t>KALMAR LÄN</t>
        </is>
      </c>
      <c r="E6496" t="inlineStr">
        <is>
          <t>KALMAR</t>
        </is>
      </c>
      <c r="G6496" t="n">
        <v>5.9</v>
      </c>
      <c r="H6496" t="n">
        <v>0</v>
      </c>
      <c r="I6496" t="n">
        <v>0</v>
      </c>
      <c r="J6496" t="n">
        <v>0</v>
      </c>
      <c r="K6496" t="n">
        <v>0</v>
      </c>
      <c r="L6496" t="n">
        <v>0</v>
      </c>
      <c r="M6496" t="n">
        <v>0</v>
      </c>
      <c r="N6496" t="n">
        <v>0</v>
      </c>
      <c r="O6496" t="n">
        <v>0</v>
      </c>
      <c r="P6496" t="n">
        <v>0</v>
      </c>
      <c r="Q6496" t="n">
        <v>0</v>
      </c>
      <c r="R6496" s="2" t="inlineStr"/>
    </row>
    <row r="6497" ht="15" customHeight="1">
      <c r="A6497" t="inlineStr">
        <is>
          <t>A 44811-2022</t>
        </is>
      </c>
      <c r="B6497" s="1" t="n">
        <v>44841</v>
      </c>
      <c r="C6497" s="1" t="n">
        <v>45715</v>
      </c>
      <c r="D6497" t="inlineStr">
        <is>
          <t>KALMAR LÄN</t>
        </is>
      </c>
      <c r="E6497" t="inlineStr">
        <is>
          <t>EMMABODA</t>
        </is>
      </c>
      <c r="F6497" t="inlineStr">
        <is>
          <t>Sveaskog</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44801-2022</t>
        </is>
      </c>
      <c r="B6498" s="1" t="n">
        <v>44841</v>
      </c>
      <c r="C6498" s="1" t="n">
        <v>45715</v>
      </c>
      <c r="D6498" t="inlineStr">
        <is>
          <t>KALMAR LÄN</t>
        </is>
      </c>
      <c r="E6498" t="inlineStr">
        <is>
          <t>NYBRO</t>
        </is>
      </c>
      <c r="G6498" t="n">
        <v>7.3</v>
      </c>
      <c r="H6498" t="n">
        <v>0</v>
      </c>
      <c r="I6498" t="n">
        <v>0</v>
      </c>
      <c r="J6498" t="n">
        <v>0</v>
      </c>
      <c r="K6498" t="n">
        <v>0</v>
      </c>
      <c r="L6498" t="n">
        <v>0</v>
      </c>
      <c r="M6498" t="n">
        <v>0</v>
      </c>
      <c r="N6498" t="n">
        <v>0</v>
      </c>
      <c r="O6498" t="n">
        <v>0</v>
      </c>
      <c r="P6498" t="n">
        <v>0</v>
      </c>
      <c r="Q6498" t="n">
        <v>0</v>
      </c>
      <c r="R6498" s="2" t="inlineStr"/>
    </row>
    <row r="6499" ht="15" customHeight="1">
      <c r="A6499" t="inlineStr">
        <is>
          <t>A 44812-2022</t>
        </is>
      </c>
      <c r="B6499" s="1" t="n">
        <v>44841</v>
      </c>
      <c r="C6499" s="1" t="n">
        <v>45715</v>
      </c>
      <c r="D6499" t="inlineStr">
        <is>
          <t>KALMAR LÄN</t>
        </is>
      </c>
      <c r="E6499" t="inlineStr">
        <is>
          <t>EMMABODA</t>
        </is>
      </c>
      <c r="F6499" t="inlineStr">
        <is>
          <t>Sveaskog</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44839-2022</t>
        </is>
      </c>
      <c r="B6500" s="1" t="n">
        <v>44841</v>
      </c>
      <c r="C6500" s="1" t="n">
        <v>45715</v>
      </c>
      <c r="D6500" t="inlineStr">
        <is>
          <t>KALMAR LÄN</t>
        </is>
      </c>
      <c r="E6500" t="inlineStr">
        <is>
          <t>TORSÅS</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45450-2022</t>
        </is>
      </c>
      <c r="B6501" s="1" t="n">
        <v>44841</v>
      </c>
      <c r="C6501" s="1" t="n">
        <v>45715</v>
      </c>
      <c r="D6501" t="inlineStr">
        <is>
          <t>KALMAR LÄN</t>
        </is>
      </c>
      <c r="E6501" t="inlineStr">
        <is>
          <t>OSKARSHAMN</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45173-2022</t>
        </is>
      </c>
      <c r="B6502" s="1" t="n">
        <v>44844</v>
      </c>
      <c r="C6502" s="1" t="n">
        <v>45715</v>
      </c>
      <c r="D6502" t="inlineStr">
        <is>
          <t>KALMAR LÄN</t>
        </is>
      </c>
      <c r="E6502" t="inlineStr">
        <is>
          <t>NYBRO</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45397-2022</t>
        </is>
      </c>
      <c r="B6503" s="1" t="n">
        <v>44844</v>
      </c>
      <c r="C6503" s="1" t="n">
        <v>45715</v>
      </c>
      <c r="D6503" t="inlineStr">
        <is>
          <t>KALMAR LÄN</t>
        </is>
      </c>
      <c r="E6503" t="inlineStr">
        <is>
          <t>NYBRO</t>
        </is>
      </c>
      <c r="G6503" t="n">
        <v>9</v>
      </c>
      <c r="H6503" t="n">
        <v>0</v>
      </c>
      <c r="I6503" t="n">
        <v>0</v>
      </c>
      <c r="J6503" t="n">
        <v>0</v>
      </c>
      <c r="K6503" t="n">
        <v>0</v>
      </c>
      <c r="L6503" t="n">
        <v>0</v>
      </c>
      <c r="M6503" t="n">
        <v>0</v>
      </c>
      <c r="N6503" t="n">
        <v>0</v>
      </c>
      <c r="O6503" t="n">
        <v>0</v>
      </c>
      <c r="P6503" t="n">
        <v>0</v>
      </c>
      <c r="Q6503" t="n">
        <v>0</v>
      </c>
      <c r="R6503" s="2" t="inlineStr"/>
    </row>
    <row r="6504" ht="15" customHeight="1">
      <c r="A6504" t="inlineStr">
        <is>
          <t>A 45413-2022</t>
        </is>
      </c>
      <c r="B6504" s="1" t="n">
        <v>44844</v>
      </c>
      <c r="C6504" s="1" t="n">
        <v>45715</v>
      </c>
      <c r="D6504" t="inlineStr">
        <is>
          <t>KALMAR LÄN</t>
        </is>
      </c>
      <c r="E6504" t="inlineStr">
        <is>
          <t>NYBRO</t>
        </is>
      </c>
      <c r="G6504" t="n">
        <v>5.2</v>
      </c>
      <c r="H6504" t="n">
        <v>0</v>
      </c>
      <c r="I6504" t="n">
        <v>0</v>
      </c>
      <c r="J6504" t="n">
        <v>0</v>
      </c>
      <c r="K6504" t="n">
        <v>0</v>
      </c>
      <c r="L6504" t="n">
        <v>0</v>
      </c>
      <c r="M6504" t="n">
        <v>0</v>
      </c>
      <c r="N6504" t="n">
        <v>0</v>
      </c>
      <c r="O6504" t="n">
        <v>0</v>
      </c>
      <c r="P6504" t="n">
        <v>0</v>
      </c>
      <c r="Q6504" t="n">
        <v>0</v>
      </c>
      <c r="R6504" s="2" t="inlineStr"/>
    </row>
    <row r="6505" ht="15" customHeight="1">
      <c r="A6505" t="inlineStr">
        <is>
          <t>A 45412-2022</t>
        </is>
      </c>
      <c r="B6505" s="1" t="n">
        <v>44844</v>
      </c>
      <c r="C6505" s="1" t="n">
        <v>45715</v>
      </c>
      <c r="D6505" t="inlineStr">
        <is>
          <t>KALMAR LÄN</t>
        </is>
      </c>
      <c r="E6505" t="inlineStr">
        <is>
          <t>NYBRO</t>
        </is>
      </c>
      <c r="G6505" t="n">
        <v>8.300000000000001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45490-2022</t>
        </is>
      </c>
      <c r="B6506" s="1" t="n">
        <v>44845</v>
      </c>
      <c r="C6506" s="1" t="n">
        <v>45715</v>
      </c>
      <c r="D6506" t="inlineStr">
        <is>
          <t>KALMAR LÄN</t>
        </is>
      </c>
      <c r="E6506" t="inlineStr">
        <is>
          <t>TORSÅS</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45567-2022</t>
        </is>
      </c>
      <c r="B6507" s="1" t="n">
        <v>44845</v>
      </c>
      <c r="C6507" s="1" t="n">
        <v>45715</v>
      </c>
      <c r="D6507" t="inlineStr">
        <is>
          <t>KALMAR LÄN</t>
        </is>
      </c>
      <c r="E6507" t="inlineStr">
        <is>
          <t>KALMAR</t>
        </is>
      </c>
      <c r="G6507" t="n">
        <v>1.4</v>
      </c>
      <c r="H6507" t="n">
        <v>0</v>
      </c>
      <c r="I6507" t="n">
        <v>0</v>
      </c>
      <c r="J6507" t="n">
        <v>0</v>
      </c>
      <c r="K6507" t="n">
        <v>0</v>
      </c>
      <c r="L6507" t="n">
        <v>0</v>
      </c>
      <c r="M6507" t="n">
        <v>0</v>
      </c>
      <c r="N6507" t="n">
        <v>0</v>
      </c>
      <c r="O6507" t="n">
        <v>0</v>
      </c>
      <c r="P6507" t="n">
        <v>0</v>
      </c>
      <c r="Q6507" t="n">
        <v>0</v>
      </c>
      <c r="R6507" s="2" t="inlineStr"/>
      <c r="U6507">
        <f>HYPERLINK("https://klasma.github.io/Logging_0880/knärot/A 45567-2022 karta knärot.png", "A 45567-2022")</f>
        <v/>
      </c>
      <c r="V6507">
        <f>HYPERLINK("https://klasma.github.io/Logging_0880/klagomål/A 45567-2022 FSC-klagomål.docx", "A 45567-2022")</f>
        <v/>
      </c>
      <c r="W6507">
        <f>HYPERLINK("https://klasma.github.io/Logging_0880/klagomålsmail/A 45567-2022 FSC-klagomål mail.docx", "A 45567-2022")</f>
        <v/>
      </c>
      <c r="X6507">
        <f>HYPERLINK("https://klasma.github.io/Logging_0880/tillsyn/A 45567-2022 tillsynsbegäran.docx", "A 45567-2022")</f>
        <v/>
      </c>
      <c r="Y6507">
        <f>HYPERLINK("https://klasma.github.io/Logging_0880/tillsynsmail/A 45567-2022 tillsynsbegäran mail.docx", "A 45567-2022")</f>
        <v/>
      </c>
    </row>
    <row r="6508" ht="15" customHeight="1">
      <c r="A6508" t="inlineStr">
        <is>
          <t>A 45580-2022</t>
        </is>
      </c>
      <c r="B6508" s="1" t="n">
        <v>44845</v>
      </c>
      <c r="C6508" s="1" t="n">
        <v>45715</v>
      </c>
      <c r="D6508" t="inlineStr">
        <is>
          <t>KALMAR LÄN</t>
        </is>
      </c>
      <c r="E6508" t="inlineStr">
        <is>
          <t>TORSÅS</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45721-2022</t>
        </is>
      </c>
      <c r="B6509" s="1" t="n">
        <v>44845</v>
      </c>
      <c r="C6509" s="1" t="n">
        <v>45715</v>
      </c>
      <c r="D6509" t="inlineStr">
        <is>
          <t>KALMAR LÄN</t>
        </is>
      </c>
      <c r="E6509" t="inlineStr">
        <is>
          <t>VÄSTERVIK</t>
        </is>
      </c>
      <c r="F6509" t="inlineStr">
        <is>
          <t>Holmen skog AB</t>
        </is>
      </c>
      <c r="G6509" t="n">
        <v>3.3</v>
      </c>
      <c r="H6509" t="n">
        <v>0</v>
      </c>
      <c r="I6509" t="n">
        <v>0</v>
      </c>
      <c r="J6509" t="n">
        <v>0</v>
      </c>
      <c r="K6509" t="n">
        <v>0</v>
      </c>
      <c r="L6509" t="n">
        <v>0</v>
      </c>
      <c r="M6509" t="n">
        <v>0</v>
      </c>
      <c r="N6509" t="n">
        <v>0</v>
      </c>
      <c r="O6509" t="n">
        <v>0</v>
      </c>
      <c r="P6509" t="n">
        <v>0</v>
      </c>
      <c r="Q6509" t="n">
        <v>0</v>
      </c>
      <c r="R6509" s="2" t="inlineStr"/>
      <c r="U6509">
        <f>HYPERLINK("https://klasma.github.io/Logging_0883/knärot/A 45721-2022 karta knärot.png", "A 45721-2022")</f>
        <v/>
      </c>
      <c r="V6509">
        <f>HYPERLINK("https://klasma.github.io/Logging_0883/klagomål/A 45721-2022 FSC-klagomål.docx", "A 45721-2022")</f>
        <v/>
      </c>
      <c r="W6509">
        <f>HYPERLINK("https://klasma.github.io/Logging_0883/klagomålsmail/A 45721-2022 FSC-klagomål mail.docx", "A 45721-2022")</f>
        <v/>
      </c>
      <c r="X6509">
        <f>HYPERLINK("https://klasma.github.io/Logging_0883/tillsyn/A 45721-2022 tillsynsbegäran.docx", "A 45721-2022")</f>
        <v/>
      </c>
      <c r="Y6509">
        <f>HYPERLINK("https://klasma.github.io/Logging_0883/tillsynsmail/A 45721-2022 tillsynsbegäran mail.docx", "A 45721-2022")</f>
        <v/>
      </c>
    </row>
    <row r="6510" ht="15" customHeight="1">
      <c r="A6510" t="inlineStr">
        <is>
          <t>A 45796-2022</t>
        </is>
      </c>
      <c r="B6510" s="1" t="n">
        <v>44846</v>
      </c>
      <c r="C6510" s="1" t="n">
        <v>45715</v>
      </c>
      <c r="D6510" t="inlineStr">
        <is>
          <t>KALMAR LÄN</t>
        </is>
      </c>
      <c r="E6510" t="inlineStr">
        <is>
          <t>TORSÅS</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45861-2022</t>
        </is>
      </c>
      <c r="B6511" s="1" t="n">
        <v>44846</v>
      </c>
      <c r="C6511" s="1" t="n">
        <v>45715</v>
      </c>
      <c r="D6511" t="inlineStr">
        <is>
          <t>KALMAR LÄN</t>
        </is>
      </c>
      <c r="E6511" t="inlineStr">
        <is>
          <t>VIMMERBY</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46010-2022</t>
        </is>
      </c>
      <c r="B6512" s="1" t="n">
        <v>44846</v>
      </c>
      <c r="C6512" s="1" t="n">
        <v>45715</v>
      </c>
      <c r="D6512" t="inlineStr">
        <is>
          <t>KALMAR LÄN</t>
        </is>
      </c>
      <c r="E6512" t="inlineStr">
        <is>
          <t>HÖGSBY</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45755-2022</t>
        </is>
      </c>
      <c r="B6513" s="1" t="n">
        <v>44846</v>
      </c>
      <c r="C6513" s="1" t="n">
        <v>45715</v>
      </c>
      <c r="D6513" t="inlineStr">
        <is>
          <t>KALMAR LÄN</t>
        </is>
      </c>
      <c r="E6513" t="inlineStr">
        <is>
          <t>KALMAR</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45759-2022</t>
        </is>
      </c>
      <c r="B6514" s="1" t="n">
        <v>44846</v>
      </c>
      <c r="C6514" s="1" t="n">
        <v>45715</v>
      </c>
      <c r="D6514" t="inlineStr">
        <is>
          <t>KALMAR LÄN</t>
        </is>
      </c>
      <c r="E6514" t="inlineStr">
        <is>
          <t>KALMAR</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45798-2022</t>
        </is>
      </c>
      <c r="B6515" s="1" t="n">
        <v>44846</v>
      </c>
      <c r="C6515" s="1" t="n">
        <v>45715</v>
      </c>
      <c r="D6515" t="inlineStr">
        <is>
          <t>KALMAR LÄN</t>
        </is>
      </c>
      <c r="E6515" t="inlineStr">
        <is>
          <t>TORSÅS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45806-2022</t>
        </is>
      </c>
      <c r="B6516" s="1" t="n">
        <v>44846</v>
      </c>
      <c r="C6516" s="1" t="n">
        <v>45715</v>
      </c>
      <c r="D6516" t="inlineStr">
        <is>
          <t>KALMAR LÄN</t>
        </is>
      </c>
      <c r="E6516" t="inlineStr">
        <is>
          <t>VÄSTERVIK</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45855-2022</t>
        </is>
      </c>
      <c r="B6517" s="1" t="n">
        <v>44846</v>
      </c>
      <c r="C6517" s="1" t="n">
        <v>45715</v>
      </c>
      <c r="D6517" t="inlineStr">
        <is>
          <t>KALMAR LÄN</t>
        </is>
      </c>
      <c r="E6517" t="inlineStr">
        <is>
          <t>MÖNSTERÅS</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45858-2022</t>
        </is>
      </c>
      <c r="B6518" s="1" t="n">
        <v>44846</v>
      </c>
      <c r="C6518" s="1" t="n">
        <v>45715</v>
      </c>
      <c r="D6518" t="inlineStr">
        <is>
          <t>KALMAR LÄN</t>
        </is>
      </c>
      <c r="E6518" t="inlineStr">
        <is>
          <t>VIMMERBY</t>
        </is>
      </c>
      <c r="G6518" t="n">
        <v>5.9</v>
      </c>
      <c r="H6518" t="n">
        <v>0</v>
      </c>
      <c r="I6518" t="n">
        <v>0</v>
      </c>
      <c r="J6518" t="n">
        <v>0</v>
      </c>
      <c r="K6518" t="n">
        <v>0</v>
      </c>
      <c r="L6518" t="n">
        <v>0</v>
      </c>
      <c r="M6518" t="n">
        <v>0</v>
      </c>
      <c r="N6518" t="n">
        <v>0</v>
      </c>
      <c r="O6518" t="n">
        <v>0</v>
      </c>
      <c r="P6518" t="n">
        <v>0</v>
      </c>
      <c r="Q6518" t="n">
        <v>0</v>
      </c>
      <c r="R6518" s="2" t="inlineStr"/>
    </row>
    <row r="6519" ht="15" customHeight="1">
      <c r="A6519" t="inlineStr">
        <is>
          <t>A 45868-2022</t>
        </is>
      </c>
      <c r="B6519" s="1" t="n">
        <v>44846</v>
      </c>
      <c r="C6519" s="1" t="n">
        <v>45715</v>
      </c>
      <c r="D6519" t="inlineStr">
        <is>
          <t>KALMAR LÄN</t>
        </is>
      </c>
      <c r="E6519" t="inlineStr">
        <is>
          <t>KALMAR</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45955-2022</t>
        </is>
      </c>
      <c r="B6520" s="1" t="n">
        <v>44846</v>
      </c>
      <c r="C6520" s="1" t="n">
        <v>45715</v>
      </c>
      <c r="D6520" t="inlineStr">
        <is>
          <t>KALMAR LÄN</t>
        </is>
      </c>
      <c r="E6520" t="inlineStr">
        <is>
          <t>HULTSFRED</t>
        </is>
      </c>
      <c r="G6520" t="n">
        <v>7.4</v>
      </c>
      <c r="H6520" t="n">
        <v>0</v>
      </c>
      <c r="I6520" t="n">
        <v>0</v>
      </c>
      <c r="J6520" t="n">
        <v>0</v>
      </c>
      <c r="K6520" t="n">
        <v>0</v>
      </c>
      <c r="L6520" t="n">
        <v>0</v>
      </c>
      <c r="M6520" t="n">
        <v>0</v>
      </c>
      <c r="N6520" t="n">
        <v>0</v>
      </c>
      <c r="O6520" t="n">
        <v>0</v>
      </c>
      <c r="P6520" t="n">
        <v>0</v>
      </c>
      <c r="Q6520" t="n">
        <v>0</v>
      </c>
      <c r="R6520" s="2" t="inlineStr"/>
    </row>
    <row r="6521" ht="15" customHeight="1">
      <c r="A6521" t="inlineStr">
        <is>
          <t>A 46018-2022</t>
        </is>
      </c>
      <c r="B6521" s="1" t="n">
        <v>44846</v>
      </c>
      <c r="C6521" s="1" t="n">
        <v>45715</v>
      </c>
      <c r="D6521" t="inlineStr">
        <is>
          <t>KALMAR LÄN</t>
        </is>
      </c>
      <c r="E6521" t="inlineStr">
        <is>
          <t>VÄSTERVIK</t>
        </is>
      </c>
      <c r="F6521" t="inlineStr">
        <is>
          <t>Holmen skog AB</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46207-2022</t>
        </is>
      </c>
      <c r="B6522" s="1" t="n">
        <v>44847</v>
      </c>
      <c r="C6522" s="1" t="n">
        <v>45715</v>
      </c>
      <c r="D6522" t="inlineStr">
        <is>
          <t>KALMAR LÄN</t>
        </is>
      </c>
      <c r="E6522" t="inlineStr">
        <is>
          <t>EMMABODA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46239-2022</t>
        </is>
      </c>
      <c r="B6523" s="1" t="n">
        <v>44847</v>
      </c>
      <c r="C6523" s="1" t="n">
        <v>45715</v>
      </c>
      <c r="D6523" t="inlineStr">
        <is>
          <t>KALMAR LÄN</t>
        </is>
      </c>
      <c r="E6523" t="inlineStr">
        <is>
          <t>KALMAR</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46267-2022</t>
        </is>
      </c>
      <c r="B6524" s="1" t="n">
        <v>44847</v>
      </c>
      <c r="C6524" s="1" t="n">
        <v>45715</v>
      </c>
      <c r="D6524" t="inlineStr">
        <is>
          <t>KALMAR LÄN</t>
        </is>
      </c>
      <c r="E6524" t="inlineStr">
        <is>
          <t>VÄSTERVIK</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46135-2022</t>
        </is>
      </c>
      <c r="B6525" s="1" t="n">
        <v>44847</v>
      </c>
      <c r="C6525" s="1" t="n">
        <v>45715</v>
      </c>
      <c r="D6525" t="inlineStr">
        <is>
          <t>KALMAR LÄN</t>
        </is>
      </c>
      <c r="E6525" t="inlineStr">
        <is>
          <t>VÄSTERVIK</t>
        </is>
      </c>
      <c r="F6525" t="inlineStr">
        <is>
          <t>Sveaskog</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46522-2022</t>
        </is>
      </c>
      <c r="B6526" s="1" t="n">
        <v>44848</v>
      </c>
      <c r="C6526" s="1" t="n">
        <v>45715</v>
      </c>
      <c r="D6526" t="inlineStr">
        <is>
          <t>KALMAR LÄN</t>
        </is>
      </c>
      <c r="E6526" t="inlineStr">
        <is>
          <t>VIMMERBY</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46354-2022</t>
        </is>
      </c>
      <c r="B6527" s="1" t="n">
        <v>44848</v>
      </c>
      <c r="C6527" s="1" t="n">
        <v>45715</v>
      </c>
      <c r="D6527" t="inlineStr">
        <is>
          <t>KALMAR LÄN</t>
        </is>
      </c>
      <c r="E6527" t="inlineStr">
        <is>
          <t>VÄSTERVIK</t>
        </is>
      </c>
      <c r="F6527" t="inlineStr">
        <is>
          <t>Holmen skog AB</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46527-2022</t>
        </is>
      </c>
      <c r="B6528" s="1" t="n">
        <v>44848</v>
      </c>
      <c r="C6528" s="1" t="n">
        <v>45715</v>
      </c>
      <c r="D6528" t="inlineStr">
        <is>
          <t>KALMAR LÄN</t>
        </is>
      </c>
      <c r="E6528" t="inlineStr">
        <is>
          <t>VÄSTERVIK</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46560-2022</t>
        </is>
      </c>
      <c r="B6529" s="1" t="n">
        <v>44848</v>
      </c>
      <c r="C6529" s="1" t="n">
        <v>45715</v>
      </c>
      <c r="D6529" t="inlineStr">
        <is>
          <t>KALMAR LÄN</t>
        </is>
      </c>
      <c r="E6529" t="inlineStr">
        <is>
          <t>VÄSTERVIK</t>
        </is>
      </c>
      <c r="F6529" t="inlineStr">
        <is>
          <t>Sveaskog</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46561-2022</t>
        </is>
      </c>
      <c r="B6530" s="1" t="n">
        <v>44848</v>
      </c>
      <c r="C6530" s="1" t="n">
        <v>45715</v>
      </c>
      <c r="D6530" t="inlineStr">
        <is>
          <t>KALMAR LÄN</t>
        </is>
      </c>
      <c r="E6530" t="inlineStr">
        <is>
          <t>VÄSTERVIK</t>
        </is>
      </c>
      <c r="F6530" t="inlineStr">
        <is>
          <t>Sveaskog</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46596-2022</t>
        </is>
      </c>
      <c r="B6531" s="1" t="n">
        <v>44848</v>
      </c>
      <c r="C6531" s="1" t="n">
        <v>45715</v>
      </c>
      <c r="D6531" t="inlineStr">
        <is>
          <t>KALMAR LÄN</t>
        </is>
      </c>
      <c r="E6531" t="inlineStr">
        <is>
          <t>VÄSTERVIK</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46562-2022</t>
        </is>
      </c>
      <c r="B6532" s="1" t="n">
        <v>44848</v>
      </c>
      <c r="C6532" s="1" t="n">
        <v>45715</v>
      </c>
      <c r="D6532" t="inlineStr">
        <is>
          <t>KALMAR LÄN</t>
        </is>
      </c>
      <c r="E6532" t="inlineStr">
        <is>
          <t>VÄSTERVIK</t>
        </is>
      </c>
      <c r="F6532" t="inlineStr">
        <is>
          <t>Sveaskog</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46595-2022</t>
        </is>
      </c>
      <c r="B6533" s="1" t="n">
        <v>44848</v>
      </c>
      <c r="C6533" s="1" t="n">
        <v>45715</v>
      </c>
      <c r="D6533" t="inlineStr">
        <is>
          <t>KALMAR LÄN</t>
        </is>
      </c>
      <c r="E6533" t="inlineStr">
        <is>
          <t>KALMAR</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46648-2022</t>
        </is>
      </c>
      <c r="B6534" s="1" t="n">
        <v>44849</v>
      </c>
      <c r="C6534" s="1" t="n">
        <v>45715</v>
      </c>
      <c r="D6534" t="inlineStr">
        <is>
          <t>KALMAR LÄN</t>
        </is>
      </c>
      <c r="E6534" t="inlineStr">
        <is>
          <t>EMMABODA</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46640-2022</t>
        </is>
      </c>
      <c r="B6535" s="1" t="n">
        <v>44849</v>
      </c>
      <c r="C6535" s="1" t="n">
        <v>45715</v>
      </c>
      <c r="D6535" t="inlineStr">
        <is>
          <t>KALMAR LÄN</t>
        </is>
      </c>
      <c r="E6535" t="inlineStr">
        <is>
          <t>TORSÅS</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46721-2022</t>
        </is>
      </c>
      <c r="B6536" s="1" t="n">
        <v>44851</v>
      </c>
      <c r="C6536" s="1" t="n">
        <v>45715</v>
      </c>
      <c r="D6536" t="inlineStr">
        <is>
          <t>KALMAR LÄN</t>
        </is>
      </c>
      <c r="E6536" t="inlineStr">
        <is>
          <t>EMMABODA</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46775-2022</t>
        </is>
      </c>
      <c r="B6537" s="1" t="n">
        <v>44851</v>
      </c>
      <c r="C6537" s="1" t="n">
        <v>45715</v>
      </c>
      <c r="D6537" t="inlineStr">
        <is>
          <t>KALMAR LÄN</t>
        </is>
      </c>
      <c r="E6537" t="inlineStr">
        <is>
          <t>EMMABODA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46781-2022</t>
        </is>
      </c>
      <c r="B6538" s="1" t="n">
        <v>44851</v>
      </c>
      <c r="C6538" s="1" t="n">
        <v>45715</v>
      </c>
      <c r="D6538" t="inlineStr">
        <is>
          <t>KALMAR LÄN</t>
        </is>
      </c>
      <c r="E6538" t="inlineStr">
        <is>
          <t>VÄSTERVIK</t>
        </is>
      </c>
      <c r="G6538" t="n">
        <v>13.2</v>
      </c>
      <c r="H6538" t="n">
        <v>0</v>
      </c>
      <c r="I6538" t="n">
        <v>0</v>
      </c>
      <c r="J6538" t="n">
        <v>0</v>
      </c>
      <c r="K6538" t="n">
        <v>0</v>
      </c>
      <c r="L6538" t="n">
        <v>0</v>
      </c>
      <c r="M6538" t="n">
        <v>0</v>
      </c>
      <c r="N6538" t="n">
        <v>0</v>
      </c>
      <c r="O6538" t="n">
        <v>0</v>
      </c>
      <c r="P6538" t="n">
        <v>0</v>
      </c>
      <c r="Q6538" t="n">
        <v>0</v>
      </c>
      <c r="R6538" s="2" t="inlineStr"/>
    </row>
    <row r="6539" ht="15" customHeight="1">
      <c r="A6539" t="inlineStr">
        <is>
          <t>A 46751-2022</t>
        </is>
      </c>
      <c r="B6539" s="1" t="n">
        <v>44851</v>
      </c>
      <c r="C6539" s="1" t="n">
        <v>45715</v>
      </c>
      <c r="D6539" t="inlineStr">
        <is>
          <t>KALMAR LÄN</t>
        </is>
      </c>
      <c r="E6539" t="inlineStr">
        <is>
          <t>TORSÅS</t>
        </is>
      </c>
      <c r="G6539" t="n">
        <v>8</v>
      </c>
      <c r="H6539" t="n">
        <v>0</v>
      </c>
      <c r="I6539" t="n">
        <v>0</v>
      </c>
      <c r="J6539" t="n">
        <v>0</v>
      </c>
      <c r="K6539" t="n">
        <v>0</v>
      </c>
      <c r="L6539" t="n">
        <v>0</v>
      </c>
      <c r="M6539" t="n">
        <v>0</v>
      </c>
      <c r="N6539" t="n">
        <v>0</v>
      </c>
      <c r="O6539" t="n">
        <v>0</v>
      </c>
      <c r="P6539" t="n">
        <v>0</v>
      </c>
      <c r="Q6539" t="n">
        <v>0</v>
      </c>
      <c r="R6539" s="2" t="inlineStr"/>
    </row>
    <row r="6540" ht="15" customHeight="1">
      <c r="A6540" t="inlineStr">
        <is>
          <t>A 46776-2022</t>
        </is>
      </c>
      <c r="B6540" s="1" t="n">
        <v>44851</v>
      </c>
      <c r="C6540" s="1" t="n">
        <v>45715</v>
      </c>
      <c r="D6540" t="inlineStr">
        <is>
          <t>KALMAR LÄN</t>
        </is>
      </c>
      <c r="E6540" t="inlineStr">
        <is>
          <t>EMMABODA</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46705-2022</t>
        </is>
      </c>
      <c r="B6541" s="1" t="n">
        <v>44851</v>
      </c>
      <c r="C6541" s="1" t="n">
        <v>45715</v>
      </c>
      <c r="D6541" t="inlineStr">
        <is>
          <t>KALMAR LÄN</t>
        </is>
      </c>
      <c r="E6541" t="inlineStr">
        <is>
          <t>NYBRO</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46794-2022</t>
        </is>
      </c>
      <c r="B6542" s="1" t="n">
        <v>44851</v>
      </c>
      <c r="C6542" s="1" t="n">
        <v>45715</v>
      </c>
      <c r="D6542" t="inlineStr">
        <is>
          <t>KALMAR LÄN</t>
        </is>
      </c>
      <c r="E6542" t="inlineStr">
        <is>
          <t>OSKARSHAMN</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46783-2022</t>
        </is>
      </c>
      <c r="B6543" s="1" t="n">
        <v>44851</v>
      </c>
      <c r="C6543" s="1" t="n">
        <v>45715</v>
      </c>
      <c r="D6543" t="inlineStr">
        <is>
          <t>KALMAR LÄN</t>
        </is>
      </c>
      <c r="E6543" t="inlineStr">
        <is>
          <t>VÄSTERVIK</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46790-2022</t>
        </is>
      </c>
      <c r="B6544" s="1" t="n">
        <v>44851</v>
      </c>
      <c r="C6544" s="1" t="n">
        <v>45715</v>
      </c>
      <c r="D6544" t="inlineStr">
        <is>
          <t>KALMAR LÄN</t>
        </is>
      </c>
      <c r="E6544" t="inlineStr">
        <is>
          <t>VÄSTERVIK</t>
        </is>
      </c>
      <c r="G6544" t="n">
        <v>9.9</v>
      </c>
      <c r="H6544" t="n">
        <v>0</v>
      </c>
      <c r="I6544" t="n">
        <v>0</v>
      </c>
      <c r="J6544" t="n">
        <v>0</v>
      </c>
      <c r="K6544" t="n">
        <v>0</v>
      </c>
      <c r="L6544" t="n">
        <v>0</v>
      </c>
      <c r="M6544" t="n">
        <v>0</v>
      </c>
      <c r="N6544" t="n">
        <v>0</v>
      </c>
      <c r="O6544" t="n">
        <v>0</v>
      </c>
      <c r="P6544" t="n">
        <v>0</v>
      </c>
      <c r="Q6544" t="n">
        <v>0</v>
      </c>
      <c r="R6544" s="2" t="inlineStr"/>
    </row>
    <row r="6545" ht="15" customHeight="1">
      <c r="A6545" t="inlineStr">
        <is>
          <t>A 46728-2022</t>
        </is>
      </c>
      <c r="B6545" s="1" t="n">
        <v>44851</v>
      </c>
      <c r="C6545" s="1" t="n">
        <v>45715</v>
      </c>
      <c r="D6545" t="inlineStr">
        <is>
          <t>KALMAR LÄN</t>
        </is>
      </c>
      <c r="E6545" t="inlineStr">
        <is>
          <t>EMMABODA</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46769-2022</t>
        </is>
      </c>
      <c r="B6546" s="1" t="n">
        <v>44851</v>
      </c>
      <c r="C6546" s="1" t="n">
        <v>45715</v>
      </c>
      <c r="D6546" t="inlineStr">
        <is>
          <t>KALMAR LÄN</t>
        </is>
      </c>
      <c r="E6546" t="inlineStr">
        <is>
          <t>KALMAR</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46894-2022</t>
        </is>
      </c>
      <c r="B6547" s="1" t="n">
        <v>44851</v>
      </c>
      <c r="C6547" s="1" t="n">
        <v>45715</v>
      </c>
      <c r="D6547" t="inlineStr">
        <is>
          <t>KALMAR LÄN</t>
        </is>
      </c>
      <c r="E6547" t="inlineStr">
        <is>
          <t>HÖGSBY</t>
        </is>
      </c>
      <c r="F6547" t="inlineStr">
        <is>
          <t>Sveaskog</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46893-2022</t>
        </is>
      </c>
      <c r="B6548" s="1" t="n">
        <v>44851</v>
      </c>
      <c r="C6548" s="1" t="n">
        <v>45715</v>
      </c>
      <c r="D6548" t="inlineStr">
        <is>
          <t>KALMAR LÄN</t>
        </is>
      </c>
      <c r="E6548" t="inlineStr">
        <is>
          <t>HÖGSBY</t>
        </is>
      </c>
      <c r="F6548" t="inlineStr">
        <is>
          <t>Sveaskog</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46811-2022</t>
        </is>
      </c>
      <c r="B6549" s="1" t="n">
        <v>44851</v>
      </c>
      <c r="C6549" s="1" t="n">
        <v>45715</v>
      </c>
      <c r="D6549" t="inlineStr">
        <is>
          <t>KALMAR LÄN</t>
        </is>
      </c>
      <c r="E6549" t="inlineStr">
        <is>
          <t>OSKARSHAMN</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46964-2022</t>
        </is>
      </c>
      <c r="B6550" s="1" t="n">
        <v>44852</v>
      </c>
      <c r="C6550" s="1" t="n">
        <v>45715</v>
      </c>
      <c r="D6550" t="inlineStr">
        <is>
          <t>KALMAR LÄN</t>
        </is>
      </c>
      <c r="E6550" t="inlineStr">
        <is>
          <t>VIMMERBY</t>
        </is>
      </c>
      <c r="G6550" t="n">
        <v>0.2</v>
      </c>
      <c r="H6550" t="n">
        <v>0</v>
      </c>
      <c r="I6550" t="n">
        <v>0</v>
      </c>
      <c r="J6550" t="n">
        <v>0</v>
      </c>
      <c r="K6550" t="n">
        <v>0</v>
      </c>
      <c r="L6550" t="n">
        <v>0</v>
      </c>
      <c r="M6550" t="n">
        <v>0</v>
      </c>
      <c r="N6550" t="n">
        <v>0</v>
      </c>
      <c r="O6550" t="n">
        <v>0</v>
      </c>
      <c r="P6550" t="n">
        <v>0</v>
      </c>
      <c r="Q6550" t="n">
        <v>0</v>
      </c>
      <c r="R6550" s="2" t="inlineStr"/>
    </row>
    <row r="6551" ht="15" customHeight="1">
      <c r="A6551" t="inlineStr">
        <is>
          <t>A 47214-2022</t>
        </is>
      </c>
      <c r="B6551" s="1" t="n">
        <v>44852</v>
      </c>
      <c r="C6551" s="1" t="n">
        <v>45715</v>
      </c>
      <c r="D6551" t="inlineStr">
        <is>
          <t>KALMAR LÄN</t>
        </is>
      </c>
      <c r="E6551" t="inlineStr">
        <is>
          <t>VIMMERBY</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47185-2022</t>
        </is>
      </c>
      <c r="B6552" s="1" t="n">
        <v>44852</v>
      </c>
      <c r="C6552" s="1" t="n">
        <v>45715</v>
      </c>
      <c r="D6552" t="inlineStr">
        <is>
          <t>KALMAR LÄN</t>
        </is>
      </c>
      <c r="E6552" t="inlineStr">
        <is>
          <t>HULTSFRED</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47149-2022</t>
        </is>
      </c>
      <c r="B6553" s="1" t="n">
        <v>44852</v>
      </c>
      <c r="C6553" s="1" t="n">
        <v>45715</v>
      </c>
      <c r="D6553" t="inlineStr">
        <is>
          <t>KALMAR LÄN</t>
        </is>
      </c>
      <c r="E6553" t="inlineStr">
        <is>
          <t>EMMABODA</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47129-2022</t>
        </is>
      </c>
      <c r="B6554" s="1" t="n">
        <v>44852</v>
      </c>
      <c r="C6554" s="1" t="n">
        <v>45715</v>
      </c>
      <c r="D6554" t="inlineStr">
        <is>
          <t>KALMAR LÄN</t>
        </is>
      </c>
      <c r="E6554" t="inlineStr">
        <is>
          <t>OSKARSHAMN</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47158-2022</t>
        </is>
      </c>
      <c r="B6555" s="1" t="n">
        <v>44852</v>
      </c>
      <c r="C6555" s="1" t="n">
        <v>45715</v>
      </c>
      <c r="D6555" t="inlineStr">
        <is>
          <t>KALMAR LÄN</t>
        </is>
      </c>
      <c r="E6555" t="inlineStr">
        <is>
          <t>KALMAR</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47224-2022</t>
        </is>
      </c>
      <c r="B6556" s="1" t="n">
        <v>44852</v>
      </c>
      <c r="C6556" s="1" t="n">
        <v>45715</v>
      </c>
      <c r="D6556" t="inlineStr">
        <is>
          <t>KALMAR LÄN</t>
        </is>
      </c>
      <c r="E6556" t="inlineStr">
        <is>
          <t>TORSÅS</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47108-2022</t>
        </is>
      </c>
      <c r="B6557" s="1" t="n">
        <v>44852</v>
      </c>
      <c r="C6557" s="1" t="n">
        <v>45715</v>
      </c>
      <c r="D6557" t="inlineStr">
        <is>
          <t>KALMAR LÄN</t>
        </is>
      </c>
      <c r="E6557" t="inlineStr">
        <is>
          <t>NYBRO</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47109-2022</t>
        </is>
      </c>
      <c r="B6558" s="1" t="n">
        <v>44852</v>
      </c>
      <c r="C6558" s="1" t="n">
        <v>45715</v>
      </c>
      <c r="D6558" t="inlineStr">
        <is>
          <t>KALMAR LÄN</t>
        </is>
      </c>
      <c r="E6558" t="inlineStr">
        <is>
          <t>EMMABODA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47063-2022</t>
        </is>
      </c>
      <c r="B6559" s="1" t="n">
        <v>44852</v>
      </c>
      <c r="C6559" s="1" t="n">
        <v>45715</v>
      </c>
      <c r="D6559" t="inlineStr">
        <is>
          <t>KALMAR LÄN</t>
        </is>
      </c>
      <c r="E6559" t="inlineStr">
        <is>
          <t>VIMMERBY</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47080-2022</t>
        </is>
      </c>
      <c r="B6560" s="1" t="n">
        <v>44852</v>
      </c>
      <c r="C6560" s="1" t="n">
        <v>45715</v>
      </c>
      <c r="D6560" t="inlineStr">
        <is>
          <t>KALMAR LÄN</t>
        </is>
      </c>
      <c r="E6560" t="inlineStr">
        <is>
          <t>KALMAR</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47120-2022</t>
        </is>
      </c>
      <c r="B6561" s="1" t="n">
        <v>44852</v>
      </c>
      <c r="C6561" s="1" t="n">
        <v>45715</v>
      </c>
      <c r="D6561" t="inlineStr">
        <is>
          <t>KALMAR LÄN</t>
        </is>
      </c>
      <c r="E6561" t="inlineStr">
        <is>
          <t>EMMABODA</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47326-2022</t>
        </is>
      </c>
      <c r="B6562" s="1" t="n">
        <v>44853</v>
      </c>
      <c r="C6562" s="1" t="n">
        <v>45715</v>
      </c>
      <c r="D6562" t="inlineStr">
        <is>
          <t>KALMAR LÄN</t>
        </is>
      </c>
      <c r="E6562" t="inlineStr">
        <is>
          <t>NYBRO</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47323-2022</t>
        </is>
      </c>
      <c r="B6563" s="1" t="n">
        <v>44853</v>
      </c>
      <c r="C6563" s="1" t="n">
        <v>45715</v>
      </c>
      <c r="D6563" t="inlineStr">
        <is>
          <t>KALMAR LÄN</t>
        </is>
      </c>
      <c r="E6563" t="inlineStr">
        <is>
          <t>VÄSTERVIK</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47435-2022</t>
        </is>
      </c>
      <c r="B6564" s="1" t="n">
        <v>44853</v>
      </c>
      <c r="C6564" s="1" t="n">
        <v>45715</v>
      </c>
      <c r="D6564" t="inlineStr">
        <is>
          <t>KALMAR LÄN</t>
        </is>
      </c>
      <c r="E6564" t="inlineStr">
        <is>
          <t>NYBRO</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47329-2022</t>
        </is>
      </c>
      <c r="B6565" s="1" t="n">
        <v>44853</v>
      </c>
      <c r="C6565" s="1" t="n">
        <v>45715</v>
      </c>
      <c r="D6565" t="inlineStr">
        <is>
          <t>KALMAR LÄN</t>
        </is>
      </c>
      <c r="E6565" t="inlineStr">
        <is>
          <t>NYBRO</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47318-2022</t>
        </is>
      </c>
      <c r="B6566" s="1" t="n">
        <v>44853</v>
      </c>
      <c r="C6566" s="1" t="n">
        <v>45715</v>
      </c>
      <c r="D6566" t="inlineStr">
        <is>
          <t>KALMAR LÄN</t>
        </is>
      </c>
      <c r="E6566" t="inlineStr">
        <is>
          <t>TORSÅS</t>
        </is>
      </c>
      <c r="G6566" t="n">
        <v>6.4</v>
      </c>
      <c r="H6566" t="n">
        <v>0</v>
      </c>
      <c r="I6566" t="n">
        <v>0</v>
      </c>
      <c r="J6566" t="n">
        <v>0</v>
      </c>
      <c r="K6566" t="n">
        <v>0</v>
      </c>
      <c r="L6566" t="n">
        <v>0</v>
      </c>
      <c r="M6566" t="n">
        <v>0</v>
      </c>
      <c r="N6566" t="n">
        <v>0</v>
      </c>
      <c r="O6566" t="n">
        <v>0</v>
      </c>
      <c r="P6566" t="n">
        <v>0</v>
      </c>
      <c r="Q6566" t="n">
        <v>0</v>
      </c>
      <c r="R6566" s="2" t="inlineStr"/>
    </row>
    <row r="6567" ht="15" customHeight="1">
      <c r="A6567" t="inlineStr">
        <is>
          <t>A 47325-2022</t>
        </is>
      </c>
      <c r="B6567" s="1" t="n">
        <v>44853</v>
      </c>
      <c r="C6567" s="1" t="n">
        <v>45715</v>
      </c>
      <c r="D6567" t="inlineStr">
        <is>
          <t>KALMAR LÄN</t>
        </is>
      </c>
      <c r="E6567" t="inlineStr">
        <is>
          <t>VÄSTERVIK</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47956-2022</t>
        </is>
      </c>
      <c r="B6568" s="1" t="n">
        <v>44853</v>
      </c>
      <c r="C6568" s="1" t="n">
        <v>45715</v>
      </c>
      <c r="D6568" t="inlineStr">
        <is>
          <t>KALMAR LÄN</t>
        </is>
      </c>
      <c r="E6568" t="inlineStr">
        <is>
          <t>MÖNSTERÅS</t>
        </is>
      </c>
      <c r="F6568" t="inlineStr">
        <is>
          <t>Kyrkan</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47997-2022</t>
        </is>
      </c>
      <c r="B6569" s="1" t="n">
        <v>44853</v>
      </c>
      <c r="C6569" s="1" t="n">
        <v>45715</v>
      </c>
      <c r="D6569" t="inlineStr">
        <is>
          <t>KALMAR LÄN</t>
        </is>
      </c>
      <c r="E6569" t="inlineStr">
        <is>
          <t>MÖNSTERÅS</t>
        </is>
      </c>
      <c r="G6569" t="n">
        <v>6</v>
      </c>
      <c r="H6569" t="n">
        <v>0</v>
      </c>
      <c r="I6569" t="n">
        <v>0</v>
      </c>
      <c r="J6569" t="n">
        <v>0</v>
      </c>
      <c r="K6569" t="n">
        <v>0</v>
      </c>
      <c r="L6569" t="n">
        <v>0</v>
      </c>
      <c r="M6569" t="n">
        <v>0</v>
      </c>
      <c r="N6569" t="n">
        <v>0</v>
      </c>
      <c r="O6569" t="n">
        <v>0</v>
      </c>
      <c r="P6569" t="n">
        <v>0</v>
      </c>
      <c r="Q6569" t="n">
        <v>0</v>
      </c>
      <c r="R6569" s="2" t="inlineStr"/>
    </row>
    <row r="6570" ht="15" customHeight="1">
      <c r="A6570" t="inlineStr">
        <is>
          <t>A 47708-2022</t>
        </is>
      </c>
      <c r="B6570" s="1" t="n">
        <v>44854</v>
      </c>
      <c r="C6570" s="1" t="n">
        <v>45715</v>
      </c>
      <c r="D6570" t="inlineStr">
        <is>
          <t>KALMAR LÄN</t>
        </is>
      </c>
      <c r="E6570" t="inlineStr">
        <is>
          <t>VIMMERBY</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47705-2022</t>
        </is>
      </c>
      <c r="B6571" s="1" t="n">
        <v>44854</v>
      </c>
      <c r="C6571" s="1" t="n">
        <v>45715</v>
      </c>
      <c r="D6571" t="inlineStr">
        <is>
          <t>KALMAR LÄN</t>
        </is>
      </c>
      <c r="E6571" t="inlineStr">
        <is>
          <t>VÄSTERVIK</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47769-2022</t>
        </is>
      </c>
      <c r="B6572" s="1" t="n">
        <v>44854</v>
      </c>
      <c r="C6572" s="1" t="n">
        <v>45715</v>
      </c>
      <c r="D6572" t="inlineStr">
        <is>
          <t>KALMAR LÄN</t>
        </is>
      </c>
      <c r="E6572" t="inlineStr">
        <is>
          <t>VIMMERBY</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47825-2022</t>
        </is>
      </c>
      <c r="B6573" s="1" t="n">
        <v>44855</v>
      </c>
      <c r="C6573" s="1" t="n">
        <v>45715</v>
      </c>
      <c r="D6573" t="inlineStr">
        <is>
          <t>KALMAR LÄN</t>
        </is>
      </c>
      <c r="E6573" t="inlineStr">
        <is>
          <t>KALMAR</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47843-2022</t>
        </is>
      </c>
      <c r="B6574" s="1" t="n">
        <v>44855</v>
      </c>
      <c r="C6574" s="1" t="n">
        <v>45715</v>
      </c>
      <c r="D6574" t="inlineStr">
        <is>
          <t>KALMAR LÄN</t>
        </is>
      </c>
      <c r="E6574" t="inlineStr">
        <is>
          <t>OSKARSHAMN</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47891-2022</t>
        </is>
      </c>
      <c r="B6575" s="1" t="n">
        <v>44855</v>
      </c>
      <c r="C6575" s="1" t="n">
        <v>45715</v>
      </c>
      <c r="D6575" t="inlineStr">
        <is>
          <t>KALMAR LÄN</t>
        </is>
      </c>
      <c r="E6575" t="inlineStr">
        <is>
          <t>KALMAR</t>
        </is>
      </c>
      <c r="F6575" t="inlineStr">
        <is>
          <t>Sveaskog</t>
        </is>
      </c>
      <c r="G6575" t="n">
        <v>12.2</v>
      </c>
      <c r="H6575" t="n">
        <v>0</v>
      </c>
      <c r="I6575" t="n">
        <v>0</v>
      </c>
      <c r="J6575" t="n">
        <v>0</v>
      </c>
      <c r="K6575" t="n">
        <v>0</v>
      </c>
      <c r="L6575" t="n">
        <v>0</v>
      </c>
      <c r="M6575" t="n">
        <v>0</v>
      </c>
      <c r="N6575" t="n">
        <v>0</v>
      </c>
      <c r="O6575" t="n">
        <v>0</v>
      </c>
      <c r="P6575" t="n">
        <v>0</v>
      </c>
      <c r="Q6575" t="n">
        <v>0</v>
      </c>
      <c r="R6575" s="2" t="inlineStr"/>
    </row>
    <row r="6576" ht="15" customHeight="1">
      <c r="A6576" t="inlineStr">
        <is>
          <t>A 47989-2022</t>
        </is>
      </c>
      <c r="B6576" s="1" t="n">
        <v>44855</v>
      </c>
      <c r="C6576" s="1" t="n">
        <v>45715</v>
      </c>
      <c r="D6576" t="inlineStr">
        <is>
          <t>KALMAR LÄN</t>
        </is>
      </c>
      <c r="E6576" t="inlineStr">
        <is>
          <t>KALMAR</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48120-2022</t>
        </is>
      </c>
      <c r="B6577" s="1" t="n">
        <v>44857</v>
      </c>
      <c r="C6577" s="1" t="n">
        <v>45715</v>
      </c>
      <c r="D6577" t="inlineStr">
        <is>
          <t>KALMAR LÄN</t>
        </is>
      </c>
      <c r="E6577" t="inlineStr">
        <is>
          <t>VIMMERBY</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48365-2022</t>
        </is>
      </c>
      <c r="B6578" s="1" t="n">
        <v>44858</v>
      </c>
      <c r="C6578" s="1" t="n">
        <v>45715</v>
      </c>
      <c r="D6578" t="inlineStr">
        <is>
          <t>KALMAR LÄN</t>
        </is>
      </c>
      <c r="E6578" t="inlineStr">
        <is>
          <t>KALMAR</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48337-2022</t>
        </is>
      </c>
      <c r="B6579" s="1" t="n">
        <v>44858</v>
      </c>
      <c r="C6579" s="1" t="n">
        <v>45715</v>
      </c>
      <c r="D6579" t="inlineStr">
        <is>
          <t>KALMAR LÄN</t>
        </is>
      </c>
      <c r="E6579" t="inlineStr">
        <is>
          <t>KALMAR</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48355-2022</t>
        </is>
      </c>
      <c r="B6580" s="1" t="n">
        <v>44858</v>
      </c>
      <c r="C6580" s="1" t="n">
        <v>45715</v>
      </c>
      <c r="D6580" t="inlineStr">
        <is>
          <t>KALMAR LÄN</t>
        </is>
      </c>
      <c r="E6580" t="inlineStr">
        <is>
          <t>KALMAR</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48378-2022</t>
        </is>
      </c>
      <c r="B6581" s="1" t="n">
        <v>44858</v>
      </c>
      <c r="C6581" s="1" t="n">
        <v>45715</v>
      </c>
      <c r="D6581" t="inlineStr">
        <is>
          <t>KALMAR LÄN</t>
        </is>
      </c>
      <c r="E6581" t="inlineStr">
        <is>
          <t>KALMAR</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48473-2022</t>
        </is>
      </c>
      <c r="B6582" s="1" t="n">
        <v>44858</v>
      </c>
      <c r="C6582" s="1" t="n">
        <v>45715</v>
      </c>
      <c r="D6582" t="inlineStr">
        <is>
          <t>KALMAR LÄN</t>
        </is>
      </c>
      <c r="E6582" t="inlineStr">
        <is>
          <t>KALMAR</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48361-2022</t>
        </is>
      </c>
      <c r="B6583" s="1" t="n">
        <v>44858</v>
      </c>
      <c r="C6583" s="1" t="n">
        <v>45715</v>
      </c>
      <c r="D6583" t="inlineStr">
        <is>
          <t>KALMAR LÄN</t>
        </is>
      </c>
      <c r="E6583" t="inlineStr">
        <is>
          <t>KALMAR</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48470-2022</t>
        </is>
      </c>
      <c r="B6584" s="1" t="n">
        <v>44858</v>
      </c>
      <c r="C6584" s="1" t="n">
        <v>45715</v>
      </c>
      <c r="D6584" t="inlineStr">
        <is>
          <t>KALMAR LÄN</t>
        </is>
      </c>
      <c r="E6584" t="inlineStr">
        <is>
          <t>KALMAR</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48415-2022</t>
        </is>
      </c>
      <c r="B6585" s="1" t="n">
        <v>44858</v>
      </c>
      <c r="C6585" s="1" t="n">
        <v>45715</v>
      </c>
      <c r="D6585" t="inlineStr">
        <is>
          <t>KALMAR LÄN</t>
        </is>
      </c>
      <c r="E6585" t="inlineStr">
        <is>
          <t>OSKARSHAMN</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49276-2022</t>
        </is>
      </c>
      <c r="B6586" s="1" t="n">
        <v>44858</v>
      </c>
      <c r="C6586" s="1" t="n">
        <v>45715</v>
      </c>
      <c r="D6586" t="inlineStr">
        <is>
          <t>KALMAR LÄN</t>
        </is>
      </c>
      <c r="E6586" t="inlineStr">
        <is>
          <t>VÄSTERVIK</t>
        </is>
      </c>
      <c r="F6586" t="inlineStr">
        <is>
          <t>Övriga Aktiebolag</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48553-2022</t>
        </is>
      </c>
      <c r="B6587" s="1" t="n">
        <v>44859</v>
      </c>
      <c r="C6587" s="1" t="n">
        <v>45715</v>
      </c>
      <c r="D6587" t="inlineStr">
        <is>
          <t>KALMAR LÄN</t>
        </is>
      </c>
      <c r="E6587" t="inlineStr">
        <is>
          <t>VÄSTERVIK</t>
        </is>
      </c>
      <c r="F6587" t="inlineStr">
        <is>
          <t>Holmen skog AB</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48873-2022</t>
        </is>
      </c>
      <c r="B6588" s="1" t="n">
        <v>44859</v>
      </c>
      <c r="C6588" s="1" t="n">
        <v>45715</v>
      </c>
      <c r="D6588" t="inlineStr">
        <is>
          <t>KALMAR LÄN</t>
        </is>
      </c>
      <c r="E6588" t="inlineStr">
        <is>
          <t>NYBRO</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48888-2022</t>
        </is>
      </c>
      <c r="B6589" s="1" t="n">
        <v>44859</v>
      </c>
      <c r="C6589" s="1" t="n">
        <v>45715</v>
      </c>
      <c r="D6589" t="inlineStr">
        <is>
          <t>KALMAR LÄN</t>
        </is>
      </c>
      <c r="E6589" t="inlineStr">
        <is>
          <t>VÄSTERVIK</t>
        </is>
      </c>
      <c r="F6589" t="inlineStr">
        <is>
          <t>Holmen skog AB</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48964-2022</t>
        </is>
      </c>
      <c r="B6590" s="1" t="n">
        <v>44860</v>
      </c>
      <c r="C6590" s="1" t="n">
        <v>45715</v>
      </c>
      <c r="D6590" t="inlineStr">
        <is>
          <t>KALMAR LÄN</t>
        </is>
      </c>
      <c r="E6590" t="inlineStr">
        <is>
          <t>HULTSFRED</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49078-2022</t>
        </is>
      </c>
      <c r="B6591" s="1" t="n">
        <v>44860</v>
      </c>
      <c r="C6591" s="1" t="n">
        <v>45715</v>
      </c>
      <c r="D6591" t="inlineStr">
        <is>
          <t>KALMAR LÄN</t>
        </is>
      </c>
      <c r="E6591" t="inlineStr">
        <is>
          <t>OSKARSHAMN</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49205-2022</t>
        </is>
      </c>
      <c r="B6592" s="1" t="n">
        <v>44860</v>
      </c>
      <c r="C6592" s="1" t="n">
        <v>45715</v>
      </c>
      <c r="D6592" t="inlineStr">
        <is>
          <t>KALMAR LÄN</t>
        </is>
      </c>
      <c r="E6592" t="inlineStr">
        <is>
          <t>VÄSTERVIK</t>
        </is>
      </c>
      <c r="F6592" t="inlineStr">
        <is>
          <t>Holmen skog AB</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49159-2022</t>
        </is>
      </c>
      <c r="B6593" s="1" t="n">
        <v>44860</v>
      </c>
      <c r="C6593" s="1" t="n">
        <v>45715</v>
      </c>
      <c r="D6593" t="inlineStr">
        <is>
          <t>KALMAR LÄN</t>
        </is>
      </c>
      <c r="E6593" t="inlineStr">
        <is>
          <t>EMMABODA</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50253-2022</t>
        </is>
      </c>
      <c r="B6594" s="1" t="n">
        <v>44860</v>
      </c>
      <c r="C6594" s="1" t="n">
        <v>45715</v>
      </c>
      <c r="D6594" t="inlineStr">
        <is>
          <t>KALMAR LÄN</t>
        </is>
      </c>
      <c r="E6594" t="inlineStr">
        <is>
          <t>VÄSTERVIK</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49327-2022</t>
        </is>
      </c>
      <c r="B6595" s="1" t="n">
        <v>44861</v>
      </c>
      <c r="C6595" s="1" t="n">
        <v>45715</v>
      </c>
      <c r="D6595" t="inlineStr">
        <is>
          <t>KALMAR LÄN</t>
        </is>
      </c>
      <c r="E6595" t="inlineStr">
        <is>
          <t>TORSÅS</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49324-2022</t>
        </is>
      </c>
      <c r="B6596" s="1" t="n">
        <v>44861</v>
      </c>
      <c r="C6596" s="1" t="n">
        <v>45715</v>
      </c>
      <c r="D6596" t="inlineStr">
        <is>
          <t>KALMAR LÄN</t>
        </is>
      </c>
      <c r="E6596" t="inlineStr">
        <is>
          <t>KALMAR</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49330-2022</t>
        </is>
      </c>
      <c r="B6597" s="1" t="n">
        <v>44861</v>
      </c>
      <c r="C6597" s="1" t="n">
        <v>45715</v>
      </c>
      <c r="D6597" t="inlineStr">
        <is>
          <t>KALMAR LÄN</t>
        </is>
      </c>
      <c r="E6597" t="inlineStr">
        <is>
          <t>TORSÅS</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49338-2022</t>
        </is>
      </c>
      <c r="B6598" s="1" t="n">
        <v>44861</v>
      </c>
      <c r="C6598" s="1" t="n">
        <v>45715</v>
      </c>
      <c r="D6598" t="inlineStr">
        <is>
          <t>KALMAR LÄN</t>
        </is>
      </c>
      <c r="E6598" t="inlineStr">
        <is>
          <t>HÖGSBY</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49450-2022</t>
        </is>
      </c>
      <c r="B6599" s="1" t="n">
        <v>44861</v>
      </c>
      <c r="C6599" s="1" t="n">
        <v>45715</v>
      </c>
      <c r="D6599" t="inlineStr">
        <is>
          <t>KALMAR LÄN</t>
        </is>
      </c>
      <c r="E6599" t="inlineStr">
        <is>
          <t>HULTSFRED</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49486-2022</t>
        </is>
      </c>
      <c r="B6600" s="1" t="n">
        <v>44861</v>
      </c>
      <c r="C6600" s="1" t="n">
        <v>45715</v>
      </c>
      <c r="D6600" t="inlineStr">
        <is>
          <t>KALMAR LÄN</t>
        </is>
      </c>
      <c r="E6600" t="inlineStr">
        <is>
          <t>HÖGSBY</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49286-2022</t>
        </is>
      </c>
      <c r="B6601" s="1" t="n">
        <v>44861</v>
      </c>
      <c r="C6601" s="1" t="n">
        <v>45715</v>
      </c>
      <c r="D6601" t="inlineStr">
        <is>
          <t>KALMAR LÄN</t>
        </is>
      </c>
      <c r="E6601" t="inlineStr">
        <is>
          <t>VÄSTERVIK</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49313-2022</t>
        </is>
      </c>
      <c r="B6602" s="1" t="n">
        <v>44861</v>
      </c>
      <c r="C6602" s="1" t="n">
        <v>45715</v>
      </c>
      <c r="D6602" t="inlineStr">
        <is>
          <t>KALMAR LÄN</t>
        </is>
      </c>
      <c r="E6602" t="inlineStr">
        <is>
          <t>VIMMERBY</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49485-2022</t>
        </is>
      </c>
      <c r="B6603" s="1" t="n">
        <v>44861</v>
      </c>
      <c r="C6603" s="1" t="n">
        <v>45715</v>
      </c>
      <c r="D6603" t="inlineStr">
        <is>
          <t>KALMAR LÄN</t>
        </is>
      </c>
      <c r="E6603" t="inlineStr">
        <is>
          <t>HÖGSBY</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49207-2022</t>
        </is>
      </c>
      <c r="B6604" s="1" t="n">
        <v>44861</v>
      </c>
      <c r="C6604" s="1" t="n">
        <v>45715</v>
      </c>
      <c r="D6604" t="inlineStr">
        <is>
          <t>KALMAR LÄN</t>
        </is>
      </c>
      <c r="E6604" t="inlineStr">
        <is>
          <t>KALMAR</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49331-2022</t>
        </is>
      </c>
      <c r="B6605" s="1" t="n">
        <v>44861</v>
      </c>
      <c r="C6605" s="1" t="n">
        <v>45715</v>
      </c>
      <c r="D6605" t="inlineStr">
        <is>
          <t>KALMAR LÄN</t>
        </is>
      </c>
      <c r="E6605" t="inlineStr">
        <is>
          <t>TORSÅS</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49377-2022</t>
        </is>
      </c>
      <c r="B6606" s="1" t="n">
        <v>44861</v>
      </c>
      <c r="C6606" s="1" t="n">
        <v>45715</v>
      </c>
      <c r="D6606" t="inlineStr">
        <is>
          <t>KALMAR LÄN</t>
        </is>
      </c>
      <c r="E6606" t="inlineStr">
        <is>
          <t>VÄSTERVIK</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49429-2022</t>
        </is>
      </c>
      <c r="B6607" s="1" t="n">
        <v>44861</v>
      </c>
      <c r="C6607" s="1" t="n">
        <v>45715</v>
      </c>
      <c r="D6607" t="inlineStr">
        <is>
          <t>KALMAR LÄN</t>
        </is>
      </c>
      <c r="E6607" t="inlineStr">
        <is>
          <t>OSKARSHAMN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49461-2022</t>
        </is>
      </c>
      <c r="B6608" s="1" t="n">
        <v>44861</v>
      </c>
      <c r="C6608" s="1" t="n">
        <v>45715</v>
      </c>
      <c r="D6608" t="inlineStr">
        <is>
          <t>KALMAR LÄN</t>
        </is>
      </c>
      <c r="E6608" t="inlineStr">
        <is>
          <t>VIMMERBY</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50470-2022</t>
        </is>
      </c>
      <c r="B6609" s="1" t="n">
        <v>44861</v>
      </c>
      <c r="C6609" s="1" t="n">
        <v>45715</v>
      </c>
      <c r="D6609" t="inlineStr">
        <is>
          <t>KALMAR LÄN</t>
        </is>
      </c>
      <c r="E6609" t="inlineStr">
        <is>
          <t>NYBRO</t>
        </is>
      </c>
      <c r="F6609" t="inlineStr">
        <is>
          <t>Kyrkan</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50500-2022</t>
        </is>
      </c>
      <c r="B6610" s="1" t="n">
        <v>44861</v>
      </c>
      <c r="C6610" s="1" t="n">
        <v>45715</v>
      </c>
      <c r="D6610" t="inlineStr">
        <is>
          <t>KALMAR LÄN</t>
        </is>
      </c>
      <c r="E6610" t="inlineStr">
        <is>
          <t>EMMABODA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49685-2022</t>
        </is>
      </c>
      <c r="B6611" s="1" t="n">
        <v>44862</v>
      </c>
      <c r="C6611" s="1" t="n">
        <v>45715</v>
      </c>
      <c r="D6611" t="inlineStr">
        <is>
          <t>KALMAR LÄN</t>
        </is>
      </c>
      <c r="E6611" t="inlineStr">
        <is>
          <t>NYBRO</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49683-2022</t>
        </is>
      </c>
      <c r="B6612" s="1" t="n">
        <v>44862</v>
      </c>
      <c r="C6612" s="1" t="n">
        <v>45715</v>
      </c>
      <c r="D6612" t="inlineStr">
        <is>
          <t>KALMAR LÄN</t>
        </is>
      </c>
      <c r="E6612" t="inlineStr">
        <is>
          <t>TORSÅS</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49703-2022</t>
        </is>
      </c>
      <c r="B6613" s="1" t="n">
        <v>44862</v>
      </c>
      <c r="C6613" s="1" t="n">
        <v>45715</v>
      </c>
      <c r="D6613" t="inlineStr">
        <is>
          <t>KALMAR LÄN</t>
        </is>
      </c>
      <c r="E6613" t="inlineStr">
        <is>
          <t>HULTSFRED</t>
        </is>
      </c>
      <c r="F6613" t="inlineStr">
        <is>
          <t>Kyrkan</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49773-2022</t>
        </is>
      </c>
      <c r="B6614" s="1" t="n">
        <v>44862</v>
      </c>
      <c r="C6614" s="1" t="n">
        <v>45715</v>
      </c>
      <c r="D6614" t="inlineStr">
        <is>
          <t>KALMAR LÄN</t>
        </is>
      </c>
      <c r="E6614" t="inlineStr">
        <is>
          <t>OSKARSHAMN</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49830-2022</t>
        </is>
      </c>
      <c r="B6615" s="1" t="n">
        <v>44862</v>
      </c>
      <c r="C6615" s="1" t="n">
        <v>45715</v>
      </c>
      <c r="D6615" t="inlineStr">
        <is>
          <t>KALMAR LÄN</t>
        </is>
      </c>
      <c r="E6615" t="inlineStr">
        <is>
          <t>KALMAR</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49804-2022</t>
        </is>
      </c>
      <c r="B6616" s="1" t="n">
        <v>44862</v>
      </c>
      <c r="C6616" s="1" t="n">
        <v>45715</v>
      </c>
      <c r="D6616" t="inlineStr">
        <is>
          <t>KALMAR LÄN</t>
        </is>
      </c>
      <c r="E6616" t="inlineStr">
        <is>
          <t>OSKARSHAMN</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50809-2022</t>
        </is>
      </c>
      <c r="B6617" s="1" t="n">
        <v>44862</v>
      </c>
      <c r="C6617" s="1" t="n">
        <v>45715</v>
      </c>
      <c r="D6617" t="inlineStr">
        <is>
          <t>KALMAR LÄN</t>
        </is>
      </c>
      <c r="E6617" t="inlineStr">
        <is>
          <t>VIMMERBY</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50804-2022</t>
        </is>
      </c>
      <c r="B6618" s="1" t="n">
        <v>44862</v>
      </c>
      <c r="C6618" s="1" t="n">
        <v>45715</v>
      </c>
      <c r="D6618" t="inlineStr">
        <is>
          <t>KALMAR LÄN</t>
        </is>
      </c>
      <c r="E6618" t="inlineStr">
        <is>
          <t>VIMMERBY</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49878-2022</t>
        </is>
      </c>
      <c r="B6619" s="1" t="n">
        <v>44864</v>
      </c>
      <c r="C6619" s="1" t="n">
        <v>45715</v>
      </c>
      <c r="D6619" t="inlineStr">
        <is>
          <t>KALMAR LÄN</t>
        </is>
      </c>
      <c r="E6619" t="inlineStr">
        <is>
          <t>KALMAR</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49916-2022</t>
        </is>
      </c>
      <c r="B6620" s="1" t="n">
        <v>44865</v>
      </c>
      <c r="C6620" s="1" t="n">
        <v>45715</v>
      </c>
      <c r="D6620" t="inlineStr">
        <is>
          <t>KALMAR LÄN</t>
        </is>
      </c>
      <c r="E6620" t="inlineStr">
        <is>
          <t>VÄSTERVIK</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50016-2022</t>
        </is>
      </c>
      <c r="B6621" s="1" t="n">
        <v>44865</v>
      </c>
      <c r="C6621" s="1" t="n">
        <v>45715</v>
      </c>
      <c r="D6621" t="inlineStr">
        <is>
          <t>KALMAR LÄN</t>
        </is>
      </c>
      <c r="E6621" t="inlineStr">
        <is>
          <t>MÖNSTERÅS</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50069-2022</t>
        </is>
      </c>
      <c r="B6622" s="1" t="n">
        <v>44865</v>
      </c>
      <c r="C6622" s="1" t="n">
        <v>45715</v>
      </c>
      <c r="D6622" t="inlineStr">
        <is>
          <t>KALMAR LÄN</t>
        </is>
      </c>
      <c r="E6622" t="inlineStr">
        <is>
          <t>MÖNSTERÅS</t>
        </is>
      </c>
      <c r="G6622" t="n">
        <v>4.5</v>
      </c>
      <c r="H6622" t="n">
        <v>0</v>
      </c>
      <c r="I6622" t="n">
        <v>0</v>
      </c>
      <c r="J6622" t="n">
        <v>0</v>
      </c>
      <c r="K6622" t="n">
        <v>0</v>
      </c>
      <c r="L6622" t="n">
        <v>0</v>
      </c>
      <c r="M6622" t="n">
        <v>0</v>
      </c>
      <c r="N6622" t="n">
        <v>0</v>
      </c>
      <c r="O6622" t="n">
        <v>0</v>
      </c>
      <c r="P6622" t="n">
        <v>0</v>
      </c>
      <c r="Q6622" t="n">
        <v>0</v>
      </c>
      <c r="R6622" s="2" t="inlineStr"/>
    </row>
    <row r="6623" ht="15" customHeight="1">
      <c r="A6623" t="inlineStr">
        <is>
          <t>A 49909-2022</t>
        </is>
      </c>
      <c r="B6623" s="1" t="n">
        <v>44865</v>
      </c>
      <c r="C6623" s="1" t="n">
        <v>45715</v>
      </c>
      <c r="D6623" t="inlineStr">
        <is>
          <t>KALMAR LÄN</t>
        </is>
      </c>
      <c r="E6623" t="inlineStr">
        <is>
          <t>OSKARSHAMN</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49929-2022</t>
        </is>
      </c>
      <c r="B6624" s="1" t="n">
        <v>44865</v>
      </c>
      <c r="C6624" s="1" t="n">
        <v>45715</v>
      </c>
      <c r="D6624" t="inlineStr">
        <is>
          <t>KALMAR LÄN</t>
        </is>
      </c>
      <c r="E6624" t="inlineStr">
        <is>
          <t>NYBRO</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50054-2022</t>
        </is>
      </c>
      <c r="B6625" s="1" t="n">
        <v>44865</v>
      </c>
      <c r="C6625" s="1" t="n">
        <v>45715</v>
      </c>
      <c r="D6625" t="inlineStr">
        <is>
          <t>KALMAR LÄN</t>
        </is>
      </c>
      <c r="E6625" t="inlineStr">
        <is>
          <t>MÖNSTERÅS</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50096-2022</t>
        </is>
      </c>
      <c r="B6626" s="1" t="n">
        <v>44865</v>
      </c>
      <c r="C6626" s="1" t="n">
        <v>45715</v>
      </c>
      <c r="D6626" t="inlineStr">
        <is>
          <t>KALMAR LÄN</t>
        </is>
      </c>
      <c r="E6626" t="inlineStr">
        <is>
          <t>KALMAR</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50112-2022</t>
        </is>
      </c>
      <c r="B6627" s="1" t="n">
        <v>44865</v>
      </c>
      <c r="C6627" s="1" t="n">
        <v>45715</v>
      </c>
      <c r="D6627" t="inlineStr">
        <is>
          <t>KALMAR LÄN</t>
        </is>
      </c>
      <c r="E6627" t="inlineStr">
        <is>
          <t>TORSÅS</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50169-2022</t>
        </is>
      </c>
      <c r="B6628" s="1" t="n">
        <v>44865</v>
      </c>
      <c r="C6628" s="1" t="n">
        <v>45715</v>
      </c>
      <c r="D6628" t="inlineStr">
        <is>
          <t>KALMAR LÄN</t>
        </is>
      </c>
      <c r="E6628" t="inlineStr">
        <is>
          <t>OSKARSHAMN</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50071-2022</t>
        </is>
      </c>
      <c r="B6629" s="1" t="n">
        <v>44865</v>
      </c>
      <c r="C6629" s="1" t="n">
        <v>45715</v>
      </c>
      <c r="D6629" t="inlineStr">
        <is>
          <t>KALMAR LÄN</t>
        </is>
      </c>
      <c r="E6629" t="inlineStr">
        <is>
          <t>MÖNSTERÅS</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49912-2022</t>
        </is>
      </c>
      <c r="B6630" s="1" t="n">
        <v>44865</v>
      </c>
      <c r="C6630" s="1" t="n">
        <v>45715</v>
      </c>
      <c r="D6630" t="inlineStr">
        <is>
          <t>KALMAR LÄN</t>
        </is>
      </c>
      <c r="E6630" t="inlineStr">
        <is>
          <t>NYBRO</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49989-2022</t>
        </is>
      </c>
      <c r="B6631" s="1" t="n">
        <v>44865</v>
      </c>
      <c r="C6631" s="1" t="n">
        <v>45715</v>
      </c>
      <c r="D6631" t="inlineStr">
        <is>
          <t>KALMAR LÄN</t>
        </is>
      </c>
      <c r="E6631" t="inlineStr">
        <is>
          <t>KALMAR</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50262-2022</t>
        </is>
      </c>
      <c r="B6632" s="1" t="n">
        <v>44865</v>
      </c>
      <c r="C6632" s="1" t="n">
        <v>45715</v>
      </c>
      <c r="D6632" t="inlineStr">
        <is>
          <t>KALMAR LÄN</t>
        </is>
      </c>
      <c r="E6632" t="inlineStr">
        <is>
          <t>OSKARSHAMN</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50291-2022</t>
        </is>
      </c>
      <c r="B6633" s="1" t="n">
        <v>44865</v>
      </c>
      <c r="C6633" s="1" t="n">
        <v>45715</v>
      </c>
      <c r="D6633" t="inlineStr">
        <is>
          <t>KALMAR LÄN</t>
        </is>
      </c>
      <c r="E6633" t="inlineStr">
        <is>
          <t>OSKARSHAMN</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50918-2022</t>
        </is>
      </c>
      <c r="B6634" s="1" t="n">
        <v>44865</v>
      </c>
      <c r="C6634" s="1" t="n">
        <v>45715</v>
      </c>
      <c r="D6634" t="inlineStr">
        <is>
          <t>KALMAR LÄN</t>
        </is>
      </c>
      <c r="E6634" t="inlineStr">
        <is>
          <t>OSKARSHAMN</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50933-2022</t>
        </is>
      </c>
      <c r="B6635" s="1" t="n">
        <v>44865</v>
      </c>
      <c r="C6635" s="1" t="n">
        <v>45715</v>
      </c>
      <c r="D6635" t="inlineStr">
        <is>
          <t>KALMAR LÄN</t>
        </is>
      </c>
      <c r="E6635" t="inlineStr">
        <is>
          <t>OSKARSHAMN</t>
        </is>
      </c>
      <c r="F6635" t="inlineStr">
        <is>
          <t>Övriga Aktiebolag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51211-2022</t>
        </is>
      </c>
      <c r="B6636" s="1" t="n">
        <v>44865</v>
      </c>
      <c r="C6636" s="1" t="n">
        <v>45715</v>
      </c>
      <c r="D6636" t="inlineStr">
        <is>
          <t>KALMAR LÄN</t>
        </is>
      </c>
      <c r="E6636" t="inlineStr">
        <is>
          <t>TORSÅS</t>
        </is>
      </c>
      <c r="G6636" t="n">
        <v>6.5</v>
      </c>
      <c r="H6636" t="n">
        <v>0</v>
      </c>
      <c r="I6636" t="n">
        <v>0</v>
      </c>
      <c r="J6636" t="n">
        <v>0</v>
      </c>
      <c r="K6636" t="n">
        <v>0</v>
      </c>
      <c r="L6636" t="n">
        <v>0</v>
      </c>
      <c r="M6636" t="n">
        <v>0</v>
      </c>
      <c r="N6636" t="n">
        <v>0</v>
      </c>
      <c r="O6636" t="n">
        <v>0</v>
      </c>
      <c r="P6636" t="n">
        <v>0</v>
      </c>
      <c r="Q6636" t="n">
        <v>0</v>
      </c>
      <c r="R6636" s="2" t="inlineStr"/>
    </row>
    <row r="6637" ht="15" customHeight="1">
      <c r="A6637" t="inlineStr">
        <is>
          <t>A 50922-2022</t>
        </is>
      </c>
      <c r="B6637" s="1" t="n">
        <v>44865</v>
      </c>
      <c r="C6637" s="1" t="n">
        <v>45715</v>
      </c>
      <c r="D6637" t="inlineStr">
        <is>
          <t>KALMAR LÄN</t>
        </is>
      </c>
      <c r="E6637" t="inlineStr">
        <is>
          <t>OSKARSHAMN</t>
        </is>
      </c>
      <c r="F6637" t="inlineStr">
        <is>
          <t>Övriga Aktiebolag</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50458-2022</t>
        </is>
      </c>
      <c r="B6638" s="1" t="n">
        <v>44866</v>
      </c>
      <c r="C6638" s="1" t="n">
        <v>45715</v>
      </c>
      <c r="D6638" t="inlineStr">
        <is>
          <t>KALMAR LÄN</t>
        </is>
      </c>
      <c r="E6638" t="inlineStr">
        <is>
          <t>HÖGSBY</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50367-2022</t>
        </is>
      </c>
      <c r="B6639" s="1" t="n">
        <v>44866</v>
      </c>
      <c r="C6639" s="1" t="n">
        <v>45715</v>
      </c>
      <c r="D6639" t="inlineStr">
        <is>
          <t>KALMAR LÄN</t>
        </is>
      </c>
      <c r="E6639" t="inlineStr">
        <is>
          <t>HÖGSBY</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50556-2022</t>
        </is>
      </c>
      <c r="B6640" s="1" t="n">
        <v>44866</v>
      </c>
      <c r="C6640" s="1" t="n">
        <v>45715</v>
      </c>
      <c r="D6640" t="inlineStr">
        <is>
          <t>KALMAR LÄN</t>
        </is>
      </c>
      <c r="E6640" t="inlineStr">
        <is>
          <t>NYBRO</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50623-2022</t>
        </is>
      </c>
      <c r="B6641" s="1" t="n">
        <v>44866</v>
      </c>
      <c r="C6641" s="1" t="n">
        <v>45715</v>
      </c>
      <c r="D6641" t="inlineStr">
        <is>
          <t>KALMAR LÄN</t>
        </is>
      </c>
      <c r="E6641" t="inlineStr">
        <is>
          <t>HÖGSBY</t>
        </is>
      </c>
      <c r="F6641" t="inlineStr">
        <is>
          <t>Sveaskog</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50536-2022</t>
        </is>
      </c>
      <c r="B6642" s="1" t="n">
        <v>44866</v>
      </c>
      <c r="C6642" s="1" t="n">
        <v>45715</v>
      </c>
      <c r="D6642" t="inlineStr">
        <is>
          <t>KALMAR LÄN</t>
        </is>
      </c>
      <c r="E6642" t="inlineStr">
        <is>
          <t>OSKARSHAMN</t>
        </is>
      </c>
      <c r="G6642" t="n">
        <v>6.5</v>
      </c>
      <c r="H6642" t="n">
        <v>0</v>
      </c>
      <c r="I6642" t="n">
        <v>0</v>
      </c>
      <c r="J6642" t="n">
        <v>0</v>
      </c>
      <c r="K6642" t="n">
        <v>0</v>
      </c>
      <c r="L6642" t="n">
        <v>0</v>
      </c>
      <c r="M6642" t="n">
        <v>0</v>
      </c>
      <c r="N6642" t="n">
        <v>0</v>
      </c>
      <c r="O6642" t="n">
        <v>0</v>
      </c>
      <c r="P6642" t="n">
        <v>0</v>
      </c>
      <c r="Q6642" t="n">
        <v>0</v>
      </c>
      <c r="R6642" s="2" t="inlineStr"/>
    </row>
    <row r="6643" ht="15" customHeight="1">
      <c r="A6643" t="inlineStr">
        <is>
          <t>A 50453-2022</t>
        </is>
      </c>
      <c r="B6643" s="1" t="n">
        <v>44866</v>
      </c>
      <c r="C6643" s="1" t="n">
        <v>45715</v>
      </c>
      <c r="D6643" t="inlineStr">
        <is>
          <t>KALMAR LÄN</t>
        </is>
      </c>
      <c r="E6643" t="inlineStr">
        <is>
          <t>HÖGSBY</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50535-2022</t>
        </is>
      </c>
      <c r="B6644" s="1" t="n">
        <v>44866</v>
      </c>
      <c r="C6644" s="1" t="n">
        <v>45715</v>
      </c>
      <c r="D6644" t="inlineStr">
        <is>
          <t>KALMAR LÄN</t>
        </is>
      </c>
      <c r="E6644" t="inlineStr">
        <is>
          <t>VIMMERBY</t>
        </is>
      </c>
      <c r="F6644" t="inlineStr">
        <is>
          <t>Övriga Aktiebolag</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50533-2022</t>
        </is>
      </c>
      <c r="B6645" s="1" t="n">
        <v>44866</v>
      </c>
      <c r="C6645" s="1" t="n">
        <v>45715</v>
      </c>
      <c r="D6645" t="inlineStr">
        <is>
          <t>KALMAR LÄN</t>
        </is>
      </c>
      <c r="E6645" t="inlineStr">
        <is>
          <t>OSKARSHAMN</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50561-2022</t>
        </is>
      </c>
      <c r="B6646" s="1" t="n">
        <v>44866</v>
      </c>
      <c r="C6646" s="1" t="n">
        <v>45715</v>
      </c>
      <c r="D6646" t="inlineStr">
        <is>
          <t>KALMAR LÄN</t>
        </is>
      </c>
      <c r="E6646" t="inlineStr">
        <is>
          <t>NYBRO</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50621-2022</t>
        </is>
      </c>
      <c r="B6647" s="1" t="n">
        <v>44866</v>
      </c>
      <c r="C6647" s="1" t="n">
        <v>45715</v>
      </c>
      <c r="D6647" t="inlineStr">
        <is>
          <t>KALMAR LÄN</t>
        </is>
      </c>
      <c r="E6647" t="inlineStr">
        <is>
          <t>VIMMERBY</t>
        </is>
      </c>
      <c r="F6647" t="inlineStr">
        <is>
          <t>Övriga Aktiebolag</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50691-2022</t>
        </is>
      </c>
      <c r="B6648" s="1" t="n">
        <v>44867</v>
      </c>
      <c r="C6648" s="1" t="n">
        <v>45715</v>
      </c>
      <c r="D6648" t="inlineStr">
        <is>
          <t>KALMAR LÄN</t>
        </is>
      </c>
      <c r="E6648" t="inlineStr">
        <is>
          <t>VÄSTERVIK</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50860-2022</t>
        </is>
      </c>
      <c r="B6649" s="1" t="n">
        <v>44867</v>
      </c>
      <c r="C6649" s="1" t="n">
        <v>45715</v>
      </c>
      <c r="D6649" t="inlineStr">
        <is>
          <t>KALMAR LÄN</t>
        </is>
      </c>
      <c r="E6649" t="inlineStr">
        <is>
          <t>VIMMERBY</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50746-2022</t>
        </is>
      </c>
      <c r="B6650" s="1" t="n">
        <v>44867</v>
      </c>
      <c r="C6650" s="1" t="n">
        <v>45715</v>
      </c>
      <c r="D6650" t="inlineStr">
        <is>
          <t>KALMAR LÄN</t>
        </is>
      </c>
      <c r="E6650" t="inlineStr">
        <is>
          <t>HÖGSBY</t>
        </is>
      </c>
      <c r="F6650" t="inlineStr">
        <is>
          <t>Sveaskog</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50911-2022</t>
        </is>
      </c>
      <c r="B6651" s="1" t="n">
        <v>44867</v>
      </c>
      <c r="C6651" s="1" t="n">
        <v>45715</v>
      </c>
      <c r="D6651" t="inlineStr">
        <is>
          <t>KALMAR LÄN</t>
        </is>
      </c>
      <c r="E6651" t="inlineStr">
        <is>
          <t>VÄSTERVIK</t>
        </is>
      </c>
      <c r="F6651" t="inlineStr">
        <is>
          <t>Sveaskog</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50976-2022</t>
        </is>
      </c>
      <c r="B6652" s="1" t="n">
        <v>44867</v>
      </c>
      <c r="C6652" s="1" t="n">
        <v>45715</v>
      </c>
      <c r="D6652" t="inlineStr">
        <is>
          <t>KALMAR LÄN</t>
        </is>
      </c>
      <c r="E6652" t="inlineStr">
        <is>
          <t>NYBRO</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50972-2022</t>
        </is>
      </c>
      <c r="B6653" s="1" t="n">
        <v>44867</v>
      </c>
      <c r="C6653" s="1" t="n">
        <v>45715</v>
      </c>
      <c r="D6653" t="inlineStr">
        <is>
          <t>KALMAR LÄN</t>
        </is>
      </c>
      <c r="E6653" t="inlineStr">
        <is>
          <t>NYBRO</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50977-2022</t>
        </is>
      </c>
      <c r="B6654" s="1" t="n">
        <v>44867</v>
      </c>
      <c r="C6654" s="1" t="n">
        <v>45715</v>
      </c>
      <c r="D6654" t="inlineStr">
        <is>
          <t>KALMAR LÄN</t>
        </is>
      </c>
      <c r="E6654" t="inlineStr">
        <is>
          <t>NYBRO</t>
        </is>
      </c>
      <c r="G6654" t="n">
        <v>15.2</v>
      </c>
      <c r="H6654" t="n">
        <v>0</v>
      </c>
      <c r="I6654" t="n">
        <v>0</v>
      </c>
      <c r="J6654" t="n">
        <v>0</v>
      </c>
      <c r="K6654" t="n">
        <v>0</v>
      </c>
      <c r="L6654" t="n">
        <v>0</v>
      </c>
      <c r="M6654" t="n">
        <v>0</v>
      </c>
      <c r="N6654" t="n">
        <v>0</v>
      </c>
      <c r="O6654" t="n">
        <v>0</v>
      </c>
      <c r="P6654" t="n">
        <v>0</v>
      </c>
      <c r="Q6654" t="n">
        <v>0</v>
      </c>
      <c r="R6654" s="2" t="inlineStr"/>
    </row>
    <row r="6655" ht="15" customHeight="1">
      <c r="A6655" t="inlineStr">
        <is>
          <t>A 50938-2022</t>
        </is>
      </c>
      <c r="B6655" s="1" t="n">
        <v>44867</v>
      </c>
      <c r="C6655" s="1" t="n">
        <v>45715</v>
      </c>
      <c r="D6655" t="inlineStr">
        <is>
          <t>KALMAR LÄN</t>
        </is>
      </c>
      <c r="E6655" t="inlineStr">
        <is>
          <t>NYBRO</t>
        </is>
      </c>
      <c r="G6655" t="n">
        <v>6</v>
      </c>
      <c r="H6655" t="n">
        <v>0</v>
      </c>
      <c r="I6655" t="n">
        <v>0</v>
      </c>
      <c r="J6655" t="n">
        <v>0</v>
      </c>
      <c r="K6655" t="n">
        <v>0</v>
      </c>
      <c r="L6655" t="n">
        <v>0</v>
      </c>
      <c r="M6655" t="n">
        <v>0</v>
      </c>
      <c r="N6655" t="n">
        <v>0</v>
      </c>
      <c r="O6655" t="n">
        <v>0</v>
      </c>
      <c r="P6655" t="n">
        <v>0</v>
      </c>
      <c r="Q6655" t="n">
        <v>0</v>
      </c>
      <c r="R6655" s="2" t="inlineStr"/>
    </row>
    <row r="6656" ht="15" customHeight="1">
      <c r="A6656" t="inlineStr">
        <is>
          <t>A 50978-2022</t>
        </is>
      </c>
      <c r="B6656" s="1" t="n">
        <v>44867</v>
      </c>
      <c r="C6656" s="1" t="n">
        <v>45715</v>
      </c>
      <c r="D6656" t="inlineStr">
        <is>
          <t>KALMAR LÄN</t>
        </is>
      </c>
      <c r="E6656" t="inlineStr">
        <is>
          <t>NYBRO</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50990-2022</t>
        </is>
      </c>
      <c r="B6657" s="1" t="n">
        <v>44867</v>
      </c>
      <c r="C6657" s="1" t="n">
        <v>45715</v>
      </c>
      <c r="D6657" t="inlineStr">
        <is>
          <t>KALMAR LÄN</t>
        </is>
      </c>
      <c r="E6657" t="inlineStr">
        <is>
          <t>VÄSTERVIK</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50995-2022</t>
        </is>
      </c>
      <c r="B6658" s="1" t="n">
        <v>44867</v>
      </c>
      <c r="C6658" s="1" t="n">
        <v>45715</v>
      </c>
      <c r="D6658" t="inlineStr">
        <is>
          <t>KALMAR LÄN</t>
        </is>
      </c>
      <c r="E6658" t="inlineStr">
        <is>
          <t>VIMMERBY</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50993-2022</t>
        </is>
      </c>
      <c r="B6659" s="1" t="n">
        <v>44867</v>
      </c>
      <c r="C6659" s="1" t="n">
        <v>45715</v>
      </c>
      <c r="D6659" t="inlineStr">
        <is>
          <t>KALMAR LÄN</t>
        </is>
      </c>
      <c r="E6659" t="inlineStr">
        <is>
          <t>VIMMERBY</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51082-2022</t>
        </is>
      </c>
      <c r="B6660" s="1" t="n">
        <v>44868</v>
      </c>
      <c r="C6660" s="1" t="n">
        <v>45715</v>
      </c>
      <c r="D6660" t="inlineStr">
        <is>
          <t>KALMAR LÄN</t>
        </is>
      </c>
      <c r="E6660" t="inlineStr">
        <is>
          <t>NYBRO</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51070-2022</t>
        </is>
      </c>
      <c r="B6661" s="1" t="n">
        <v>44868</v>
      </c>
      <c r="C6661" s="1" t="n">
        <v>45715</v>
      </c>
      <c r="D6661" t="inlineStr">
        <is>
          <t>KALMAR LÄN</t>
        </is>
      </c>
      <c r="E6661" t="inlineStr">
        <is>
          <t>OSKARSHAMN</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51079-2022</t>
        </is>
      </c>
      <c r="B6662" s="1" t="n">
        <v>44868</v>
      </c>
      <c r="C6662" s="1" t="n">
        <v>45715</v>
      </c>
      <c r="D6662" t="inlineStr">
        <is>
          <t>KALMAR LÄN</t>
        </is>
      </c>
      <c r="E6662" t="inlineStr">
        <is>
          <t>OSKARSHAMN</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51081-2022</t>
        </is>
      </c>
      <c r="B6663" s="1" t="n">
        <v>44868</v>
      </c>
      <c r="C6663" s="1" t="n">
        <v>45715</v>
      </c>
      <c r="D6663" t="inlineStr">
        <is>
          <t>KALMAR LÄN</t>
        </is>
      </c>
      <c r="E6663" t="inlineStr">
        <is>
          <t>NYBRO</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51243-2022</t>
        </is>
      </c>
      <c r="B6664" s="1" t="n">
        <v>44868</v>
      </c>
      <c r="C6664" s="1" t="n">
        <v>45715</v>
      </c>
      <c r="D6664" t="inlineStr">
        <is>
          <t>KALMAR LÄN</t>
        </is>
      </c>
      <c r="E6664" t="inlineStr">
        <is>
          <t>HULTSFRED</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52177-2022</t>
        </is>
      </c>
      <c r="B6665" s="1" t="n">
        <v>44868</v>
      </c>
      <c r="C6665" s="1" t="n">
        <v>45715</v>
      </c>
      <c r="D6665" t="inlineStr">
        <is>
          <t>KALMAR LÄN</t>
        </is>
      </c>
      <c r="E6665" t="inlineStr">
        <is>
          <t>HÖGSBY</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51406-2022</t>
        </is>
      </c>
      <c r="B6666" s="1" t="n">
        <v>44869</v>
      </c>
      <c r="C6666" s="1" t="n">
        <v>45715</v>
      </c>
      <c r="D6666" t="inlineStr">
        <is>
          <t>KALMAR LÄN</t>
        </is>
      </c>
      <c r="E6666" t="inlineStr">
        <is>
          <t>NYBRO</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51478-2022</t>
        </is>
      </c>
      <c r="B6667" s="1" t="n">
        <v>44869</v>
      </c>
      <c r="C6667" s="1" t="n">
        <v>45715</v>
      </c>
      <c r="D6667" t="inlineStr">
        <is>
          <t>KALMAR LÄN</t>
        </is>
      </c>
      <c r="E6667" t="inlineStr">
        <is>
          <t>MÖNSTERÅS</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51461-2022</t>
        </is>
      </c>
      <c r="B6668" s="1" t="n">
        <v>44869</v>
      </c>
      <c r="C6668" s="1" t="n">
        <v>45715</v>
      </c>
      <c r="D6668" t="inlineStr">
        <is>
          <t>KALMAR LÄN</t>
        </is>
      </c>
      <c r="E6668" t="inlineStr">
        <is>
          <t>OSKARSHAMN</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51523-2022</t>
        </is>
      </c>
      <c r="B6669" s="1" t="n">
        <v>44869</v>
      </c>
      <c r="C6669" s="1" t="n">
        <v>45715</v>
      </c>
      <c r="D6669" t="inlineStr">
        <is>
          <t>KALMAR LÄN</t>
        </is>
      </c>
      <c r="E6669" t="inlineStr">
        <is>
          <t>NYBRO</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51532-2022</t>
        </is>
      </c>
      <c r="B6670" s="1" t="n">
        <v>44869</v>
      </c>
      <c r="C6670" s="1" t="n">
        <v>45715</v>
      </c>
      <c r="D6670" t="inlineStr">
        <is>
          <t>KALMAR LÄN</t>
        </is>
      </c>
      <c r="E6670" t="inlineStr">
        <is>
          <t>MÖNSTERÅS</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51533-2022</t>
        </is>
      </c>
      <c r="B6671" s="1" t="n">
        <v>44869</v>
      </c>
      <c r="C6671" s="1" t="n">
        <v>45715</v>
      </c>
      <c r="D6671" t="inlineStr">
        <is>
          <t>KALMAR LÄN</t>
        </is>
      </c>
      <c r="E6671" t="inlineStr">
        <is>
          <t>MÖNSTERÅS</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51574-2022</t>
        </is>
      </c>
      <c r="B6672" s="1" t="n">
        <v>44870</v>
      </c>
      <c r="C6672" s="1" t="n">
        <v>45715</v>
      </c>
      <c r="D6672" t="inlineStr">
        <is>
          <t>KALMAR LÄN</t>
        </is>
      </c>
      <c r="E6672" t="inlineStr">
        <is>
          <t>NYBRO</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51575-2022</t>
        </is>
      </c>
      <c r="B6673" s="1" t="n">
        <v>44870</v>
      </c>
      <c r="C6673" s="1" t="n">
        <v>45715</v>
      </c>
      <c r="D6673" t="inlineStr">
        <is>
          <t>KALMAR LÄN</t>
        </is>
      </c>
      <c r="E6673" t="inlineStr">
        <is>
          <t>NYBRO</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51756-2022</t>
        </is>
      </c>
      <c r="B6674" s="1" t="n">
        <v>44872</v>
      </c>
      <c r="C6674" s="1" t="n">
        <v>45715</v>
      </c>
      <c r="D6674" t="inlineStr">
        <is>
          <t>KALMAR LÄN</t>
        </is>
      </c>
      <c r="E6674" t="inlineStr">
        <is>
          <t>OSKARSHAMN</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51721-2022</t>
        </is>
      </c>
      <c r="B6675" s="1" t="n">
        <v>44872</v>
      </c>
      <c r="C6675" s="1" t="n">
        <v>45715</v>
      </c>
      <c r="D6675" t="inlineStr">
        <is>
          <t>KALMAR LÄN</t>
        </is>
      </c>
      <c r="E6675" t="inlineStr">
        <is>
          <t>EMMABODA</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51735-2022</t>
        </is>
      </c>
      <c r="B6676" s="1" t="n">
        <v>44872</v>
      </c>
      <c r="C6676" s="1" t="n">
        <v>45715</v>
      </c>
      <c r="D6676" t="inlineStr">
        <is>
          <t>KALMAR LÄN</t>
        </is>
      </c>
      <c r="E6676" t="inlineStr">
        <is>
          <t>NYBRO</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51804-2022</t>
        </is>
      </c>
      <c r="B6677" s="1" t="n">
        <v>44872</v>
      </c>
      <c r="C6677" s="1" t="n">
        <v>45715</v>
      </c>
      <c r="D6677" t="inlineStr">
        <is>
          <t>KALMAR LÄN</t>
        </is>
      </c>
      <c r="E6677" t="inlineStr">
        <is>
          <t>MÖNSTERÅS</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51649-2022</t>
        </is>
      </c>
      <c r="B6678" s="1" t="n">
        <v>44872</v>
      </c>
      <c r="C6678" s="1" t="n">
        <v>45715</v>
      </c>
      <c r="D6678" t="inlineStr">
        <is>
          <t>KALMAR LÄN</t>
        </is>
      </c>
      <c r="E6678" t="inlineStr">
        <is>
          <t>HÖGSBY</t>
        </is>
      </c>
      <c r="F6678" t="inlineStr">
        <is>
          <t>Sveaskog</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51991-2022</t>
        </is>
      </c>
      <c r="B6679" s="1" t="n">
        <v>44872</v>
      </c>
      <c r="C6679" s="1" t="n">
        <v>45715</v>
      </c>
      <c r="D6679" t="inlineStr">
        <is>
          <t>KALMAR LÄN</t>
        </is>
      </c>
      <c r="E6679" t="inlineStr">
        <is>
          <t>TORSÅS</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51989-2022</t>
        </is>
      </c>
      <c r="B6680" s="1" t="n">
        <v>44872</v>
      </c>
      <c r="C6680" s="1" t="n">
        <v>45715</v>
      </c>
      <c r="D6680" t="inlineStr">
        <is>
          <t>KALMAR LÄN</t>
        </is>
      </c>
      <c r="E6680" t="inlineStr">
        <is>
          <t>TORSÅS</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51979-2022</t>
        </is>
      </c>
      <c r="B6681" s="1" t="n">
        <v>44872</v>
      </c>
      <c r="C6681" s="1" t="n">
        <v>45715</v>
      </c>
      <c r="D6681" t="inlineStr">
        <is>
          <t>KALMAR LÄN</t>
        </is>
      </c>
      <c r="E6681" t="inlineStr">
        <is>
          <t>KALMAR</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51990-2022</t>
        </is>
      </c>
      <c r="B6682" s="1" t="n">
        <v>44872</v>
      </c>
      <c r="C6682" s="1" t="n">
        <v>45715</v>
      </c>
      <c r="D6682" t="inlineStr">
        <is>
          <t>KALMAR LÄN</t>
        </is>
      </c>
      <c r="E6682" t="inlineStr">
        <is>
          <t>TORSÅS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52073-2022</t>
        </is>
      </c>
      <c r="B6683" s="1" t="n">
        <v>44873</v>
      </c>
      <c r="C6683" s="1" t="n">
        <v>45715</v>
      </c>
      <c r="D6683" t="inlineStr">
        <is>
          <t>KALMAR LÄN</t>
        </is>
      </c>
      <c r="E6683" t="inlineStr">
        <is>
          <t>OSKARSHAMN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52289-2022</t>
        </is>
      </c>
      <c r="B6684" s="1" t="n">
        <v>44873</v>
      </c>
      <c r="C6684" s="1" t="n">
        <v>45715</v>
      </c>
      <c r="D6684" t="inlineStr">
        <is>
          <t>KALMAR LÄN</t>
        </is>
      </c>
      <c r="E6684" t="inlineStr">
        <is>
          <t>VÄSTERVIK</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52311-2022</t>
        </is>
      </c>
      <c r="B6685" s="1" t="n">
        <v>44873</v>
      </c>
      <c r="C6685" s="1" t="n">
        <v>45715</v>
      </c>
      <c r="D6685" t="inlineStr">
        <is>
          <t>KALMAR LÄN</t>
        </is>
      </c>
      <c r="E6685" t="inlineStr">
        <is>
          <t>NYBRO</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52468-2022</t>
        </is>
      </c>
      <c r="B6686" s="1" t="n">
        <v>44874</v>
      </c>
      <c r="C6686" s="1" t="n">
        <v>45715</v>
      </c>
      <c r="D6686" t="inlineStr">
        <is>
          <t>KALMAR LÄN</t>
        </is>
      </c>
      <c r="E6686" t="inlineStr">
        <is>
          <t>KALMAR</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52642-2022</t>
        </is>
      </c>
      <c r="B6687" s="1" t="n">
        <v>44874</v>
      </c>
      <c r="C6687" s="1" t="n">
        <v>45715</v>
      </c>
      <c r="D6687" t="inlineStr">
        <is>
          <t>KALMAR LÄN</t>
        </is>
      </c>
      <c r="E6687" t="inlineStr">
        <is>
          <t>MÖNSTERÅS</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52649-2022</t>
        </is>
      </c>
      <c r="B6688" s="1" t="n">
        <v>44874</v>
      </c>
      <c r="C6688" s="1" t="n">
        <v>45715</v>
      </c>
      <c r="D6688" t="inlineStr">
        <is>
          <t>KALMAR LÄN</t>
        </is>
      </c>
      <c r="E6688" t="inlineStr">
        <is>
          <t>MÖNSTERÅS</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52641-2022</t>
        </is>
      </c>
      <c r="B6689" s="1" t="n">
        <v>44874</v>
      </c>
      <c r="C6689" s="1" t="n">
        <v>45715</v>
      </c>
      <c r="D6689" t="inlineStr">
        <is>
          <t>KALMAR LÄN</t>
        </is>
      </c>
      <c r="E6689" t="inlineStr">
        <is>
          <t>MÖNSTERÅS</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52382-2022</t>
        </is>
      </c>
      <c r="B6690" s="1" t="n">
        <v>44874</v>
      </c>
      <c r="C6690" s="1" t="n">
        <v>45715</v>
      </c>
      <c r="D6690" t="inlineStr">
        <is>
          <t>KALMAR LÄN</t>
        </is>
      </c>
      <c r="E6690" t="inlineStr">
        <is>
          <t>NYBRO</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52609-2022</t>
        </is>
      </c>
      <c r="B6691" s="1" t="n">
        <v>44874</v>
      </c>
      <c r="C6691" s="1" t="n">
        <v>45715</v>
      </c>
      <c r="D6691" t="inlineStr">
        <is>
          <t>KALMAR LÄN</t>
        </is>
      </c>
      <c r="E6691" t="inlineStr">
        <is>
          <t>OSKARSHAMN</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52646-2022</t>
        </is>
      </c>
      <c r="B6692" s="1" t="n">
        <v>44874</v>
      </c>
      <c r="C6692" s="1" t="n">
        <v>45715</v>
      </c>
      <c r="D6692" t="inlineStr">
        <is>
          <t>KALMAR LÄN</t>
        </is>
      </c>
      <c r="E6692" t="inlineStr">
        <is>
          <t>MÖNSTERÅS</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52643-2022</t>
        </is>
      </c>
      <c r="B6693" s="1" t="n">
        <v>44874</v>
      </c>
      <c r="C6693" s="1" t="n">
        <v>45715</v>
      </c>
      <c r="D6693" t="inlineStr">
        <is>
          <t>KALMAR LÄN</t>
        </is>
      </c>
      <c r="E6693" t="inlineStr">
        <is>
          <t>MÖNSTERÅS</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52753-2022</t>
        </is>
      </c>
      <c r="B6694" s="1" t="n">
        <v>44875</v>
      </c>
      <c r="C6694" s="1" t="n">
        <v>45715</v>
      </c>
      <c r="D6694" t="inlineStr">
        <is>
          <t>KALMAR LÄN</t>
        </is>
      </c>
      <c r="E6694" t="inlineStr">
        <is>
          <t>VIMMERBY</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52866-2022</t>
        </is>
      </c>
      <c r="B6695" s="1" t="n">
        <v>44875</v>
      </c>
      <c r="C6695" s="1" t="n">
        <v>45715</v>
      </c>
      <c r="D6695" t="inlineStr">
        <is>
          <t>KALMAR LÄN</t>
        </is>
      </c>
      <c r="E6695" t="inlineStr">
        <is>
          <t>MÖNSTERÅS</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52976-2022</t>
        </is>
      </c>
      <c r="B6696" s="1" t="n">
        <v>44875</v>
      </c>
      <c r="C6696" s="1" t="n">
        <v>45715</v>
      </c>
      <c r="D6696" t="inlineStr">
        <is>
          <t>KALMAR LÄN</t>
        </is>
      </c>
      <c r="E6696" t="inlineStr">
        <is>
          <t>OSKARSHAMN</t>
        </is>
      </c>
      <c r="G6696" t="n">
        <v>6.8</v>
      </c>
      <c r="H6696" t="n">
        <v>0</v>
      </c>
      <c r="I6696" t="n">
        <v>0</v>
      </c>
      <c r="J6696" t="n">
        <v>0</v>
      </c>
      <c r="K6696" t="n">
        <v>0</v>
      </c>
      <c r="L6696" t="n">
        <v>0</v>
      </c>
      <c r="M6696" t="n">
        <v>0</v>
      </c>
      <c r="N6696" t="n">
        <v>0</v>
      </c>
      <c r="O6696" t="n">
        <v>0</v>
      </c>
      <c r="P6696" t="n">
        <v>0</v>
      </c>
      <c r="Q6696" t="n">
        <v>0</v>
      </c>
      <c r="R6696" s="2" t="inlineStr"/>
    </row>
    <row r="6697" ht="15" customHeight="1">
      <c r="A6697" t="inlineStr">
        <is>
          <t>A 52755-2022</t>
        </is>
      </c>
      <c r="B6697" s="1" t="n">
        <v>44875</v>
      </c>
      <c r="C6697" s="1" t="n">
        <v>45715</v>
      </c>
      <c r="D6697" t="inlineStr">
        <is>
          <t>KALMAR LÄN</t>
        </is>
      </c>
      <c r="E6697" t="inlineStr">
        <is>
          <t>VIMMERBY</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52911-2022</t>
        </is>
      </c>
      <c r="B6698" s="1" t="n">
        <v>44875</v>
      </c>
      <c r="C6698" s="1" t="n">
        <v>45715</v>
      </c>
      <c r="D6698" t="inlineStr">
        <is>
          <t>KALMAR LÄN</t>
        </is>
      </c>
      <c r="E6698" t="inlineStr">
        <is>
          <t>HULTSFRED</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53108-2022</t>
        </is>
      </c>
      <c r="B6699" s="1" t="n">
        <v>44876</v>
      </c>
      <c r="C6699" s="1" t="n">
        <v>45715</v>
      </c>
      <c r="D6699" t="inlineStr">
        <is>
          <t>KALMAR LÄN</t>
        </is>
      </c>
      <c r="E6699" t="inlineStr">
        <is>
          <t>VÄSTERVIK</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53129-2022</t>
        </is>
      </c>
      <c r="B6700" s="1" t="n">
        <v>44876</v>
      </c>
      <c r="C6700" s="1" t="n">
        <v>45715</v>
      </c>
      <c r="D6700" t="inlineStr">
        <is>
          <t>KALMAR LÄN</t>
        </is>
      </c>
      <c r="E6700" t="inlineStr">
        <is>
          <t>HÖGSBY</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53145-2022</t>
        </is>
      </c>
      <c r="B6701" s="1" t="n">
        <v>44876</v>
      </c>
      <c r="C6701" s="1" t="n">
        <v>45715</v>
      </c>
      <c r="D6701" t="inlineStr">
        <is>
          <t>KALMAR LÄN</t>
        </is>
      </c>
      <c r="E6701" t="inlineStr">
        <is>
          <t>VIMMERBY</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53203-2022</t>
        </is>
      </c>
      <c r="B6702" s="1" t="n">
        <v>44876</v>
      </c>
      <c r="C6702" s="1" t="n">
        <v>45715</v>
      </c>
      <c r="D6702" t="inlineStr">
        <is>
          <t>KALMAR LÄN</t>
        </is>
      </c>
      <c r="E6702" t="inlineStr">
        <is>
          <t>HULTSFRED</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53242-2022</t>
        </is>
      </c>
      <c r="B6703" s="1" t="n">
        <v>44876</v>
      </c>
      <c r="C6703" s="1" t="n">
        <v>45715</v>
      </c>
      <c r="D6703" t="inlineStr">
        <is>
          <t>KALMAR LÄN</t>
        </is>
      </c>
      <c r="E6703" t="inlineStr">
        <is>
          <t>HÖGSBY</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53247-2022</t>
        </is>
      </c>
      <c r="B6704" s="1" t="n">
        <v>44876</v>
      </c>
      <c r="C6704" s="1" t="n">
        <v>45715</v>
      </c>
      <c r="D6704" t="inlineStr">
        <is>
          <t>KALMAR LÄN</t>
        </is>
      </c>
      <c r="E6704" t="inlineStr">
        <is>
          <t>VIMMERBY</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53328-2022</t>
        </is>
      </c>
      <c r="B6705" s="1" t="n">
        <v>44879</v>
      </c>
      <c r="C6705" s="1" t="n">
        <v>45715</v>
      </c>
      <c r="D6705" t="inlineStr">
        <is>
          <t>KALMAR LÄN</t>
        </is>
      </c>
      <c r="E6705" t="inlineStr">
        <is>
          <t>HÖGSBY</t>
        </is>
      </c>
      <c r="G6705" t="n">
        <v>8.699999999999999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53350-2022</t>
        </is>
      </c>
      <c r="B6706" s="1" t="n">
        <v>44879</v>
      </c>
      <c r="C6706" s="1" t="n">
        <v>45715</v>
      </c>
      <c r="D6706" t="inlineStr">
        <is>
          <t>KALMAR LÄN</t>
        </is>
      </c>
      <c r="E6706" t="inlineStr">
        <is>
          <t>EMMABODA</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53367-2022</t>
        </is>
      </c>
      <c r="B6707" s="1" t="n">
        <v>44879</v>
      </c>
      <c r="C6707" s="1" t="n">
        <v>45715</v>
      </c>
      <c r="D6707" t="inlineStr">
        <is>
          <t>KALMAR LÄN</t>
        </is>
      </c>
      <c r="E6707" t="inlineStr">
        <is>
          <t>TORSÅS</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53333-2022</t>
        </is>
      </c>
      <c r="B6708" s="1" t="n">
        <v>44879</v>
      </c>
      <c r="C6708" s="1" t="n">
        <v>45715</v>
      </c>
      <c r="D6708" t="inlineStr">
        <is>
          <t>KALMAR LÄN</t>
        </is>
      </c>
      <c r="E6708" t="inlineStr">
        <is>
          <t>VÄSTERVIK</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53410-2022</t>
        </is>
      </c>
      <c r="B6709" s="1" t="n">
        <v>44879</v>
      </c>
      <c r="C6709" s="1" t="n">
        <v>45715</v>
      </c>
      <c r="D6709" t="inlineStr">
        <is>
          <t>KALMAR LÄN</t>
        </is>
      </c>
      <c r="E6709" t="inlineStr">
        <is>
          <t>TORSÅS</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53482-2022</t>
        </is>
      </c>
      <c r="B6710" s="1" t="n">
        <v>44879</v>
      </c>
      <c r="C6710" s="1" t="n">
        <v>45715</v>
      </c>
      <c r="D6710" t="inlineStr">
        <is>
          <t>KALMAR LÄN</t>
        </is>
      </c>
      <c r="E6710" t="inlineStr">
        <is>
          <t>VIMMERBY</t>
        </is>
      </c>
      <c r="G6710" t="n">
        <v>10.1</v>
      </c>
      <c r="H6710" t="n">
        <v>0</v>
      </c>
      <c r="I6710" t="n">
        <v>0</v>
      </c>
      <c r="J6710" t="n">
        <v>0</v>
      </c>
      <c r="K6710" t="n">
        <v>0</v>
      </c>
      <c r="L6710" t="n">
        <v>0</v>
      </c>
      <c r="M6710" t="n">
        <v>0</v>
      </c>
      <c r="N6710" t="n">
        <v>0</v>
      </c>
      <c r="O6710" t="n">
        <v>0</v>
      </c>
      <c r="P6710" t="n">
        <v>0</v>
      </c>
      <c r="Q6710" t="n">
        <v>0</v>
      </c>
      <c r="R6710" s="2" t="inlineStr"/>
    </row>
    <row r="6711" ht="15" customHeight="1">
      <c r="A6711" t="inlineStr">
        <is>
          <t>A 53502-2022</t>
        </is>
      </c>
      <c r="B6711" s="1" t="n">
        <v>44879</v>
      </c>
      <c r="C6711" s="1" t="n">
        <v>45715</v>
      </c>
      <c r="D6711" t="inlineStr">
        <is>
          <t>KALMAR LÄN</t>
        </is>
      </c>
      <c r="E6711" t="inlineStr">
        <is>
          <t>MÖNSTERÅS</t>
        </is>
      </c>
      <c r="G6711" t="n">
        <v>9.6</v>
      </c>
      <c r="H6711" t="n">
        <v>0</v>
      </c>
      <c r="I6711" t="n">
        <v>0</v>
      </c>
      <c r="J6711" t="n">
        <v>0</v>
      </c>
      <c r="K6711" t="n">
        <v>0</v>
      </c>
      <c r="L6711" t="n">
        <v>0</v>
      </c>
      <c r="M6711" t="n">
        <v>0</v>
      </c>
      <c r="N6711" t="n">
        <v>0</v>
      </c>
      <c r="O6711" t="n">
        <v>0</v>
      </c>
      <c r="P6711" t="n">
        <v>0</v>
      </c>
      <c r="Q6711" t="n">
        <v>0</v>
      </c>
      <c r="R6711" s="2" t="inlineStr"/>
    </row>
    <row r="6712" ht="15" customHeight="1">
      <c r="A6712" t="inlineStr">
        <is>
          <t>A 53530-2022</t>
        </is>
      </c>
      <c r="B6712" s="1" t="n">
        <v>44879</v>
      </c>
      <c r="C6712" s="1" t="n">
        <v>45715</v>
      </c>
      <c r="D6712" t="inlineStr">
        <is>
          <t>KALMAR LÄN</t>
        </is>
      </c>
      <c r="E6712" t="inlineStr">
        <is>
          <t>OSKARSHAMN</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53542-2022</t>
        </is>
      </c>
      <c r="B6713" s="1" t="n">
        <v>44879</v>
      </c>
      <c r="C6713" s="1" t="n">
        <v>45715</v>
      </c>
      <c r="D6713" t="inlineStr">
        <is>
          <t>KALMAR LÄN</t>
        </is>
      </c>
      <c r="E6713" t="inlineStr">
        <is>
          <t>VIMMERBY</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53327-2022</t>
        </is>
      </c>
      <c r="B6714" s="1" t="n">
        <v>44879</v>
      </c>
      <c r="C6714" s="1" t="n">
        <v>45715</v>
      </c>
      <c r="D6714" t="inlineStr">
        <is>
          <t>KALMAR LÄN</t>
        </is>
      </c>
      <c r="E6714" t="inlineStr">
        <is>
          <t>HÖGSBY</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53349-2022</t>
        </is>
      </c>
      <c r="B6715" s="1" t="n">
        <v>44879</v>
      </c>
      <c r="C6715" s="1" t="n">
        <v>45715</v>
      </c>
      <c r="D6715" t="inlineStr">
        <is>
          <t>KALMAR LÄN</t>
        </is>
      </c>
      <c r="E6715" t="inlineStr">
        <is>
          <t>TORSÅS</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53335-2022</t>
        </is>
      </c>
      <c r="B6716" s="1" t="n">
        <v>44879</v>
      </c>
      <c r="C6716" s="1" t="n">
        <v>45715</v>
      </c>
      <c r="D6716" t="inlineStr">
        <is>
          <t>KALMAR LÄN</t>
        </is>
      </c>
      <c r="E6716" t="inlineStr">
        <is>
          <t>TORSÅS</t>
        </is>
      </c>
      <c r="G6716" t="n">
        <v>10</v>
      </c>
      <c r="H6716" t="n">
        <v>0</v>
      </c>
      <c r="I6716" t="n">
        <v>0</v>
      </c>
      <c r="J6716" t="n">
        <v>0</v>
      </c>
      <c r="K6716" t="n">
        <v>0</v>
      </c>
      <c r="L6716" t="n">
        <v>0</v>
      </c>
      <c r="M6716" t="n">
        <v>0</v>
      </c>
      <c r="N6716" t="n">
        <v>0</v>
      </c>
      <c r="O6716" t="n">
        <v>0</v>
      </c>
      <c r="P6716" t="n">
        <v>0</v>
      </c>
      <c r="Q6716" t="n">
        <v>0</v>
      </c>
      <c r="R6716" s="2" t="inlineStr"/>
    </row>
    <row r="6717" ht="15" customHeight="1">
      <c r="A6717" t="inlineStr">
        <is>
          <t>A 53483-2022</t>
        </is>
      </c>
      <c r="B6717" s="1" t="n">
        <v>44879</v>
      </c>
      <c r="C6717" s="1" t="n">
        <v>45715</v>
      </c>
      <c r="D6717" t="inlineStr">
        <is>
          <t>KALMAR LÄN</t>
        </is>
      </c>
      <c r="E6717" t="inlineStr">
        <is>
          <t>VIMMERBY</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53681-2022</t>
        </is>
      </c>
      <c r="B6718" s="1" t="n">
        <v>44880</v>
      </c>
      <c r="C6718" s="1" t="n">
        <v>45715</v>
      </c>
      <c r="D6718" t="inlineStr">
        <is>
          <t>KALMAR LÄN</t>
        </is>
      </c>
      <c r="E6718" t="inlineStr">
        <is>
          <t>NYBRO</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53726-2022</t>
        </is>
      </c>
      <c r="B6719" s="1" t="n">
        <v>44880</v>
      </c>
      <c r="C6719" s="1" t="n">
        <v>45715</v>
      </c>
      <c r="D6719" t="inlineStr">
        <is>
          <t>KALMAR LÄN</t>
        </is>
      </c>
      <c r="E6719" t="inlineStr">
        <is>
          <t>HULTSFRED</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53808-2022</t>
        </is>
      </c>
      <c r="B6720" s="1" t="n">
        <v>44880</v>
      </c>
      <c r="C6720" s="1" t="n">
        <v>45715</v>
      </c>
      <c r="D6720" t="inlineStr">
        <is>
          <t>KALMAR LÄN</t>
        </is>
      </c>
      <c r="E6720" t="inlineStr">
        <is>
          <t>HÖGSBY</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53976-2022</t>
        </is>
      </c>
      <c r="B6721" s="1" t="n">
        <v>44881</v>
      </c>
      <c r="C6721" s="1" t="n">
        <v>45715</v>
      </c>
      <c r="D6721" t="inlineStr">
        <is>
          <t>KALMAR LÄN</t>
        </is>
      </c>
      <c r="E6721" t="inlineStr">
        <is>
          <t>TORSÅS</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53999-2022</t>
        </is>
      </c>
      <c r="B6722" s="1" t="n">
        <v>44881</v>
      </c>
      <c r="C6722" s="1" t="n">
        <v>45715</v>
      </c>
      <c r="D6722" t="inlineStr">
        <is>
          <t>KALMAR LÄN</t>
        </is>
      </c>
      <c r="E6722" t="inlineStr">
        <is>
          <t>NYBRO</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54020-2022</t>
        </is>
      </c>
      <c r="B6723" s="1" t="n">
        <v>44881</v>
      </c>
      <c r="C6723" s="1" t="n">
        <v>45715</v>
      </c>
      <c r="D6723" t="inlineStr">
        <is>
          <t>KALMAR LÄN</t>
        </is>
      </c>
      <c r="E6723" t="inlineStr">
        <is>
          <t>VIMMERBY</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54051-2022</t>
        </is>
      </c>
      <c r="B6724" s="1" t="n">
        <v>44881</v>
      </c>
      <c r="C6724" s="1" t="n">
        <v>45715</v>
      </c>
      <c r="D6724" t="inlineStr">
        <is>
          <t>KALMAR LÄN</t>
        </is>
      </c>
      <c r="E6724" t="inlineStr">
        <is>
          <t>NYBRO</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53990-2022</t>
        </is>
      </c>
      <c r="B6725" s="1" t="n">
        <v>44881</v>
      </c>
      <c r="C6725" s="1" t="n">
        <v>45715</v>
      </c>
      <c r="D6725" t="inlineStr">
        <is>
          <t>KALMAR LÄN</t>
        </is>
      </c>
      <c r="E6725" t="inlineStr">
        <is>
          <t>HULTSFRED</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54043-2022</t>
        </is>
      </c>
      <c r="B6726" s="1" t="n">
        <v>44881</v>
      </c>
      <c r="C6726" s="1" t="n">
        <v>45715</v>
      </c>
      <c r="D6726" t="inlineStr">
        <is>
          <t>KALMAR LÄN</t>
        </is>
      </c>
      <c r="E6726" t="inlineStr">
        <is>
          <t>NYBRO</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54190-2022</t>
        </is>
      </c>
      <c r="B6727" s="1" t="n">
        <v>44881</v>
      </c>
      <c r="C6727" s="1" t="n">
        <v>45715</v>
      </c>
      <c r="D6727" t="inlineStr">
        <is>
          <t>KALMAR LÄN</t>
        </is>
      </c>
      <c r="E6727" t="inlineStr">
        <is>
          <t>VÄSTERVIK</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54329-2022</t>
        </is>
      </c>
      <c r="B6728" s="1" t="n">
        <v>44882</v>
      </c>
      <c r="C6728" s="1" t="n">
        <v>45715</v>
      </c>
      <c r="D6728" t="inlineStr">
        <is>
          <t>KALMAR LÄN</t>
        </is>
      </c>
      <c r="E6728" t="inlineStr">
        <is>
          <t>HÖGSBY</t>
        </is>
      </c>
      <c r="F6728" t="inlineStr">
        <is>
          <t>Sveaskog</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54314-2022</t>
        </is>
      </c>
      <c r="B6729" s="1" t="n">
        <v>44882</v>
      </c>
      <c r="C6729" s="1" t="n">
        <v>45715</v>
      </c>
      <c r="D6729" t="inlineStr">
        <is>
          <t>KALMAR LÄN</t>
        </is>
      </c>
      <c r="E6729" t="inlineStr">
        <is>
          <t>NYBRO</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54551-2022</t>
        </is>
      </c>
      <c r="B6730" s="1" t="n">
        <v>44882</v>
      </c>
      <c r="C6730" s="1" t="n">
        <v>45715</v>
      </c>
      <c r="D6730" t="inlineStr">
        <is>
          <t>KALMAR LÄN</t>
        </is>
      </c>
      <c r="E6730" t="inlineStr">
        <is>
          <t>KALMAR</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54341-2022</t>
        </is>
      </c>
      <c r="B6731" s="1" t="n">
        <v>44882</v>
      </c>
      <c r="C6731" s="1" t="n">
        <v>45715</v>
      </c>
      <c r="D6731" t="inlineStr">
        <is>
          <t>KALMAR LÄN</t>
        </is>
      </c>
      <c r="E6731" t="inlineStr">
        <is>
          <t>NYBRO</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54483-2022</t>
        </is>
      </c>
      <c r="B6732" s="1" t="n">
        <v>44882</v>
      </c>
      <c r="C6732" s="1" t="n">
        <v>45715</v>
      </c>
      <c r="D6732" t="inlineStr">
        <is>
          <t>KALMAR LÄN</t>
        </is>
      </c>
      <c r="E6732" t="inlineStr">
        <is>
          <t>HÖGSBY</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54488-2022</t>
        </is>
      </c>
      <c r="B6733" s="1" t="n">
        <v>44882</v>
      </c>
      <c r="C6733" s="1" t="n">
        <v>45715</v>
      </c>
      <c r="D6733" t="inlineStr">
        <is>
          <t>KALMAR LÄN</t>
        </is>
      </c>
      <c r="E6733" t="inlineStr">
        <is>
          <t>MÖNSTERÅS</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55396-2022</t>
        </is>
      </c>
      <c r="B6734" s="1" t="n">
        <v>44882</v>
      </c>
      <c r="C6734" s="1" t="n">
        <v>45715</v>
      </c>
      <c r="D6734" t="inlineStr">
        <is>
          <t>KALMAR LÄN</t>
        </is>
      </c>
      <c r="E6734" t="inlineStr">
        <is>
          <t>HULTSFRED</t>
        </is>
      </c>
      <c r="G6734" t="n">
        <v>5.4</v>
      </c>
      <c r="H6734" t="n">
        <v>0</v>
      </c>
      <c r="I6734" t="n">
        <v>0</v>
      </c>
      <c r="J6734" t="n">
        <v>0</v>
      </c>
      <c r="K6734" t="n">
        <v>0</v>
      </c>
      <c r="L6734" t="n">
        <v>0</v>
      </c>
      <c r="M6734" t="n">
        <v>0</v>
      </c>
      <c r="N6734" t="n">
        <v>0</v>
      </c>
      <c r="O6734" t="n">
        <v>0</v>
      </c>
      <c r="P6734" t="n">
        <v>0</v>
      </c>
      <c r="Q6734" t="n">
        <v>0</v>
      </c>
      <c r="R6734" s="2" t="inlineStr"/>
    </row>
    <row r="6735" ht="15" customHeight="1">
      <c r="A6735" t="inlineStr">
        <is>
          <t>A 55289-2022</t>
        </is>
      </c>
      <c r="B6735" s="1" t="n">
        <v>44882</v>
      </c>
      <c r="C6735" s="1" t="n">
        <v>45715</v>
      </c>
      <c r="D6735" t="inlineStr">
        <is>
          <t>KALMAR LÄN</t>
        </is>
      </c>
      <c r="E6735" t="inlineStr">
        <is>
          <t>NYBRO</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54744-2022</t>
        </is>
      </c>
      <c r="B6736" s="1" t="n">
        <v>44883</v>
      </c>
      <c r="C6736" s="1" t="n">
        <v>45715</v>
      </c>
      <c r="D6736" t="inlineStr">
        <is>
          <t>KALMAR LÄN</t>
        </is>
      </c>
      <c r="E6736" t="inlineStr">
        <is>
          <t>TORSÅS</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54749-2022</t>
        </is>
      </c>
      <c r="B6737" s="1" t="n">
        <v>44883</v>
      </c>
      <c r="C6737" s="1" t="n">
        <v>45715</v>
      </c>
      <c r="D6737" t="inlineStr">
        <is>
          <t>KALMAR LÄN</t>
        </is>
      </c>
      <c r="E6737" t="inlineStr">
        <is>
          <t>VIMMERBY</t>
        </is>
      </c>
      <c r="F6737" t="inlineStr">
        <is>
          <t>Sveaskog</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54748-2022</t>
        </is>
      </c>
      <c r="B6738" s="1" t="n">
        <v>44883</v>
      </c>
      <c r="C6738" s="1" t="n">
        <v>45715</v>
      </c>
      <c r="D6738" t="inlineStr">
        <is>
          <t>KALMAR LÄN</t>
        </is>
      </c>
      <c r="E6738" t="inlineStr">
        <is>
          <t>TORSÅS</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54745-2022</t>
        </is>
      </c>
      <c r="B6739" s="1" t="n">
        <v>44883</v>
      </c>
      <c r="C6739" s="1" t="n">
        <v>45715</v>
      </c>
      <c r="D6739" t="inlineStr">
        <is>
          <t>KALMAR LÄN</t>
        </is>
      </c>
      <c r="E6739" t="inlineStr">
        <is>
          <t>VIMMERBY</t>
        </is>
      </c>
      <c r="F6739" t="inlineStr">
        <is>
          <t>Sveaskog</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54741-2022</t>
        </is>
      </c>
      <c r="B6740" s="1" t="n">
        <v>44883</v>
      </c>
      <c r="C6740" s="1" t="n">
        <v>45715</v>
      </c>
      <c r="D6740" t="inlineStr">
        <is>
          <t>KALMAR LÄN</t>
        </is>
      </c>
      <c r="E6740" t="inlineStr">
        <is>
          <t>TORSÅS</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54942-2022</t>
        </is>
      </c>
      <c r="B6741" s="1" t="n">
        <v>44886</v>
      </c>
      <c r="C6741" s="1" t="n">
        <v>45715</v>
      </c>
      <c r="D6741" t="inlineStr">
        <is>
          <t>KALMAR LÄN</t>
        </is>
      </c>
      <c r="E6741" t="inlineStr">
        <is>
          <t>HÖGSBY</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54944-2022</t>
        </is>
      </c>
      <c r="B6742" s="1" t="n">
        <v>44886</v>
      </c>
      <c r="C6742" s="1" t="n">
        <v>45715</v>
      </c>
      <c r="D6742" t="inlineStr">
        <is>
          <t>KALMAR LÄN</t>
        </is>
      </c>
      <c r="E6742" t="inlineStr">
        <is>
          <t>HÖGSBY</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54877-2022</t>
        </is>
      </c>
      <c r="B6743" s="1" t="n">
        <v>44886</v>
      </c>
      <c r="C6743" s="1" t="n">
        <v>45715</v>
      </c>
      <c r="D6743" t="inlineStr">
        <is>
          <t>KALMAR LÄN</t>
        </is>
      </c>
      <c r="E6743" t="inlineStr">
        <is>
          <t>VIMMERBY</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54941-2022</t>
        </is>
      </c>
      <c r="B6744" s="1" t="n">
        <v>44886</v>
      </c>
      <c r="C6744" s="1" t="n">
        <v>45715</v>
      </c>
      <c r="D6744" t="inlineStr">
        <is>
          <t>KALMAR LÄN</t>
        </is>
      </c>
      <c r="E6744" t="inlineStr">
        <is>
          <t>HÖGSBY</t>
        </is>
      </c>
      <c r="F6744" t="inlineStr">
        <is>
          <t>Kyrkan</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55400-2022</t>
        </is>
      </c>
      <c r="B6745" s="1" t="n">
        <v>44887</v>
      </c>
      <c r="C6745" s="1" t="n">
        <v>45715</v>
      </c>
      <c r="D6745" t="inlineStr">
        <is>
          <t>KALMAR LÄN</t>
        </is>
      </c>
      <c r="E6745" t="inlineStr">
        <is>
          <t>HULTSFRED</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55333-2022</t>
        </is>
      </c>
      <c r="B6746" s="1" t="n">
        <v>44887</v>
      </c>
      <c r="C6746" s="1" t="n">
        <v>45715</v>
      </c>
      <c r="D6746" t="inlineStr">
        <is>
          <t>KALMAR LÄN</t>
        </is>
      </c>
      <c r="E6746" t="inlineStr">
        <is>
          <t>VIMMERBY</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55342-2022</t>
        </is>
      </c>
      <c r="B6747" s="1" t="n">
        <v>44887</v>
      </c>
      <c r="C6747" s="1" t="n">
        <v>45715</v>
      </c>
      <c r="D6747" t="inlineStr">
        <is>
          <t>KALMAR LÄN</t>
        </is>
      </c>
      <c r="E6747" t="inlineStr">
        <is>
          <t>TORSÅS</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55408-2022</t>
        </is>
      </c>
      <c r="B6748" s="1" t="n">
        <v>44887</v>
      </c>
      <c r="C6748" s="1" t="n">
        <v>45715</v>
      </c>
      <c r="D6748" t="inlineStr">
        <is>
          <t>KALMAR LÄN</t>
        </is>
      </c>
      <c r="E6748" t="inlineStr">
        <is>
          <t>EMMABODA</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55403-2022</t>
        </is>
      </c>
      <c r="B6749" s="1" t="n">
        <v>44887</v>
      </c>
      <c r="C6749" s="1" t="n">
        <v>45715</v>
      </c>
      <c r="D6749" t="inlineStr">
        <is>
          <t>KALMAR LÄN</t>
        </is>
      </c>
      <c r="E6749" t="inlineStr">
        <is>
          <t>HULTSFRED</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55382-2022</t>
        </is>
      </c>
      <c r="B6750" s="1" t="n">
        <v>44887</v>
      </c>
      <c r="C6750" s="1" t="n">
        <v>45715</v>
      </c>
      <c r="D6750" t="inlineStr">
        <is>
          <t>KALMAR LÄN</t>
        </is>
      </c>
      <c r="E6750" t="inlineStr">
        <is>
          <t>VÄSTERVIK</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55828-2022</t>
        </is>
      </c>
      <c r="B6751" s="1" t="n">
        <v>44888</v>
      </c>
      <c r="C6751" s="1" t="n">
        <v>45715</v>
      </c>
      <c r="D6751" t="inlineStr">
        <is>
          <t>KALMAR LÄN</t>
        </is>
      </c>
      <c r="E6751" t="inlineStr">
        <is>
          <t>VÄSTERVIK</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56844-2022</t>
        </is>
      </c>
      <c r="B6752" s="1" t="n">
        <v>44888</v>
      </c>
      <c r="C6752" s="1" t="n">
        <v>45715</v>
      </c>
      <c r="D6752" t="inlineStr">
        <is>
          <t>KALMAR LÄN</t>
        </is>
      </c>
      <c r="E6752" t="inlineStr">
        <is>
          <t>HÖGSBY</t>
        </is>
      </c>
      <c r="G6752" t="n">
        <v>4.6</v>
      </c>
      <c r="H6752" t="n">
        <v>0</v>
      </c>
      <c r="I6752" t="n">
        <v>0</v>
      </c>
      <c r="J6752" t="n">
        <v>0</v>
      </c>
      <c r="K6752" t="n">
        <v>0</v>
      </c>
      <c r="L6752" t="n">
        <v>0</v>
      </c>
      <c r="M6752" t="n">
        <v>0</v>
      </c>
      <c r="N6752" t="n">
        <v>0</v>
      </c>
      <c r="O6752" t="n">
        <v>0</v>
      </c>
      <c r="P6752" t="n">
        <v>0</v>
      </c>
      <c r="Q6752" t="n">
        <v>0</v>
      </c>
      <c r="R6752" s="2" t="inlineStr"/>
    </row>
    <row r="6753" ht="15" customHeight="1">
      <c r="A6753" t="inlineStr">
        <is>
          <t>A 55980-2022</t>
        </is>
      </c>
      <c r="B6753" s="1" t="n">
        <v>44889</v>
      </c>
      <c r="C6753" s="1" t="n">
        <v>45715</v>
      </c>
      <c r="D6753" t="inlineStr">
        <is>
          <t>KALMAR LÄN</t>
        </is>
      </c>
      <c r="E6753" t="inlineStr">
        <is>
          <t>TORSÅS</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56038-2022</t>
        </is>
      </c>
      <c r="B6754" s="1" t="n">
        <v>44889</v>
      </c>
      <c r="C6754" s="1" t="n">
        <v>45715</v>
      </c>
      <c r="D6754" t="inlineStr">
        <is>
          <t>KALMAR LÄN</t>
        </is>
      </c>
      <c r="E6754" t="inlineStr">
        <is>
          <t>OSKARSHAMN</t>
        </is>
      </c>
      <c r="G6754" t="n">
        <v>5.9</v>
      </c>
      <c r="H6754" t="n">
        <v>0</v>
      </c>
      <c r="I6754" t="n">
        <v>0</v>
      </c>
      <c r="J6754" t="n">
        <v>0</v>
      </c>
      <c r="K6754" t="n">
        <v>0</v>
      </c>
      <c r="L6754" t="n">
        <v>0</v>
      </c>
      <c r="M6754" t="n">
        <v>0</v>
      </c>
      <c r="N6754" t="n">
        <v>0</v>
      </c>
      <c r="O6754" t="n">
        <v>0</v>
      </c>
      <c r="P6754" t="n">
        <v>0</v>
      </c>
      <c r="Q6754" t="n">
        <v>0</v>
      </c>
      <c r="R6754" s="2" t="inlineStr"/>
    </row>
    <row r="6755" ht="15" customHeight="1">
      <c r="A6755" t="inlineStr">
        <is>
          <t>A 56015-2022</t>
        </is>
      </c>
      <c r="B6755" s="1" t="n">
        <v>44889</v>
      </c>
      <c r="C6755" s="1" t="n">
        <v>45715</v>
      </c>
      <c r="D6755" t="inlineStr">
        <is>
          <t>KALMAR LÄN</t>
        </is>
      </c>
      <c r="E6755" t="inlineStr">
        <is>
          <t>NYBRO</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56027-2022</t>
        </is>
      </c>
      <c r="B6756" s="1" t="n">
        <v>44889</v>
      </c>
      <c r="C6756" s="1" t="n">
        <v>45715</v>
      </c>
      <c r="D6756" t="inlineStr">
        <is>
          <t>KALMAR LÄN</t>
        </is>
      </c>
      <c r="E6756" t="inlineStr">
        <is>
          <t>MÖNSTERÅS</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56143-2022</t>
        </is>
      </c>
      <c r="B6757" s="1" t="n">
        <v>44889</v>
      </c>
      <c r="C6757" s="1" t="n">
        <v>45715</v>
      </c>
      <c r="D6757" t="inlineStr">
        <is>
          <t>KALMAR LÄN</t>
        </is>
      </c>
      <c r="E6757" t="inlineStr">
        <is>
          <t>NYBRO</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55990-2022</t>
        </is>
      </c>
      <c r="B6758" s="1" t="n">
        <v>44889</v>
      </c>
      <c r="C6758" s="1" t="n">
        <v>45715</v>
      </c>
      <c r="D6758" t="inlineStr">
        <is>
          <t>KALMAR LÄN</t>
        </is>
      </c>
      <c r="E6758" t="inlineStr">
        <is>
          <t>HULTSFRED</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55922-2022</t>
        </is>
      </c>
      <c r="B6759" s="1" t="n">
        <v>44889</v>
      </c>
      <c r="C6759" s="1" t="n">
        <v>45715</v>
      </c>
      <c r="D6759" t="inlineStr">
        <is>
          <t>KALMAR LÄN</t>
        </is>
      </c>
      <c r="E6759" t="inlineStr">
        <is>
          <t>VÄSTERVIK</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57411-2022</t>
        </is>
      </c>
      <c r="B6760" s="1" t="n">
        <v>44889</v>
      </c>
      <c r="C6760" s="1" t="n">
        <v>45715</v>
      </c>
      <c r="D6760" t="inlineStr">
        <is>
          <t>KALMAR LÄN</t>
        </is>
      </c>
      <c r="E6760" t="inlineStr">
        <is>
          <t>OSKARSHAMN</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56215-2022</t>
        </is>
      </c>
      <c r="B6761" s="1" t="n">
        <v>44890</v>
      </c>
      <c r="C6761" s="1" t="n">
        <v>45715</v>
      </c>
      <c r="D6761" t="inlineStr">
        <is>
          <t>KALMAR LÄN</t>
        </is>
      </c>
      <c r="E6761" t="inlineStr">
        <is>
          <t>NYBRO</t>
        </is>
      </c>
      <c r="G6761" t="n">
        <v>5.3</v>
      </c>
      <c r="H6761" t="n">
        <v>0</v>
      </c>
      <c r="I6761" t="n">
        <v>0</v>
      </c>
      <c r="J6761" t="n">
        <v>0</v>
      </c>
      <c r="K6761" t="n">
        <v>0</v>
      </c>
      <c r="L6761" t="n">
        <v>0</v>
      </c>
      <c r="M6761" t="n">
        <v>0</v>
      </c>
      <c r="N6761" t="n">
        <v>0</v>
      </c>
      <c r="O6761" t="n">
        <v>0</v>
      </c>
      <c r="P6761" t="n">
        <v>0</v>
      </c>
      <c r="Q6761" t="n">
        <v>0</v>
      </c>
      <c r="R6761" s="2" t="inlineStr"/>
    </row>
    <row r="6762" ht="15" customHeight="1">
      <c r="A6762" t="inlineStr">
        <is>
          <t>A 56360-2022</t>
        </is>
      </c>
      <c r="B6762" s="1" t="n">
        <v>44890</v>
      </c>
      <c r="C6762" s="1" t="n">
        <v>45715</v>
      </c>
      <c r="D6762" t="inlineStr">
        <is>
          <t>KALMAR LÄN</t>
        </is>
      </c>
      <c r="E6762" t="inlineStr">
        <is>
          <t>TORSÅS</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57682-2022</t>
        </is>
      </c>
      <c r="B6763" s="1" t="n">
        <v>44890</v>
      </c>
      <c r="C6763" s="1" t="n">
        <v>45715</v>
      </c>
      <c r="D6763" t="inlineStr">
        <is>
          <t>KALMAR LÄN</t>
        </is>
      </c>
      <c r="E6763" t="inlineStr">
        <is>
          <t>VIMMERBY</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56549-2022</t>
        </is>
      </c>
      <c r="B6764" s="1" t="n">
        <v>44893</v>
      </c>
      <c r="C6764" s="1" t="n">
        <v>45715</v>
      </c>
      <c r="D6764" t="inlineStr">
        <is>
          <t>KALMAR LÄN</t>
        </is>
      </c>
      <c r="E6764" t="inlineStr">
        <is>
          <t>EMMABODA</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56606-2022</t>
        </is>
      </c>
      <c r="B6765" s="1" t="n">
        <v>44893</v>
      </c>
      <c r="C6765" s="1" t="n">
        <v>45715</v>
      </c>
      <c r="D6765" t="inlineStr">
        <is>
          <t>KALMAR LÄN</t>
        </is>
      </c>
      <c r="E6765" t="inlineStr">
        <is>
          <t>EMMABODA</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56554-2022</t>
        </is>
      </c>
      <c r="B6766" s="1" t="n">
        <v>44893</v>
      </c>
      <c r="C6766" s="1" t="n">
        <v>45715</v>
      </c>
      <c r="D6766" t="inlineStr">
        <is>
          <t>KALMAR LÄN</t>
        </is>
      </c>
      <c r="E6766" t="inlineStr">
        <is>
          <t>HULTSFRED</t>
        </is>
      </c>
      <c r="F6766" t="inlineStr">
        <is>
          <t>Kyrkan</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56582-2022</t>
        </is>
      </c>
      <c r="B6767" s="1" t="n">
        <v>44893</v>
      </c>
      <c r="C6767" s="1" t="n">
        <v>45715</v>
      </c>
      <c r="D6767" t="inlineStr">
        <is>
          <t>KALMAR LÄN</t>
        </is>
      </c>
      <c r="E6767" t="inlineStr">
        <is>
          <t>VIMMERBY</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56522-2022</t>
        </is>
      </c>
      <c r="B6768" s="1" t="n">
        <v>44893</v>
      </c>
      <c r="C6768" s="1" t="n">
        <v>45715</v>
      </c>
      <c r="D6768" t="inlineStr">
        <is>
          <t>KALMAR LÄN</t>
        </is>
      </c>
      <c r="E6768" t="inlineStr">
        <is>
          <t>TORSÅS</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56536-2022</t>
        </is>
      </c>
      <c r="B6769" s="1" t="n">
        <v>44893</v>
      </c>
      <c r="C6769" s="1" t="n">
        <v>45715</v>
      </c>
      <c r="D6769" t="inlineStr">
        <is>
          <t>KALMAR LÄN</t>
        </is>
      </c>
      <c r="E6769" t="inlineStr">
        <is>
          <t>VIMMERBY</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56610-2022</t>
        </is>
      </c>
      <c r="B6770" s="1" t="n">
        <v>44893</v>
      </c>
      <c r="C6770" s="1" t="n">
        <v>45715</v>
      </c>
      <c r="D6770" t="inlineStr">
        <is>
          <t>KALMAR LÄN</t>
        </is>
      </c>
      <c r="E6770" t="inlineStr">
        <is>
          <t>VÄSTERVIK</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56705-2022</t>
        </is>
      </c>
      <c r="B6771" s="1" t="n">
        <v>44893</v>
      </c>
      <c r="C6771" s="1" t="n">
        <v>45715</v>
      </c>
      <c r="D6771" t="inlineStr">
        <is>
          <t>KALMAR LÄN</t>
        </is>
      </c>
      <c r="E6771" t="inlineStr">
        <is>
          <t>EMMABODA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58327-2022</t>
        </is>
      </c>
      <c r="B6772" s="1" t="n">
        <v>44893</v>
      </c>
      <c r="C6772" s="1" t="n">
        <v>45715</v>
      </c>
      <c r="D6772" t="inlineStr">
        <is>
          <t>KALMAR LÄN</t>
        </is>
      </c>
      <c r="E6772" t="inlineStr">
        <is>
          <t>EMMABODA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58321-2022</t>
        </is>
      </c>
      <c r="B6773" s="1" t="n">
        <v>44893</v>
      </c>
      <c r="C6773" s="1" t="n">
        <v>45715</v>
      </c>
      <c r="D6773" t="inlineStr">
        <is>
          <t>KALMAR LÄN</t>
        </is>
      </c>
      <c r="E6773" t="inlineStr">
        <is>
          <t>EMMABODA</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56853-2022</t>
        </is>
      </c>
      <c r="B6774" s="1" t="n">
        <v>44894</v>
      </c>
      <c r="C6774" s="1" t="n">
        <v>45715</v>
      </c>
      <c r="D6774" t="inlineStr">
        <is>
          <t>KALMAR LÄN</t>
        </is>
      </c>
      <c r="E6774" t="inlineStr">
        <is>
          <t>VIMMERBY</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56913-2022</t>
        </is>
      </c>
      <c r="B6775" s="1" t="n">
        <v>44894</v>
      </c>
      <c r="C6775" s="1" t="n">
        <v>45715</v>
      </c>
      <c r="D6775" t="inlineStr">
        <is>
          <t>KALMAR LÄN</t>
        </is>
      </c>
      <c r="E6775" t="inlineStr">
        <is>
          <t>HULTSFRED</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56919-2022</t>
        </is>
      </c>
      <c r="B6776" s="1" t="n">
        <v>44894</v>
      </c>
      <c r="C6776" s="1" t="n">
        <v>45715</v>
      </c>
      <c r="D6776" t="inlineStr">
        <is>
          <t>KALMAR LÄN</t>
        </is>
      </c>
      <c r="E6776" t="inlineStr">
        <is>
          <t>HULTSFRED</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57023-2022</t>
        </is>
      </c>
      <c r="B6777" s="1" t="n">
        <v>44895</v>
      </c>
      <c r="C6777" s="1" t="n">
        <v>45715</v>
      </c>
      <c r="D6777" t="inlineStr">
        <is>
          <t>KALMAR LÄN</t>
        </is>
      </c>
      <c r="E6777" t="inlineStr">
        <is>
          <t>VÄSTERVIK</t>
        </is>
      </c>
      <c r="F6777" t="inlineStr">
        <is>
          <t>Holmen skog AB</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57053-2022</t>
        </is>
      </c>
      <c r="B6778" s="1" t="n">
        <v>44895</v>
      </c>
      <c r="C6778" s="1" t="n">
        <v>45715</v>
      </c>
      <c r="D6778" t="inlineStr">
        <is>
          <t>KALMAR LÄN</t>
        </is>
      </c>
      <c r="E6778" t="inlineStr">
        <is>
          <t>HULTSFRED</t>
        </is>
      </c>
      <c r="F6778" t="inlineStr">
        <is>
          <t>Sveaskog</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57118-2022</t>
        </is>
      </c>
      <c r="B6779" s="1" t="n">
        <v>44895</v>
      </c>
      <c r="C6779" s="1" t="n">
        <v>45715</v>
      </c>
      <c r="D6779" t="inlineStr">
        <is>
          <t>KALMAR LÄN</t>
        </is>
      </c>
      <c r="E6779" t="inlineStr">
        <is>
          <t>TORSÅS</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57138-2022</t>
        </is>
      </c>
      <c r="B6780" s="1" t="n">
        <v>44895</v>
      </c>
      <c r="C6780" s="1" t="n">
        <v>45715</v>
      </c>
      <c r="D6780" t="inlineStr">
        <is>
          <t>KALMAR LÄN</t>
        </is>
      </c>
      <c r="E6780" t="inlineStr">
        <is>
          <t>KALMAR</t>
        </is>
      </c>
      <c r="G6780" t="n">
        <v>15.6</v>
      </c>
      <c r="H6780" t="n">
        <v>0</v>
      </c>
      <c r="I6780" t="n">
        <v>0</v>
      </c>
      <c r="J6780" t="n">
        <v>0</v>
      </c>
      <c r="K6780" t="n">
        <v>0</v>
      </c>
      <c r="L6780" t="n">
        <v>0</v>
      </c>
      <c r="M6780" t="n">
        <v>0</v>
      </c>
      <c r="N6780" t="n">
        <v>0</v>
      </c>
      <c r="O6780" t="n">
        <v>0</v>
      </c>
      <c r="P6780" t="n">
        <v>0</v>
      </c>
      <c r="Q6780" t="n">
        <v>0</v>
      </c>
      <c r="R6780" s="2" t="inlineStr"/>
    </row>
    <row r="6781" ht="15" customHeight="1">
      <c r="A6781" t="inlineStr">
        <is>
          <t>A 57091-2022</t>
        </is>
      </c>
      <c r="B6781" s="1" t="n">
        <v>44895</v>
      </c>
      <c r="C6781" s="1" t="n">
        <v>45715</v>
      </c>
      <c r="D6781" t="inlineStr">
        <is>
          <t>KALMAR LÄN</t>
        </is>
      </c>
      <c r="E6781" t="inlineStr">
        <is>
          <t>VIMMERBY</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57216-2022</t>
        </is>
      </c>
      <c r="B6782" s="1" t="n">
        <v>44895</v>
      </c>
      <c r="C6782" s="1" t="n">
        <v>45715</v>
      </c>
      <c r="D6782" t="inlineStr">
        <is>
          <t>KALMAR LÄN</t>
        </is>
      </c>
      <c r="E6782" t="inlineStr">
        <is>
          <t>KALMAR</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57087-2022</t>
        </is>
      </c>
      <c r="B6783" s="1" t="n">
        <v>44895</v>
      </c>
      <c r="C6783" s="1" t="n">
        <v>45715</v>
      </c>
      <c r="D6783" t="inlineStr">
        <is>
          <t>KALMAR LÄN</t>
        </is>
      </c>
      <c r="E6783" t="inlineStr">
        <is>
          <t>HÖGSBY</t>
        </is>
      </c>
      <c r="G6783" t="n">
        <v>7.4</v>
      </c>
      <c r="H6783" t="n">
        <v>0</v>
      </c>
      <c r="I6783" t="n">
        <v>0</v>
      </c>
      <c r="J6783" t="n">
        <v>0</v>
      </c>
      <c r="K6783" t="n">
        <v>0</v>
      </c>
      <c r="L6783" t="n">
        <v>0</v>
      </c>
      <c r="M6783" t="n">
        <v>0</v>
      </c>
      <c r="N6783" t="n">
        <v>0</v>
      </c>
      <c r="O6783" t="n">
        <v>0</v>
      </c>
      <c r="P6783" t="n">
        <v>0</v>
      </c>
      <c r="Q6783" t="n">
        <v>0</v>
      </c>
      <c r="R6783" s="2" t="inlineStr"/>
    </row>
    <row r="6784" ht="15" customHeight="1">
      <c r="A6784" t="inlineStr">
        <is>
          <t>A 57097-2022</t>
        </is>
      </c>
      <c r="B6784" s="1" t="n">
        <v>44895</v>
      </c>
      <c r="C6784" s="1" t="n">
        <v>45715</v>
      </c>
      <c r="D6784" t="inlineStr">
        <is>
          <t>KALMAR LÄN</t>
        </is>
      </c>
      <c r="E6784" t="inlineStr">
        <is>
          <t>NYBRO</t>
        </is>
      </c>
      <c r="F6784" t="inlineStr">
        <is>
          <t>Sveaskog</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57112-2022</t>
        </is>
      </c>
      <c r="B6785" s="1" t="n">
        <v>44895</v>
      </c>
      <c r="C6785" s="1" t="n">
        <v>45715</v>
      </c>
      <c r="D6785" t="inlineStr">
        <is>
          <t>KALMAR LÄN</t>
        </is>
      </c>
      <c r="E6785" t="inlineStr">
        <is>
          <t>HÖGSBY</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57173-2022</t>
        </is>
      </c>
      <c r="B6786" s="1" t="n">
        <v>44895</v>
      </c>
      <c r="C6786" s="1" t="n">
        <v>45715</v>
      </c>
      <c r="D6786" t="inlineStr">
        <is>
          <t>KALMAR LÄN</t>
        </is>
      </c>
      <c r="E6786" t="inlineStr">
        <is>
          <t>HÖGSBY</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57189-2022</t>
        </is>
      </c>
      <c r="B6787" s="1" t="n">
        <v>44895</v>
      </c>
      <c r="C6787" s="1" t="n">
        <v>45715</v>
      </c>
      <c r="D6787" t="inlineStr">
        <is>
          <t>KALMAR LÄN</t>
        </is>
      </c>
      <c r="E6787" t="inlineStr">
        <is>
          <t>VIMMERBY</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57212-2022</t>
        </is>
      </c>
      <c r="B6788" s="1" t="n">
        <v>44895</v>
      </c>
      <c r="C6788" s="1" t="n">
        <v>45715</v>
      </c>
      <c r="D6788" t="inlineStr">
        <is>
          <t>KALMAR LÄN</t>
        </is>
      </c>
      <c r="E6788" t="inlineStr">
        <is>
          <t>KALMAR</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57224-2022</t>
        </is>
      </c>
      <c r="B6789" s="1" t="n">
        <v>44895</v>
      </c>
      <c r="C6789" s="1" t="n">
        <v>45715</v>
      </c>
      <c r="D6789" t="inlineStr">
        <is>
          <t>KALMAR LÄN</t>
        </is>
      </c>
      <c r="E6789" t="inlineStr">
        <is>
          <t>KALMAR</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57229-2022</t>
        </is>
      </c>
      <c r="B6790" s="1" t="n">
        <v>44895</v>
      </c>
      <c r="C6790" s="1" t="n">
        <v>45715</v>
      </c>
      <c r="D6790" t="inlineStr">
        <is>
          <t>KALMAR LÄN</t>
        </is>
      </c>
      <c r="E6790" t="inlineStr">
        <is>
          <t>KALMAR</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57190-2022</t>
        </is>
      </c>
      <c r="B6791" s="1" t="n">
        <v>44895</v>
      </c>
      <c r="C6791" s="1" t="n">
        <v>45715</v>
      </c>
      <c r="D6791" t="inlineStr">
        <is>
          <t>KALMAR LÄN</t>
        </is>
      </c>
      <c r="E6791" t="inlineStr">
        <is>
          <t>VIMMERBY</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58883-2022</t>
        </is>
      </c>
      <c r="B6792" s="1" t="n">
        <v>44895</v>
      </c>
      <c r="C6792" s="1" t="n">
        <v>45715</v>
      </c>
      <c r="D6792" t="inlineStr">
        <is>
          <t>KALMAR LÄN</t>
        </is>
      </c>
      <c r="E6792" t="inlineStr">
        <is>
          <t>EMMABODA</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57402-2022</t>
        </is>
      </c>
      <c r="B6793" s="1" t="n">
        <v>44896</v>
      </c>
      <c r="C6793" s="1" t="n">
        <v>45715</v>
      </c>
      <c r="D6793" t="inlineStr">
        <is>
          <t>KALMAR LÄN</t>
        </is>
      </c>
      <c r="E6793" t="inlineStr">
        <is>
          <t>EMMABODA</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57479-2022</t>
        </is>
      </c>
      <c r="B6794" s="1" t="n">
        <v>44896</v>
      </c>
      <c r="C6794" s="1" t="n">
        <v>45715</v>
      </c>
      <c r="D6794" t="inlineStr">
        <is>
          <t>KALMAR LÄN</t>
        </is>
      </c>
      <c r="E6794" t="inlineStr">
        <is>
          <t>HULTSFRED</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58967-2022</t>
        </is>
      </c>
      <c r="B6795" s="1" t="n">
        <v>44896</v>
      </c>
      <c r="C6795" s="1" t="n">
        <v>45715</v>
      </c>
      <c r="D6795" t="inlineStr">
        <is>
          <t>KALMAR LÄN</t>
        </is>
      </c>
      <c r="E6795" t="inlineStr">
        <is>
          <t>VIMMERBY</t>
        </is>
      </c>
      <c r="G6795" t="n">
        <v>5</v>
      </c>
      <c r="H6795" t="n">
        <v>0</v>
      </c>
      <c r="I6795" t="n">
        <v>0</v>
      </c>
      <c r="J6795" t="n">
        <v>0</v>
      </c>
      <c r="K6795" t="n">
        <v>0</v>
      </c>
      <c r="L6795" t="n">
        <v>0</v>
      </c>
      <c r="M6795" t="n">
        <v>0</v>
      </c>
      <c r="N6795" t="n">
        <v>0</v>
      </c>
      <c r="O6795" t="n">
        <v>0</v>
      </c>
      <c r="P6795" t="n">
        <v>0</v>
      </c>
      <c r="Q6795" t="n">
        <v>0</v>
      </c>
      <c r="R6795" s="2" t="inlineStr"/>
    </row>
    <row r="6796" ht="15" customHeight="1">
      <c r="A6796" t="inlineStr">
        <is>
          <t>A 59005-2022</t>
        </is>
      </c>
      <c r="B6796" s="1" t="n">
        <v>44896</v>
      </c>
      <c r="C6796" s="1" t="n">
        <v>45715</v>
      </c>
      <c r="D6796" t="inlineStr">
        <is>
          <t>KALMAR LÄN</t>
        </is>
      </c>
      <c r="E6796" t="inlineStr">
        <is>
          <t>TORSÅS</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58927-2022</t>
        </is>
      </c>
      <c r="B6797" s="1" t="n">
        <v>44896</v>
      </c>
      <c r="C6797" s="1" t="n">
        <v>45715</v>
      </c>
      <c r="D6797" t="inlineStr">
        <is>
          <t>KALMAR LÄN</t>
        </is>
      </c>
      <c r="E6797" t="inlineStr">
        <is>
          <t>VÄSTERVIK</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57648-2022</t>
        </is>
      </c>
      <c r="B6798" s="1" t="n">
        <v>44897</v>
      </c>
      <c r="C6798" s="1" t="n">
        <v>45715</v>
      </c>
      <c r="D6798" t="inlineStr">
        <is>
          <t>KALMAR LÄN</t>
        </is>
      </c>
      <c r="E6798" t="inlineStr">
        <is>
          <t>NYBRO</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57763-2022</t>
        </is>
      </c>
      <c r="B6799" s="1" t="n">
        <v>44897</v>
      </c>
      <c r="C6799" s="1" t="n">
        <v>45715</v>
      </c>
      <c r="D6799" t="inlineStr">
        <is>
          <t>KALMAR LÄN</t>
        </is>
      </c>
      <c r="E6799" t="inlineStr">
        <is>
          <t>MÖNSTERÅS</t>
        </is>
      </c>
      <c r="F6799" t="inlineStr">
        <is>
          <t>Övriga Aktiebolag</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57717-2022</t>
        </is>
      </c>
      <c r="B6800" s="1" t="n">
        <v>44897</v>
      </c>
      <c r="C6800" s="1" t="n">
        <v>45715</v>
      </c>
      <c r="D6800" t="inlineStr">
        <is>
          <t>KALMAR LÄN</t>
        </is>
      </c>
      <c r="E6800" t="inlineStr">
        <is>
          <t>EMMABODA</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57791-2022</t>
        </is>
      </c>
      <c r="B6801" s="1" t="n">
        <v>44897</v>
      </c>
      <c r="C6801" s="1" t="n">
        <v>45715</v>
      </c>
      <c r="D6801" t="inlineStr">
        <is>
          <t>KALMAR LÄN</t>
        </is>
      </c>
      <c r="E6801" t="inlineStr">
        <is>
          <t>EMMABODA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57799-2022</t>
        </is>
      </c>
      <c r="B6802" s="1" t="n">
        <v>44897</v>
      </c>
      <c r="C6802" s="1" t="n">
        <v>45715</v>
      </c>
      <c r="D6802" t="inlineStr">
        <is>
          <t>KALMAR LÄN</t>
        </is>
      </c>
      <c r="E6802" t="inlineStr">
        <is>
          <t>VIMMERBY</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57794-2022</t>
        </is>
      </c>
      <c r="B6803" s="1" t="n">
        <v>44897</v>
      </c>
      <c r="C6803" s="1" t="n">
        <v>45715</v>
      </c>
      <c r="D6803" t="inlineStr">
        <is>
          <t>KALMAR LÄN</t>
        </is>
      </c>
      <c r="E6803" t="inlineStr">
        <is>
          <t>EMMABODA</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57980-2022</t>
        </is>
      </c>
      <c r="B6804" s="1" t="n">
        <v>44900</v>
      </c>
      <c r="C6804" s="1" t="n">
        <v>45715</v>
      </c>
      <c r="D6804" t="inlineStr">
        <is>
          <t>KALMAR LÄN</t>
        </is>
      </c>
      <c r="E6804" t="inlineStr">
        <is>
          <t>NYBRO</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57916-2022</t>
        </is>
      </c>
      <c r="B6805" s="1" t="n">
        <v>44900</v>
      </c>
      <c r="C6805" s="1" t="n">
        <v>45715</v>
      </c>
      <c r="D6805" t="inlineStr">
        <is>
          <t>KALMAR LÄN</t>
        </is>
      </c>
      <c r="E6805" t="inlineStr">
        <is>
          <t>EMMABODA</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57997-2022</t>
        </is>
      </c>
      <c r="B6806" s="1" t="n">
        <v>44900</v>
      </c>
      <c r="C6806" s="1" t="n">
        <v>45715</v>
      </c>
      <c r="D6806" t="inlineStr">
        <is>
          <t>KALMAR LÄN</t>
        </is>
      </c>
      <c r="E6806" t="inlineStr">
        <is>
          <t>VÄSTERVIK</t>
        </is>
      </c>
      <c r="F6806" t="inlineStr">
        <is>
          <t>Holmen skog AB</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58095-2022</t>
        </is>
      </c>
      <c r="B6807" s="1" t="n">
        <v>44900</v>
      </c>
      <c r="C6807" s="1" t="n">
        <v>45715</v>
      </c>
      <c r="D6807" t="inlineStr">
        <is>
          <t>KALMAR LÄN</t>
        </is>
      </c>
      <c r="E6807" t="inlineStr">
        <is>
          <t>OSKARSHAMN</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58046-2022</t>
        </is>
      </c>
      <c r="B6808" s="1" t="n">
        <v>44900</v>
      </c>
      <c r="C6808" s="1" t="n">
        <v>45715</v>
      </c>
      <c r="D6808" t="inlineStr">
        <is>
          <t>KALMAR LÄN</t>
        </is>
      </c>
      <c r="E6808" t="inlineStr">
        <is>
          <t>VIMMERBY</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58038-2022</t>
        </is>
      </c>
      <c r="B6809" s="1" t="n">
        <v>44900</v>
      </c>
      <c r="C6809" s="1" t="n">
        <v>45715</v>
      </c>
      <c r="D6809" t="inlineStr">
        <is>
          <t>KALMAR LÄN</t>
        </is>
      </c>
      <c r="E6809" t="inlineStr">
        <is>
          <t>TORSÅS</t>
        </is>
      </c>
      <c r="G6809" t="n">
        <v>7.8</v>
      </c>
      <c r="H6809" t="n">
        <v>0</v>
      </c>
      <c r="I6809" t="n">
        <v>0</v>
      </c>
      <c r="J6809" t="n">
        <v>0</v>
      </c>
      <c r="K6809" t="n">
        <v>0</v>
      </c>
      <c r="L6809" t="n">
        <v>0</v>
      </c>
      <c r="M6809" t="n">
        <v>0</v>
      </c>
      <c r="N6809" t="n">
        <v>0</v>
      </c>
      <c r="O6809" t="n">
        <v>0</v>
      </c>
      <c r="P6809" t="n">
        <v>0</v>
      </c>
      <c r="Q6809" t="n">
        <v>0</v>
      </c>
      <c r="R6809" s="2" t="inlineStr"/>
    </row>
    <row r="6810" ht="15" customHeight="1">
      <c r="A6810" t="inlineStr">
        <is>
          <t>A 59764-2022</t>
        </is>
      </c>
      <c r="B6810" s="1" t="n">
        <v>44900</v>
      </c>
      <c r="C6810" s="1" t="n">
        <v>45715</v>
      </c>
      <c r="D6810" t="inlineStr">
        <is>
          <t>KALMAR LÄN</t>
        </is>
      </c>
      <c r="E6810" t="inlineStr">
        <is>
          <t>EMMABODA</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58217-2022</t>
        </is>
      </c>
      <c r="B6811" s="1" t="n">
        <v>44901</v>
      </c>
      <c r="C6811" s="1" t="n">
        <v>45715</v>
      </c>
      <c r="D6811" t="inlineStr">
        <is>
          <t>KALMAR LÄN</t>
        </is>
      </c>
      <c r="E6811" t="inlineStr">
        <is>
          <t>VÄSTERVIK</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58216-2022</t>
        </is>
      </c>
      <c r="B6812" s="1" t="n">
        <v>44901</v>
      </c>
      <c r="C6812" s="1" t="n">
        <v>45715</v>
      </c>
      <c r="D6812" t="inlineStr">
        <is>
          <t>KALMAR LÄN</t>
        </is>
      </c>
      <c r="E6812" t="inlineStr">
        <is>
          <t>VÄSTERVIK</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58282-2022</t>
        </is>
      </c>
      <c r="B6813" s="1" t="n">
        <v>44901</v>
      </c>
      <c r="C6813" s="1" t="n">
        <v>45715</v>
      </c>
      <c r="D6813" t="inlineStr">
        <is>
          <t>KALMAR LÄN</t>
        </is>
      </c>
      <c r="E6813" t="inlineStr">
        <is>
          <t>KALMAR</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58209-2022</t>
        </is>
      </c>
      <c r="B6814" s="1" t="n">
        <v>44901</v>
      </c>
      <c r="C6814" s="1" t="n">
        <v>45715</v>
      </c>
      <c r="D6814" t="inlineStr">
        <is>
          <t>KALMAR LÄN</t>
        </is>
      </c>
      <c r="E6814" t="inlineStr">
        <is>
          <t>VÄSTERVIK</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58214-2022</t>
        </is>
      </c>
      <c r="B6815" s="1" t="n">
        <v>44901</v>
      </c>
      <c r="C6815" s="1" t="n">
        <v>45715</v>
      </c>
      <c r="D6815" t="inlineStr">
        <is>
          <t>KALMAR LÄN</t>
        </is>
      </c>
      <c r="E6815" t="inlineStr">
        <is>
          <t>VÄSTERVIK</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58383-2022</t>
        </is>
      </c>
      <c r="B6816" s="1" t="n">
        <v>44901</v>
      </c>
      <c r="C6816" s="1" t="n">
        <v>45715</v>
      </c>
      <c r="D6816" t="inlineStr">
        <is>
          <t>KALMAR LÄN</t>
        </is>
      </c>
      <c r="E6816" t="inlineStr">
        <is>
          <t>HULTSFRED</t>
        </is>
      </c>
      <c r="F6816" t="inlineStr">
        <is>
          <t>Sveaskog</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58574-2022</t>
        </is>
      </c>
      <c r="B6817" s="1" t="n">
        <v>44902</v>
      </c>
      <c r="C6817" s="1" t="n">
        <v>45715</v>
      </c>
      <c r="D6817" t="inlineStr">
        <is>
          <t>KALMAR LÄN</t>
        </is>
      </c>
      <c r="E6817" t="inlineStr">
        <is>
          <t>NYBRO</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58656-2022</t>
        </is>
      </c>
      <c r="B6818" s="1" t="n">
        <v>44902</v>
      </c>
      <c r="C6818" s="1" t="n">
        <v>45715</v>
      </c>
      <c r="D6818" t="inlineStr">
        <is>
          <t>KALMAR LÄN</t>
        </is>
      </c>
      <c r="E6818" t="inlineStr">
        <is>
          <t>EMMABODA</t>
        </is>
      </c>
      <c r="F6818" t="inlineStr">
        <is>
          <t>Sveaskog</t>
        </is>
      </c>
      <c r="G6818" t="n">
        <v>7.3</v>
      </c>
      <c r="H6818" t="n">
        <v>0</v>
      </c>
      <c r="I6818" t="n">
        <v>0</v>
      </c>
      <c r="J6818" t="n">
        <v>0</v>
      </c>
      <c r="K6818" t="n">
        <v>0</v>
      </c>
      <c r="L6818" t="n">
        <v>0</v>
      </c>
      <c r="M6818" t="n">
        <v>0</v>
      </c>
      <c r="N6818" t="n">
        <v>0</v>
      </c>
      <c r="O6818" t="n">
        <v>0</v>
      </c>
      <c r="P6818" t="n">
        <v>0</v>
      </c>
      <c r="Q6818" t="n">
        <v>0</v>
      </c>
      <c r="R6818" s="2" t="inlineStr"/>
    </row>
    <row r="6819" ht="15" customHeight="1">
      <c r="A6819" t="inlineStr">
        <is>
          <t>A 58681-2022</t>
        </is>
      </c>
      <c r="B6819" s="1" t="n">
        <v>44902</v>
      </c>
      <c r="C6819" s="1" t="n">
        <v>45715</v>
      </c>
      <c r="D6819" t="inlineStr">
        <is>
          <t>KALMAR LÄN</t>
        </is>
      </c>
      <c r="E6819" t="inlineStr">
        <is>
          <t>TORSÅS</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58707-2022</t>
        </is>
      </c>
      <c r="B6820" s="1" t="n">
        <v>44902</v>
      </c>
      <c r="C6820" s="1" t="n">
        <v>45715</v>
      </c>
      <c r="D6820" t="inlineStr">
        <is>
          <t>KALMAR LÄN</t>
        </is>
      </c>
      <c r="E6820" t="inlineStr">
        <is>
          <t>VÄSTERVIK</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58682-2022</t>
        </is>
      </c>
      <c r="B6821" s="1" t="n">
        <v>44902</v>
      </c>
      <c r="C6821" s="1" t="n">
        <v>45715</v>
      </c>
      <c r="D6821" t="inlineStr">
        <is>
          <t>KALMAR LÄN</t>
        </is>
      </c>
      <c r="E6821" t="inlineStr">
        <is>
          <t>TORSÅS</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58648-2022</t>
        </is>
      </c>
      <c r="B6822" s="1" t="n">
        <v>44902</v>
      </c>
      <c r="C6822" s="1" t="n">
        <v>45715</v>
      </c>
      <c r="D6822" t="inlineStr">
        <is>
          <t>KALMAR LÄN</t>
        </is>
      </c>
      <c r="E6822" t="inlineStr">
        <is>
          <t>EMMABODA</t>
        </is>
      </c>
      <c r="F6822" t="inlineStr">
        <is>
          <t>Sveaskog</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58679-2022</t>
        </is>
      </c>
      <c r="B6823" s="1" t="n">
        <v>44902</v>
      </c>
      <c r="C6823" s="1" t="n">
        <v>45715</v>
      </c>
      <c r="D6823" t="inlineStr">
        <is>
          <t>KALMAR LÄN</t>
        </is>
      </c>
      <c r="E6823" t="inlineStr">
        <is>
          <t>HÖGSBY</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58680-2022</t>
        </is>
      </c>
      <c r="B6824" s="1" t="n">
        <v>44902</v>
      </c>
      <c r="C6824" s="1" t="n">
        <v>45715</v>
      </c>
      <c r="D6824" t="inlineStr">
        <is>
          <t>KALMAR LÄN</t>
        </is>
      </c>
      <c r="E6824" t="inlineStr">
        <is>
          <t>TORSÅS</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58684-2022</t>
        </is>
      </c>
      <c r="B6825" s="1" t="n">
        <v>44902</v>
      </c>
      <c r="C6825" s="1" t="n">
        <v>45715</v>
      </c>
      <c r="D6825" t="inlineStr">
        <is>
          <t>KALMAR LÄN</t>
        </is>
      </c>
      <c r="E6825" t="inlineStr">
        <is>
          <t>TORSÅS</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58753-2022</t>
        </is>
      </c>
      <c r="B6826" s="1" t="n">
        <v>44903</v>
      </c>
      <c r="C6826" s="1" t="n">
        <v>45715</v>
      </c>
      <c r="D6826" t="inlineStr">
        <is>
          <t>KALMAR LÄN</t>
        </is>
      </c>
      <c r="E6826" t="inlineStr">
        <is>
          <t>HÖGSBY</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58750-2022</t>
        </is>
      </c>
      <c r="B6827" s="1" t="n">
        <v>44903</v>
      </c>
      <c r="C6827" s="1" t="n">
        <v>45715</v>
      </c>
      <c r="D6827" t="inlineStr">
        <is>
          <t>KALMAR LÄN</t>
        </is>
      </c>
      <c r="E6827" t="inlineStr">
        <is>
          <t>VIMMERBY</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58792-2022</t>
        </is>
      </c>
      <c r="B6828" s="1" t="n">
        <v>44903</v>
      </c>
      <c r="C6828" s="1" t="n">
        <v>45715</v>
      </c>
      <c r="D6828" t="inlineStr">
        <is>
          <t>KALMAR LÄN</t>
        </is>
      </c>
      <c r="E6828" t="inlineStr">
        <is>
          <t>HÖGSBY</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58826-2022</t>
        </is>
      </c>
      <c r="B6829" s="1" t="n">
        <v>44903</v>
      </c>
      <c r="C6829" s="1" t="n">
        <v>45715</v>
      </c>
      <c r="D6829" t="inlineStr">
        <is>
          <t>KALMAR LÄN</t>
        </is>
      </c>
      <c r="E6829" t="inlineStr">
        <is>
          <t>VÄSTERVIK</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58933-2022</t>
        </is>
      </c>
      <c r="B6830" s="1" t="n">
        <v>44903</v>
      </c>
      <c r="C6830" s="1" t="n">
        <v>45715</v>
      </c>
      <c r="D6830" t="inlineStr">
        <is>
          <t>KALMAR LÄN</t>
        </is>
      </c>
      <c r="E6830" t="inlineStr">
        <is>
          <t>NYBRO</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58962-2022</t>
        </is>
      </c>
      <c r="B6831" s="1" t="n">
        <v>44903</v>
      </c>
      <c r="C6831" s="1" t="n">
        <v>45715</v>
      </c>
      <c r="D6831" t="inlineStr">
        <is>
          <t>KALMAR LÄN</t>
        </is>
      </c>
      <c r="E6831" t="inlineStr">
        <is>
          <t>VIMMERBY</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59212-2022</t>
        </is>
      </c>
      <c r="B6832" s="1" t="n">
        <v>44904</v>
      </c>
      <c r="C6832" s="1" t="n">
        <v>45715</v>
      </c>
      <c r="D6832" t="inlineStr">
        <is>
          <t>KALMAR LÄN</t>
        </is>
      </c>
      <c r="E6832" t="inlineStr">
        <is>
          <t>VÄSTERVIK</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59227-2022</t>
        </is>
      </c>
      <c r="B6833" s="1" t="n">
        <v>44904</v>
      </c>
      <c r="C6833" s="1" t="n">
        <v>45715</v>
      </c>
      <c r="D6833" t="inlineStr">
        <is>
          <t>KALMAR LÄN</t>
        </is>
      </c>
      <c r="E6833" t="inlineStr">
        <is>
          <t>VÄSTERVIK</t>
        </is>
      </c>
      <c r="G6833" t="n">
        <v>6</v>
      </c>
      <c r="H6833" t="n">
        <v>0</v>
      </c>
      <c r="I6833" t="n">
        <v>0</v>
      </c>
      <c r="J6833" t="n">
        <v>0</v>
      </c>
      <c r="K6833" t="n">
        <v>0</v>
      </c>
      <c r="L6833" t="n">
        <v>0</v>
      </c>
      <c r="M6833" t="n">
        <v>0</v>
      </c>
      <c r="N6833" t="n">
        <v>0</v>
      </c>
      <c r="O6833" t="n">
        <v>0</v>
      </c>
      <c r="P6833" t="n">
        <v>0</v>
      </c>
      <c r="Q6833" t="n">
        <v>0</v>
      </c>
      <c r="R6833" s="2" t="inlineStr"/>
    </row>
    <row r="6834" ht="15" customHeight="1">
      <c r="A6834" t="inlineStr">
        <is>
          <t>A 59052-2022</t>
        </is>
      </c>
      <c r="B6834" s="1" t="n">
        <v>44904</v>
      </c>
      <c r="C6834" s="1" t="n">
        <v>45715</v>
      </c>
      <c r="D6834" t="inlineStr">
        <is>
          <t>KALMAR LÄN</t>
        </is>
      </c>
      <c r="E6834" t="inlineStr">
        <is>
          <t>NYBRO</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59289-2022</t>
        </is>
      </c>
      <c r="B6835" s="1" t="n">
        <v>44904</v>
      </c>
      <c r="C6835" s="1" t="n">
        <v>45715</v>
      </c>
      <c r="D6835" t="inlineStr">
        <is>
          <t>KALMAR LÄN</t>
        </is>
      </c>
      <c r="E6835" t="inlineStr">
        <is>
          <t>MÖNSTERÅS</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59328-2022</t>
        </is>
      </c>
      <c r="B6836" s="1" t="n">
        <v>44904</v>
      </c>
      <c r="C6836" s="1" t="n">
        <v>45715</v>
      </c>
      <c r="D6836" t="inlineStr">
        <is>
          <t>KALMAR LÄN</t>
        </is>
      </c>
      <c r="E6836" t="inlineStr">
        <is>
          <t>KALMAR</t>
        </is>
      </c>
      <c r="G6836" t="n">
        <v>7.8</v>
      </c>
      <c r="H6836" t="n">
        <v>0</v>
      </c>
      <c r="I6836" t="n">
        <v>0</v>
      </c>
      <c r="J6836" t="n">
        <v>0</v>
      </c>
      <c r="K6836" t="n">
        <v>0</v>
      </c>
      <c r="L6836" t="n">
        <v>0</v>
      </c>
      <c r="M6836" t="n">
        <v>0</v>
      </c>
      <c r="N6836" t="n">
        <v>0</v>
      </c>
      <c r="O6836" t="n">
        <v>0</v>
      </c>
      <c r="P6836" t="n">
        <v>0</v>
      </c>
      <c r="Q6836" t="n">
        <v>0</v>
      </c>
      <c r="R6836" s="2" t="inlineStr"/>
    </row>
    <row r="6837" ht="15" customHeight="1">
      <c r="A6837" t="inlineStr">
        <is>
          <t>A 59053-2022</t>
        </is>
      </c>
      <c r="B6837" s="1" t="n">
        <v>44904</v>
      </c>
      <c r="C6837" s="1" t="n">
        <v>45715</v>
      </c>
      <c r="D6837" t="inlineStr">
        <is>
          <t>KALMAR LÄN</t>
        </is>
      </c>
      <c r="E6837" t="inlineStr">
        <is>
          <t>NYBRO</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59210-2022</t>
        </is>
      </c>
      <c r="B6838" s="1" t="n">
        <v>44904</v>
      </c>
      <c r="C6838" s="1" t="n">
        <v>45715</v>
      </c>
      <c r="D6838" t="inlineStr">
        <is>
          <t>KALMAR LÄN</t>
        </is>
      </c>
      <c r="E6838" t="inlineStr">
        <is>
          <t>VÄSTERVIK</t>
        </is>
      </c>
      <c r="G6838" t="n">
        <v>21.2</v>
      </c>
      <c r="H6838" t="n">
        <v>0</v>
      </c>
      <c r="I6838" t="n">
        <v>0</v>
      </c>
      <c r="J6838" t="n">
        <v>0</v>
      </c>
      <c r="K6838" t="n">
        <v>0</v>
      </c>
      <c r="L6838" t="n">
        <v>0</v>
      </c>
      <c r="M6838" t="n">
        <v>0</v>
      </c>
      <c r="N6838" t="n">
        <v>0</v>
      </c>
      <c r="O6838" t="n">
        <v>0</v>
      </c>
      <c r="P6838" t="n">
        <v>0</v>
      </c>
      <c r="Q6838" t="n">
        <v>0</v>
      </c>
      <c r="R6838" s="2" t="inlineStr"/>
    </row>
    <row r="6839" ht="15" customHeight="1">
      <c r="A6839" t="inlineStr">
        <is>
          <t>A 59054-2022</t>
        </is>
      </c>
      <c r="B6839" s="1" t="n">
        <v>44904</v>
      </c>
      <c r="C6839" s="1" t="n">
        <v>45715</v>
      </c>
      <c r="D6839" t="inlineStr">
        <is>
          <t>KALMAR LÄN</t>
        </is>
      </c>
      <c r="E6839" t="inlineStr">
        <is>
          <t>NYBRO</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59221-2022</t>
        </is>
      </c>
      <c r="B6840" s="1" t="n">
        <v>44904</v>
      </c>
      <c r="C6840" s="1" t="n">
        <v>45715</v>
      </c>
      <c r="D6840" t="inlineStr">
        <is>
          <t>KALMAR LÄN</t>
        </is>
      </c>
      <c r="E6840" t="inlineStr">
        <is>
          <t>VÄSTERVIK</t>
        </is>
      </c>
      <c r="G6840" t="n">
        <v>6.1</v>
      </c>
      <c r="H6840" t="n">
        <v>0</v>
      </c>
      <c r="I6840" t="n">
        <v>0</v>
      </c>
      <c r="J6840" t="n">
        <v>0</v>
      </c>
      <c r="K6840" t="n">
        <v>0</v>
      </c>
      <c r="L6840" t="n">
        <v>0</v>
      </c>
      <c r="M6840" t="n">
        <v>0</v>
      </c>
      <c r="N6840" t="n">
        <v>0</v>
      </c>
      <c r="O6840" t="n">
        <v>0</v>
      </c>
      <c r="P6840" t="n">
        <v>0</v>
      </c>
      <c r="Q6840" t="n">
        <v>0</v>
      </c>
      <c r="R6840" s="2" t="inlineStr"/>
    </row>
    <row r="6841" ht="15" customHeight="1">
      <c r="A6841" t="inlineStr">
        <is>
          <t>A 59243-2022</t>
        </is>
      </c>
      <c r="B6841" s="1" t="n">
        <v>44904</v>
      </c>
      <c r="C6841" s="1" t="n">
        <v>45715</v>
      </c>
      <c r="D6841" t="inlineStr">
        <is>
          <t>KALMAR LÄN</t>
        </is>
      </c>
      <c r="E6841" t="inlineStr">
        <is>
          <t>MÖNSTERÅS</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59156-2022</t>
        </is>
      </c>
      <c r="B6842" s="1" t="n">
        <v>44904</v>
      </c>
      <c r="C6842" s="1" t="n">
        <v>45715</v>
      </c>
      <c r="D6842" t="inlineStr">
        <is>
          <t>KALMAR LÄN</t>
        </is>
      </c>
      <c r="E6842" t="inlineStr">
        <is>
          <t>VÄSTERVIK</t>
        </is>
      </c>
      <c r="G6842" t="n">
        <v>9.4</v>
      </c>
      <c r="H6842" t="n">
        <v>0</v>
      </c>
      <c r="I6842" t="n">
        <v>0</v>
      </c>
      <c r="J6842" t="n">
        <v>0</v>
      </c>
      <c r="K6842" t="n">
        <v>0</v>
      </c>
      <c r="L6842" t="n">
        <v>0</v>
      </c>
      <c r="M6842" t="n">
        <v>0</v>
      </c>
      <c r="N6842" t="n">
        <v>0</v>
      </c>
      <c r="O6842" t="n">
        <v>0</v>
      </c>
      <c r="P6842" t="n">
        <v>0</v>
      </c>
      <c r="Q6842" t="n">
        <v>0</v>
      </c>
      <c r="R6842" s="2" t="inlineStr"/>
    </row>
    <row r="6843" ht="15" customHeight="1">
      <c r="A6843" t="inlineStr">
        <is>
          <t>A 59281-2022</t>
        </is>
      </c>
      <c r="B6843" s="1" t="n">
        <v>44904</v>
      </c>
      <c r="C6843" s="1" t="n">
        <v>45715</v>
      </c>
      <c r="D6843" t="inlineStr">
        <is>
          <t>KALMAR LÄN</t>
        </is>
      </c>
      <c r="E6843" t="inlineStr">
        <is>
          <t>HÖGSBY</t>
        </is>
      </c>
      <c r="F6843" t="inlineStr">
        <is>
          <t>Sveaskog</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59309-2022</t>
        </is>
      </c>
      <c r="B6844" s="1" t="n">
        <v>44904</v>
      </c>
      <c r="C6844" s="1" t="n">
        <v>45715</v>
      </c>
      <c r="D6844" t="inlineStr">
        <is>
          <t>KALMAR LÄN</t>
        </is>
      </c>
      <c r="E6844" t="inlineStr">
        <is>
          <t>MÖNSTERÅS</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59170-2022</t>
        </is>
      </c>
      <c r="B6845" s="1" t="n">
        <v>44904</v>
      </c>
      <c r="C6845" s="1" t="n">
        <v>45715</v>
      </c>
      <c r="D6845" t="inlineStr">
        <is>
          <t>KALMAR LÄN</t>
        </is>
      </c>
      <c r="E6845" t="inlineStr">
        <is>
          <t>VÄSTERVIK</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59202-2022</t>
        </is>
      </c>
      <c r="B6846" s="1" t="n">
        <v>44904</v>
      </c>
      <c r="C6846" s="1" t="n">
        <v>45715</v>
      </c>
      <c r="D6846" t="inlineStr">
        <is>
          <t>KALMAR LÄN</t>
        </is>
      </c>
      <c r="E6846" t="inlineStr">
        <is>
          <t>VÄSTERVIK</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59220-2022</t>
        </is>
      </c>
      <c r="B6847" s="1" t="n">
        <v>44904</v>
      </c>
      <c r="C6847" s="1" t="n">
        <v>45715</v>
      </c>
      <c r="D6847" t="inlineStr">
        <is>
          <t>KALMAR LÄN</t>
        </is>
      </c>
      <c r="E6847" t="inlineStr">
        <is>
          <t>VÄSTERVIK</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59298-2022</t>
        </is>
      </c>
      <c r="B6848" s="1" t="n">
        <v>44904</v>
      </c>
      <c r="C6848" s="1" t="n">
        <v>45715</v>
      </c>
      <c r="D6848" t="inlineStr">
        <is>
          <t>KALMAR LÄN</t>
        </is>
      </c>
      <c r="E6848" t="inlineStr">
        <is>
          <t>MÖNSTERÅS</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59409-2022</t>
        </is>
      </c>
      <c r="B6849" s="1" t="n">
        <v>44907</v>
      </c>
      <c r="C6849" s="1" t="n">
        <v>45715</v>
      </c>
      <c r="D6849" t="inlineStr">
        <is>
          <t>KALMAR LÄN</t>
        </is>
      </c>
      <c r="E6849" t="inlineStr">
        <is>
          <t>HÖGSBY</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59408-2022</t>
        </is>
      </c>
      <c r="B6850" s="1" t="n">
        <v>44907</v>
      </c>
      <c r="C6850" s="1" t="n">
        <v>45715</v>
      </c>
      <c r="D6850" t="inlineStr">
        <is>
          <t>KALMAR LÄN</t>
        </is>
      </c>
      <c r="E6850" t="inlineStr">
        <is>
          <t>HÖGSBY</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59468-2022</t>
        </is>
      </c>
      <c r="B6851" s="1" t="n">
        <v>44907</v>
      </c>
      <c r="C6851" s="1" t="n">
        <v>45715</v>
      </c>
      <c r="D6851" t="inlineStr">
        <is>
          <t>KALMAR LÄN</t>
        </is>
      </c>
      <c r="E6851" t="inlineStr">
        <is>
          <t>EMMABODA</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59458-2022</t>
        </is>
      </c>
      <c r="B6852" s="1" t="n">
        <v>44907</v>
      </c>
      <c r="C6852" s="1" t="n">
        <v>45715</v>
      </c>
      <c r="D6852" t="inlineStr">
        <is>
          <t>KALMAR LÄN</t>
        </is>
      </c>
      <c r="E6852" t="inlineStr">
        <is>
          <t>EMMABODA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59498-2022</t>
        </is>
      </c>
      <c r="B6853" s="1" t="n">
        <v>44907</v>
      </c>
      <c r="C6853" s="1" t="n">
        <v>45715</v>
      </c>
      <c r="D6853" t="inlineStr">
        <is>
          <t>KALMAR LÄN</t>
        </is>
      </c>
      <c r="E6853" t="inlineStr">
        <is>
          <t>VÄSTERVIK</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59675-2022</t>
        </is>
      </c>
      <c r="B6854" s="1" t="n">
        <v>44908</v>
      </c>
      <c r="C6854" s="1" t="n">
        <v>45715</v>
      </c>
      <c r="D6854" t="inlineStr">
        <is>
          <t>KALMAR LÄN</t>
        </is>
      </c>
      <c r="E6854" t="inlineStr">
        <is>
          <t>VÄSTERVIK</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61140-2022</t>
        </is>
      </c>
      <c r="B6855" s="1" t="n">
        <v>44908</v>
      </c>
      <c r="C6855" s="1" t="n">
        <v>45715</v>
      </c>
      <c r="D6855" t="inlineStr">
        <is>
          <t>KALMAR LÄN</t>
        </is>
      </c>
      <c r="E6855" t="inlineStr">
        <is>
          <t>NYBRO</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59871-2022</t>
        </is>
      </c>
      <c r="B6856" s="1" t="n">
        <v>44908</v>
      </c>
      <c r="C6856" s="1" t="n">
        <v>45715</v>
      </c>
      <c r="D6856" t="inlineStr">
        <is>
          <t>KALMAR LÄN</t>
        </is>
      </c>
      <c r="E6856" t="inlineStr">
        <is>
          <t>VÄSTERVIK</t>
        </is>
      </c>
      <c r="F6856" t="inlineStr">
        <is>
          <t>Övriga Aktiebolag</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61136-2022</t>
        </is>
      </c>
      <c r="B6857" s="1" t="n">
        <v>44908</v>
      </c>
      <c r="C6857" s="1" t="n">
        <v>45715</v>
      </c>
      <c r="D6857" t="inlineStr">
        <is>
          <t>KALMAR LÄN</t>
        </is>
      </c>
      <c r="E6857" t="inlineStr">
        <is>
          <t>NYBRO</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61122-2022</t>
        </is>
      </c>
      <c r="B6858" s="1" t="n">
        <v>44908</v>
      </c>
      <c r="C6858" s="1" t="n">
        <v>45715</v>
      </c>
      <c r="D6858" t="inlineStr">
        <is>
          <t>KALMAR LÄN</t>
        </is>
      </c>
      <c r="E6858" t="inlineStr">
        <is>
          <t>OSKARSHAMN</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60033-2022</t>
        </is>
      </c>
      <c r="B6859" s="1" t="n">
        <v>44909</v>
      </c>
      <c r="C6859" s="1" t="n">
        <v>45715</v>
      </c>
      <c r="D6859" t="inlineStr">
        <is>
          <t>KALMAR LÄN</t>
        </is>
      </c>
      <c r="E6859" t="inlineStr">
        <is>
          <t>NYBRO</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60110-2022</t>
        </is>
      </c>
      <c r="B6860" s="1" t="n">
        <v>44909</v>
      </c>
      <c r="C6860" s="1" t="n">
        <v>45715</v>
      </c>
      <c r="D6860" t="inlineStr">
        <is>
          <t>KALMAR LÄN</t>
        </is>
      </c>
      <c r="E6860" t="inlineStr">
        <is>
          <t>VIMMERBY</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60041-2022</t>
        </is>
      </c>
      <c r="B6861" s="1" t="n">
        <v>44909</v>
      </c>
      <c r="C6861" s="1" t="n">
        <v>45715</v>
      </c>
      <c r="D6861" t="inlineStr">
        <is>
          <t>KALMAR LÄN</t>
        </is>
      </c>
      <c r="E6861" t="inlineStr">
        <is>
          <t>NYBRO</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60039-2022</t>
        </is>
      </c>
      <c r="B6862" s="1" t="n">
        <v>44909</v>
      </c>
      <c r="C6862" s="1" t="n">
        <v>45715</v>
      </c>
      <c r="D6862" t="inlineStr">
        <is>
          <t>KALMAR LÄN</t>
        </is>
      </c>
      <c r="E6862" t="inlineStr">
        <is>
          <t>NYBRO</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59940-2022</t>
        </is>
      </c>
      <c r="B6863" s="1" t="n">
        <v>44909</v>
      </c>
      <c r="C6863" s="1" t="n">
        <v>45715</v>
      </c>
      <c r="D6863" t="inlineStr">
        <is>
          <t>KALMAR LÄN</t>
        </is>
      </c>
      <c r="E6863" t="inlineStr">
        <is>
          <t>NYBRO</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59958-2022</t>
        </is>
      </c>
      <c r="B6864" s="1" t="n">
        <v>44909</v>
      </c>
      <c r="C6864" s="1" t="n">
        <v>45715</v>
      </c>
      <c r="D6864" t="inlineStr">
        <is>
          <t>KALMAR LÄN</t>
        </is>
      </c>
      <c r="E6864" t="inlineStr">
        <is>
          <t>KALMAR</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59957-2022</t>
        </is>
      </c>
      <c r="B6865" s="1" t="n">
        <v>44909</v>
      </c>
      <c r="C6865" s="1" t="n">
        <v>45715</v>
      </c>
      <c r="D6865" t="inlineStr">
        <is>
          <t>KALMAR LÄN</t>
        </is>
      </c>
      <c r="E6865" t="inlineStr">
        <is>
          <t>KALMAR</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60030-2022</t>
        </is>
      </c>
      <c r="B6866" s="1" t="n">
        <v>44909</v>
      </c>
      <c r="C6866" s="1" t="n">
        <v>45715</v>
      </c>
      <c r="D6866" t="inlineStr">
        <is>
          <t>KALMAR LÄN</t>
        </is>
      </c>
      <c r="E6866" t="inlineStr">
        <is>
          <t>NYBRO</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60026-2022</t>
        </is>
      </c>
      <c r="B6867" s="1" t="n">
        <v>44909</v>
      </c>
      <c r="C6867" s="1" t="n">
        <v>45715</v>
      </c>
      <c r="D6867" t="inlineStr">
        <is>
          <t>KALMAR LÄN</t>
        </is>
      </c>
      <c r="E6867" t="inlineStr">
        <is>
          <t>NYBRO</t>
        </is>
      </c>
      <c r="G6867" t="n">
        <v>7.6</v>
      </c>
      <c r="H6867" t="n">
        <v>0</v>
      </c>
      <c r="I6867" t="n">
        <v>0</v>
      </c>
      <c r="J6867" t="n">
        <v>0</v>
      </c>
      <c r="K6867" t="n">
        <v>0</v>
      </c>
      <c r="L6867" t="n">
        <v>0</v>
      </c>
      <c r="M6867" t="n">
        <v>0</v>
      </c>
      <c r="N6867" t="n">
        <v>0</v>
      </c>
      <c r="O6867" t="n">
        <v>0</v>
      </c>
      <c r="P6867" t="n">
        <v>0</v>
      </c>
      <c r="Q6867" t="n">
        <v>0</v>
      </c>
      <c r="R6867" s="2" t="inlineStr"/>
    </row>
    <row r="6868" ht="15" customHeight="1">
      <c r="A6868" t="inlineStr">
        <is>
          <t>A 60230-2022</t>
        </is>
      </c>
      <c r="B6868" s="1" t="n">
        <v>44910</v>
      </c>
      <c r="C6868" s="1" t="n">
        <v>45715</v>
      </c>
      <c r="D6868" t="inlineStr">
        <is>
          <t>KALMAR LÄN</t>
        </is>
      </c>
      <c r="E6868" t="inlineStr">
        <is>
          <t>VIMMERBY</t>
        </is>
      </c>
      <c r="G6868" t="n">
        <v>11.3</v>
      </c>
      <c r="H6868" t="n">
        <v>0</v>
      </c>
      <c r="I6868" t="n">
        <v>0</v>
      </c>
      <c r="J6868" t="n">
        <v>0</v>
      </c>
      <c r="K6868" t="n">
        <v>0</v>
      </c>
      <c r="L6868" t="n">
        <v>0</v>
      </c>
      <c r="M6868" t="n">
        <v>0</v>
      </c>
      <c r="N6868" t="n">
        <v>0</v>
      </c>
      <c r="O6868" t="n">
        <v>0</v>
      </c>
      <c r="P6868" t="n">
        <v>0</v>
      </c>
      <c r="Q6868" t="n">
        <v>0</v>
      </c>
      <c r="R6868" s="2" t="inlineStr"/>
    </row>
    <row r="6869" ht="15" customHeight="1">
      <c r="A6869" t="inlineStr">
        <is>
          <t>A 60196-2022</t>
        </is>
      </c>
      <c r="B6869" s="1" t="n">
        <v>44910</v>
      </c>
      <c r="C6869" s="1" t="n">
        <v>45715</v>
      </c>
      <c r="D6869" t="inlineStr">
        <is>
          <t>KALMAR LÄN</t>
        </is>
      </c>
      <c r="E6869" t="inlineStr">
        <is>
          <t>TORSÅS</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60215-2022</t>
        </is>
      </c>
      <c r="B6870" s="1" t="n">
        <v>44910</v>
      </c>
      <c r="C6870" s="1" t="n">
        <v>45715</v>
      </c>
      <c r="D6870" t="inlineStr">
        <is>
          <t>KALMAR LÄN</t>
        </is>
      </c>
      <c r="E6870" t="inlineStr">
        <is>
          <t>VIMMERBY</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60263-2022</t>
        </is>
      </c>
      <c r="B6871" s="1" t="n">
        <v>44910</v>
      </c>
      <c r="C6871" s="1" t="n">
        <v>45715</v>
      </c>
      <c r="D6871" t="inlineStr">
        <is>
          <t>KALMAR LÄN</t>
        </is>
      </c>
      <c r="E6871" t="inlineStr">
        <is>
          <t>VÄSTERVIK</t>
        </is>
      </c>
      <c r="F6871" t="inlineStr">
        <is>
          <t>Sveaskog</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60292-2022</t>
        </is>
      </c>
      <c r="B6872" s="1" t="n">
        <v>44910</v>
      </c>
      <c r="C6872" s="1" t="n">
        <v>45715</v>
      </c>
      <c r="D6872" t="inlineStr">
        <is>
          <t>KALMAR LÄN</t>
        </is>
      </c>
      <c r="E6872" t="inlineStr">
        <is>
          <t>VIMMERBY</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60339-2022</t>
        </is>
      </c>
      <c r="B6873" s="1" t="n">
        <v>44910</v>
      </c>
      <c r="C6873" s="1" t="n">
        <v>45715</v>
      </c>
      <c r="D6873" t="inlineStr">
        <is>
          <t>KALMAR LÄN</t>
        </is>
      </c>
      <c r="E6873" t="inlineStr">
        <is>
          <t>VIMMERBY</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60357-2022</t>
        </is>
      </c>
      <c r="B6874" s="1" t="n">
        <v>44910</v>
      </c>
      <c r="C6874" s="1" t="n">
        <v>45715</v>
      </c>
      <c r="D6874" t="inlineStr">
        <is>
          <t>KALMAR LÄN</t>
        </is>
      </c>
      <c r="E6874" t="inlineStr">
        <is>
          <t>HULTSFRED</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60360-2022</t>
        </is>
      </c>
      <c r="B6875" s="1" t="n">
        <v>44910</v>
      </c>
      <c r="C6875" s="1" t="n">
        <v>45715</v>
      </c>
      <c r="D6875" t="inlineStr">
        <is>
          <t>KALMAR LÄN</t>
        </is>
      </c>
      <c r="E6875" t="inlineStr">
        <is>
          <t>TORSÅS</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60366-2022</t>
        </is>
      </c>
      <c r="B6876" s="1" t="n">
        <v>44910</v>
      </c>
      <c r="C6876" s="1" t="n">
        <v>45715</v>
      </c>
      <c r="D6876" t="inlineStr">
        <is>
          <t>KALMAR LÄN</t>
        </is>
      </c>
      <c r="E6876" t="inlineStr">
        <is>
          <t>NYBRO</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60402-2022</t>
        </is>
      </c>
      <c r="B6877" s="1" t="n">
        <v>44910</v>
      </c>
      <c r="C6877" s="1" t="n">
        <v>45715</v>
      </c>
      <c r="D6877" t="inlineStr">
        <is>
          <t>KALMAR LÄN</t>
        </is>
      </c>
      <c r="E6877" t="inlineStr">
        <is>
          <t>VÄSTERVIK</t>
        </is>
      </c>
      <c r="F6877" t="inlineStr">
        <is>
          <t>Holmen skog AB</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60362-2022</t>
        </is>
      </c>
      <c r="B6878" s="1" t="n">
        <v>44910</v>
      </c>
      <c r="C6878" s="1" t="n">
        <v>45715</v>
      </c>
      <c r="D6878" t="inlineStr">
        <is>
          <t>KALMAR LÄN</t>
        </is>
      </c>
      <c r="E6878" t="inlineStr">
        <is>
          <t>TORSÅS</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60388-2022</t>
        </is>
      </c>
      <c r="B6879" s="1" t="n">
        <v>44910</v>
      </c>
      <c r="C6879" s="1" t="n">
        <v>45715</v>
      </c>
      <c r="D6879" t="inlineStr">
        <is>
          <t>KALMAR LÄN</t>
        </is>
      </c>
      <c r="E6879" t="inlineStr">
        <is>
          <t>OSKARSHAMN</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60409-2022</t>
        </is>
      </c>
      <c r="B6880" s="1" t="n">
        <v>44910</v>
      </c>
      <c r="C6880" s="1" t="n">
        <v>45715</v>
      </c>
      <c r="D6880" t="inlineStr">
        <is>
          <t>KALMAR LÄN</t>
        </is>
      </c>
      <c r="E6880" t="inlineStr">
        <is>
          <t>VÄSTERVIK</t>
        </is>
      </c>
      <c r="F6880" t="inlineStr">
        <is>
          <t>Holmen skog AB</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60386-2022</t>
        </is>
      </c>
      <c r="B6881" s="1" t="n">
        <v>44910</v>
      </c>
      <c r="C6881" s="1" t="n">
        <v>45715</v>
      </c>
      <c r="D6881" t="inlineStr">
        <is>
          <t>KALMAR LÄN</t>
        </is>
      </c>
      <c r="E6881" t="inlineStr">
        <is>
          <t>OSKARSHAMN</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61529-2022</t>
        </is>
      </c>
      <c r="B6882" s="1" t="n">
        <v>44910</v>
      </c>
      <c r="C6882" s="1" t="n">
        <v>45715</v>
      </c>
      <c r="D6882" t="inlineStr">
        <is>
          <t>KALMAR LÄN</t>
        </is>
      </c>
      <c r="E6882" t="inlineStr">
        <is>
          <t>VÄSTERVIK</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61499-2022</t>
        </is>
      </c>
      <c r="B6883" s="1" t="n">
        <v>44910</v>
      </c>
      <c r="C6883" s="1" t="n">
        <v>45715</v>
      </c>
      <c r="D6883" t="inlineStr">
        <is>
          <t>KALMAR LÄN</t>
        </is>
      </c>
      <c r="E6883" t="inlineStr">
        <is>
          <t>NYBRO</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60444-2022</t>
        </is>
      </c>
      <c r="B6884" s="1" t="n">
        <v>44911</v>
      </c>
      <c r="C6884" s="1" t="n">
        <v>45715</v>
      </c>
      <c r="D6884" t="inlineStr">
        <is>
          <t>KALMAR LÄN</t>
        </is>
      </c>
      <c r="E6884" t="inlineStr">
        <is>
          <t>HÖGSBY</t>
        </is>
      </c>
      <c r="F6884" t="inlineStr">
        <is>
          <t>Sveaskog</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61756-2022</t>
        </is>
      </c>
      <c r="B6885" s="1" t="n">
        <v>44911</v>
      </c>
      <c r="C6885" s="1" t="n">
        <v>45715</v>
      </c>
      <c r="D6885" t="inlineStr">
        <is>
          <t>KALMAR LÄN</t>
        </is>
      </c>
      <c r="E6885" t="inlineStr">
        <is>
          <t>EMMABODA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61791-2022</t>
        </is>
      </c>
      <c r="B6886" s="1" t="n">
        <v>44911</v>
      </c>
      <c r="C6886" s="1" t="n">
        <v>45715</v>
      </c>
      <c r="D6886" t="inlineStr">
        <is>
          <t>KALMAR LÄN</t>
        </is>
      </c>
      <c r="E6886" t="inlineStr">
        <is>
          <t>EMMABODA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60710-2022</t>
        </is>
      </c>
      <c r="B6887" s="1" t="n">
        <v>44912</v>
      </c>
      <c r="C6887" s="1" t="n">
        <v>45715</v>
      </c>
      <c r="D6887" t="inlineStr">
        <is>
          <t>KALMAR LÄN</t>
        </is>
      </c>
      <c r="E6887" t="inlineStr">
        <is>
          <t>VÄSTERVIK</t>
        </is>
      </c>
      <c r="F6887" t="inlineStr">
        <is>
          <t>Övriga Aktiebolag</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60708-2022</t>
        </is>
      </c>
      <c r="B6888" s="1" t="n">
        <v>44912</v>
      </c>
      <c r="C6888" s="1" t="n">
        <v>45715</v>
      </c>
      <c r="D6888" t="inlineStr">
        <is>
          <t>KALMAR LÄN</t>
        </is>
      </c>
      <c r="E6888" t="inlineStr">
        <is>
          <t>EMMABODA</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60707-2022</t>
        </is>
      </c>
      <c r="B6889" s="1" t="n">
        <v>44912</v>
      </c>
      <c r="C6889" s="1" t="n">
        <v>45715</v>
      </c>
      <c r="D6889" t="inlineStr">
        <is>
          <t>KALMAR LÄN</t>
        </is>
      </c>
      <c r="E6889" t="inlineStr">
        <is>
          <t>EMMABODA</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60713-2022</t>
        </is>
      </c>
      <c r="B6890" s="1" t="n">
        <v>44912</v>
      </c>
      <c r="C6890" s="1" t="n">
        <v>45715</v>
      </c>
      <c r="D6890" t="inlineStr">
        <is>
          <t>KALMAR LÄN</t>
        </is>
      </c>
      <c r="E6890" t="inlineStr">
        <is>
          <t>VÄSTERVIK</t>
        </is>
      </c>
      <c r="F6890" t="inlineStr">
        <is>
          <t>Övriga Aktiebolag</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60711-2022</t>
        </is>
      </c>
      <c r="B6891" s="1" t="n">
        <v>44912</v>
      </c>
      <c r="C6891" s="1" t="n">
        <v>45715</v>
      </c>
      <c r="D6891" t="inlineStr">
        <is>
          <t>KALMAR LÄN</t>
        </is>
      </c>
      <c r="E6891" t="inlineStr">
        <is>
          <t>VÄSTERVIK</t>
        </is>
      </c>
      <c r="F6891" t="inlineStr">
        <is>
          <t>Övriga Aktiebolag</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60807-2022</t>
        </is>
      </c>
      <c r="B6892" s="1" t="n">
        <v>44914</v>
      </c>
      <c r="C6892" s="1" t="n">
        <v>45715</v>
      </c>
      <c r="D6892" t="inlineStr">
        <is>
          <t>KALMAR LÄN</t>
        </is>
      </c>
      <c r="E6892" t="inlineStr">
        <is>
          <t>KALMAR</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60819-2022</t>
        </is>
      </c>
      <c r="B6893" s="1" t="n">
        <v>44914</v>
      </c>
      <c r="C6893" s="1" t="n">
        <v>45715</v>
      </c>
      <c r="D6893" t="inlineStr">
        <is>
          <t>KALMAR LÄN</t>
        </is>
      </c>
      <c r="E6893" t="inlineStr">
        <is>
          <t>NYBRO</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60763-2022</t>
        </is>
      </c>
      <c r="B6894" s="1" t="n">
        <v>44914</v>
      </c>
      <c r="C6894" s="1" t="n">
        <v>45715</v>
      </c>
      <c r="D6894" t="inlineStr">
        <is>
          <t>KALMAR LÄN</t>
        </is>
      </c>
      <c r="E6894" t="inlineStr">
        <is>
          <t>KALMAR</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60810-2022</t>
        </is>
      </c>
      <c r="B6895" s="1" t="n">
        <v>44914</v>
      </c>
      <c r="C6895" s="1" t="n">
        <v>45715</v>
      </c>
      <c r="D6895" t="inlineStr">
        <is>
          <t>KALMAR LÄN</t>
        </is>
      </c>
      <c r="E6895" t="inlineStr">
        <is>
          <t>TORSÅS</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60754-2022</t>
        </is>
      </c>
      <c r="B6896" s="1" t="n">
        <v>44914</v>
      </c>
      <c r="C6896" s="1" t="n">
        <v>45715</v>
      </c>
      <c r="D6896" t="inlineStr">
        <is>
          <t>KALMAR LÄN</t>
        </is>
      </c>
      <c r="E6896" t="inlineStr">
        <is>
          <t>KALMAR</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60851-2022</t>
        </is>
      </c>
      <c r="B6897" s="1" t="n">
        <v>44914</v>
      </c>
      <c r="C6897" s="1" t="n">
        <v>45715</v>
      </c>
      <c r="D6897" t="inlineStr">
        <is>
          <t>KALMAR LÄN</t>
        </is>
      </c>
      <c r="E6897" t="inlineStr">
        <is>
          <t>KALMAR</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60751-2022</t>
        </is>
      </c>
      <c r="B6898" s="1" t="n">
        <v>44914</v>
      </c>
      <c r="C6898" s="1" t="n">
        <v>45715</v>
      </c>
      <c r="D6898" t="inlineStr">
        <is>
          <t>KALMAR LÄN</t>
        </is>
      </c>
      <c r="E6898" t="inlineStr">
        <is>
          <t>KALMAR</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60905-2022</t>
        </is>
      </c>
      <c r="B6899" s="1" t="n">
        <v>44914</v>
      </c>
      <c r="C6899" s="1" t="n">
        <v>45715</v>
      </c>
      <c r="D6899" t="inlineStr">
        <is>
          <t>KALMAR LÄN</t>
        </is>
      </c>
      <c r="E6899" t="inlineStr">
        <is>
          <t>OSKARSHAMN</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60871-2022</t>
        </is>
      </c>
      <c r="B6900" s="1" t="n">
        <v>44914</v>
      </c>
      <c r="C6900" s="1" t="n">
        <v>45715</v>
      </c>
      <c r="D6900" t="inlineStr">
        <is>
          <t>KALMAR LÄN</t>
        </is>
      </c>
      <c r="E6900" t="inlineStr">
        <is>
          <t>OSKARSHAMN</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60896-2022</t>
        </is>
      </c>
      <c r="B6901" s="1" t="n">
        <v>44914</v>
      </c>
      <c r="C6901" s="1" t="n">
        <v>45715</v>
      </c>
      <c r="D6901" t="inlineStr">
        <is>
          <t>KALMAR LÄN</t>
        </is>
      </c>
      <c r="E6901" t="inlineStr">
        <is>
          <t>NYBRO</t>
        </is>
      </c>
      <c r="G6901" t="n">
        <v>8.199999999999999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61148-2022</t>
        </is>
      </c>
      <c r="B6902" s="1" t="n">
        <v>44915</v>
      </c>
      <c r="C6902" s="1" t="n">
        <v>45715</v>
      </c>
      <c r="D6902" t="inlineStr">
        <is>
          <t>KALMAR LÄN</t>
        </is>
      </c>
      <c r="E6902" t="inlineStr">
        <is>
          <t>HÖGSBY</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61197-2022</t>
        </is>
      </c>
      <c r="B6903" s="1" t="n">
        <v>44915</v>
      </c>
      <c r="C6903" s="1" t="n">
        <v>45715</v>
      </c>
      <c r="D6903" t="inlineStr">
        <is>
          <t>KALMAR LÄN</t>
        </is>
      </c>
      <c r="E6903" t="inlineStr">
        <is>
          <t>MÖNSTERÅS</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61316-2022</t>
        </is>
      </c>
      <c r="B6904" s="1" t="n">
        <v>44915</v>
      </c>
      <c r="C6904" s="1" t="n">
        <v>45715</v>
      </c>
      <c r="D6904" t="inlineStr">
        <is>
          <t>KALMAR LÄN</t>
        </is>
      </c>
      <c r="E6904" t="inlineStr">
        <is>
          <t>NYBRO</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61127-2022</t>
        </is>
      </c>
      <c r="B6905" s="1" t="n">
        <v>44915</v>
      </c>
      <c r="C6905" s="1" t="n">
        <v>45715</v>
      </c>
      <c r="D6905" t="inlineStr">
        <is>
          <t>KALMAR LÄN</t>
        </is>
      </c>
      <c r="E6905" t="inlineStr">
        <is>
          <t>MÖNSTERÅS</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61198-2022</t>
        </is>
      </c>
      <c r="B6906" s="1" t="n">
        <v>44915</v>
      </c>
      <c r="C6906" s="1" t="n">
        <v>45715</v>
      </c>
      <c r="D6906" t="inlineStr">
        <is>
          <t>KALMAR LÄN</t>
        </is>
      </c>
      <c r="E6906" t="inlineStr">
        <is>
          <t>MÖNSTERÅS</t>
        </is>
      </c>
      <c r="G6906" t="n">
        <v>6</v>
      </c>
      <c r="H6906" t="n">
        <v>0</v>
      </c>
      <c r="I6906" t="n">
        <v>0</v>
      </c>
      <c r="J6906" t="n">
        <v>0</v>
      </c>
      <c r="K6906" t="n">
        <v>0</v>
      </c>
      <c r="L6906" t="n">
        <v>0</v>
      </c>
      <c r="M6906" t="n">
        <v>0</v>
      </c>
      <c r="N6906" t="n">
        <v>0</v>
      </c>
      <c r="O6906" t="n">
        <v>0</v>
      </c>
      <c r="P6906" t="n">
        <v>0</v>
      </c>
      <c r="Q6906" t="n">
        <v>0</v>
      </c>
      <c r="R6906" s="2" t="inlineStr"/>
    </row>
    <row r="6907" ht="15" customHeight="1">
      <c r="A6907" t="inlineStr">
        <is>
          <t>A 61285-2022</t>
        </is>
      </c>
      <c r="B6907" s="1" t="n">
        <v>44915</v>
      </c>
      <c r="C6907" s="1" t="n">
        <v>45715</v>
      </c>
      <c r="D6907" t="inlineStr">
        <is>
          <t>KALMAR LÄN</t>
        </is>
      </c>
      <c r="E6907" t="inlineStr">
        <is>
          <t>KALMAR</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61296-2022</t>
        </is>
      </c>
      <c r="B6908" s="1" t="n">
        <v>44915</v>
      </c>
      <c r="C6908" s="1" t="n">
        <v>45715</v>
      </c>
      <c r="D6908" t="inlineStr">
        <is>
          <t>KALMAR LÄN</t>
        </is>
      </c>
      <c r="E6908" t="inlineStr">
        <is>
          <t>KALMAR</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61318-2022</t>
        </is>
      </c>
      <c r="B6909" s="1" t="n">
        <v>44915</v>
      </c>
      <c r="C6909" s="1" t="n">
        <v>45715</v>
      </c>
      <c r="D6909" t="inlineStr">
        <is>
          <t>KALMAR LÄN</t>
        </is>
      </c>
      <c r="E6909" t="inlineStr">
        <is>
          <t>OSKARSHAMN</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61339-2022</t>
        </is>
      </c>
      <c r="B6910" s="1" t="n">
        <v>44915</v>
      </c>
      <c r="C6910" s="1" t="n">
        <v>45715</v>
      </c>
      <c r="D6910" t="inlineStr">
        <is>
          <t>KALMAR LÄN</t>
        </is>
      </c>
      <c r="E6910" t="inlineStr">
        <is>
          <t>OSKARSHAMN</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61204-2022</t>
        </is>
      </c>
      <c r="B6911" s="1" t="n">
        <v>44915</v>
      </c>
      <c r="C6911" s="1" t="n">
        <v>45715</v>
      </c>
      <c r="D6911" t="inlineStr">
        <is>
          <t>KALMAR LÄN</t>
        </is>
      </c>
      <c r="E6911" t="inlineStr">
        <is>
          <t>MÖNSTERÅS</t>
        </is>
      </c>
      <c r="G6911" t="n">
        <v>5.7</v>
      </c>
      <c r="H6911" t="n">
        <v>0</v>
      </c>
      <c r="I6911" t="n">
        <v>0</v>
      </c>
      <c r="J6911" t="n">
        <v>0</v>
      </c>
      <c r="K6911" t="n">
        <v>0</v>
      </c>
      <c r="L6911" t="n">
        <v>0</v>
      </c>
      <c r="M6911" t="n">
        <v>0</v>
      </c>
      <c r="N6911" t="n">
        <v>0</v>
      </c>
      <c r="O6911" t="n">
        <v>0</v>
      </c>
      <c r="P6911" t="n">
        <v>0</v>
      </c>
      <c r="Q6911" t="n">
        <v>0</v>
      </c>
      <c r="R6911" s="2" t="inlineStr"/>
    </row>
    <row r="6912" ht="15" customHeight="1">
      <c r="A6912" t="inlineStr">
        <is>
          <t>A 61259-2022</t>
        </is>
      </c>
      <c r="B6912" s="1" t="n">
        <v>44915</v>
      </c>
      <c r="C6912" s="1" t="n">
        <v>45715</v>
      </c>
      <c r="D6912" t="inlineStr">
        <is>
          <t>KALMAR LÄN</t>
        </is>
      </c>
      <c r="E6912" t="inlineStr">
        <is>
          <t>KALMAR</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61538-2022</t>
        </is>
      </c>
      <c r="B6913" s="1" t="n">
        <v>44916</v>
      </c>
      <c r="C6913" s="1" t="n">
        <v>45715</v>
      </c>
      <c r="D6913" t="inlineStr">
        <is>
          <t>KALMAR LÄN</t>
        </is>
      </c>
      <c r="E6913" t="inlineStr">
        <is>
          <t>VIMMERBY</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61549-2022</t>
        </is>
      </c>
      <c r="B6914" s="1" t="n">
        <v>44916</v>
      </c>
      <c r="C6914" s="1" t="n">
        <v>45715</v>
      </c>
      <c r="D6914" t="inlineStr">
        <is>
          <t>KALMAR LÄN</t>
        </is>
      </c>
      <c r="E6914" t="inlineStr">
        <is>
          <t>HULTSFRED</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61580-2022</t>
        </is>
      </c>
      <c r="B6915" s="1" t="n">
        <v>44916</v>
      </c>
      <c r="C6915" s="1" t="n">
        <v>45715</v>
      </c>
      <c r="D6915" t="inlineStr">
        <is>
          <t>KALMAR LÄN</t>
        </is>
      </c>
      <c r="E6915" t="inlineStr">
        <is>
          <t>VÄSTERVIK</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61649-2022</t>
        </is>
      </c>
      <c r="B6916" s="1" t="n">
        <v>44916</v>
      </c>
      <c r="C6916" s="1" t="n">
        <v>45715</v>
      </c>
      <c r="D6916" t="inlineStr">
        <is>
          <t>KALMAR LÄN</t>
        </is>
      </c>
      <c r="E6916" t="inlineStr">
        <is>
          <t>VÄSTERVIK</t>
        </is>
      </c>
      <c r="F6916" t="inlineStr">
        <is>
          <t>Holmen skog AB</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61676-2022</t>
        </is>
      </c>
      <c r="B6917" s="1" t="n">
        <v>44917</v>
      </c>
      <c r="C6917" s="1" t="n">
        <v>45715</v>
      </c>
      <c r="D6917" t="inlineStr">
        <is>
          <t>KALMAR LÄN</t>
        </is>
      </c>
      <c r="E6917" t="inlineStr">
        <is>
          <t>OSKARSHAMN</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61862-2022</t>
        </is>
      </c>
      <c r="B6918" s="1" t="n">
        <v>44917</v>
      </c>
      <c r="C6918" s="1" t="n">
        <v>45715</v>
      </c>
      <c r="D6918" t="inlineStr">
        <is>
          <t>KALMAR LÄN</t>
        </is>
      </c>
      <c r="E6918" t="inlineStr">
        <is>
          <t>OSKARSHAMN</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61780-2022</t>
        </is>
      </c>
      <c r="B6919" s="1" t="n">
        <v>44917</v>
      </c>
      <c r="C6919" s="1" t="n">
        <v>45715</v>
      </c>
      <c r="D6919" t="inlineStr">
        <is>
          <t>KALMAR LÄN</t>
        </is>
      </c>
      <c r="E6919" t="inlineStr">
        <is>
          <t>NYBRO</t>
        </is>
      </c>
      <c r="F6919" t="inlineStr">
        <is>
          <t>Kommuner</t>
        </is>
      </c>
      <c r="G6919" t="n">
        <v>6.4</v>
      </c>
      <c r="H6919" t="n">
        <v>0</v>
      </c>
      <c r="I6919" t="n">
        <v>0</v>
      </c>
      <c r="J6919" t="n">
        <v>0</v>
      </c>
      <c r="K6919" t="n">
        <v>0</v>
      </c>
      <c r="L6919" t="n">
        <v>0</v>
      </c>
      <c r="M6919" t="n">
        <v>0</v>
      </c>
      <c r="N6919" t="n">
        <v>0</v>
      </c>
      <c r="O6919" t="n">
        <v>0</v>
      </c>
      <c r="P6919" t="n">
        <v>0</v>
      </c>
      <c r="Q6919" t="n">
        <v>0</v>
      </c>
      <c r="R6919" s="2" t="inlineStr"/>
    </row>
    <row r="6920" ht="15" customHeight="1">
      <c r="A6920" t="inlineStr">
        <is>
          <t>A 61667-2022</t>
        </is>
      </c>
      <c r="B6920" s="1" t="n">
        <v>44917</v>
      </c>
      <c r="C6920" s="1" t="n">
        <v>45715</v>
      </c>
      <c r="D6920" t="inlineStr">
        <is>
          <t>KALMAR LÄN</t>
        </is>
      </c>
      <c r="E6920" t="inlineStr">
        <is>
          <t>HULTSFRED</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61874-2022</t>
        </is>
      </c>
      <c r="B6921" s="1" t="n">
        <v>44917</v>
      </c>
      <c r="C6921" s="1" t="n">
        <v>45715</v>
      </c>
      <c r="D6921" t="inlineStr">
        <is>
          <t>KALMAR LÄN</t>
        </is>
      </c>
      <c r="E6921" t="inlineStr">
        <is>
          <t>MÖNSTERÅS</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61777-2022</t>
        </is>
      </c>
      <c r="B6922" s="1" t="n">
        <v>44917</v>
      </c>
      <c r="C6922" s="1" t="n">
        <v>45715</v>
      </c>
      <c r="D6922" t="inlineStr">
        <is>
          <t>KALMAR LÄN</t>
        </is>
      </c>
      <c r="E6922" t="inlineStr">
        <is>
          <t>NYBRO</t>
        </is>
      </c>
      <c r="F6922" t="inlineStr">
        <is>
          <t>Kommuner</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61848-2022</t>
        </is>
      </c>
      <c r="B6923" s="1" t="n">
        <v>44917</v>
      </c>
      <c r="C6923" s="1" t="n">
        <v>45715</v>
      </c>
      <c r="D6923" t="inlineStr">
        <is>
          <t>KALMAR LÄN</t>
        </is>
      </c>
      <c r="E6923" t="inlineStr">
        <is>
          <t>OSKARSHAMN</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61854-2022</t>
        </is>
      </c>
      <c r="B6924" s="1" t="n">
        <v>44917</v>
      </c>
      <c r="C6924" s="1" t="n">
        <v>45715</v>
      </c>
      <c r="D6924" t="inlineStr">
        <is>
          <t>KALMAR LÄN</t>
        </is>
      </c>
      <c r="E6924" t="inlineStr">
        <is>
          <t>OSKARSHAMN</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61876-2022</t>
        </is>
      </c>
      <c r="B6925" s="1" t="n">
        <v>44917</v>
      </c>
      <c r="C6925" s="1" t="n">
        <v>45715</v>
      </c>
      <c r="D6925" t="inlineStr">
        <is>
          <t>KALMAR LÄN</t>
        </is>
      </c>
      <c r="E6925" t="inlineStr">
        <is>
          <t>MÖNSTERÅS</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62005-2022</t>
        </is>
      </c>
      <c r="B6926" s="1" t="n">
        <v>44918</v>
      </c>
      <c r="C6926" s="1" t="n">
        <v>45715</v>
      </c>
      <c r="D6926" t="inlineStr">
        <is>
          <t>KALMAR LÄN</t>
        </is>
      </c>
      <c r="E6926" t="inlineStr">
        <is>
          <t>VÄSTERVIK</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62075-2022</t>
        </is>
      </c>
      <c r="B6927" s="1" t="n">
        <v>44918</v>
      </c>
      <c r="C6927" s="1" t="n">
        <v>45715</v>
      </c>
      <c r="D6927" t="inlineStr">
        <is>
          <t>KALMAR LÄN</t>
        </is>
      </c>
      <c r="E6927" t="inlineStr">
        <is>
          <t>VIMMERBY</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62023-2022</t>
        </is>
      </c>
      <c r="B6928" s="1" t="n">
        <v>44918</v>
      </c>
      <c r="C6928" s="1" t="n">
        <v>45715</v>
      </c>
      <c r="D6928" t="inlineStr">
        <is>
          <t>KALMAR LÄN</t>
        </is>
      </c>
      <c r="E6928" t="inlineStr">
        <is>
          <t>VIMMERBY</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89-2023</t>
        </is>
      </c>
      <c r="B6929" s="1" t="n">
        <v>44918</v>
      </c>
      <c r="C6929" s="1" t="n">
        <v>45715</v>
      </c>
      <c r="D6929" t="inlineStr">
        <is>
          <t>KALMAR LÄN</t>
        </is>
      </c>
      <c r="E6929" t="inlineStr">
        <is>
          <t>VIMMERBY</t>
        </is>
      </c>
      <c r="G6929" t="n">
        <v>16.1</v>
      </c>
      <c r="H6929" t="n">
        <v>0</v>
      </c>
      <c r="I6929" t="n">
        <v>0</v>
      </c>
      <c r="J6929" t="n">
        <v>0</v>
      </c>
      <c r="K6929" t="n">
        <v>0</v>
      </c>
      <c r="L6929" t="n">
        <v>0</v>
      </c>
      <c r="M6929" t="n">
        <v>0</v>
      </c>
      <c r="N6929" t="n">
        <v>0</v>
      </c>
      <c r="O6929" t="n">
        <v>0</v>
      </c>
      <c r="P6929" t="n">
        <v>0</v>
      </c>
      <c r="Q6929" t="n">
        <v>0</v>
      </c>
      <c r="R6929" s="2" t="inlineStr"/>
    </row>
    <row r="6930" ht="15" customHeight="1">
      <c r="A6930" t="inlineStr">
        <is>
          <t>A 62204-2022</t>
        </is>
      </c>
      <c r="B6930" s="1" t="n">
        <v>44922</v>
      </c>
      <c r="C6930" s="1" t="n">
        <v>45715</v>
      </c>
      <c r="D6930" t="inlineStr">
        <is>
          <t>KALMAR LÄN</t>
        </is>
      </c>
      <c r="E6930" t="inlineStr">
        <is>
          <t>MÖNSTERÅS</t>
        </is>
      </c>
      <c r="G6930" t="n">
        <v>5.7</v>
      </c>
      <c r="H6930" t="n">
        <v>0</v>
      </c>
      <c r="I6930" t="n">
        <v>0</v>
      </c>
      <c r="J6930" t="n">
        <v>0</v>
      </c>
      <c r="K6930" t="n">
        <v>0</v>
      </c>
      <c r="L6930" t="n">
        <v>0</v>
      </c>
      <c r="M6930" t="n">
        <v>0</v>
      </c>
      <c r="N6930" t="n">
        <v>0</v>
      </c>
      <c r="O6930" t="n">
        <v>0</v>
      </c>
      <c r="P6930" t="n">
        <v>0</v>
      </c>
      <c r="Q6930" t="n">
        <v>0</v>
      </c>
      <c r="R6930" s="2" t="inlineStr"/>
    </row>
    <row r="6931" ht="15" customHeight="1">
      <c r="A6931" t="inlineStr">
        <is>
          <t>A 62197-2022</t>
        </is>
      </c>
      <c r="B6931" s="1" t="n">
        <v>44922</v>
      </c>
      <c r="C6931" s="1" t="n">
        <v>45715</v>
      </c>
      <c r="D6931" t="inlineStr">
        <is>
          <t>KALMAR LÄN</t>
        </is>
      </c>
      <c r="E6931" t="inlineStr">
        <is>
          <t>EMMABODA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62218-2022</t>
        </is>
      </c>
      <c r="B6932" s="1" t="n">
        <v>44922</v>
      </c>
      <c r="C6932" s="1" t="n">
        <v>45715</v>
      </c>
      <c r="D6932" t="inlineStr">
        <is>
          <t>KALMAR LÄN</t>
        </is>
      </c>
      <c r="E6932" t="inlineStr">
        <is>
          <t>MÖNSTERÅS</t>
        </is>
      </c>
      <c r="G6932" t="n">
        <v>6.9</v>
      </c>
      <c r="H6932" t="n">
        <v>0</v>
      </c>
      <c r="I6932" t="n">
        <v>0</v>
      </c>
      <c r="J6932" t="n">
        <v>0</v>
      </c>
      <c r="K6932" t="n">
        <v>0</v>
      </c>
      <c r="L6932" t="n">
        <v>0</v>
      </c>
      <c r="M6932" t="n">
        <v>0</v>
      </c>
      <c r="N6932" t="n">
        <v>0</v>
      </c>
      <c r="O6932" t="n">
        <v>0</v>
      </c>
      <c r="P6932" t="n">
        <v>0</v>
      </c>
      <c r="Q6932" t="n">
        <v>0</v>
      </c>
      <c r="R6932" s="2" t="inlineStr"/>
    </row>
    <row r="6933" ht="15" customHeight="1">
      <c r="A6933" t="inlineStr">
        <is>
          <t>A 62276-2022</t>
        </is>
      </c>
      <c r="B6933" s="1" t="n">
        <v>44923</v>
      </c>
      <c r="C6933" s="1" t="n">
        <v>45715</v>
      </c>
      <c r="D6933" t="inlineStr">
        <is>
          <t>KALMAR LÄN</t>
        </is>
      </c>
      <c r="E6933" t="inlineStr">
        <is>
          <t>MÖNSTERÅS</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62283-2022</t>
        </is>
      </c>
      <c r="B6934" s="1" t="n">
        <v>44923</v>
      </c>
      <c r="C6934" s="1" t="n">
        <v>45715</v>
      </c>
      <c r="D6934" t="inlineStr">
        <is>
          <t>KALMAR LÄN</t>
        </is>
      </c>
      <c r="E6934" t="inlineStr">
        <is>
          <t>MÖNSTERÅS</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62306-2022</t>
        </is>
      </c>
      <c r="B6935" s="1" t="n">
        <v>44923</v>
      </c>
      <c r="C6935" s="1" t="n">
        <v>45715</v>
      </c>
      <c r="D6935" t="inlineStr">
        <is>
          <t>KALMAR LÄN</t>
        </is>
      </c>
      <c r="E6935" t="inlineStr">
        <is>
          <t>VÄSTERVIK</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62280-2022</t>
        </is>
      </c>
      <c r="B6936" s="1" t="n">
        <v>44923</v>
      </c>
      <c r="C6936" s="1" t="n">
        <v>45715</v>
      </c>
      <c r="D6936" t="inlineStr">
        <is>
          <t>KALMAR LÄN</t>
        </is>
      </c>
      <c r="E6936" t="inlineStr">
        <is>
          <t>MÖNSTERÅS</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62455-2022</t>
        </is>
      </c>
      <c r="B6937" s="1" t="n">
        <v>44924</v>
      </c>
      <c r="C6937" s="1" t="n">
        <v>45715</v>
      </c>
      <c r="D6937" t="inlineStr">
        <is>
          <t>KALMAR LÄN</t>
        </is>
      </c>
      <c r="E6937" t="inlineStr">
        <is>
          <t>KALMAR</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62422-2022</t>
        </is>
      </c>
      <c r="B6938" s="1" t="n">
        <v>44924</v>
      </c>
      <c r="C6938" s="1" t="n">
        <v>45715</v>
      </c>
      <c r="D6938" t="inlineStr">
        <is>
          <t>KALMAR LÄN</t>
        </is>
      </c>
      <c r="E6938" t="inlineStr">
        <is>
          <t>VÄSTERVIK</t>
        </is>
      </c>
      <c r="G6938" t="n">
        <v>4.9</v>
      </c>
      <c r="H6938" t="n">
        <v>0</v>
      </c>
      <c r="I6938" t="n">
        <v>0</v>
      </c>
      <c r="J6938" t="n">
        <v>0</v>
      </c>
      <c r="K6938" t="n">
        <v>0</v>
      </c>
      <c r="L6938" t="n">
        <v>0</v>
      </c>
      <c r="M6938" t="n">
        <v>0</v>
      </c>
      <c r="N6938" t="n">
        <v>0</v>
      </c>
      <c r="O6938" t="n">
        <v>0</v>
      </c>
      <c r="P6938" t="n">
        <v>0</v>
      </c>
      <c r="Q6938" t="n">
        <v>0</v>
      </c>
      <c r="R6938" s="2" t="inlineStr"/>
    </row>
    <row r="6939" ht="15" customHeight="1">
      <c r="A6939" t="inlineStr">
        <is>
          <t>A 62451-2022</t>
        </is>
      </c>
      <c r="B6939" s="1" t="n">
        <v>44924</v>
      </c>
      <c r="C6939" s="1" t="n">
        <v>45715</v>
      </c>
      <c r="D6939" t="inlineStr">
        <is>
          <t>KALMAR LÄN</t>
        </is>
      </c>
      <c r="E6939" t="inlineStr">
        <is>
          <t>KALMAR</t>
        </is>
      </c>
      <c r="G6939" t="n">
        <v>6.5</v>
      </c>
      <c r="H6939" t="n">
        <v>0</v>
      </c>
      <c r="I6939" t="n">
        <v>0</v>
      </c>
      <c r="J6939" t="n">
        <v>0</v>
      </c>
      <c r="K6939" t="n">
        <v>0</v>
      </c>
      <c r="L6939" t="n">
        <v>0</v>
      </c>
      <c r="M6939" t="n">
        <v>0</v>
      </c>
      <c r="N6939" t="n">
        <v>0</v>
      </c>
      <c r="O6939" t="n">
        <v>0</v>
      </c>
      <c r="P6939" t="n">
        <v>0</v>
      </c>
      <c r="Q6939" t="n">
        <v>0</v>
      </c>
      <c r="R6939" s="2" t="inlineStr"/>
    </row>
    <row r="6940" ht="15" customHeight="1">
      <c r="A6940" t="inlineStr">
        <is>
          <t>A 62457-2022</t>
        </is>
      </c>
      <c r="B6940" s="1" t="n">
        <v>44924</v>
      </c>
      <c r="C6940" s="1" t="n">
        <v>45715</v>
      </c>
      <c r="D6940" t="inlineStr">
        <is>
          <t>KALMAR LÄN</t>
        </is>
      </c>
      <c r="E6940" t="inlineStr">
        <is>
          <t>KALMAR</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62456-2022</t>
        </is>
      </c>
      <c r="B6941" s="1" t="n">
        <v>44924</v>
      </c>
      <c r="C6941" s="1" t="n">
        <v>45715</v>
      </c>
      <c r="D6941" t="inlineStr">
        <is>
          <t>KALMAR LÄN</t>
        </is>
      </c>
      <c r="E6941" t="inlineStr">
        <is>
          <t>KALMAR</t>
        </is>
      </c>
      <c r="G6941" t="n">
        <v>6.7</v>
      </c>
      <c r="H6941" t="n">
        <v>0</v>
      </c>
      <c r="I6941" t="n">
        <v>0</v>
      </c>
      <c r="J6941" t="n">
        <v>0</v>
      </c>
      <c r="K6941" t="n">
        <v>0</v>
      </c>
      <c r="L6941" t="n">
        <v>0</v>
      </c>
      <c r="M6941" t="n">
        <v>0</v>
      </c>
      <c r="N6941" t="n">
        <v>0</v>
      </c>
      <c r="O6941" t="n">
        <v>0</v>
      </c>
      <c r="P6941" t="n">
        <v>0</v>
      </c>
      <c r="Q6941" t="n">
        <v>0</v>
      </c>
      <c r="R6941" s="2" t="inlineStr"/>
    </row>
    <row r="6942" ht="15" customHeight="1">
      <c r="A6942" t="inlineStr">
        <is>
          <t>A 62562-2022</t>
        </is>
      </c>
      <c r="B6942" s="1" t="n">
        <v>44924</v>
      </c>
      <c r="C6942" s="1" t="n">
        <v>45715</v>
      </c>
      <c r="D6942" t="inlineStr">
        <is>
          <t>KALMAR LÄN</t>
        </is>
      </c>
      <c r="E6942" t="inlineStr">
        <is>
          <t>HÖGSBY</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65-2023</t>
        </is>
      </c>
      <c r="B6943" s="1" t="n">
        <v>44928</v>
      </c>
      <c r="C6943" s="1" t="n">
        <v>45715</v>
      </c>
      <c r="D6943" t="inlineStr">
        <is>
          <t>KALMAR LÄN</t>
        </is>
      </c>
      <c r="E6943" t="inlineStr">
        <is>
          <t>VÄSTERVIK</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144-2023</t>
        </is>
      </c>
      <c r="B6944" s="1" t="n">
        <v>44928</v>
      </c>
      <c r="C6944" s="1" t="n">
        <v>45715</v>
      </c>
      <c r="D6944" t="inlineStr">
        <is>
          <t>KALMAR LÄN</t>
        </is>
      </c>
      <c r="E6944" t="inlineStr">
        <is>
          <t>HULTSFRED</t>
        </is>
      </c>
      <c r="F6944" t="inlineStr">
        <is>
          <t>Sveaskog</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63-2023</t>
        </is>
      </c>
      <c r="B6945" s="1" t="n">
        <v>44928</v>
      </c>
      <c r="C6945" s="1" t="n">
        <v>45715</v>
      </c>
      <c r="D6945" t="inlineStr">
        <is>
          <t>KALMAR LÄN</t>
        </is>
      </c>
      <c r="E6945" t="inlineStr">
        <is>
          <t>HULTSFRED</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214-2023</t>
        </is>
      </c>
      <c r="B6946" s="1" t="n">
        <v>44928</v>
      </c>
      <c r="C6946" s="1" t="n">
        <v>45715</v>
      </c>
      <c r="D6946" t="inlineStr">
        <is>
          <t>KALMAR LÄN</t>
        </is>
      </c>
      <c r="E6946" t="inlineStr">
        <is>
          <t>MÖNSTERÅS</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115-2023</t>
        </is>
      </c>
      <c r="B6947" s="1" t="n">
        <v>44928</v>
      </c>
      <c r="C6947" s="1" t="n">
        <v>45715</v>
      </c>
      <c r="D6947" t="inlineStr">
        <is>
          <t>KALMAR LÄN</t>
        </is>
      </c>
      <c r="E6947" t="inlineStr">
        <is>
          <t>HULTSFRED</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249-2023</t>
        </is>
      </c>
      <c r="B6948" s="1" t="n">
        <v>44928</v>
      </c>
      <c r="C6948" s="1" t="n">
        <v>45715</v>
      </c>
      <c r="D6948" t="inlineStr">
        <is>
          <t>KALMAR LÄN</t>
        </is>
      </c>
      <c r="E6948" t="inlineStr">
        <is>
          <t>TORSÅS</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112-2023</t>
        </is>
      </c>
      <c r="B6949" s="1" t="n">
        <v>44928</v>
      </c>
      <c r="C6949" s="1" t="n">
        <v>45715</v>
      </c>
      <c r="D6949" t="inlineStr">
        <is>
          <t>KALMAR LÄN</t>
        </is>
      </c>
      <c r="E6949" t="inlineStr">
        <is>
          <t>HULTSFRED</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175-2023</t>
        </is>
      </c>
      <c r="B6950" s="1" t="n">
        <v>44928</v>
      </c>
      <c r="C6950" s="1" t="n">
        <v>45715</v>
      </c>
      <c r="D6950" t="inlineStr">
        <is>
          <t>KALMAR LÄN</t>
        </is>
      </c>
      <c r="E6950" t="inlineStr">
        <is>
          <t>NYBRO</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191-2023</t>
        </is>
      </c>
      <c r="B6951" s="1" t="n">
        <v>44928</v>
      </c>
      <c r="C6951" s="1" t="n">
        <v>45715</v>
      </c>
      <c r="D6951" t="inlineStr">
        <is>
          <t>KALMAR LÄN</t>
        </is>
      </c>
      <c r="E6951" t="inlineStr">
        <is>
          <t>NYBRO</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251-2023</t>
        </is>
      </c>
      <c r="B6952" s="1" t="n">
        <v>44928</v>
      </c>
      <c r="C6952" s="1" t="n">
        <v>45715</v>
      </c>
      <c r="D6952" t="inlineStr">
        <is>
          <t>KALMAR LÄN</t>
        </is>
      </c>
      <c r="E6952" t="inlineStr">
        <is>
          <t>TORSÅS</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332-2023</t>
        </is>
      </c>
      <c r="B6953" s="1" t="n">
        <v>44929</v>
      </c>
      <c r="C6953" s="1" t="n">
        <v>45715</v>
      </c>
      <c r="D6953" t="inlineStr">
        <is>
          <t>KALMAR LÄN</t>
        </is>
      </c>
      <c r="E6953" t="inlineStr">
        <is>
          <t>NYBRO</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324-2023</t>
        </is>
      </c>
      <c r="B6954" s="1" t="n">
        <v>44929</v>
      </c>
      <c r="C6954" s="1" t="n">
        <v>45715</v>
      </c>
      <c r="D6954" t="inlineStr">
        <is>
          <t>KALMAR LÄN</t>
        </is>
      </c>
      <c r="E6954" t="inlineStr">
        <is>
          <t>NYBRO</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346-2023</t>
        </is>
      </c>
      <c r="B6955" s="1" t="n">
        <v>44929</v>
      </c>
      <c r="C6955" s="1" t="n">
        <v>45715</v>
      </c>
      <c r="D6955" t="inlineStr">
        <is>
          <t>KALMAR LÄN</t>
        </is>
      </c>
      <c r="E6955" t="inlineStr">
        <is>
          <t>VIMMERBY</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352-2023</t>
        </is>
      </c>
      <c r="B6956" s="1" t="n">
        <v>44929</v>
      </c>
      <c r="C6956" s="1" t="n">
        <v>45715</v>
      </c>
      <c r="D6956" t="inlineStr">
        <is>
          <t>KALMAR LÄN</t>
        </is>
      </c>
      <c r="E6956" t="inlineStr">
        <is>
          <t>VÄSTERVIK</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343-2023</t>
        </is>
      </c>
      <c r="B6957" s="1" t="n">
        <v>44929</v>
      </c>
      <c r="C6957" s="1" t="n">
        <v>45715</v>
      </c>
      <c r="D6957" t="inlineStr">
        <is>
          <t>KALMAR LÄN</t>
        </is>
      </c>
      <c r="E6957" t="inlineStr">
        <is>
          <t>VIMMERBY</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351-2023</t>
        </is>
      </c>
      <c r="B6958" s="1" t="n">
        <v>44929</v>
      </c>
      <c r="C6958" s="1" t="n">
        <v>45715</v>
      </c>
      <c r="D6958" t="inlineStr">
        <is>
          <t>KALMAR LÄN</t>
        </is>
      </c>
      <c r="E6958" t="inlineStr">
        <is>
          <t>VÄSTERVIK</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578-2023</t>
        </is>
      </c>
      <c r="B6959" s="1" t="n">
        <v>44930</v>
      </c>
      <c r="C6959" s="1" t="n">
        <v>45715</v>
      </c>
      <c r="D6959" t="inlineStr">
        <is>
          <t>KALMAR LÄN</t>
        </is>
      </c>
      <c r="E6959" t="inlineStr">
        <is>
          <t>EMMABODA</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610-2023</t>
        </is>
      </c>
      <c r="B6960" s="1" t="n">
        <v>44930</v>
      </c>
      <c r="C6960" s="1" t="n">
        <v>45715</v>
      </c>
      <c r="D6960" t="inlineStr">
        <is>
          <t>KALMAR LÄN</t>
        </is>
      </c>
      <c r="E6960" t="inlineStr">
        <is>
          <t>KALMAR</t>
        </is>
      </c>
      <c r="F6960" t="inlineStr">
        <is>
          <t>Sveaskog</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562-2023</t>
        </is>
      </c>
      <c r="B6961" s="1" t="n">
        <v>44930</v>
      </c>
      <c r="C6961" s="1" t="n">
        <v>45715</v>
      </c>
      <c r="D6961" t="inlineStr">
        <is>
          <t>KALMAR LÄN</t>
        </is>
      </c>
      <c r="E6961" t="inlineStr">
        <is>
          <t>VÄSTERVIK</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502-2023</t>
        </is>
      </c>
      <c r="B6962" s="1" t="n">
        <v>44930</v>
      </c>
      <c r="C6962" s="1" t="n">
        <v>45715</v>
      </c>
      <c r="D6962" t="inlineStr">
        <is>
          <t>KALMAR LÄN</t>
        </is>
      </c>
      <c r="E6962" t="inlineStr">
        <is>
          <t>VIMMERBY</t>
        </is>
      </c>
      <c r="G6962" t="n">
        <v>5</v>
      </c>
      <c r="H6962" t="n">
        <v>0</v>
      </c>
      <c r="I6962" t="n">
        <v>0</v>
      </c>
      <c r="J6962" t="n">
        <v>0</v>
      </c>
      <c r="K6962" t="n">
        <v>0</v>
      </c>
      <c r="L6962" t="n">
        <v>0</v>
      </c>
      <c r="M6962" t="n">
        <v>0</v>
      </c>
      <c r="N6962" t="n">
        <v>0</v>
      </c>
      <c r="O6962" t="n">
        <v>0</v>
      </c>
      <c r="P6962" t="n">
        <v>0</v>
      </c>
      <c r="Q6962" t="n">
        <v>0</v>
      </c>
      <c r="R6962" s="2" t="inlineStr"/>
    </row>
    <row r="6963" ht="15" customHeight="1">
      <c r="A6963" t="inlineStr">
        <is>
          <t>A 508-2023</t>
        </is>
      </c>
      <c r="B6963" s="1" t="n">
        <v>44930</v>
      </c>
      <c r="C6963" s="1" t="n">
        <v>45715</v>
      </c>
      <c r="D6963" t="inlineStr">
        <is>
          <t>KALMAR LÄN</t>
        </is>
      </c>
      <c r="E6963" t="inlineStr">
        <is>
          <t>VIMMERBY</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649-2023</t>
        </is>
      </c>
      <c r="B6964" s="1" t="n">
        <v>44930</v>
      </c>
      <c r="C6964" s="1" t="n">
        <v>45715</v>
      </c>
      <c r="D6964" t="inlineStr">
        <is>
          <t>KALMAR LÄN</t>
        </is>
      </c>
      <c r="E6964" t="inlineStr">
        <is>
          <t>NYBRO</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762-2023</t>
        </is>
      </c>
      <c r="B6965" s="1" t="n">
        <v>44931</v>
      </c>
      <c r="C6965" s="1" t="n">
        <v>45715</v>
      </c>
      <c r="D6965" t="inlineStr">
        <is>
          <t>KALMAR LÄN</t>
        </is>
      </c>
      <c r="E6965" t="inlineStr">
        <is>
          <t>MÖNSTERÅS</t>
        </is>
      </c>
      <c r="G6965" t="n">
        <v>8.199999999999999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740-2023</t>
        </is>
      </c>
      <c r="B6966" s="1" t="n">
        <v>44931</v>
      </c>
      <c r="C6966" s="1" t="n">
        <v>45715</v>
      </c>
      <c r="D6966" t="inlineStr">
        <is>
          <t>KALMAR LÄN</t>
        </is>
      </c>
      <c r="E6966" t="inlineStr">
        <is>
          <t>VÄSTERVIK</t>
        </is>
      </c>
      <c r="G6966" t="n">
        <v>9.6</v>
      </c>
      <c r="H6966" t="n">
        <v>0</v>
      </c>
      <c r="I6966" t="n">
        <v>0</v>
      </c>
      <c r="J6966" t="n">
        <v>0</v>
      </c>
      <c r="K6966" t="n">
        <v>0</v>
      </c>
      <c r="L6966" t="n">
        <v>0</v>
      </c>
      <c r="M6966" t="n">
        <v>0</v>
      </c>
      <c r="N6966" t="n">
        <v>0</v>
      </c>
      <c r="O6966" t="n">
        <v>0</v>
      </c>
      <c r="P6966" t="n">
        <v>0</v>
      </c>
      <c r="Q6966" t="n">
        <v>0</v>
      </c>
      <c r="R6966" s="2" t="inlineStr"/>
    </row>
    <row r="6967" ht="15" customHeight="1">
      <c r="A6967" t="inlineStr">
        <is>
          <t>A 845-2023</t>
        </is>
      </c>
      <c r="B6967" s="1" t="n">
        <v>44931</v>
      </c>
      <c r="C6967" s="1" t="n">
        <v>45715</v>
      </c>
      <c r="D6967" t="inlineStr">
        <is>
          <t>KALMAR LÄN</t>
        </is>
      </c>
      <c r="E6967" t="inlineStr">
        <is>
          <t>VIMMERBY</t>
        </is>
      </c>
      <c r="F6967" t="inlineStr">
        <is>
          <t>Övriga Aktiebolag</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750-2023</t>
        </is>
      </c>
      <c r="B6968" s="1" t="n">
        <v>44931</v>
      </c>
      <c r="C6968" s="1" t="n">
        <v>45715</v>
      </c>
      <c r="D6968" t="inlineStr">
        <is>
          <t>KALMAR LÄN</t>
        </is>
      </c>
      <c r="E6968" t="inlineStr">
        <is>
          <t>KALMAR</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776-2023</t>
        </is>
      </c>
      <c r="B6969" s="1" t="n">
        <v>44931</v>
      </c>
      <c r="C6969" s="1" t="n">
        <v>45715</v>
      </c>
      <c r="D6969" t="inlineStr">
        <is>
          <t>KALMAR LÄN</t>
        </is>
      </c>
      <c r="E6969" t="inlineStr">
        <is>
          <t>MÖNSTERÅS</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792-2023</t>
        </is>
      </c>
      <c r="B6970" s="1" t="n">
        <v>44931</v>
      </c>
      <c r="C6970" s="1" t="n">
        <v>45715</v>
      </c>
      <c r="D6970" t="inlineStr">
        <is>
          <t>KALMAR LÄN</t>
        </is>
      </c>
      <c r="E6970" t="inlineStr">
        <is>
          <t>VÄSTERVIK</t>
        </is>
      </c>
      <c r="F6970" t="inlineStr">
        <is>
          <t>Holmen skog AB</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808-2023</t>
        </is>
      </c>
      <c r="B6971" s="1" t="n">
        <v>44931</v>
      </c>
      <c r="C6971" s="1" t="n">
        <v>45715</v>
      </c>
      <c r="D6971" t="inlineStr">
        <is>
          <t>KALMAR LÄN</t>
        </is>
      </c>
      <c r="E6971" t="inlineStr">
        <is>
          <t>VÄSTERVIK</t>
        </is>
      </c>
      <c r="F6971" t="inlineStr">
        <is>
          <t>Holmen skog AB</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816-2023</t>
        </is>
      </c>
      <c r="B6972" s="1" t="n">
        <v>44931</v>
      </c>
      <c r="C6972" s="1" t="n">
        <v>45715</v>
      </c>
      <c r="D6972" t="inlineStr">
        <is>
          <t>KALMAR LÄN</t>
        </is>
      </c>
      <c r="E6972" t="inlineStr">
        <is>
          <t>NYBRO</t>
        </is>
      </c>
      <c r="F6972" t="inlineStr">
        <is>
          <t>Sveaskog</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830-2023</t>
        </is>
      </c>
      <c r="B6973" s="1" t="n">
        <v>44931</v>
      </c>
      <c r="C6973" s="1" t="n">
        <v>45715</v>
      </c>
      <c r="D6973" t="inlineStr">
        <is>
          <t>KALMAR LÄN</t>
        </is>
      </c>
      <c r="E6973" t="inlineStr">
        <is>
          <t>NYBRO</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815-2023</t>
        </is>
      </c>
      <c r="B6974" s="1" t="n">
        <v>44931</v>
      </c>
      <c r="C6974" s="1" t="n">
        <v>45715</v>
      </c>
      <c r="D6974" t="inlineStr">
        <is>
          <t>KALMAR LÄN</t>
        </is>
      </c>
      <c r="E6974" t="inlineStr">
        <is>
          <t>NYBRO</t>
        </is>
      </c>
      <c r="F6974" t="inlineStr">
        <is>
          <t>Sveaskog</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870-2023</t>
        </is>
      </c>
      <c r="B6975" s="1" t="n">
        <v>44931</v>
      </c>
      <c r="C6975" s="1" t="n">
        <v>45715</v>
      </c>
      <c r="D6975" t="inlineStr">
        <is>
          <t>KALMAR LÄN</t>
        </is>
      </c>
      <c r="E6975" t="inlineStr">
        <is>
          <t>MÖNSTERÅS</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843-2023</t>
        </is>
      </c>
      <c r="B6976" s="1" t="n">
        <v>44931</v>
      </c>
      <c r="C6976" s="1" t="n">
        <v>45715</v>
      </c>
      <c r="D6976" t="inlineStr">
        <is>
          <t>KALMAR LÄN</t>
        </is>
      </c>
      <c r="E6976" t="inlineStr">
        <is>
          <t>VÄSTERVIK</t>
        </is>
      </c>
      <c r="F6976" t="inlineStr">
        <is>
          <t>Holmen skog AB</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935-2023</t>
        </is>
      </c>
      <c r="B6977" s="1" t="n">
        <v>44933</v>
      </c>
      <c r="C6977" s="1" t="n">
        <v>45715</v>
      </c>
      <c r="D6977" t="inlineStr">
        <is>
          <t>KALMAR LÄN</t>
        </is>
      </c>
      <c r="E6977" t="inlineStr">
        <is>
          <t>NYBRO</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1033-2023</t>
        </is>
      </c>
      <c r="B6978" s="1" t="n">
        <v>44935</v>
      </c>
      <c r="C6978" s="1" t="n">
        <v>45715</v>
      </c>
      <c r="D6978" t="inlineStr">
        <is>
          <t>KALMAR LÄN</t>
        </is>
      </c>
      <c r="E6978" t="inlineStr">
        <is>
          <t>HULTSFRED</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1086-2023</t>
        </is>
      </c>
      <c r="B6979" s="1" t="n">
        <v>44935</v>
      </c>
      <c r="C6979" s="1" t="n">
        <v>45715</v>
      </c>
      <c r="D6979" t="inlineStr">
        <is>
          <t>KALMAR LÄN</t>
        </is>
      </c>
      <c r="E6979" t="inlineStr">
        <is>
          <t>VIMMERBY</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1081-2023</t>
        </is>
      </c>
      <c r="B6980" s="1" t="n">
        <v>44935</v>
      </c>
      <c r="C6980" s="1" t="n">
        <v>45715</v>
      </c>
      <c r="D6980" t="inlineStr">
        <is>
          <t>KALMAR LÄN</t>
        </is>
      </c>
      <c r="E6980" t="inlineStr">
        <is>
          <t>VIMMERBY</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1079-2023</t>
        </is>
      </c>
      <c r="B6981" s="1" t="n">
        <v>44935</v>
      </c>
      <c r="C6981" s="1" t="n">
        <v>45715</v>
      </c>
      <c r="D6981" t="inlineStr">
        <is>
          <t>KALMAR LÄN</t>
        </is>
      </c>
      <c r="E6981" t="inlineStr">
        <is>
          <t>VÄSTERVIK</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1699-2023</t>
        </is>
      </c>
      <c r="B6982" s="1" t="n">
        <v>44935</v>
      </c>
      <c r="C6982" s="1" t="n">
        <v>45715</v>
      </c>
      <c r="D6982" t="inlineStr">
        <is>
          <t>KALMAR LÄN</t>
        </is>
      </c>
      <c r="E6982" t="inlineStr">
        <is>
          <t>VÄSTERVIK</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1396-2023</t>
        </is>
      </c>
      <c r="B6983" s="1" t="n">
        <v>44936</v>
      </c>
      <c r="C6983" s="1" t="n">
        <v>45715</v>
      </c>
      <c r="D6983" t="inlineStr">
        <is>
          <t>KALMAR LÄN</t>
        </is>
      </c>
      <c r="E6983" t="inlineStr">
        <is>
          <t>NYBRO</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1527-2023</t>
        </is>
      </c>
      <c r="B6984" s="1" t="n">
        <v>44937</v>
      </c>
      <c r="C6984" s="1" t="n">
        <v>45715</v>
      </c>
      <c r="D6984" t="inlineStr">
        <is>
          <t>KALMAR LÄN</t>
        </is>
      </c>
      <c r="E6984" t="inlineStr">
        <is>
          <t>NYBRO</t>
        </is>
      </c>
      <c r="F6984" t="inlineStr">
        <is>
          <t>Sveaskog</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1568-2023</t>
        </is>
      </c>
      <c r="B6985" s="1" t="n">
        <v>44937</v>
      </c>
      <c r="C6985" s="1" t="n">
        <v>45715</v>
      </c>
      <c r="D6985" t="inlineStr">
        <is>
          <t>KALMAR LÄN</t>
        </is>
      </c>
      <c r="E6985" t="inlineStr">
        <is>
          <t>VÄSTERVIK</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1663-2023</t>
        </is>
      </c>
      <c r="B6986" s="1" t="n">
        <v>44938</v>
      </c>
      <c r="C6986" s="1" t="n">
        <v>45715</v>
      </c>
      <c r="D6986" t="inlineStr">
        <is>
          <t>KALMAR LÄN</t>
        </is>
      </c>
      <c r="E6986" t="inlineStr">
        <is>
          <t>TORSÅS</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1687-2023</t>
        </is>
      </c>
      <c r="B6987" s="1" t="n">
        <v>44938</v>
      </c>
      <c r="C6987" s="1" t="n">
        <v>45715</v>
      </c>
      <c r="D6987" t="inlineStr">
        <is>
          <t>KALMAR LÄN</t>
        </is>
      </c>
      <c r="E6987" t="inlineStr">
        <is>
          <t>VIMMERBY</t>
        </is>
      </c>
      <c r="F6987" t="inlineStr">
        <is>
          <t>Kommuner</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1718-2023</t>
        </is>
      </c>
      <c r="B6988" s="1" t="n">
        <v>44938</v>
      </c>
      <c r="C6988" s="1" t="n">
        <v>45715</v>
      </c>
      <c r="D6988" t="inlineStr">
        <is>
          <t>KALMAR LÄN</t>
        </is>
      </c>
      <c r="E6988" t="inlineStr">
        <is>
          <t>HULTSFRED</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1729-2023</t>
        </is>
      </c>
      <c r="B6989" s="1" t="n">
        <v>44938</v>
      </c>
      <c r="C6989" s="1" t="n">
        <v>45715</v>
      </c>
      <c r="D6989" t="inlineStr">
        <is>
          <t>KALMAR LÄN</t>
        </is>
      </c>
      <c r="E6989" t="inlineStr">
        <is>
          <t>NYBRO</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1798-2023</t>
        </is>
      </c>
      <c r="B6990" s="1" t="n">
        <v>44938</v>
      </c>
      <c r="C6990" s="1" t="n">
        <v>45715</v>
      </c>
      <c r="D6990" t="inlineStr">
        <is>
          <t>KALMAR LÄN</t>
        </is>
      </c>
      <c r="E6990" t="inlineStr">
        <is>
          <t>VÄSTERVIK</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1673-2023</t>
        </is>
      </c>
      <c r="B6991" s="1" t="n">
        <v>44938</v>
      </c>
      <c r="C6991" s="1" t="n">
        <v>45715</v>
      </c>
      <c r="D6991" t="inlineStr">
        <is>
          <t>KALMAR LÄN</t>
        </is>
      </c>
      <c r="E6991" t="inlineStr">
        <is>
          <t>HULTSFRED</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1741-2023</t>
        </is>
      </c>
      <c r="B6992" s="1" t="n">
        <v>44938</v>
      </c>
      <c r="C6992" s="1" t="n">
        <v>45715</v>
      </c>
      <c r="D6992" t="inlineStr">
        <is>
          <t>KALMAR LÄN</t>
        </is>
      </c>
      <c r="E6992" t="inlineStr">
        <is>
          <t>EMMABODA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1667-2023</t>
        </is>
      </c>
      <c r="B6993" s="1" t="n">
        <v>44938</v>
      </c>
      <c r="C6993" s="1" t="n">
        <v>45715</v>
      </c>
      <c r="D6993" t="inlineStr">
        <is>
          <t>KALMAR LÄN</t>
        </is>
      </c>
      <c r="E6993" t="inlineStr">
        <is>
          <t>VIMMERBY</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1731-2023</t>
        </is>
      </c>
      <c r="B6994" s="1" t="n">
        <v>44938</v>
      </c>
      <c r="C6994" s="1" t="n">
        <v>45715</v>
      </c>
      <c r="D6994" t="inlineStr">
        <is>
          <t>KALMAR LÄN</t>
        </is>
      </c>
      <c r="E6994" t="inlineStr">
        <is>
          <t>TORSÅS</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1818-2023</t>
        </is>
      </c>
      <c r="B6995" s="1" t="n">
        <v>44938</v>
      </c>
      <c r="C6995" s="1" t="n">
        <v>45715</v>
      </c>
      <c r="D6995" t="inlineStr">
        <is>
          <t>KALMAR LÄN</t>
        </is>
      </c>
      <c r="E6995" t="inlineStr">
        <is>
          <t>TORSÅS</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1819-2023</t>
        </is>
      </c>
      <c r="B6996" s="1" t="n">
        <v>44938</v>
      </c>
      <c r="C6996" s="1" t="n">
        <v>45715</v>
      </c>
      <c r="D6996" t="inlineStr">
        <is>
          <t>KALMAR LÄN</t>
        </is>
      </c>
      <c r="E6996" t="inlineStr">
        <is>
          <t>TORSÅS</t>
        </is>
      </c>
      <c r="G6996" t="n">
        <v>7.2</v>
      </c>
      <c r="H6996" t="n">
        <v>0</v>
      </c>
      <c r="I6996" t="n">
        <v>0</v>
      </c>
      <c r="J6996" t="n">
        <v>0</v>
      </c>
      <c r="K6996" t="n">
        <v>0</v>
      </c>
      <c r="L6996" t="n">
        <v>0</v>
      </c>
      <c r="M6996" t="n">
        <v>0</v>
      </c>
      <c r="N6996" t="n">
        <v>0</v>
      </c>
      <c r="O6996" t="n">
        <v>0</v>
      </c>
      <c r="P6996" t="n">
        <v>0</v>
      </c>
      <c r="Q6996" t="n">
        <v>0</v>
      </c>
      <c r="R6996" s="2" t="inlineStr"/>
    </row>
    <row r="6997" ht="15" customHeight="1">
      <c r="A6997" t="inlineStr">
        <is>
          <t>A 1777-2023</t>
        </is>
      </c>
      <c r="B6997" s="1" t="n">
        <v>44938</v>
      </c>
      <c r="C6997" s="1" t="n">
        <v>45715</v>
      </c>
      <c r="D6997" t="inlineStr">
        <is>
          <t>KALMAR LÄN</t>
        </is>
      </c>
      <c r="E6997" t="inlineStr">
        <is>
          <t>OSKARSHAMN</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1965-2023</t>
        </is>
      </c>
      <c r="B6998" s="1" t="n">
        <v>44939</v>
      </c>
      <c r="C6998" s="1" t="n">
        <v>45715</v>
      </c>
      <c r="D6998" t="inlineStr">
        <is>
          <t>KALMAR LÄN</t>
        </is>
      </c>
      <c r="E6998" t="inlineStr">
        <is>
          <t>NYBRO</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1973-2023</t>
        </is>
      </c>
      <c r="B6999" s="1" t="n">
        <v>44939</v>
      </c>
      <c r="C6999" s="1" t="n">
        <v>45715</v>
      </c>
      <c r="D6999" t="inlineStr">
        <is>
          <t>KALMAR LÄN</t>
        </is>
      </c>
      <c r="E6999" t="inlineStr">
        <is>
          <t>MÖNSTERÅS</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1987-2023</t>
        </is>
      </c>
      <c r="B7000" s="1" t="n">
        <v>44939</v>
      </c>
      <c r="C7000" s="1" t="n">
        <v>45715</v>
      </c>
      <c r="D7000" t="inlineStr">
        <is>
          <t>KALMAR LÄN</t>
        </is>
      </c>
      <c r="E7000" t="inlineStr">
        <is>
          <t>KALMAR</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1889-2023</t>
        </is>
      </c>
      <c r="B7001" s="1" t="n">
        <v>44939</v>
      </c>
      <c r="C7001" s="1" t="n">
        <v>45715</v>
      </c>
      <c r="D7001" t="inlineStr">
        <is>
          <t>KALMAR LÄN</t>
        </is>
      </c>
      <c r="E7001" t="inlineStr">
        <is>
          <t>MÖNSTERÅS</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1961-2023</t>
        </is>
      </c>
      <c r="B7002" s="1" t="n">
        <v>44939</v>
      </c>
      <c r="C7002" s="1" t="n">
        <v>45715</v>
      </c>
      <c r="D7002" t="inlineStr">
        <is>
          <t>KALMAR LÄN</t>
        </is>
      </c>
      <c r="E7002" t="inlineStr">
        <is>
          <t>VÄSTERVIK</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2057-2023</t>
        </is>
      </c>
      <c r="B7003" s="1" t="n">
        <v>44939</v>
      </c>
      <c r="C7003" s="1" t="n">
        <v>45715</v>
      </c>
      <c r="D7003" t="inlineStr">
        <is>
          <t>KALMAR LÄN</t>
        </is>
      </c>
      <c r="E7003" t="inlineStr">
        <is>
          <t>NYBRO</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1940-2023</t>
        </is>
      </c>
      <c r="B7004" s="1" t="n">
        <v>44939</v>
      </c>
      <c r="C7004" s="1" t="n">
        <v>45715</v>
      </c>
      <c r="D7004" t="inlineStr">
        <is>
          <t>KALMAR LÄN</t>
        </is>
      </c>
      <c r="E7004" t="inlineStr">
        <is>
          <t>KALMAR</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1955-2023</t>
        </is>
      </c>
      <c r="B7005" s="1" t="n">
        <v>44939</v>
      </c>
      <c r="C7005" s="1" t="n">
        <v>45715</v>
      </c>
      <c r="D7005" t="inlineStr">
        <is>
          <t>KALMAR LÄN</t>
        </is>
      </c>
      <c r="E7005" t="inlineStr">
        <is>
          <t>VIMMERBY</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2079-2023</t>
        </is>
      </c>
      <c r="B7006" s="1" t="n">
        <v>44939</v>
      </c>
      <c r="C7006" s="1" t="n">
        <v>45715</v>
      </c>
      <c r="D7006" t="inlineStr">
        <is>
          <t>KALMAR LÄN</t>
        </is>
      </c>
      <c r="E7006" t="inlineStr">
        <is>
          <t>HÖGSBY</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2098-2023</t>
        </is>
      </c>
      <c r="B7007" s="1" t="n">
        <v>44939</v>
      </c>
      <c r="C7007" s="1" t="n">
        <v>45715</v>
      </c>
      <c r="D7007" t="inlineStr">
        <is>
          <t>KALMAR LÄN</t>
        </is>
      </c>
      <c r="E7007" t="inlineStr">
        <is>
          <t>VÄSTERVIK</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2507-2023</t>
        </is>
      </c>
      <c r="B7008" s="1" t="n">
        <v>44939</v>
      </c>
      <c r="C7008" s="1" t="n">
        <v>45715</v>
      </c>
      <c r="D7008" t="inlineStr">
        <is>
          <t>KALMAR LÄN</t>
        </is>
      </c>
      <c r="E7008" t="inlineStr">
        <is>
          <t>HULTSFRED</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2500-2023</t>
        </is>
      </c>
      <c r="B7009" s="1" t="n">
        <v>44939</v>
      </c>
      <c r="C7009" s="1" t="n">
        <v>45715</v>
      </c>
      <c r="D7009" t="inlineStr">
        <is>
          <t>KALMAR LÄN</t>
        </is>
      </c>
      <c r="E7009" t="inlineStr">
        <is>
          <t>HULTSFRED</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2187-2023</t>
        </is>
      </c>
      <c r="B7010" s="1" t="n">
        <v>44942</v>
      </c>
      <c r="C7010" s="1" t="n">
        <v>45715</v>
      </c>
      <c r="D7010" t="inlineStr">
        <is>
          <t>KALMAR LÄN</t>
        </is>
      </c>
      <c r="E7010" t="inlineStr">
        <is>
          <t>TORSÅS</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2279-2023</t>
        </is>
      </c>
      <c r="B7011" s="1" t="n">
        <v>44942</v>
      </c>
      <c r="C7011" s="1" t="n">
        <v>45715</v>
      </c>
      <c r="D7011" t="inlineStr">
        <is>
          <t>KALMAR LÄN</t>
        </is>
      </c>
      <c r="E7011" t="inlineStr">
        <is>
          <t>TORSÅS</t>
        </is>
      </c>
      <c r="G7011" t="n">
        <v>5.5</v>
      </c>
      <c r="H7011" t="n">
        <v>0</v>
      </c>
      <c r="I7011" t="n">
        <v>0</v>
      </c>
      <c r="J7011" t="n">
        <v>0</v>
      </c>
      <c r="K7011" t="n">
        <v>0</v>
      </c>
      <c r="L7011" t="n">
        <v>0</v>
      </c>
      <c r="M7011" t="n">
        <v>0</v>
      </c>
      <c r="N7011" t="n">
        <v>0</v>
      </c>
      <c r="O7011" t="n">
        <v>0</v>
      </c>
      <c r="P7011" t="n">
        <v>0</v>
      </c>
      <c r="Q7011" t="n">
        <v>0</v>
      </c>
      <c r="R7011" s="2" t="inlineStr"/>
    </row>
    <row r="7012" ht="15" customHeight="1">
      <c r="A7012" t="inlineStr">
        <is>
          <t>A 2285-2023</t>
        </is>
      </c>
      <c r="B7012" s="1" t="n">
        <v>44942</v>
      </c>
      <c r="C7012" s="1" t="n">
        <v>45715</v>
      </c>
      <c r="D7012" t="inlineStr">
        <is>
          <t>KALMAR LÄN</t>
        </is>
      </c>
      <c r="E7012" t="inlineStr">
        <is>
          <t>TORSÅS</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2314-2023</t>
        </is>
      </c>
      <c r="B7013" s="1" t="n">
        <v>44942</v>
      </c>
      <c r="C7013" s="1" t="n">
        <v>45715</v>
      </c>
      <c r="D7013" t="inlineStr">
        <is>
          <t>KALMAR LÄN</t>
        </is>
      </c>
      <c r="E7013" t="inlineStr">
        <is>
          <t>VÄSTERVIK</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2277-2023</t>
        </is>
      </c>
      <c r="B7014" s="1" t="n">
        <v>44942</v>
      </c>
      <c r="C7014" s="1" t="n">
        <v>45715</v>
      </c>
      <c r="D7014" t="inlineStr">
        <is>
          <t>KALMAR LÄN</t>
        </is>
      </c>
      <c r="E7014" t="inlineStr">
        <is>
          <t>TORSÅS</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2629-2023</t>
        </is>
      </c>
      <c r="B7015" s="1" t="n">
        <v>44942</v>
      </c>
      <c r="C7015" s="1" t="n">
        <v>45715</v>
      </c>
      <c r="D7015" t="inlineStr">
        <is>
          <t>KALMAR LÄN</t>
        </is>
      </c>
      <c r="E7015" t="inlineStr">
        <is>
          <t>HULTSFRED</t>
        </is>
      </c>
      <c r="G7015" t="n">
        <v>58.7</v>
      </c>
      <c r="H7015" t="n">
        <v>0</v>
      </c>
      <c r="I7015" t="n">
        <v>0</v>
      </c>
      <c r="J7015" t="n">
        <v>0</v>
      </c>
      <c r="K7015" t="n">
        <v>0</v>
      </c>
      <c r="L7015" t="n">
        <v>0</v>
      </c>
      <c r="M7015" t="n">
        <v>0</v>
      </c>
      <c r="N7015" t="n">
        <v>0</v>
      </c>
      <c r="O7015" t="n">
        <v>0</v>
      </c>
      <c r="P7015" t="n">
        <v>0</v>
      </c>
      <c r="Q7015" t="n">
        <v>0</v>
      </c>
      <c r="R7015" s="2" t="inlineStr"/>
    </row>
    <row r="7016" ht="15" customHeight="1">
      <c r="A7016" t="inlineStr">
        <is>
          <t>A 2477-2023</t>
        </is>
      </c>
      <c r="B7016" s="1" t="n">
        <v>44943</v>
      </c>
      <c r="C7016" s="1" t="n">
        <v>45715</v>
      </c>
      <c r="D7016" t="inlineStr">
        <is>
          <t>KALMAR LÄN</t>
        </is>
      </c>
      <c r="E7016" t="inlineStr">
        <is>
          <t>TORSÅS</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2480-2023</t>
        </is>
      </c>
      <c r="B7017" s="1" t="n">
        <v>44943</v>
      </c>
      <c r="C7017" s="1" t="n">
        <v>45715</v>
      </c>
      <c r="D7017" t="inlineStr">
        <is>
          <t>KALMAR LÄN</t>
        </is>
      </c>
      <c r="E7017" t="inlineStr">
        <is>
          <t>TORSÅS</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2510-2023</t>
        </is>
      </c>
      <c r="B7018" s="1" t="n">
        <v>44943</v>
      </c>
      <c r="C7018" s="1" t="n">
        <v>45715</v>
      </c>
      <c r="D7018" t="inlineStr">
        <is>
          <t>KALMAR LÄN</t>
        </is>
      </c>
      <c r="E7018" t="inlineStr">
        <is>
          <t>VIMMERBY</t>
        </is>
      </c>
      <c r="G7018" t="n">
        <v>8.6</v>
      </c>
      <c r="H7018" t="n">
        <v>0</v>
      </c>
      <c r="I7018" t="n">
        <v>0</v>
      </c>
      <c r="J7018" t="n">
        <v>0</v>
      </c>
      <c r="K7018" t="n">
        <v>0</v>
      </c>
      <c r="L7018" t="n">
        <v>0</v>
      </c>
      <c r="M7018" t="n">
        <v>0</v>
      </c>
      <c r="N7018" t="n">
        <v>0</v>
      </c>
      <c r="O7018" t="n">
        <v>0</v>
      </c>
      <c r="P7018" t="n">
        <v>0</v>
      </c>
      <c r="Q7018" t="n">
        <v>0</v>
      </c>
      <c r="R7018" s="2" t="inlineStr"/>
    </row>
    <row r="7019" ht="15" customHeight="1">
      <c r="A7019" t="inlineStr">
        <is>
          <t>A 2536-2023</t>
        </is>
      </c>
      <c r="B7019" s="1" t="n">
        <v>44943</v>
      </c>
      <c r="C7019" s="1" t="n">
        <v>45715</v>
      </c>
      <c r="D7019" t="inlineStr">
        <is>
          <t>KALMAR LÄN</t>
        </is>
      </c>
      <c r="E7019" t="inlineStr">
        <is>
          <t>VIMMERBY</t>
        </is>
      </c>
      <c r="G7019" t="n">
        <v>8.300000000000001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2587-2023</t>
        </is>
      </c>
      <c r="B7020" s="1" t="n">
        <v>44943</v>
      </c>
      <c r="C7020" s="1" t="n">
        <v>45715</v>
      </c>
      <c r="D7020" t="inlineStr">
        <is>
          <t>KALMAR LÄN</t>
        </is>
      </c>
      <c r="E7020" t="inlineStr">
        <is>
          <t>OSKARSHAMN</t>
        </is>
      </c>
      <c r="G7020" t="n">
        <v>10.8</v>
      </c>
      <c r="H7020" t="n">
        <v>0</v>
      </c>
      <c r="I7020" t="n">
        <v>0</v>
      </c>
      <c r="J7020" t="n">
        <v>0</v>
      </c>
      <c r="K7020" t="n">
        <v>0</v>
      </c>
      <c r="L7020" t="n">
        <v>0</v>
      </c>
      <c r="M7020" t="n">
        <v>0</v>
      </c>
      <c r="N7020" t="n">
        <v>0</v>
      </c>
      <c r="O7020" t="n">
        <v>0</v>
      </c>
      <c r="P7020" t="n">
        <v>0</v>
      </c>
      <c r="Q7020" t="n">
        <v>0</v>
      </c>
      <c r="R7020" s="2" t="inlineStr"/>
    </row>
    <row r="7021" ht="15" customHeight="1">
      <c r="A7021" t="inlineStr">
        <is>
          <t>A 2588-2023</t>
        </is>
      </c>
      <c r="B7021" s="1" t="n">
        <v>44943</v>
      </c>
      <c r="C7021" s="1" t="n">
        <v>45715</v>
      </c>
      <c r="D7021" t="inlineStr">
        <is>
          <t>KALMAR LÄN</t>
        </is>
      </c>
      <c r="E7021" t="inlineStr">
        <is>
          <t>HULTSFRED</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2738-2023</t>
        </is>
      </c>
      <c r="B7022" s="1" t="n">
        <v>44944</v>
      </c>
      <c r="C7022" s="1" t="n">
        <v>45715</v>
      </c>
      <c r="D7022" t="inlineStr">
        <is>
          <t>KALMAR LÄN</t>
        </is>
      </c>
      <c r="E7022" t="inlineStr">
        <is>
          <t>VÄSTERVIK</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2741-2023</t>
        </is>
      </c>
      <c r="B7023" s="1" t="n">
        <v>44944</v>
      </c>
      <c r="C7023" s="1" t="n">
        <v>45715</v>
      </c>
      <c r="D7023" t="inlineStr">
        <is>
          <t>KALMAR LÄN</t>
        </is>
      </c>
      <c r="E7023" t="inlineStr">
        <is>
          <t>VÄSTERVIK</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2643-2023</t>
        </is>
      </c>
      <c r="B7024" s="1" t="n">
        <v>44944</v>
      </c>
      <c r="C7024" s="1" t="n">
        <v>45715</v>
      </c>
      <c r="D7024" t="inlineStr">
        <is>
          <t>KALMAR LÄN</t>
        </is>
      </c>
      <c r="E7024" t="inlineStr">
        <is>
          <t>EMMABODA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2746-2023</t>
        </is>
      </c>
      <c r="B7025" s="1" t="n">
        <v>44944</v>
      </c>
      <c r="C7025" s="1" t="n">
        <v>45715</v>
      </c>
      <c r="D7025" t="inlineStr">
        <is>
          <t>KALMAR LÄN</t>
        </is>
      </c>
      <c r="E7025" t="inlineStr">
        <is>
          <t>VÄSTERVIK</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2782-2023</t>
        </is>
      </c>
      <c r="B7026" s="1" t="n">
        <v>44944</v>
      </c>
      <c r="C7026" s="1" t="n">
        <v>45715</v>
      </c>
      <c r="D7026" t="inlineStr">
        <is>
          <t>KALMAR LÄN</t>
        </is>
      </c>
      <c r="E7026" t="inlineStr">
        <is>
          <t>TORSÅS</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2799-2023</t>
        </is>
      </c>
      <c r="B7027" s="1" t="n">
        <v>44944</v>
      </c>
      <c r="C7027" s="1" t="n">
        <v>45715</v>
      </c>
      <c r="D7027" t="inlineStr">
        <is>
          <t>KALMAR LÄN</t>
        </is>
      </c>
      <c r="E7027" t="inlineStr">
        <is>
          <t>VIMMERBY</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2785-2023</t>
        </is>
      </c>
      <c r="B7028" s="1" t="n">
        <v>44944</v>
      </c>
      <c r="C7028" s="1" t="n">
        <v>45715</v>
      </c>
      <c r="D7028" t="inlineStr">
        <is>
          <t>KALMAR LÄN</t>
        </is>
      </c>
      <c r="E7028" t="inlineStr">
        <is>
          <t>TORSÅS</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2797-2023</t>
        </is>
      </c>
      <c r="B7029" s="1" t="n">
        <v>44944</v>
      </c>
      <c r="C7029" s="1" t="n">
        <v>45715</v>
      </c>
      <c r="D7029" t="inlineStr">
        <is>
          <t>KALMAR LÄN</t>
        </is>
      </c>
      <c r="E7029" t="inlineStr">
        <is>
          <t>VIMMERBY</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2801-2023</t>
        </is>
      </c>
      <c r="B7030" s="1" t="n">
        <v>44944</v>
      </c>
      <c r="C7030" s="1" t="n">
        <v>45715</v>
      </c>
      <c r="D7030" t="inlineStr">
        <is>
          <t>KALMAR LÄN</t>
        </is>
      </c>
      <c r="E7030" t="inlineStr">
        <is>
          <t>VIMMERBY</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2884-2023</t>
        </is>
      </c>
      <c r="B7031" s="1" t="n">
        <v>44945</v>
      </c>
      <c r="C7031" s="1" t="n">
        <v>45715</v>
      </c>
      <c r="D7031" t="inlineStr">
        <is>
          <t>KALMAR LÄN</t>
        </is>
      </c>
      <c r="E7031" t="inlineStr">
        <is>
          <t>NYBRO</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2841-2023</t>
        </is>
      </c>
      <c r="B7032" s="1" t="n">
        <v>44945</v>
      </c>
      <c r="C7032" s="1" t="n">
        <v>45715</v>
      </c>
      <c r="D7032" t="inlineStr">
        <is>
          <t>KALMAR LÄN</t>
        </is>
      </c>
      <c r="E7032" t="inlineStr">
        <is>
          <t>OSKARSHAMN</t>
        </is>
      </c>
      <c r="F7032" t="inlineStr">
        <is>
          <t>Sveaskog</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2906-2023</t>
        </is>
      </c>
      <c r="B7033" s="1" t="n">
        <v>44945</v>
      </c>
      <c r="C7033" s="1" t="n">
        <v>45715</v>
      </c>
      <c r="D7033" t="inlineStr">
        <is>
          <t>KALMAR LÄN</t>
        </is>
      </c>
      <c r="E7033" t="inlineStr">
        <is>
          <t>OSKARSHAMN</t>
        </is>
      </c>
      <c r="G7033" t="n">
        <v>9.1</v>
      </c>
      <c r="H7033" t="n">
        <v>0</v>
      </c>
      <c r="I7033" t="n">
        <v>0</v>
      </c>
      <c r="J7033" t="n">
        <v>0</v>
      </c>
      <c r="K7033" t="n">
        <v>0</v>
      </c>
      <c r="L7033" t="n">
        <v>0</v>
      </c>
      <c r="M7033" t="n">
        <v>0</v>
      </c>
      <c r="N7033" t="n">
        <v>0</v>
      </c>
      <c r="O7033" t="n">
        <v>0</v>
      </c>
      <c r="P7033" t="n">
        <v>0</v>
      </c>
      <c r="Q7033" t="n">
        <v>0</v>
      </c>
      <c r="R7033" s="2" t="inlineStr"/>
    </row>
    <row r="7034" ht="15" customHeight="1">
      <c r="A7034" t="inlineStr">
        <is>
          <t>A 3075-2023</t>
        </is>
      </c>
      <c r="B7034" s="1" t="n">
        <v>44946</v>
      </c>
      <c r="C7034" s="1" t="n">
        <v>45715</v>
      </c>
      <c r="D7034" t="inlineStr">
        <is>
          <t>KALMAR LÄN</t>
        </is>
      </c>
      <c r="E7034" t="inlineStr">
        <is>
          <t>VÄSTERVIK</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3160-2023</t>
        </is>
      </c>
      <c r="B7035" s="1" t="n">
        <v>44946</v>
      </c>
      <c r="C7035" s="1" t="n">
        <v>45715</v>
      </c>
      <c r="D7035" t="inlineStr">
        <is>
          <t>KALMAR LÄN</t>
        </is>
      </c>
      <c r="E7035" t="inlineStr">
        <is>
          <t>OSKARSHAMN</t>
        </is>
      </c>
      <c r="F7035" t="inlineStr">
        <is>
          <t>Kyrkan</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3187-2023</t>
        </is>
      </c>
      <c r="B7036" s="1" t="n">
        <v>44946</v>
      </c>
      <c r="C7036" s="1" t="n">
        <v>45715</v>
      </c>
      <c r="D7036" t="inlineStr">
        <is>
          <t>KALMAR LÄN</t>
        </is>
      </c>
      <c r="E7036" t="inlineStr">
        <is>
          <t>VÄSTERVIK</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3159-2023</t>
        </is>
      </c>
      <c r="B7037" s="1" t="n">
        <v>44946</v>
      </c>
      <c r="C7037" s="1" t="n">
        <v>45715</v>
      </c>
      <c r="D7037" t="inlineStr">
        <is>
          <t>KALMAR LÄN</t>
        </is>
      </c>
      <c r="E7037" t="inlineStr">
        <is>
          <t>OSKARSHAMN</t>
        </is>
      </c>
      <c r="F7037" t="inlineStr">
        <is>
          <t>Kyrkan</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3185-2023</t>
        </is>
      </c>
      <c r="B7038" s="1" t="n">
        <v>44946</v>
      </c>
      <c r="C7038" s="1" t="n">
        <v>45715</v>
      </c>
      <c r="D7038" t="inlineStr">
        <is>
          <t>KALMAR LÄN</t>
        </is>
      </c>
      <c r="E7038" t="inlineStr">
        <is>
          <t>VÄSTERVIK</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3190-2023</t>
        </is>
      </c>
      <c r="B7039" s="1" t="n">
        <v>44946</v>
      </c>
      <c r="C7039" s="1" t="n">
        <v>45715</v>
      </c>
      <c r="D7039" t="inlineStr">
        <is>
          <t>KALMAR LÄN</t>
        </is>
      </c>
      <c r="E7039" t="inlineStr">
        <is>
          <t>VÄSTERVIK</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3295-2023</t>
        </is>
      </c>
      <c r="B7040" s="1" t="n">
        <v>44949</v>
      </c>
      <c r="C7040" s="1" t="n">
        <v>45715</v>
      </c>
      <c r="D7040" t="inlineStr">
        <is>
          <t>KALMAR LÄN</t>
        </is>
      </c>
      <c r="E7040" t="inlineStr">
        <is>
          <t>TORSÅS</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3331-2023</t>
        </is>
      </c>
      <c r="B7041" s="1" t="n">
        <v>44949</v>
      </c>
      <c r="C7041" s="1" t="n">
        <v>45715</v>
      </c>
      <c r="D7041" t="inlineStr">
        <is>
          <t>KALMAR LÄN</t>
        </is>
      </c>
      <c r="E7041" t="inlineStr">
        <is>
          <t>VIMMERBY</t>
        </is>
      </c>
      <c r="G7041" t="n">
        <v>6.2</v>
      </c>
      <c r="H7041" t="n">
        <v>0</v>
      </c>
      <c r="I7041" t="n">
        <v>0</v>
      </c>
      <c r="J7041" t="n">
        <v>0</v>
      </c>
      <c r="K7041" t="n">
        <v>0</v>
      </c>
      <c r="L7041" t="n">
        <v>0</v>
      </c>
      <c r="M7041" t="n">
        <v>0</v>
      </c>
      <c r="N7041" t="n">
        <v>0</v>
      </c>
      <c r="O7041" t="n">
        <v>0</v>
      </c>
      <c r="P7041" t="n">
        <v>0</v>
      </c>
      <c r="Q7041" t="n">
        <v>0</v>
      </c>
      <c r="R7041" s="2" t="inlineStr"/>
    </row>
    <row r="7042" ht="15" customHeight="1">
      <c r="A7042" t="inlineStr">
        <is>
          <t>A 3371-2023</t>
        </is>
      </c>
      <c r="B7042" s="1" t="n">
        <v>44949</v>
      </c>
      <c r="C7042" s="1" t="n">
        <v>45715</v>
      </c>
      <c r="D7042" t="inlineStr">
        <is>
          <t>KALMAR LÄN</t>
        </is>
      </c>
      <c r="E7042" t="inlineStr">
        <is>
          <t>TORSÅS</t>
        </is>
      </c>
      <c r="G7042" t="n">
        <v>4.5</v>
      </c>
      <c r="H7042" t="n">
        <v>0</v>
      </c>
      <c r="I7042" t="n">
        <v>0</v>
      </c>
      <c r="J7042" t="n">
        <v>0</v>
      </c>
      <c r="K7042" t="n">
        <v>0</v>
      </c>
      <c r="L7042" t="n">
        <v>0</v>
      </c>
      <c r="M7042" t="n">
        <v>0</v>
      </c>
      <c r="N7042" t="n">
        <v>0</v>
      </c>
      <c r="O7042" t="n">
        <v>0</v>
      </c>
      <c r="P7042" t="n">
        <v>0</v>
      </c>
      <c r="Q7042" t="n">
        <v>0</v>
      </c>
      <c r="R7042" s="2" t="inlineStr"/>
    </row>
    <row r="7043" ht="15" customHeight="1">
      <c r="A7043" t="inlineStr">
        <is>
          <t>A 3376-2023</t>
        </is>
      </c>
      <c r="B7043" s="1" t="n">
        <v>44949</v>
      </c>
      <c r="C7043" s="1" t="n">
        <v>45715</v>
      </c>
      <c r="D7043" t="inlineStr">
        <is>
          <t>KALMAR LÄN</t>
        </is>
      </c>
      <c r="E7043" t="inlineStr">
        <is>
          <t>TORSÅS</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3337-2023</t>
        </is>
      </c>
      <c r="B7044" s="1" t="n">
        <v>44949</v>
      </c>
      <c r="C7044" s="1" t="n">
        <v>45715</v>
      </c>
      <c r="D7044" t="inlineStr">
        <is>
          <t>KALMAR LÄN</t>
        </is>
      </c>
      <c r="E7044" t="inlineStr">
        <is>
          <t>HULTSFRED</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3344-2023</t>
        </is>
      </c>
      <c r="B7045" s="1" t="n">
        <v>44949</v>
      </c>
      <c r="C7045" s="1" t="n">
        <v>45715</v>
      </c>
      <c r="D7045" t="inlineStr">
        <is>
          <t>KALMAR LÄN</t>
        </is>
      </c>
      <c r="E7045" t="inlineStr">
        <is>
          <t>EMMABODA</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3373-2023</t>
        </is>
      </c>
      <c r="B7046" s="1" t="n">
        <v>44949</v>
      </c>
      <c r="C7046" s="1" t="n">
        <v>45715</v>
      </c>
      <c r="D7046" t="inlineStr">
        <is>
          <t>KALMAR LÄN</t>
        </is>
      </c>
      <c r="E7046" t="inlineStr">
        <is>
          <t>TORSÅS</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3385-2023</t>
        </is>
      </c>
      <c r="B7047" s="1" t="n">
        <v>44949</v>
      </c>
      <c r="C7047" s="1" t="n">
        <v>45715</v>
      </c>
      <c r="D7047" t="inlineStr">
        <is>
          <t>KALMAR LÄN</t>
        </is>
      </c>
      <c r="E7047" t="inlineStr">
        <is>
          <t>KALMAR</t>
        </is>
      </c>
      <c r="G7047" t="n">
        <v>9.300000000000001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3300-2023</t>
        </is>
      </c>
      <c r="B7048" s="1" t="n">
        <v>44949</v>
      </c>
      <c r="C7048" s="1" t="n">
        <v>45715</v>
      </c>
      <c r="D7048" t="inlineStr">
        <is>
          <t>KALMAR LÄN</t>
        </is>
      </c>
      <c r="E7048" t="inlineStr">
        <is>
          <t>NYBRO</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3321-2023</t>
        </is>
      </c>
      <c r="B7049" s="1" t="n">
        <v>44949</v>
      </c>
      <c r="C7049" s="1" t="n">
        <v>45715</v>
      </c>
      <c r="D7049" t="inlineStr">
        <is>
          <t>KALMAR LÄN</t>
        </is>
      </c>
      <c r="E7049" t="inlineStr">
        <is>
          <t>EMMABODA</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3330-2023</t>
        </is>
      </c>
      <c r="B7050" s="1" t="n">
        <v>44949</v>
      </c>
      <c r="C7050" s="1" t="n">
        <v>45715</v>
      </c>
      <c r="D7050" t="inlineStr">
        <is>
          <t>KALMAR LÄN</t>
        </is>
      </c>
      <c r="E7050" t="inlineStr">
        <is>
          <t>EMMABODA</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3389-2023</t>
        </is>
      </c>
      <c r="B7051" s="1" t="n">
        <v>44949</v>
      </c>
      <c r="C7051" s="1" t="n">
        <v>45715</v>
      </c>
      <c r="D7051" t="inlineStr">
        <is>
          <t>KALMAR LÄN</t>
        </is>
      </c>
      <c r="E7051" t="inlineStr">
        <is>
          <t>TORSÅS</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3494-2023</t>
        </is>
      </c>
      <c r="B7052" s="1" t="n">
        <v>44949</v>
      </c>
      <c r="C7052" s="1" t="n">
        <v>45715</v>
      </c>
      <c r="D7052" t="inlineStr">
        <is>
          <t>KALMAR LÄN</t>
        </is>
      </c>
      <c r="E7052" t="inlineStr">
        <is>
          <t>VIMMERBY</t>
        </is>
      </c>
      <c r="F7052" t="inlineStr">
        <is>
          <t>Kyrkan</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3396-2023</t>
        </is>
      </c>
      <c r="B7053" s="1" t="n">
        <v>44949</v>
      </c>
      <c r="C7053" s="1" t="n">
        <v>45715</v>
      </c>
      <c r="D7053" t="inlineStr">
        <is>
          <t>KALMAR LÄN</t>
        </is>
      </c>
      <c r="E7053" t="inlineStr">
        <is>
          <t>TORSÅS</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3401-2023</t>
        </is>
      </c>
      <c r="B7054" s="1" t="n">
        <v>44949</v>
      </c>
      <c r="C7054" s="1" t="n">
        <v>45715</v>
      </c>
      <c r="D7054" t="inlineStr">
        <is>
          <t>KALMAR LÄN</t>
        </is>
      </c>
      <c r="E7054" t="inlineStr">
        <is>
          <t>KALMAR</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3783-2023</t>
        </is>
      </c>
      <c r="B7055" s="1" t="n">
        <v>44949</v>
      </c>
      <c r="C7055" s="1" t="n">
        <v>45715</v>
      </c>
      <c r="D7055" t="inlineStr">
        <is>
          <t>KALMAR LÄN</t>
        </is>
      </c>
      <c r="E7055" t="inlineStr">
        <is>
          <t>NYBRO</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3559-2023</t>
        </is>
      </c>
      <c r="B7056" s="1" t="n">
        <v>44950</v>
      </c>
      <c r="C7056" s="1" t="n">
        <v>45715</v>
      </c>
      <c r="D7056" t="inlineStr">
        <is>
          <t>KALMAR LÄN</t>
        </is>
      </c>
      <c r="E7056" t="inlineStr">
        <is>
          <t>MÖNSTERÅS</t>
        </is>
      </c>
      <c r="G7056" t="n">
        <v>16.4</v>
      </c>
      <c r="H7056" t="n">
        <v>0</v>
      </c>
      <c r="I7056" t="n">
        <v>0</v>
      </c>
      <c r="J7056" t="n">
        <v>0</v>
      </c>
      <c r="K7056" t="n">
        <v>0</v>
      </c>
      <c r="L7056" t="n">
        <v>0</v>
      </c>
      <c r="M7056" t="n">
        <v>0</v>
      </c>
      <c r="N7056" t="n">
        <v>0</v>
      </c>
      <c r="O7056" t="n">
        <v>0</v>
      </c>
      <c r="P7056" t="n">
        <v>0</v>
      </c>
      <c r="Q7056" t="n">
        <v>0</v>
      </c>
      <c r="R7056" s="2" t="inlineStr"/>
    </row>
    <row r="7057" ht="15" customHeight="1">
      <c r="A7057" t="inlineStr">
        <is>
          <t>A 3554-2023</t>
        </is>
      </c>
      <c r="B7057" s="1" t="n">
        <v>44950</v>
      </c>
      <c r="C7057" s="1" t="n">
        <v>45715</v>
      </c>
      <c r="D7057" t="inlineStr">
        <is>
          <t>KALMAR LÄN</t>
        </is>
      </c>
      <c r="E7057" t="inlineStr">
        <is>
          <t>TORSÅS</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3558-2023</t>
        </is>
      </c>
      <c r="B7058" s="1" t="n">
        <v>44950</v>
      </c>
      <c r="C7058" s="1" t="n">
        <v>45715</v>
      </c>
      <c r="D7058" t="inlineStr">
        <is>
          <t>KALMAR LÄN</t>
        </is>
      </c>
      <c r="E7058" t="inlineStr">
        <is>
          <t>MÖNSTERÅS</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3587-2023</t>
        </is>
      </c>
      <c r="B7059" s="1" t="n">
        <v>44950</v>
      </c>
      <c r="C7059" s="1" t="n">
        <v>45715</v>
      </c>
      <c r="D7059" t="inlineStr">
        <is>
          <t>KALMAR LÄN</t>
        </is>
      </c>
      <c r="E7059" t="inlineStr">
        <is>
          <t>VIMMERBY</t>
        </is>
      </c>
      <c r="G7059" t="n">
        <v>6.9</v>
      </c>
      <c r="H7059" t="n">
        <v>0</v>
      </c>
      <c r="I7059" t="n">
        <v>0</v>
      </c>
      <c r="J7059" t="n">
        <v>0</v>
      </c>
      <c r="K7059" t="n">
        <v>0</v>
      </c>
      <c r="L7059" t="n">
        <v>0</v>
      </c>
      <c r="M7059" t="n">
        <v>0</v>
      </c>
      <c r="N7059" t="n">
        <v>0</v>
      </c>
      <c r="O7059" t="n">
        <v>0</v>
      </c>
      <c r="P7059" t="n">
        <v>0</v>
      </c>
      <c r="Q7059" t="n">
        <v>0</v>
      </c>
      <c r="R7059" s="2" t="inlineStr"/>
    </row>
    <row r="7060" ht="15" customHeight="1">
      <c r="A7060" t="inlineStr">
        <is>
          <t>A 3982-2023</t>
        </is>
      </c>
      <c r="B7060" s="1" t="n">
        <v>44950</v>
      </c>
      <c r="C7060" s="1" t="n">
        <v>45715</v>
      </c>
      <c r="D7060" t="inlineStr">
        <is>
          <t>KALMAR LÄN</t>
        </is>
      </c>
      <c r="E7060" t="inlineStr">
        <is>
          <t>HÖGSBY</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3978-2023</t>
        </is>
      </c>
      <c r="B7061" s="1" t="n">
        <v>44950</v>
      </c>
      <c r="C7061" s="1" t="n">
        <v>45715</v>
      </c>
      <c r="D7061" t="inlineStr">
        <is>
          <t>KALMAR LÄN</t>
        </is>
      </c>
      <c r="E7061" t="inlineStr">
        <is>
          <t>HÖGSBY</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3830-2023</t>
        </is>
      </c>
      <c r="B7062" s="1" t="n">
        <v>44951</v>
      </c>
      <c r="C7062" s="1" t="n">
        <v>45715</v>
      </c>
      <c r="D7062" t="inlineStr">
        <is>
          <t>KALMAR LÄN</t>
        </is>
      </c>
      <c r="E7062" t="inlineStr">
        <is>
          <t>OSKARSHAMN</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3726-2023</t>
        </is>
      </c>
      <c r="B7063" s="1" t="n">
        <v>44951</v>
      </c>
      <c r="C7063" s="1" t="n">
        <v>45715</v>
      </c>
      <c r="D7063" t="inlineStr">
        <is>
          <t>KALMAR LÄN</t>
        </is>
      </c>
      <c r="E7063" t="inlineStr">
        <is>
          <t>NYBRO</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3781-2023</t>
        </is>
      </c>
      <c r="B7064" s="1" t="n">
        <v>44951</v>
      </c>
      <c r="C7064" s="1" t="n">
        <v>45715</v>
      </c>
      <c r="D7064" t="inlineStr">
        <is>
          <t>KALMAR LÄN</t>
        </is>
      </c>
      <c r="E7064" t="inlineStr">
        <is>
          <t>NYBRO</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3807-2023</t>
        </is>
      </c>
      <c r="B7065" s="1" t="n">
        <v>44951</v>
      </c>
      <c r="C7065" s="1" t="n">
        <v>45715</v>
      </c>
      <c r="D7065" t="inlineStr">
        <is>
          <t>KALMAR LÄN</t>
        </is>
      </c>
      <c r="E7065" t="inlineStr">
        <is>
          <t>NYBRO</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3820-2023</t>
        </is>
      </c>
      <c r="B7066" s="1" t="n">
        <v>44951</v>
      </c>
      <c r="C7066" s="1" t="n">
        <v>45715</v>
      </c>
      <c r="D7066" t="inlineStr">
        <is>
          <t>KALMAR LÄN</t>
        </is>
      </c>
      <c r="E7066" t="inlineStr">
        <is>
          <t>OSKARSHAMN</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3837-2023</t>
        </is>
      </c>
      <c r="B7067" s="1" t="n">
        <v>44951</v>
      </c>
      <c r="C7067" s="1" t="n">
        <v>45715</v>
      </c>
      <c r="D7067" t="inlineStr">
        <is>
          <t>KALMAR LÄN</t>
        </is>
      </c>
      <c r="E7067" t="inlineStr">
        <is>
          <t>OSKARSHAMN</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3867-2023</t>
        </is>
      </c>
      <c r="B7068" s="1" t="n">
        <v>44951</v>
      </c>
      <c r="C7068" s="1" t="n">
        <v>45715</v>
      </c>
      <c r="D7068" t="inlineStr">
        <is>
          <t>KALMAR LÄN</t>
        </is>
      </c>
      <c r="E7068" t="inlineStr">
        <is>
          <t>VÄSTERVIK</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3878-2023</t>
        </is>
      </c>
      <c r="B7069" s="1" t="n">
        <v>44951</v>
      </c>
      <c r="C7069" s="1" t="n">
        <v>45715</v>
      </c>
      <c r="D7069" t="inlineStr">
        <is>
          <t>KALMAR LÄN</t>
        </is>
      </c>
      <c r="E7069" t="inlineStr">
        <is>
          <t>BORGHOLM</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3882-2023</t>
        </is>
      </c>
      <c r="B7070" s="1" t="n">
        <v>44951</v>
      </c>
      <c r="C7070" s="1" t="n">
        <v>45715</v>
      </c>
      <c r="D7070" t="inlineStr">
        <is>
          <t>KALMAR LÄN</t>
        </is>
      </c>
      <c r="E7070" t="inlineStr">
        <is>
          <t>HULTSFRED</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3871-2023</t>
        </is>
      </c>
      <c r="B7071" s="1" t="n">
        <v>44951</v>
      </c>
      <c r="C7071" s="1" t="n">
        <v>45715</v>
      </c>
      <c r="D7071" t="inlineStr">
        <is>
          <t>KALMAR LÄN</t>
        </is>
      </c>
      <c r="E7071" t="inlineStr">
        <is>
          <t>EMMABODA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3880-2023</t>
        </is>
      </c>
      <c r="B7072" s="1" t="n">
        <v>44951</v>
      </c>
      <c r="C7072" s="1" t="n">
        <v>45715</v>
      </c>
      <c r="D7072" t="inlineStr">
        <is>
          <t>KALMAR LÄN</t>
        </is>
      </c>
      <c r="E7072" t="inlineStr">
        <is>
          <t>OSKARSHAMN</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3870-2023</t>
        </is>
      </c>
      <c r="B7073" s="1" t="n">
        <v>44951</v>
      </c>
      <c r="C7073" s="1" t="n">
        <v>45715</v>
      </c>
      <c r="D7073" t="inlineStr">
        <is>
          <t>KALMAR LÄN</t>
        </is>
      </c>
      <c r="E7073" t="inlineStr">
        <is>
          <t>EMMABODA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4049-2023</t>
        </is>
      </c>
      <c r="B7074" s="1" t="n">
        <v>44952</v>
      </c>
      <c r="C7074" s="1" t="n">
        <v>45715</v>
      </c>
      <c r="D7074" t="inlineStr">
        <is>
          <t>KALMAR LÄN</t>
        </is>
      </c>
      <c r="E7074" t="inlineStr">
        <is>
          <t>OSKARSHAMN</t>
        </is>
      </c>
      <c r="F7074" t="inlineStr">
        <is>
          <t>Kommuner</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3938-2023</t>
        </is>
      </c>
      <c r="B7075" s="1" t="n">
        <v>44952</v>
      </c>
      <c r="C7075" s="1" t="n">
        <v>45715</v>
      </c>
      <c r="D7075" t="inlineStr">
        <is>
          <t>KALMAR LÄN</t>
        </is>
      </c>
      <c r="E7075" t="inlineStr">
        <is>
          <t>VIMMERBY</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3999-2023</t>
        </is>
      </c>
      <c r="B7076" s="1" t="n">
        <v>44952</v>
      </c>
      <c r="C7076" s="1" t="n">
        <v>45715</v>
      </c>
      <c r="D7076" t="inlineStr">
        <is>
          <t>KALMAR LÄN</t>
        </is>
      </c>
      <c r="E7076" t="inlineStr">
        <is>
          <t>HULTSFRED</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4006-2023</t>
        </is>
      </c>
      <c r="B7077" s="1" t="n">
        <v>44952</v>
      </c>
      <c r="C7077" s="1" t="n">
        <v>45715</v>
      </c>
      <c r="D7077" t="inlineStr">
        <is>
          <t>KALMAR LÄN</t>
        </is>
      </c>
      <c r="E7077" t="inlineStr">
        <is>
          <t>HÖGSBY</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3996-2023</t>
        </is>
      </c>
      <c r="B7078" s="1" t="n">
        <v>44952</v>
      </c>
      <c r="C7078" s="1" t="n">
        <v>45715</v>
      </c>
      <c r="D7078" t="inlineStr">
        <is>
          <t>KALMAR LÄN</t>
        </is>
      </c>
      <c r="E7078" t="inlineStr">
        <is>
          <t>MÖNSTERÅS</t>
        </is>
      </c>
      <c r="G7078" t="n">
        <v>8.699999999999999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4002-2023</t>
        </is>
      </c>
      <c r="B7079" s="1" t="n">
        <v>44952</v>
      </c>
      <c r="C7079" s="1" t="n">
        <v>45715</v>
      </c>
      <c r="D7079" t="inlineStr">
        <is>
          <t>KALMAR LÄN</t>
        </is>
      </c>
      <c r="E7079" t="inlineStr">
        <is>
          <t>HULTSFRED</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3924-2023</t>
        </is>
      </c>
      <c r="B7080" s="1" t="n">
        <v>44952</v>
      </c>
      <c r="C7080" s="1" t="n">
        <v>45715</v>
      </c>
      <c r="D7080" t="inlineStr">
        <is>
          <t>KALMAR LÄN</t>
        </is>
      </c>
      <c r="E7080" t="inlineStr">
        <is>
          <t>VIMMERBY</t>
        </is>
      </c>
      <c r="G7080" t="n">
        <v>4.7</v>
      </c>
      <c r="H7080" t="n">
        <v>0</v>
      </c>
      <c r="I7080" t="n">
        <v>0</v>
      </c>
      <c r="J7080" t="n">
        <v>0</v>
      </c>
      <c r="K7080" t="n">
        <v>0</v>
      </c>
      <c r="L7080" t="n">
        <v>0</v>
      </c>
      <c r="M7080" t="n">
        <v>0</v>
      </c>
      <c r="N7080" t="n">
        <v>0</v>
      </c>
      <c r="O7080" t="n">
        <v>0</v>
      </c>
      <c r="P7080" t="n">
        <v>0</v>
      </c>
      <c r="Q7080" t="n">
        <v>0</v>
      </c>
      <c r="R7080" s="2" t="inlineStr"/>
    </row>
    <row r="7081" ht="15" customHeight="1">
      <c r="A7081" t="inlineStr">
        <is>
          <t>A 4026-2023</t>
        </is>
      </c>
      <c r="B7081" s="1" t="n">
        <v>44952</v>
      </c>
      <c r="C7081" s="1" t="n">
        <v>45715</v>
      </c>
      <c r="D7081" t="inlineStr">
        <is>
          <t>KALMAR LÄN</t>
        </is>
      </c>
      <c r="E7081" t="inlineStr">
        <is>
          <t>KALMAR</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4635-2023</t>
        </is>
      </c>
      <c r="B7082" s="1" t="n">
        <v>44952</v>
      </c>
      <c r="C7082" s="1" t="n">
        <v>45715</v>
      </c>
      <c r="D7082" t="inlineStr">
        <is>
          <t>KALMAR LÄN</t>
        </is>
      </c>
      <c r="E7082" t="inlineStr">
        <is>
          <t>OSKARSHAMN</t>
        </is>
      </c>
      <c r="F7082" t="inlineStr">
        <is>
          <t>Kyrkan</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4176-2023</t>
        </is>
      </c>
      <c r="B7083" s="1" t="n">
        <v>44953</v>
      </c>
      <c r="C7083" s="1" t="n">
        <v>45715</v>
      </c>
      <c r="D7083" t="inlineStr">
        <is>
          <t>KALMAR LÄN</t>
        </is>
      </c>
      <c r="E7083" t="inlineStr">
        <is>
          <t>BORGHOLM</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4198-2023</t>
        </is>
      </c>
      <c r="B7084" s="1" t="n">
        <v>44953</v>
      </c>
      <c r="C7084" s="1" t="n">
        <v>45715</v>
      </c>
      <c r="D7084" t="inlineStr">
        <is>
          <t>KALMAR LÄN</t>
        </is>
      </c>
      <c r="E7084" t="inlineStr">
        <is>
          <t>EMMABODA</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4172-2023</t>
        </is>
      </c>
      <c r="B7085" s="1" t="n">
        <v>44953</v>
      </c>
      <c r="C7085" s="1" t="n">
        <v>45715</v>
      </c>
      <c r="D7085" t="inlineStr">
        <is>
          <t>KALMAR LÄN</t>
        </is>
      </c>
      <c r="E7085" t="inlineStr">
        <is>
          <t>NYBRO</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4175-2023</t>
        </is>
      </c>
      <c r="B7086" s="1" t="n">
        <v>44953</v>
      </c>
      <c r="C7086" s="1" t="n">
        <v>45715</v>
      </c>
      <c r="D7086" t="inlineStr">
        <is>
          <t>KALMAR LÄN</t>
        </is>
      </c>
      <c r="E7086" t="inlineStr">
        <is>
          <t>EMMABODA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4165-2023</t>
        </is>
      </c>
      <c r="B7087" s="1" t="n">
        <v>44953</v>
      </c>
      <c r="C7087" s="1" t="n">
        <v>45715</v>
      </c>
      <c r="D7087" t="inlineStr">
        <is>
          <t>KALMAR LÄN</t>
        </is>
      </c>
      <c r="E7087" t="inlineStr">
        <is>
          <t>BORGHOLM</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4173-2023</t>
        </is>
      </c>
      <c r="B7088" s="1" t="n">
        <v>44953</v>
      </c>
      <c r="C7088" s="1" t="n">
        <v>45715</v>
      </c>
      <c r="D7088" t="inlineStr">
        <is>
          <t>KALMAR LÄN</t>
        </is>
      </c>
      <c r="E7088" t="inlineStr">
        <is>
          <t>EMMABODA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4201-2023</t>
        </is>
      </c>
      <c r="B7089" s="1" t="n">
        <v>44953</v>
      </c>
      <c r="C7089" s="1" t="n">
        <v>45715</v>
      </c>
      <c r="D7089" t="inlineStr">
        <is>
          <t>KALMAR LÄN</t>
        </is>
      </c>
      <c r="E7089" t="inlineStr">
        <is>
          <t>EMMABODA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4252-2023</t>
        </is>
      </c>
      <c r="B7090" s="1" t="n">
        <v>44953</v>
      </c>
      <c r="C7090" s="1" t="n">
        <v>45715</v>
      </c>
      <c r="D7090" t="inlineStr">
        <is>
          <t>KALMAR LÄN</t>
        </is>
      </c>
      <c r="E7090" t="inlineStr">
        <is>
          <t>HÖGSBY</t>
        </is>
      </c>
      <c r="F7090" t="inlineStr">
        <is>
          <t>Övriga Aktiebolag</t>
        </is>
      </c>
      <c r="G7090" t="n">
        <v>15.2</v>
      </c>
      <c r="H7090" t="n">
        <v>0</v>
      </c>
      <c r="I7090" t="n">
        <v>0</v>
      </c>
      <c r="J7090" t="n">
        <v>0</v>
      </c>
      <c r="K7090" t="n">
        <v>0</v>
      </c>
      <c r="L7090" t="n">
        <v>0</v>
      </c>
      <c r="M7090" t="n">
        <v>0</v>
      </c>
      <c r="N7090" t="n">
        <v>0</v>
      </c>
      <c r="O7090" t="n">
        <v>0</v>
      </c>
      <c r="P7090" t="n">
        <v>0</v>
      </c>
      <c r="Q7090" t="n">
        <v>0</v>
      </c>
      <c r="R7090" s="2" t="inlineStr"/>
    </row>
    <row r="7091" ht="15" customHeight="1">
      <c r="A7091" t="inlineStr">
        <is>
          <t>A 4379-2023</t>
        </is>
      </c>
      <c r="B7091" s="1" t="n">
        <v>44955</v>
      </c>
      <c r="C7091" s="1" t="n">
        <v>45715</v>
      </c>
      <c r="D7091" t="inlineStr">
        <is>
          <t>KALMAR LÄN</t>
        </is>
      </c>
      <c r="E7091" t="inlineStr">
        <is>
          <t>KALMAR</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4885-2023</t>
        </is>
      </c>
      <c r="B7092" s="1" t="n">
        <v>44955</v>
      </c>
      <c r="C7092" s="1" t="n">
        <v>45715</v>
      </c>
      <c r="D7092" t="inlineStr">
        <is>
          <t>KALMAR LÄN</t>
        </is>
      </c>
      <c r="E7092" t="inlineStr">
        <is>
          <t>EMMABODA</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4518-2023</t>
        </is>
      </c>
      <c r="B7093" s="1" t="n">
        <v>44956</v>
      </c>
      <c r="C7093" s="1" t="n">
        <v>45715</v>
      </c>
      <c r="D7093" t="inlineStr">
        <is>
          <t>KALMAR LÄN</t>
        </is>
      </c>
      <c r="E7093" t="inlineStr">
        <is>
          <t>HÖGSBY</t>
        </is>
      </c>
      <c r="F7093" t="inlineStr">
        <is>
          <t>Sveaskog</t>
        </is>
      </c>
      <c r="G7093" t="n">
        <v>4.7</v>
      </c>
      <c r="H7093" t="n">
        <v>0</v>
      </c>
      <c r="I7093" t="n">
        <v>0</v>
      </c>
      <c r="J7093" t="n">
        <v>0</v>
      </c>
      <c r="K7093" t="n">
        <v>0</v>
      </c>
      <c r="L7093" t="n">
        <v>0</v>
      </c>
      <c r="M7093" t="n">
        <v>0</v>
      </c>
      <c r="N7093" t="n">
        <v>0</v>
      </c>
      <c r="O7093" t="n">
        <v>0</v>
      </c>
      <c r="P7093" t="n">
        <v>0</v>
      </c>
      <c r="Q7093" t="n">
        <v>0</v>
      </c>
      <c r="R7093" s="2" t="inlineStr"/>
    </row>
    <row r="7094" ht="15" customHeight="1">
      <c r="A7094" t="inlineStr">
        <is>
          <t>A 4527-2023</t>
        </is>
      </c>
      <c r="B7094" s="1" t="n">
        <v>44956</v>
      </c>
      <c r="C7094" s="1" t="n">
        <v>45715</v>
      </c>
      <c r="D7094" t="inlineStr">
        <is>
          <t>KALMAR LÄN</t>
        </is>
      </c>
      <c r="E7094" t="inlineStr">
        <is>
          <t>VIMMERBY</t>
        </is>
      </c>
      <c r="F7094" t="inlineStr">
        <is>
          <t>Kommuner</t>
        </is>
      </c>
      <c r="G7094" t="n">
        <v>8.5</v>
      </c>
      <c r="H7094" t="n">
        <v>0</v>
      </c>
      <c r="I7094" t="n">
        <v>0</v>
      </c>
      <c r="J7094" t="n">
        <v>0</v>
      </c>
      <c r="K7094" t="n">
        <v>0</v>
      </c>
      <c r="L7094" t="n">
        <v>0</v>
      </c>
      <c r="M7094" t="n">
        <v>0</v>
      </c>
      <c r="N7094" t="n">
        <v>0</v>
      </c>
      <c r="O7094" t="n">
        <v>0</v>
      </c>
      <c r="P7094" t="n">
        <v>0</v>
      </c>
      <c r="Q7094" t="n">
        <v>0</v>
      </c>
      <c r="R7094" s="2" t="inlineStr"/>
    </row>
    <row r="7095" ht="15" customHeight="1">
      <c r="A7095" t="inlineStr">
        <is>
          <t>A 4533-2023</t>
        </is>
      </c>
      <c r="B7095" s="1" t="n">
        <v>44956</v>
      </c>
      <c r="C7095" s="1" t="n">
        <v>45715</v>
      </c>
      <c r="D7095" t="inlineStr">
        <is>
          <t>KALMAR LÄN</t>
        </is>
      </c>
      <c r="E7095" t="inlineStr">
        <is>
          <t>TORSÅS</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4515-2023</t>
        </is>
      </c>
      <c r="B7096" s="1" t="n">
        <v>44956</v>
      </c>
      <c r="C7096" s="1" t="n">
        <v>45715</v>
      </c>
      <c r="D7096" t="inlineStr">
        <is>
          <t>KALMAR LÄN</t>
        </is>
      </c>
      <c r="E7096" t="inlineStr">
        <is>
          <t>OSKARSHAMN</t>
        </is>
      </c>
      <c r="F7096" t="inlineStr">
        <is>
          <t>Sveaskog</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4508-2023</t>
        </is>
      </c>
      <c r="B7097" s="1" t="n">
        <v>44956</v>
      </c>
      <c r="C7097" s="1" t="n">
        <v>45715</v>
      </c>
      <c r="D7097" t="inlineStr">
        <is>
          <t>KALMAR LÄN</t>
        </is>
      </c>
      <c r="E7097" t="inlineStr">
        <is>
          <t>VÄSTERVIK</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4517-2023</t>
        </is>
      </c>
      <c r="B7098" s="1" t="n">
        <v>44956</v>
      </c>
      <c r="C7098" s="1" t="n">
        <v>45715</v>
      </c>
      <c r="D7098" t="inlineStr">
        <is>
          <t>KALMAR LÄN</t>
        </is>
      </c>
      <c r="E7098" t="inlineStr">
        <is>
          <t>HÖGSBY</t>
        </is>
      </c>
      <c r="F7098" t="inlineStr">
        <is>
          <t>Sveaskog</t>
        </is>
      </c>
      <c r="G7098" t="n">
        <v>9.4</v>
      </c>
      <c r="H7098" t="n">
        <v>0</v>
      </c>
      <c r="I7098" t="n">
        <v>0</v>
      </c>
      <c r="J7098" t="n">
        <v>0</v>
      </c>
      <c r="K7098" t="n">
        <v>0</v>
      </c>
      <c r="L7098" t="n">
        <v>0</v>
      </c>
      <c r="M7098" t="n">
        <v>0</v>
      </c>
      <c r="N7098" t="n">
        <v>0</v>
      </c>
      <c r="O7098" t="n">
        <v>0</v>
      </c>
      <c r="P7098" t="n">
        <v>0</v>
      </c>
      <c r="Q7098" t="n">
        <v>0</v>
      </c>
      <c r="R7098" s="2" t="inlineStr"/>
    </row>
    <row r="7099" ht="15" customHeight="1">
      <c r="A7099" t="inlineStr">
        <is>
          <t>A 4624-2023</t>
        </is>
      </c>
      <c r="B7099" s="1" t="n">
        <v>44956</v>
      </c>
      <c r="C7099" s="1" t="n">
        <v>45715</v>
      </c>
      <c r="D7099" t="inlineStr">
        <is>
          <t>KALMAR LÄN</t>
        </is>
      </c>
      <c r="E7099" t="inlineStr">
        <is>
          <t>VÄSTERVIK</t>
        </is>
      </c>
      <c r="F7099" t="inlineStr">
        <is>
          <t>Holmen skog AB</t>
        </is>
      </c>
      <c r="G7099" t="n">
        <v>7.1</v>
      </c>
      <c r="H7099" t="n">
        <v>0</v>
      </c>
      <c r="I7099" t="n">
        <v>0</v>
      </c>
      <c r="J7099" t="n">
        <v>0</v>
      </c>
      <c r="K7099" t="n">
        <v>0</v>
      </c>
      <c r="L7099" t="n">
        <v>0</v>
      </c>
      <c r="M7099" t="n">
        <v>0</v>
      </c>
      <c r="N7099" t="n">
        <v>0</v>
      </c>
      <c r="O7099" t="n">
        <v>0</v>
      </c>
      <c r="P7099" t="n">
        <v>0</v>
      </c>
      <c r="Q7099" t="n">
        <v>0</v>
      </c>
      <c r="R7099" s="2" t="inlineStr"/>
    </row>
    <row r="7100" ht="15" customHeight="1">
      <c r="A7100" t="inlineStr">
        <is>
          <t>A 4579-2023</t>
        </is>
      </c>
      <c r="B7100" s="1" t="n">
        <v>44956</v>
      </c>
      <c r="C7100" s="1" t="n">
        <v>45715</v>
      </c>
      <c r="D7100" t="inlineStr">
        <is>
          <t>KALMAR LÄN</t>
        </is>
      </c>
      <c r="E7100" t="inlineStr">
        <is>
          <t>VÄSTERVIK</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4583-2023</t>
        </is>
      </c>
      <c r="B7101" s="1" t="n">
        <v>44956</v>
      </c>
      <c r="C7101" s="1" t="n">
        <v>45715</v>
      </c>
      <c r="D7101" t="inlineStr">
        <is>
          <t>KALMAR LÄN</t>
        </is>
      </c>
      <c r="E7101" t="inlineStr">
        <is>
          <t>VÄSTERVIK</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4750-2023</t>
        </is>
      </c>
      <c r="B7102" s="1" t="n">
        <v>44957</v>
      </c>
      <c r="C7102" s="1" t="n">
        <v>45715</v>
      </c>
      <c r="D7102" t="inlineStr">
        <is>
          <t>KALMAR LÄN</t>
        </is>
      </c>
      <c r="E7102" t="inlineStr">
        <is>
          <t>NYBRO</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4751-2023</t>
        </is>
      </c>
      <c r="B7103" s="1" t="n">
        <v>44957</v>
      </c>
      <c r="C7103" s="1" t="n">
        <v>45715</v>
      </c>
      <c r="D7103" t="inlineStr">
        <is>
          <t>KALMAR LÄN</t>
        </is>
      </c>
      <c r="E7103" t="inlineStr">
        <is>
          <t>NYBRO</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4766-2023</t>
        </is>
      </c>
      <c r="B7104" s="1" t="n">
        <v>44957</v>
      </c>
      <c r="C7104" s="1" t="n">
        <v>45715</v>
      </c>
      <c r="D7104" t="inlineStr">
        <is>
          <t>KALMAR LÄN</t>
        </is>
      </c>
      <c r="E7104" t="inlineStr">
        <is>
          <t>HÖGSBY</t>
        </is>
      </c>
      <c r="F7104" t="inlineStr">
        <is>
          <t>Sveaskog</t>
        </is>
      </c>
      <c r="G7104" t="n">
        <v>6.8</v>
      </c>
      <c r="H7104" t="n">
        <v>0</v>
      </c>
      <c r="I7104" t="n">
        <v>0</v>
      </c>
      <c r="J7104" t="n">
        <v>0</v>
      </c>
      <c r="K7104" t="n">
        <v>0</v>
      </c>
      <c r="L7104" t="n">
        <v>0</v>
      </c>
      <c r="M7104" t="n">
        <v>0</v>
      </c>
      <c r="N7104" t="n">
        <v>0</v>
      </c>
      <c r="O7104" t="n">
        <v>0</v>
      </c>
      <c r="P7104" t="n">
        <v>0</v>
      </c>
      <c r="Q7104" t="n">
        <v>0</v>
      </c>
      <c r="R7104" s="2" t="inlineStr"/>
    </row>
    <row r="7105" ht="15" customHeight="1">
      <c r="A7105" t="inlineStr">
        <is>
          <t>A 4926-2023</t>
        </is>
      </c>
      <c r="B7105" s="1" t="n">
        <v>44958</v>
      </c>
      <c r="C7105" s="1" t="n">
        <v>45715</v>
      </c>
      <c r="D7105" t="inlineStr">
        <is>
          <t>KALMAR LÄN</t>
        </is>
      </c>
      <c r="E7105" t="inlineStr">
        <is>
          <t>TORSÅS</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4928-2023</t>
        </is>
      </c>
      <c r="B7106" s="1" t="n">
        <v>44958</v>
      </c>
      <c r="C7106" s="1" t="n">
        <v>45715</v>
      </c>
      <c r="D7106" t="inlineStr">
        <is>
          <t>KALMAR LÄN</t>
        </is>
      </c>
      <c r="E7106" t="inlineStr">
        <is>
          <t>TORSÅS</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4951-2023</t>
        </is>
      </c>
      <c r="B7107" s="1" t="n">
        <v>44958</v>
      </c>
      <c r="C7107" s="1" t="n">
        <v>45715</v>
      </c>
      <c r="D7107" t="inlineStr">
        <is>
          <t>KALMAR LÄN</t>
        </is>
      </c>
      <c r="E7107" t="inlineStr">
        <is>
          <t>VÄSTERVIK</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4957-2023</t>
        </is>
      </c>
      <c r="B7108" s="1" t="n">
        <v>44958</v>
      </c>
      <c r="C7108" s="1" t="n">
        <v>45715</v>
      </c>
      <c r="D7108" t="inlineStr">
        <is>
          <t>KALMAR LÄN</t>
        </is>
      </c>
      <c r="E7108" t="inlineStr">
        <is>
          <t>OSKARSHAMN</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4896-2023</t>
        </is>
      </c>
      <c r="B7109" s="1" t="n">
        <v>44958</v>
      </c>
      <c r="C7109" s="1" t="n">
        <v>45715</v>
      </c>
      <c r="D7109" t="inlineStr">
        <is>
          <t>KALMAR LÄN</t>
        </is>
      </c>
      <c r="E7109" t="inlineStr">
        <is>
          <t>TORSÅS</t>
        </is>
      </c>
      <c r="F7109" t="inlineStr">
        <is>
          <t>Övriga Aktiebolag</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4922-2023</t>
        </is>
      </c>
      <c r="B7110" s="1" t="n">
        <v>44958</v>
      </c>
      <c r="C7110" s="1" t="n">
        <v>45715</v>
      </c>
      <c r="D7110" t="inlineStr">
        <is>
          <t>KALMAR LÄN</t>
        </is>
      </c>
      <c r="E7110" t="inlineStr">
        <is>
          <t>OSKARSHAMN</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4947-2023</t>
        </is>
      </c>
      <c r="B7111" s="1" t="n">
        <v>44958</v>
      </c>
      <c r="C7111" s="1" t="n">
        <v>45715</v>
      </c>
      <c r="D7111" t="inlineStr">
        <is>
          <t>KALMAR LÄN</t>
        </is>
      </c>
      <c r="E7111" t="inlineStr">
        <is>
          <t>EMMABODA</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4974-2023</t>
        </is>
      </c>
      <c r="B7112" s="1" t="n">
        <v>44958</v>
      </c>
      <c r="C7112" s="1" t="n">
        <v>45715</v>
      </c>
      <c r="D7112" t="inlineStr">
        <is>
          <t>KALMAR LÄN</t>
        </is>
      </c>
      <c r="E7112" t="inlineStr">
        <is>
          <t>HULTSFRED</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4898-2023</t>
        </is>
      </c>
      <c r="B7113" s="1" t="n">
        <v>44958</v>
      </c>
      <c r="C7113" s="1" t="n">
        <v>45715</v>
      </c>
      <c r="D7113" t="inlineStr">
        <is>
          <t>KALMAR LÄN</t>
        </is>
      </c>
      <c r="E7113" t="inlineStr">
        <is>
          <t>TORSÅS</t>
        </is>
      </c>
      <c r="F7113" t="inlineStr">
        <is>
          <t>Övriga Aktiebolag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4972-2023</t>
        </is>
      </c>
      <c r="B7114" s="1" t="n">
        <v>44958</v>
      </c>
      <c r="C7114" s="1" t="n">
        <v>45715</v>
      </c>
      <c r="D7114" t="inlineStr">
        <is>
          <t>KALMAR LÄN</t>
        </is>
      </c>
      <c r="E7114" t="inlineStr">
        <is>
          <t>HULTSFRED</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5074-2023</t>
        </is>
      </c>
      <c r="B7115" s="1" t="n">
        <v>44958</v>
      </c>
      <c r="C7115" s="1" t="n">
        <v>45715</v>
      </c>
      <c r="D7115" t="inlineStr">
        <is>
          <t>KALMAR LÄN</t>
        </is>
      </c>
      <c r="E7115" t="inlineStr">
        <is>
          <t>VIMMERBY</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5113-2023</t>
        </is>
      </c>
      <c r="B7116" s="1" t="n">
        <v>44958</v>
      </c>
      <c r="C7116" s="1" t="n">
        <v>45715</v>
      </c>
      <c r="D7116" t="inlineStr">
        <is>
          <t>KALMAR LÄN</t>
        </is>
      </c>
      <c r="E7116" t="inlineStr">
        <is>
          <t>TORSÅS</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5332-2023</t>
        </is>
      </c>
      <c r="B7117" s="1" t="n">
        <v>44959</v>
      </c>
      <c r="C7117" s="1" t="n">
        <v>45715</v>
      </c>
      <c r="D7117" t="inlineStr">
        <is>
          <t>KALMAR LÄN</t>
        </is>
      </c>
      <c r="E7117" t="inlineStr">
        <is>
          <t>KALMAR</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5342-2023</t>
        </is>
      </c>
      <c r="B7118" s="1" t="n">
        <v>44959</v>
      </c>
      <c r="C7118" s="1" t="n">
        <v>45715</v>
      </c>
      <c r="D7118" t="inlineStr">
        <is>
          <t>KALMAR LÄN</t>
        </is>
      </c>
      <c r="E7118" t="inlineStr">
        <is>
          <t>VIMMERBY</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5382-2023</t>
        </is>
      </c>
      <c r="B7119" s="1" t="n">
        <v>44959</v>
      </c>
      <c r="C7119" s="1" t="n">
        <v>45715</v>
      </c>
      <c r="D7119" t="inlineStr">
        <is>
          <t>KALMAR LÄN</t>
        </is>
      </c>
      <c r="E7119" t="inlineStr">
        <is>
          <t>VIMMERBY</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5257-2023</t>
        </is>
      </c>
      <c r="B7120" s="1" t="n">
        <v>44959</v>
      </c>
      <c r="C7120" s="1" t="n">
        <v>45715</v>
      </c>
      <c r="D7120" t="inlineStr">
        <is>
          <t>KALMAR LÄN</t>
        </is>
      </c>
      <c r="E7120" t="inlineStr">
        <is>
          <t>NYBRO</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5310-2023</t>
        </is>
      </c>
      <c r="B7121" s="1" t="n">
        <v>44959</v>
      </c>
      <c r="C7121" s="1" t="n">
        <v>45715</v>
      </c>
      <c r="D7121" t="inlineStr">
        <is>
          <t>KALMAR LÄN</t>
        </is>
      </c>
      <c r="E7121" t="inlineStr">
        <is>
          <t>NYBRO</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5345-2023</t>
        </is>
      </c>
      <c r="B7122" s="1" t="n">
        <v>44959</v>
      </c>
      <c r="C7122" s="1" t="n">
        <v>45715</v>
      </c>
      <c r="D7122" t="inlineStr">
        <is>
          <t>KALMAR LÄN</t>
        </is>
      </c>
      <c r="E7122" t="inlineStr">
        <is>
          <t>EMMABODA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5214-2023</t>
        </is>
      </c>
      <c r="B7123" s="1" t="n">
        <v>44959</v>
      </c>
      <c r="C7123" s="1" t="n">
        <v>45715</v>
      </c>
      <c r="D7123" t="inlineStr">
        <is>
          <t>KALMAR LÄN</t>
        </is>
      </c>
      <c r="E7123" t="inlineStr">
        <is>
          <t>NYBRO</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5340-2023</t>
        </is>
      </c>
      <c r="B7124" s="1" t="n">
        <v>44959</v>
      </c>
      <c r="C7124" s="1" t="n">
        <v>45715</v>
      </c>
      <c r="D7124" t="inlineStr">
        <is>
          <t>KALMAR LÄN</t>
        </is>
      </c>
      <c r="E7124" t="inlineStr">
        <is>
          <t>NYBRO</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5666-2023</t>
        </is>
      </c>
      <c r="B7125" s="1" t="n">
        <v>44960</v>
      </c>
      <c r="C7125" s="1" t="n">
        <v>45715</v>
      </c>
      <c r="D7125" t="inlineStr">
        <is>
          <t>KALMAR LÄN</t>
        </is>
      </c>
      <c r="E7125" t="inlineStr">
        <is>
          <t>EMMABODA</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5625-2023</t>
        </is>
      </c>
      <c r="B7126" s="1" t="n">
        <v>44960</v>
      </c>
      <c r="C7126" s="1" t="n">
        <v>45715</v>
      </c>
      <c r="D7126" t="inlineStr">
        <is>
          <t>KALMAR LÄN</t>
        </is>
      </c>
      <c r="E7126" t="inlineStr">
        <is>
          <t>OSKARSHAMN</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5684-2023</t>
        </is>
      </c>
      <c r="B7127" s="1" t="n">
        <v>44960</v>
      </c>
      <c r="C7127" s="1" t="n">
        <v>45715</v>
      </c>
      <c r="D7127" t="inlineStr">
        <is>
          <t>KALMAR LÄN</t>
        </is>
      </c>
      <c r="E7127" t="inlineStr">
        <is>
          <t>VÄSTERVIK</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5671-2023</t>
        </is>
      </c>
      <c r="B7128" s="1" t="n">
        <v>44960</v>
      </c>
      <c r="C7128" s="1" t="n">
        <v>45715</v>
      </c>
      <c r="D7128" t="inlineStr">
        <is>
          <t>KALMAR LÄN</t>
        </is>
      </c>
      <c r="E7128" t="inlineStr">
        <is>
          <t>EMMABODA</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6346-2023</t>
        </is>
      </c>
      <c r="B7129" s="1" t="n">
        <v>44960</v>
      </c>
      <c r="C7129" s="1" t="n">
        <v>45715</v>
      </c>
      <c r="D7129" t="inlineStr">
        <is>
          <t>KALMAR LÄN</t>
        </is>
      </c>
      <c r="E7129" t="inlineStr">
        <is>
          <t>VÄSTERVIK</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5575-2023</t>
        </is>
      </c>
      <c r="B7130" s="1" t="n">
        <v>44960</v>
      </c>
      <c r="C7130" s="1" t="n">
        <v>45715</v>
      </c>
      <c r="D7130" t="inlineStr">
        <is>
          <t>KALMAR LÄN</t>
        </is>
      </c>
      <c r="E7130" t="inlineStr">
        <is>
          <t>HULTSFRED</t>
        </is>
      </c>
      <c r="F7130" t="inlineStr">
        <is>
          <t>Sveaskog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5578-2023</t>
        </is>
      </c>
      <c r="B7131" s="1" t="n">
        <v>44960</v>
      </c>
      <c r="C7131" s="1" t="n">
        <v>45715</v>
      </c>
      <c r="D7131" t="inlineStr">
        <is>
          <t>KALMAR LÄN</t>
        </is>
      </c>
      <c r="E7131" t="inlineStr">
        <is>
          <t>HULTSFRED</t>
        </is>
      </c>
      <c r="F7131" t="inlineStr">
        <is>
          <t>Sveaskog</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5550-2023</t>
        </is>
      </c>
      <c r="B7132" s="1" t="n">
        <v>44960</v>
      </c>
      <c r="C7132" s="1" t="n">
        <v>45715</v>
      </c>
      <c r="D7132" t="inlineStr">
        <is>
          <t>KALMAR LÄN</t>
        </is>
      </c>
      <c r="E7132" t="inlineStr">
        <is>
          <t>HULTSFRED</t>
        </is>
      </c>
      <c r="F7132" t="inlineStr">
        <is>
          <t>Sveaskog</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5573-2023</t>
        </is>
      </c>
      <c r="B7133" s="1" t="n">
        <v>44960</v>
      </c>
      <c r="C7133" s="1" t="n">
        <v>45715</v>
      </c>
      <c r="D7133" t="inlineStr">
        <is>
          <t>KALMAR LÄN</t>
        </is>
      </c>
      <c r="E7133" t="inlineStr">
        <is>
          <t>HULTSFRED</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5720-2023</t>
        </is>
      </c>
      <c r="B7134" s="1" t="n">
        <v>44961</v>
      </c>
      <c r="C7134" s="1" t="n">
        <v>45715</v>
      </c>
      <c r="D7134" t="inlineStr">
        <is>
          <t>KALMAR LÄN</t>
        </is>
      </c>
      <c r="E7134" t="inlineStr">
        <is>
          <t>VIMMERBY</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5753-2023</t>
        </is>
      </c>
      <c r="B7135" s="1" t="n">
        <v>44963</v>
      </c>
      <c r="C7135" s="1" t="n">
        <v>45715</v>
      </c>
      <c r="D7135" t="inlineStr">
        <is>
          <t>KALMAR LÄN</t>
        </is>
      </c>
      <c r="E7135" t="inlineStr">
        <is>
          <t>HULTSFRED</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5775-2023</t>
        </is>
      </c>
      <c r="B7136" s="1" t="n">
        <v>44963</v>
      </c>
      <c r="C7136" s="1" t="n">
        <v>45715</v>
      </c>
      <c r="D7136" t="inlineStr">
        <is>
          <t>KALMAR LÄN</t>
        </is>
      </c>
      <c r="E7136" t="inlineStr">
        <is>
          <t>VÄSTERVIK</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5792-2023</t>
        </is>
      </c>
      <c r="B7137" s="1" t="n">
        <v>44963</v>
      </c>
      <c r="C7137" s="1" t="n">
        <v>45715</v>
      </c>
      <c r="D7137" t="inlineStr">
        <is>
          <t>KALMAR LÄN</t>
        </is>
      </c>
      <c r="E7137" t="inlineStr">
        <is>
          <t>VIMMERBY</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5843-2023</t>
        </is>
      </c>
      <c r="B7138" s="1" t="n">
        <v>44963</v>
      </c>
      <c r="C7138" s="1" t="n">
        <v>45715</v>
      </c>
      <c r="D7138" t="inlineStr">
        <is>
          <t>KALMAR LÄN</t>
        </is>
      </c>
      <c r="E7138" t="inlineStr">
        <is>
          <t>OSKARSHAMN</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5878-2023</t>
        </is>
      </c>
      <c r="B7139" s="1" t="n">
        <v>44963</v>
      </c>
      <c r="C7139" s="1" t="n">
        <v>45715</v>
      </c>
      <c r="D7139" t="inlineStr">
        <is>
          <t>KALMAR LÄN</t>
        </is>
      </c>
      <c r="E7139" t="inlineStr">
        <is>
          <t>HULTSFRED</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5755-2023</t>
        </is>
      </c>
      <c r="B7140" s="1" t="n">
        <v>44963</v>
      </c>
      <c r="C7140" s="1" t="n">
        <v>45715</v>
      </c>
      <c r="D7140" t="inlineStr">
        <is>
          <t>KALMAR LÄN</t>
        </is>
      </c>
      <c r="E7140" t="inlineStr">
        <is>
          <t>HULTSFRED</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5769-2023</t>
        </is>
      </c>
      <c r="B7141" s="1" t="n">
        <v>44963</v>
      </c>
      <c r="C7141" s="1" t="n">
        <v>45715</v>
      </c>
      <c r="D7141" t="inlineStr">
        <is>
          <t>KALMAR LÄN</t>
        </is>
      </c>
      <c r="E7141" t="inlineStr">
        <is>
          <t>VÄSTERVIK</t>
        </is>
      </c>
      <c r="F7141" t="inlineStr">
        <is>
          <t>Holmen skog AB</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5774-2023</t>
        </is>
      </c>
      <c r="B7142" s="1" t="n">
        <v>44963</v>
      </c>
      <c r="C7142" s="1" t="n">
        <v>45715</v>
      </c>
      <c r="D7142" t="inlineStr">
        <is>
          <t>KALMAR LÄN</t>
        </is>
      </c>
      <c r="E7142" t="inlineStr">
        <is>
          <t>VÄSTERVIK</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5776-2023</t>
        </is>
      </c>
      <c r="B7143" s="1" t="n">
        <v>44963</v>
      </c>
      <c r="C7143" s="1" t="n">
        <v>45715</v>
      </c>
      <c r="D7143" t="inlineStr">
        <is>
          <t>KALMAR LÄN</t>
        </is>
      </c>
      <c r="E7143" t="inlineStr">
        <is>
          <t>NYBRO</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5845-2023</t>
        </is>
      </c>
      <c r="B7144" s="1" t="n">
        <v>44963</v>
      </c>
      <c r="C7144" s="1" t="n">
        <v>45715</v>
      </c>
      <c r="D7144" t="inlineStr">
        <is>
          <t>KALMAR LÄN</t>
        </is>
      </c>
      <c r="E7144" t="inlineStr">
        <is>
          <t>OSKARSHAMN</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5903-2023</t>
        </is>
      </c>
      <c r="B7145" s="1" t="n">
        <v>44963</v>
      </c>
      <c r="C7145" s="1" t="n">
        <v>45715</v>
      </c>
      <c r="D7145" t="inlineStr">
        <is>
          <t>KALMAR LÄN</t>
        </is>
      </c>
      <c r="E7145" t="inlineStr">
        <is>
          <t>KALMAR</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5882-2023</t>
        </is>
      </c>
      <c r="B7146" s="1" t="n">
        <v>44963</v>
      </c>
      <c r="C7146" s="1" t="n">
        <v>45715</v>
      </c>
      <c r="D7146" t="inlineStr">
        <is>
          <t>KALMAR LÄN</t>
        </is>
      </c>
      <c r="E7146" t="inlineStr">
        <is>
          <t>OSKARSHAMN</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5941-2023</t>
        </is>
      </c>
      <c r="B7147" s="1" t="n">
        <v>44963</v>
      </c>
      <c r="C7147" s="1" t="n">
        <v>45715</v>
      </c>
      <c r="D7147" t="inlineStr">
        <is>
          <t>KALMAR LÄN</t>
        </is>
      </c>
      <c r="E7147" t="inlineStr">
        <is>
          <t>KALMAR</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5930-2023</t>
        </is>
      </c>
      <c r="B7148" s="1" t="n">
        <v>44963</v>
      </c>
      <c r="C7148" s="1" t="n">
        <v>45715</v>
      </c>
      <c r="D7148" t="inlineStr">
        <is>
          <t>KALMAR LÄN</t>
        </is>
      </c>
      <c r="E7148" t="inlineStr">
        <is>
          <t>KALMAR</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5896-2023</t>
        </is>
      </c>
      <c r="B7149" s="1" t="n">
        <v>44963</v>
      </c>
      <c r="C7149" s="1" t="n">
        <v>45715</v>
      </c>
      <c r="D7149" t="inlineStr">
        <is>
          <t>KALMAR LÄN</t>
        </is>
      </c>
      <c r="E7149" t="inlineStr">
        <is>
          <t>OSKARSHAMN</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5889-2023</t>
        </is>
      </c>
      <c r="B7150" s="1" t="n">
        <v>44963</v>
      </c>
      <c r="C7150" s="1" t="n">
        <v>45715</v>
      </c>
      <c r="D7150" t="inlineStr">
        <is>
          <t>KALMAR LÄN</t>
        </is>
      </c>
      <c r="E7150" t="inlineStr">
        <is>
          <t>OSKARSHAMN</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6042-2023</t>
        </is>
      </c>
      <c r="B7151" s="1" t="n">
        <v>44964</v>
      </c>
      <c r="C7151" s="1" t="n">
        <v>45715</v>
      </c>
      <c r="D7151" t="inlineStr">
        <is>
          <t>KALMAR LÄN</t>
        </is>
      </c>
      <c r="E7151" t="inlineStr">
        <is>
          <t>VÄSTERVIK</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5982-2023</t>
        </is>
      </c>
      <c r="B7152" s="1" t="n">
        <v>44964</v>
      </c>
      <c r="C7152" s="1" t="n">
        <v>45715</v>
      </c>
      <c r="D7152" t="inlineStr">
        <is>
          <t>KALMAR LÄN</t>
        </is>
      </c>
      <c r="E7152" t="inlineStr">
        <is>
          <t>VÄSTERVIK</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6028-2023</t>
        </is>
      </c>
      <c r="B7153" s="1" t="n">
        <v>44964</v>
      </c>
      <c r="C7153" s="1" t="n">
        <v>45715</v>
      </c>
      <c r="D7153" t="inlineStr">
        <is>
          <t>KALMAR LÄN</t>
        </is>
      </c>
      <c r="E7153" t="inlineStr">
        <is>
          <t>VIMMERBY</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6063-2023</t>
        </is>
      </c>
      <c r="B7154" s="1" t="n">
        <v>44964</v>
      </c>
      <c r="C7154" s="1" t="n">
        <v>45715</v>
      </c>
      <c r="D7154" t="inlineStr">
        <is>
          <t>KALMAR LÄN</t>
        </is>
      </c>
      <c r="E7154" t="inlineStr">
        <is>
          <t>EMMABODA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6126-2023</t>
        </is>
      </c>
      <c r="B7155" s="1" t="n">
        <v>44964</v>
      </c>
      <c r="C7155" s="1" t="n">
        <v>45715</v>
      </c>
      <c r="D7155" t="inlineStr">
        <is>
          <t>KALMAR LÄN</t>
        </is>
      </c>
      <c r="E7155" t="inlineStr">
        <is>
          <t>VÄSTERVIK</t>
        </is>
      </c>
      <c r="F7155" t="inlineStr">
        <is>
          <t>Övriga Aktiebolag</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6066-2023</t>
        </is>
      </c>
      <c r="B7156" s="1" t="n">
        <v>44964</v>
      </c>
      <c r="C7156" s="1" t="n">
        <v>45715</v>
      </c>
      <c r="D7156" t="inlineStr">
        <is>
          <t>KALMAR LÄN</t>
        </is>
      </c>
      <c r="E7156" t="inlineStr">
        <is>
          <t>VIMMERBY</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6017-2023</t>
        </is>
      </c>
      <c r="B7157" s="1" t="n">
        <v>44964</v>
      </c>
      <c r="C7157" s="1" t="n">
        <v>45715</v>
      </c>
      <c r="D7157" t="inlineStr">
        <is>
          <t>KALMAR LÄN</t>
        </is>
      </c>
      <c r="E7157" t="inlineStr">
        <is>
          <t>VIMMERBY</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6128-2023</t>
        </is>
      </c>
      <c r="B7158" s="1" t="n">
        <v>44964</v>
      </c>
      <c r="C7158" s="1" t="n">
        <v>45715</v>
      </c>
      <c r="D7158" t="inlineStr">
        <is>
          <t>KALMAR LÄN</t>
        </is>
      </c>
      <c r="E7158" t="inlineStr">
        <is>
          <t>HULTSFRED</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6290-2023</t>
        </is>
      </c>
      <c r="B7159" s="1" t="n">
        <v>44965</v>
      </c>
      <c r="C7159" s="1" t="n">
        <v>45715</v>
      </c>
      <c r="D7159" t="inlineStr">
        <is>
          <t>KALMAR LÄN</t>
        </is>
      </c>
      <c r="E7159" t="inlineStr">
        <is>
          <t>NYBRO</t>
        </is>
      </c>
      <c r="F7159" t="inlineStr">
        <is>
          <t>Sveaskog</t>
        </is>
      </c>
      <c r="G7159" t="n">
        <v>4.8</v>
      </c>
      <c r="H7159" t="n">
        <v>0</v>
      </c>
      <c r="I7159" t="n">
        <v>0</v>
      </c>
      <c r="J7159" t="n">
        <v>0</v>
      </c>
      <c r="K7159" t="n">
        <v>0</v>
      </c>
      <c r="L7159" t="n">
        <v>0</v>
      </c>
      <c r="M7159" t="n">
        <v>0</v>
      </c>
      <c r="N7159" t="n">
        <v>0</v>
      </c>
      <c r="O7159" t="n">
        <v>0</v>
      </c>
      <c r="P7159" t="n">
        <v>0</v>
      </c>
      <c r="Q7159" t="n">
        <v>0</v>
      </c>
      <c r="R7159" s="2" t="inlineStr"/>
    </row>
    <row r="7160" ht="15" customHeight="1">
      <c r="A7160" t="inlineStr">
        <is>
          <t>A 6330-2023</t>
        </is>
      </c>
      <c r="B7160" s="1" t="n">
        <v>44965</v>
      </c>
      <c r="C7160" s="1" t="n">
        <v>45715</v>
      </c>
      <c r="D7160" t="inlineStr">
        <is>
          <t>KALMAR LÄN</t>
        </is>
      </c>
      <c r="E7160" t="inlineStr">
        <is>
          <t>EMMABODA</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6368-2023</t>
        </is>
      </c>
      <c r="B7161" s="1" t="n">
        <v>44965</v>
      </c>
      <c r="C7161" s="1" t="n">
        <v>45715</v>
      </c>
      <c r="D7161" t="inlineStr">
        <is>
          <t>KALMAR LÄN</t>
        </is>
      </c>
      <c r="E7161" t="inlineStr">
        <is>
          <t>VIMMERBY</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6287-2023</t>
        </is>
      </c>
      <c r="B7162" s="1" t="n">
        <v>44965</v>
      </c>
      <c r="C7162" s="1" t="n">
        <v>45715</v>
      </c>
      <c r="D7162" t="inlineStr">
        <is>
          <t>KALMAR LÄN</t>
        </is>
      </c>
      <c r="E7162" t="inlineStr">
        <is>
          <t>OSKARSHAMN</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6266-2023</t>
        </is>
      </c>
      <c r="B7163" s="1" t="n">
        <v>44965</v>
      </c>
      <c r="C7163" s="1" t="n">
        <v>45715</v>
      </c>
      <c r="D7163" t="inlineStr">
        <is>
          <t>KALMAR LÄN</t>
        </is>
      </c>
      <c r="E7163" t="inlineStr">
        <is>
          <t>KALMAR</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6319-2023</t>
        </is>
      </c>
      <c r="B7164" s="1" t="n">
        <v>44965</v>
      </c>
      <c r="C7164" s="1" t="n">
        <v>45715</v>
      </c>
      <c r="D7164" t="inlineStr">
        <is>
          <t>KALMAR LÄN</t>
        </is>
      </c>
      <c r="E7164" t="inlineStr">
        <is>
          <t>VÄSTERVIK</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6264-2023</t>
        </is>
      </c>
      <c r="B7165" s="1" t="n">
        <v>44965</v>
      </c>
      <c r="C7165" s="1" t="n">
        <v>45715</v>
      </c>
      <c r="D7165" t="inlineStr">
        <is>
          <t>KALMAR LÄN</t>
        </is>
      </c>
      <c r="E7165" t="inlineStr">
        <is>
          <t>KALMAR</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6321-2023</t>
        </is>
      </c>
      <c r="B7166" s="1" t="n">
        <v>44965</v>
      </c>
      <c r="C7166" s="1" t="n">
        <v>45715</v>
      </c>
      <c r="D7166" t="inlineStr">
        <is>
          <t>KALMAR LÄN</t>
        </is>
      </c>
      <c r="E7166" t="inlineStr">
        <is>
          <t>VIMMERBY</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6366-2023</t>
        </is>
      </c>
      <c r="B7167" s="1" t="n">
        <v>44965</v>
      </c>
      <c r="C7167" s="1" t="n">
        <v>45715</v>
      </c>
      <c r="D7167" t="inlineStr">
        <is>
          <t>KALMAR LÄN</t>
        </is>
      </c>
      <c r="E7167" t="inlineStr">
        <is>
          <t>TORSÅS</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6393-2023</t>
        </is>
      </c>
      <c r="B7168" s="1" t="n">
        <v>44965</v>
      </c>
      <c r="C7168" s="1" t="n">
        <v>45715</v>
      </c>
      <c r="D7168" t="inlineStr">
        <is>
          <t>KALMAR LÄN</t>
        </is>
      </c>
      <c r="E7168" t="inlineStr">
        <is>
          <t>TORSÅS</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6557-2023</t>
        </is>
      </c>
      <c r="B7169" s="1" t="n">
        <v>44966</v>
      </c>
      <c r="C7169" s="1" t="n">
        <v>45715</v>
      </c>
      <c r="D7169" t="inlineStr">
        <is>
          <t>KALMAR LÄN</t>
        </is>
      </c>
      <c r="E7169" t="inlineStr">
        <is>
          <t>MÖNSTERÅS</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6660-2023</t>
        </is>
      </c>
      <c r="B7170" s="1" t="n">
        <v>44966</v>
      </c>
      <c r="C7170" s="1" t="n">
        <v>45715</v>
      </c>
      <c r="D7170" t="inlineStr">
        <is>
          <t>KALMAR LÄN</t>
        </is>
      </c>
      <c r="E7170" t="inlineStr">
        <is>
          <t>VIMMERBY</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6574-2023</t>
        </is>
      </c>
      <c r="B7171" s="1" t="n">
        <v>44966</v>
      </c>
      <c r="C7171" s="1" t="n">
        <v>45715</v>
      </c>
      <c r="D7171" t="inlineStr">
        <is>
          <t>KALMAR LÄN</t>
        </is>
      </c>
      <c r="E7171" t="inlineStr">
        <is>
          <t>VIMMERBY</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6615-2023</t>
        </is>
      </c>
      <c r="B7172" s="1" t="n">
        <v>44966</v>
      </c>
      <c r="C7172" s="1" t="n">
        <v>45715</v>
      </c>
      <c r="D7172" t="inlineStr">
        <is>
          <t>KALMAR LÄN</t>
        </is>
      </c>
      <c r="E7172" t="inlineStr">
        <is>
          <t>EMMABODA</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6649-2023</t>
        </is>
      </c>
      <c r="B7173" s="1" t="n">
        <v>44966</v>
      </c>
      <c r="C7173" s="1" t="n">
        <v>45715</v>
      </c>
      <c r="D7173" t="inlineStr">
        <is>
          <t>KALMAR LÄN</t>
        </is>
      </c>
      <c r="E7173" t="inlineStr">
        <is>
          <t>HULTSFRED</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6662-2023</t>
        </is>
      </c>
      <c r="B7174" s="1" t="n">
        <v>44966</v>
      </c>
      <c r="C7174" s="1" t="n">
        <v>45715</v>
      </c>
      <c r="D7174" t="inlineStr">
        <is>
          <t>KALMAR LÄN</t>
        </is>
      </c>
      <c r="E7174" t="inlineStr">
        <is>
          <t>VIMMERBY</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6668-2023</t>
        </is>
      </c>
      <c r="B7175" s="1" t="n">
        <v>44966</v>
      </c>
      <c r="C7175" s="1" t="n">
        <v>45715</v>
      </c>
      <c r="D7175" t="inlineStr">
        <is>
          <t>KALMAR LÄN</t>
        </is>
      </c>
      <c r="E7175" t="inlineStr">
        <is>
          <t>VIMMERBY</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6679-2023</t>
        </is>
      </c>
      <c r="B7176" s="1" t="n">
        <v>44966</v>
      </c>
      <c r="C7176" s="1" t="n">
        <v>45715</v>
      </c>
      <c r="D7176" t="inlineStr">
        <is>
          <t>KALMAR LÄN</t>
        </is>
      </c>
      <c r="E7176" t="inlineStr">
        <is>
          <t>NYBRO</t>
        </is>
      </c>
      <c r="G7176" t="n">
        <v>8.1</v>
      </c>
      <c r="H7176" t="n">
        <v>0</v>
      </c>
      <c r="I7176" t="n">
        <v>0</v>
      </c>
      <c r="J7176" t="n">
        <v>0</v>
      </c>
      <c r="K7176" t="n">
        <v>0</v>
      </c>
      <c r="L7176" t="n">
        <v>0</v>
      </c>
      <c r="M7176" t="n">
        <v>0</v>
      </c>
      <c r="N7176" t="n">
        <v>0</v>
      </c>
      <c r="O7176" t="n">
        <v>0</v>
      </c>
      <c r="P7176" t="n">
        <v>0</v>
      </c>
      <c r="Q7176" t="n">
        <v>0</v>
      </c>
      <c r="R7176" s="2" t="inlineStr"/>
    </row>
    <row r="7177" ht="15" customHeight="1">
      <c r="A7177" t="inlineStr">
        <is>
          <t>A 6691-2023</t>
        </is>
      </c>
      <c r="B7177" s="1" t="n">
        <v>44966</v>
      </c>
      <c r="C7177" s="1" t="n">
        <v>45715</v>
      </c>
      <c r="D7177" t="inlineStr">
        <is>
          <t>KALMAR LÄN</t>
        </is>
      </c>
      <c r="E7177" t="inlineStr">
        <is>
          <t>NYBRO</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6539-2023</t>
        </is>
      </c>
      <c r="B7178" s="1" t="n">
        <v>44966</v>
      </c>
      <c r="C7178" s="1" t="n">
        <v>45715</v>
      </c>
      <c r="D7178" t="inlineStr">
        <is>
          <t>KALMAR LÄN</t>
        </is>
      </c>
      <c r="E7178" t="inlineStr">
        <is>
          <t>KALMAR</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6538-2023</t>
        </is>
      </c>
      <c r="B7179" s="1" t="n">
        <v>44966</v>
      </c>
      <c r="C7179" s="1" t="n">
        <v>45715</v>
      </c>
      <c r="D7179" t="inlineStr">
        <is>
          <t>KALMAR LÄN</t>
        </is>
      </c>
      <c r="E7179" t="inlineStr">
        <is>
          <t>VIMMERBY</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6688-2023</t>
        </is>
      </c>
      <c r="B7180" s="1" t="n">
        <v>44966</v>
      </c>
      <c r="C7180" s="1" t="n">
        <v>45715</v>
      </c>
      <c r="D7180" t="inlineStr">
        <is>
          <t>KALMAR LÄN</t>
        </is>
      </c>
      <c r="E7180" t="inlineStr">
        <is>
          <t>NYBRO</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7438-2023</t>
        </is>
      </c>
      <c r="B7181" s="1" t="n">
        <v>44966</v>
      </c>
      <c r="C7181" s="1" t="n">
        <v>45715</v>
      </c>
      <c r="D7181" t="inlineStr">
        <is>
          <t>KALMAR LÄN</t>
        </is>
      </c>
      <c r="E7181" t="inlineStr">
        <is>
          <t>HÖGSBY</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6819-2023</t>
        </is>
      </c>
      <c r="B7182" s="1" t="n">
        <v>44967</v>
      </c>
      <c r="C7182" s="1" t="n">
        <v>45715</v>
      </c>
      <c r="D7182" t="inlineStr">
        <is>
          <t>KALMAR LÄN</t>
        </is>
      </c>
      <c r="E7182" t="inlineStr">
        <is>
          <t>TORSÅS</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6857-2023</t>
        </is>
      </c>
      <c r="B7183" s="1" t="n">
        <v>44967</v>
      </c>
      <c r="C7183" s="1" t="n">
        <v>45715</v>
      </c>
      <c r="D7183" t="inlineStr">
        <is>
          <t>KALMAR LÄN</t>
        </is>
      </c>
      <c r="E7183" t="inlineStr">
        <is>
          <t>VIMMERBY</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6818-2023</t>
        </is>
      </c>
      <c r="B7184" s="1" t="n">
        <v>44967</v>
      </c>
      <c r="C7184" s="1" t="n">
        <v>45715</v>
      </c>
      <c r="D7184" t="inlineStr">
        <is>
          <t>KALMAR LÄN</t>
        </is>
      </c>
      <c r="E7184" t="inlineStr">
        <is>
          <t>EMMABODA</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6850-2023</t>
        </is>
      </c>
      <c r="B7185" s="1" t="n">
        <v>44967</v>
      </c>
      <c r="C7185" s="1" t="n">
        <v>45715</v>
      </c>
      <c r="D7185" t="inlineStr">
        <is>
          <t>KALMAR LÄN</t>
        </is>
      </c>
      <c r="E7185" t="inlineStr">
        <is>
          <t>VIMMERBY</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7126-2023</t>
        </is>
      </c>
      <c r="B7186" s="1" t="n">
        <v>44970</v>
      </c>
      <c r="C7186" s="1" t="n">
        <v>45715</v>
      </c>
      <c r="D7186" t="inlineStr">
        <is>
          <t>KALMAR LÄN</t>
        </is>
      </c>
      <c r="E7186" t="inlineStr">
        <is>
          <t>VÄSTERVIK</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7150-2023</t>
        </is>
      </c>
      <c r="B7187" s="1" t="n">
        <v>44970</v>
      </c>
      <c r="C7187" s="1" t="n">
        <v>45715</v>
      </c>
      <c r="D7187" t="inlineStr">
        <is>
          <t>KALMAR LÄN</t>
        </is>
      </c>
      <c r="E7187" t="inlineStr">
        <is>
          <t>OSKARSHAMN</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7260-2023</t>
        </is>
      </c>
      <c r="B7188" s="1" t="n">
        <v>44970</v>
      </c>
      <c r="C7188" s="1" t="n">
        <v>45715</v>
      </c>
      <c r="D7188" t="inlineStr">
        <is>
          <t>KALMAR LÄN</t>
        </is>
      </c>
      <c r="E7188" t="inlineStr">
        <is>
          <t>OSKARSHAMN</t>
        </is>
      </c>
      <c r="G7188" t="n">
        <v>8.5</v>
      </c>
      <c r="H7188" t="n">
        <v>0</v>
      </c>
      <c r="I7188" t="n">
        <v>0</v>
      </c>
      <c r="J7188" t="n">
        <v>0</v>
      </c>
      <c r="K7188" t="n">
        <v>0</v>
      </c>
      <c r="L7188" t="n">
        <v>0</v>
      </c>
      <c r="M7188" t="n">
        <v>0</v>
      </c>
      <c r="N7188" t="n">
        <v>0</v>
      </c>
      <c r="O7188" t="n">
        <v>0</v>
      </c>
      <c r="P7188" t="n">
        <v>0</v>
      </c>
      <c r="Q7188" t="n">
        <v>0</v>
      </c>
      <c r="R7188" s="2" t="inlineStr"/>
    </row>
    <row r="7189" ht="15" customHeight="1">
      <c r="A7189" t="inlineStr">
        <is>
          <t>A 7308-2023</t>
        </is>
      </c>
      <c r="B7189" s="1" t="n">
        <v>44970</v>
      </c>
      <c r="C7189" s="1" t="n">
        <v>45715</v>
      </c>
      <c r="D7189" t="inlineStr">
        <is>
          <t>KALMAR LÄN</t>
        </is>
      </c>
      <c r="E7189" t="inlineStr">
        <is>
          <t>NYBRO</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7312-2023</t>
        </is>
      </c>
      <c r="B7190" s="1" t="n">
        <v>44970</v>
      </c>
      <c r="C7190" s="1" t="n">
        <v>45715</v>
      </c>
      <c r="D7190" t="inlineStr">
        <is>
          <t>KALMAR LÄN</t>
        </is>
      </c>
      <c r="E7190" t="inlineStr">
        <is>
          <t>HULTSFRED</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7080-2023</t>
        </is>
      </c>
      <c r="B7191" s="1" t="n">
        <v>44970</v>
      </c>
      <c r="C7191" s="1" t="n">
        <v>45715</v>
      </c>
      <c r="D7191" t="inlineStr">
        <is>
          <t>KALMAR LÄN</t>
        </is>
      </c>
      <c r="E7191" t="inlineStr">
        <is>
          <t>VÄSTERVIK</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7221-2023</t>
        </is>
      </c>
      <c r="B7192" s="1" t="n">
        <v>44970</v>
      </c>
      <c r="C7192" s="1" t="n">
        <v>45715</v>
      </c>
      <c r="D7192" t="inlineStr">
        <is>
          <t>KALMAR LÄN</t>
        </is>
      </c>
      <c r="E7192" t="inlineStr">
        <is>
          <t>HULTSFRED</t>
        </is>
      </c>
      <c r="F7192" t="inlineStr">
        <is>
          <t>Sveaskog</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7098-2023</t>
        </is>
      </c>
      <c r="B7193" s="1" t="n">
        <v>44970</v>
      </c>
      <c r="C7193" s="1" t="n">
        <v>45715</v>
      </c>
      <c r="D7193" t="inlineStr">
        <is>
          <t>KALMAR LÄN</t>
        </is>
      </c>
      <c r="E7193" t="inlineStr">
        <is>
          <t>VÄSTERVIK</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7117-2023</t>
        </is>
      </c>
      <c r="B7194" s="1" t="n">
        <v>44970</v>
      </c>
      <c r="C7194" s="1" t="n">
        <v>45715</v>
      </c>
      <c r="D7194" t="inlineStr">
        <is>
          <t>KALMAR LÄN</t>
        </is>
      </c>
      <c r="E7194" t="inlineStr">
        <is>
          <t>HULTSFRED</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7146-2023</t>
        </is>
      </c>
      <c r="B7195" s="1" t="n">
        <v>44970</v>
      </c>
      <c r="C7195" s="1" t="n">
        <v>45715</v>
      </c>
      <c r="D7195" t="inlineStr">
        <is>
          <t>KALMAR LÄN</t>
        </is>
      </c>
      <c r="E7195" t="inlineStr">
        <is>
          <t>OSKARSHAMN</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7255-2023</t>
        </is>
      </c>
      <c r="B7196" s="1" t="n">
        <v>44970</v>
      </c>
      <c r="C7196" s="1" t="n">
        <v>45715</v>
      </c>
      <c r="D7196" t="inlineStr">
        <is>
          <t>KALMAR LÄN</t>
        </is>
      </c>
      <c r="E7196" t="inlineStr">
        <is>
          <t>VÄSTERVIK</t>
        </is>
      </c>
      <c r="F7196" t="inlineStr">
        <is>
          <t>Naturvårdsverket</t>
        </is>
      </c>
      <c r="G7196" t="n">
        <v>0.6</v>
      </c>
      <c r="H7196" t="n">
        <v>0</v>
      </c>
      <c r="I7196" t="n">
        <v>0</v>
      </c>
      <c r="J7196" t="n">
        <v>0</v>
      </c>
      <c r="K7196" t="n">
        <v>0</v>
      </c>
      <c r="L7196" t="n">
        <v>0</v>
      </c>
      <c r="M7196" t="n">
        <v>0</v>
      </c>
      <c r="N7196" t="n">
        <v>0</v>
      </c>
      <c r="O7196" t="n">
        <v>0</v>
      </c>
      <c r="P7196" t="n">
        <v>0</v>
      </c>
      <c r="Q7196" t="n">
        <v>0</v>
      </c>
      <c r="R7196" s="2" t="inlineStr"/>
      <c r="U7196">
        <f>HYPERLINK("https://klasma.github.io/Logging_0883/knärot/A 7255-2023 karta knärot.png", "A 7255-2023")</f>
        <v/>
      </c>
      <c r="V7196">
        <f>HYPERLINK("https://klasma.github.io/Logging_0883/klagomål/A 7255-2023 FSC-klagomål.docx", "A 7255-2023")</f>
        <v/>
      </c>
      <c r="W7196">
        <f>HYPERLINK("https://klasma.github.io/Logging_0883/klagomålsmail/A 7255-2023 FSC-klagomål mail.docx", "A 7255-2023")</f>
        <v/>
      </c>
      <c r="X7196">
        <f>HYPERLINK("https://klasma.github.io/Logging_0883/tillsyn/A 7255-2023 tillsynsbegäran.docx", "A 7255-2023")</f>
        <v/>
      </c>
      <c r="Y7196">
        <f>HYPERLINK("https://klasma.github.io/Logging_0883/tillsynsmail/A 7255-2023 tillsynsbegäran mail.docx", "A 7255-2023")</f>
        <v/>
      </c>
    </row>
    <row r="7197" ht="15" customHeight="1">
      <c r="A7197" t="inlineStr">
        <is>
          <t>A 7078-2023</t>
        </is>
      </c>
      <c r="B7197" s="1" t="n">
        <v>44970</v>
      </c>
      <c r="C7197" s="1" t="n">
        <v>45715</v>
      </c>
      <c r="D7197" t="inlineStr">
        <is>
          <t>KALMAR LÄN</t>
        </is>
      </c>
      <c r="E7197" t="inlineStr">
        <is>
          <t>HULTSFRED</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7100-2023</t>
        </is>
      </c>
      <c r="B7198" s="1" t="n">
        <v>44970</v>
      </c>
      <c r="C7198" s="1" t="n">
        <v>45715</v>
      </c>
      <c r="D7198" t="inlineStr">
        <is>
          <t>KALMAR LÄN</t>
        </is>
      </c>
      <c r="E7198" t="inlineStr">
        <is>
          <t>VÄSTERVIK</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7107-2023</t>
        </is>
      </c>
      <c r="B7199" s="1" t="n">
        <v>44970</v>
      </c>
      <c r="C7199" s="1" t="n">
        <v>45715</v>
      </c>
      <c r="D7199" t="inlineStr">
        <is>
          <t>KALMAR LÄN</t>
        </is>
      </c>
      <c r="E7199" t="inlineStr">
        <is>
          <t>KALMAR</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7310-2023</t>
        </is>
      </c>
      <c r="B7200" s="1" t="n">
        <v>44970</v>
      </c>
      <c r="C7200" s="1" t="n">
        <v>45715</v>
      </c>
      <c r="D7200" t="inlineStr">
        <is>
          <t>KALMAR LÄN</t>
        </is>
      </c>
      <c r="E7200" t="inlineStr">
        <is>
          <t>HULTSFRED</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7307-2023</t>
        </is>
      </c>
      <c r="B7201" s="1" t="n">
        <v>44970</v>
      </c>
      <c r="C7201" s="1" t="n">
        <v>45715</v>
      </c>
      <c r="D7201" t="inlineStr">
        <is>
          <t>KALMAR LÄN</t>
        </is>
      </c>
      <c r="E7201" t="inlineStr">
        <is>
          <t>NYBRO</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7360-2023</t>
        </is>
      </c>
      <c r="B7202" s="1" t="n">
        <v>44971</v>
      </c>
      <c r="C7202" s="1" t="n">
        <v>45715</v>
      </c>
      <c r="D7202" t="inlineStr">
        <is>
          <t>KALMAR LÄN</t>
        </is>
      </c>
      <c r="E7202" t="inlineStr">
        <is>
          <t>VÄSTERVIK</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7378-2023</t>
        </is>
      </c>
      <c r="B7203" s="1" t="n">
        <v>44971</v>
      </c>
      <c r="C7203" s="1" t="n">
        <v>45715</v>
      </c>
      <c r="D7203" t="inlineStr">
        <is>
          <t>KALMAR LÄN</t>
        </is>
      </c>
      <c r="E7203" t="inlineStr">
        <is>
          <t>HULTSFRED</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7415-2023</t>
        </is>
      </c>
      <c r="B7204" s="1" t="n">
        <v>44971</v>
      </c>
      <c r="C7204" s="1" t="n">
        <v>45715</v>
      </c>
      <c r="D7204" t="inlineStr">
        <is>
          <t>KALMAR LÄN</t>
        </is>
      </c>
      <c r="E7204" t="inlineStr">
        <is>
          <t>KALMAR</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7348-2023</t>
        </is>
      </c>
      <c r="B7205" s="1" t="n">
        <v>44971</v>
      </c>
      <c r="C7205" s="1" t="n">
        <v>45715</v>
      </c>
      <c r="D7205" t="inlineStr">
        <is>
          <t>KALMAR LÄN</t>
        </is>
      </c>
      <c r="E7205" t="inlineStr">
        <is>
          <t>HULTSFRED</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7336-2023</t>
        </is>
      </c>
      <c r="B7206" s="1" t="n">
        <v>44971</v>
      </c>
      <c r="C7206" s="1" t="n">
        <v>45715</v>
      </c>
      <c r="D7206" t="inlineStr">
        <is>
          <t>KALMAR LÄN</t>
        </is>
      </c>
      <c r="E7206" t="inlineStr">
        <is>
          <t>HULTSFRED</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7361-2023</t>
        </is>
      </c>
      <c r="B7207" s="1" t="n">
        <v>44971</v>
      </c>
      <c r="C7207" s="1" t="n">
        <v>45715</v>
      </c>
      <c r="D7207" t="inlineStr">
        <is>
          <t>KALMAR LÄN</t>
        </is>
      </c>
      <c r="E7207" t="inlineStr">
        <is>
          <t>HULTSFRED</t>
        </is>
      </c>
      <c r="G7207" t="n">
        <v>8.1</v>
      </c>
      <c r="H7207" t="n">
        <v>0</v>
      </c>
      <c r="I7207" t="n">
        <v>0</v>
      </c>
      <c r="J7207" t="n">
        <v>0</v>
      </c>
      <c r="K7207" t="n">
        <v>0</v>
      </c>
      <c r="L7207" t="n">
        <v>0</v>
      </c>
      <c r="M7207" t="n">
        <v>0</v>
      </c>
      <c r="N7207" t="n">
        <v>0</v>
      </c>
      <c r="O7207" t="n">
        <v>0</v>
      </c>
      <c r="P7207" t="n">
        <v>0</v>
      </c>
      <c r="Q7207" t="n">
        <v>0</v>
      </c>
      <c r="R7207" s="2" t="inlineStr"/>
    </row>
    <row r="7208" ht="15" customHeight="1">
      <c r="A7208" t="inlineStr">
        <is>
          <t>A 7471-2023</t>
        </is>
      </c>
      <c r="B7208" s="1" t="n">
        <v>44971</v>
      </c>
      <c r="C7208" s="1" t="n">
        <v>45715</v>
      </c>
      <c r="D7208" t="inlineStr">
        <is>
          <t>KALMAR LÄN</t>
        </is>
      </c>
      <c r="E7208" t="inlineStr">
        <is>
          <t>KALMAR</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7454-2023</t>
        </is>
      </c>
      <c r="B7209" s="1" t="n">
        <v>44971</v>
      </c>
      <c r="C7209" s="1" t="n">
        <v>45715</v>
      </c>
      <c r="D7209" t="inlineStr">
        <is>
          <t>KALMAR LÄN</t>
        </is>
      </c>
      <c r="E7209" t="inlineStr">
        <is>
          <t>VIMMERBY</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7469-2023</t>
        </is>
      </c>
      <c r="B7210" s="1" t="n">
        <v>44971</v>
      </c>
      <c r="C7210" s="1" t="n">
        <v>45715</v>
      </c>
      <c r="D7210" t="inlineStr">
        <is>
          <t>KALMAR LÄN</t>
        </is>
      </c>
      <c r="E7210" t="inlineStr">
        <is>
          <t>NYBRO</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7495-2023</t>
        </is>
      </c>
      <c r="B7211" s="1" t="n">
        <v>44971</v>
      </c>
      <c r="C7211" s="1" t="n">
        <v>45715</v>
      </c>
      <c r="D7211" t="inlineStr">
        <is>
          <t>KALMAR LÄN</t>
        </is>
      </c>
      <c r="E7211" t="inlineStr">
        <is>
          <t>KALMAR</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7557-2023</t>
        </is>
      </c>
      <c r="B7212" s="1" t="n">
        <v>44972</v>
      </c>
      <c r="C7212" s="1" t="n">
        <v>45715</v>
      </c>
      <c r="D7212" t="inlineStr">
        <is>
          <t>KALMAR LÄN</t>
        </is>
      </c>
      <c r="E7212" t="inlineStr">
        <is>
          <t>VIMMERBY</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7645-2023</t>
        </is>
      </c>
      <c r="B7213" s="1" t="n">
        <v>44972</v>
      </c>
      <c r="C7213" s="1" t="n">
        <v>45715</v>
      </c>
      <c r="D7213" t="inlineStr">
        <is>
          <t>KALMAR LÄN</t>
        </is>
      </c>
      <c r="E7213" t="inlineStr">
        <is>
          <t>OSKARSHAMN</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7594-2023</t>
        </is>
      </c>
      <c r="B7214" s="1" t="n">
        <v>44972</v>
      </c>
      <c r="C7214" s="1" t="n">
        <v>45715</v>
      </c>
      <c r="D7214" t="inlineStr">
        <is>
          <t>KALMAR LÄN</t>
        </is>
      </c>
      <c r="E7214" t="inlineStr">
        <is>
          <t>VIMMERBY</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7637-2023</t>
        </is>
      </c>
      <c r="B7215" s="1" t="n">
        <v>44972</v>
      </c>
      <c r="C7215" s="1" t="n">
        <v>45715</v>
      </c>
      <c r="D7215" t="inlineStr">
        <is>
          <t>KALMAR LÄN</t>
        </is>
      </c>
      <c r="E7215" t="inlineStr">
        <is>
          <t>MÖNSTERÅS</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7641-2023</t>
        </is>
      </c>
      <c r="B7216" s="1" t="n">
        <v>44972</v>
      </c>
      <c r="C7216" s="1" t="n">
        <v>45715</v>
      </c>
      <c r="D7216" t="inlineStr">
        <is>
          <t>KALMAR LÄN</t>
        </is>
      </c>
      <c r="E7216" t="inlineStr">
        <is>
          <t>MÖNSTERÅS</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7650-2023</t>
        </is>
      </c>
      <c r="B7217" s="1" t="n">
        <v>44972</v>
      </c>
      <c r="C7217" s="1" t="n">
        <v>45715</v>
      </c>
      <c r="D7217" t="inlineStr">
        <is>
          <t>KALMAR LÄN</t>
        </is>
      </c>
      <c r="E7217" t="inlineStr">
        <is>
          <t>NYBRO</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8463-2023</t>
        </is>
      </c>
      <c r="B7218" s="1" t="n">
        <v>44972</v>
      </c>
      <c r="C7218" s="1" t="n">
        <v>45715</v>
      </c>
      <c r="D7218" t="inlineStr">
        <is>
          <t>KALMAR LÄN</t>
        </is>
      </c>
      <c r="E7218" t="inlineStr">
        <is>
          <t>HÖGSBY</t>
        </is>
      </c>
      <c r="G7218" t="n">
        <v>5.5</v>
      </c>
      <c r="H7218" t="n">
        <v>0</v>
      </c>
      <c r="I7218" t="n">
        <v>0</v>
      </c>
      <c r="J7218" t="n">
        <v>0</v>
      </c>
      <c r="K7218" t="n">
        <v>0</v>
      </c>
      <c r="L7218" t="n">
        <v>0</v>
      </c>
      <c r="M7218" t="n">
        <v>0</v>
      </c>
      <c r="N7218" t="n">
        <v>0</v>
      </c>
      <c r="O7218" t="n">
        <v>0</v>
      </c>
      <c r="P7218" t="n">
        <v>0</v>
      </c>
      <c r="Q7218" t="n">
        <v>0</v>
      </c>
      <c r="R7218" s="2" t="inlineStr"/>
    </row>
    <row r="7219" ht="15" customHeight="1">
      <c r="A7219" t="inlineStr">
        <is>
          <t>A 7750-2023</t>
        </is>
      </c>
      <c r="B7219" s="1" t="n">
        <v>44973</v>
      </c>
      <c r="C7219" s="1" t="n">
        <v>45715</v>
      </c>
      <c r="D7219" t="inlineStr">
        <is>
          <t>KALMAR LÄN</t>
        </is>
      </c>
      <c r="E7219" t="inlineStr">
        <is>
          <t>KALMAR</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7779-2023</t>
        </is>
      </c>
      <c r="B7220" s="1" t="n">
        <v>44973</v>
      </c>
      <c r="C7220" s="1" t="n">
        <v>45715</v>
      </c>
      <c r="D7220" t="inlineStr">
        <is>
          <t>KALMAR LÄN</t>
        </is>
      </c>
      <c r="E7220" t="inlineStr">
        <is>
          <t>VÄSTERVIK</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7725-2023</t>
        </is>
      </c>
      <c r="B7221" s="1" t="n">
        <v>44973</v>
      </c>
      <c r="C7221" s="1" t="n">
        <v>45715</v>
      </c>
      <c r="D7221" t="inlineStr">
        <is>
          <t>KALMAR LÄN</t>
        </is>
      </c>
      <c r="E7221" t="inlineStr">
        <is>
          <t>NYBRO</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7797-2023</t>
        </is>
      </c>
      <c r="B7222" s="1" t="n">
        <v>44973</v>
      </c>
      <c r="C7222" s="1" t="n">
        <v>45715</v>
      </c>
      <c r="D7222" t="inlineStr">
        <is>
          <t>KALMAR LÄN</t>
        </is>
      </c>
      <c r="E7222" t="inlineStr">
        <is>
          <t>VIMMERBY</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7848-2023</t>
        </is>
      </c>
      <c r="B7223" s="1" t="n">
        <v>44973</v>
      </c>
      <c r="C7223" s="1" t="n">
        <v>45715</v>
      </c>
      <c r="D7223" t="inlineStr">
        <is>
          <t>KALMAR LÄN</t>
        </is>
      </c>
      <c r="E7223" t="inlineStr">
        <is>
          <t>NYBRO</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7847-2023</t>
        </is>
      </c>
      <c r="B7224" s="1" t="n">
        <v>44973</v>
      </c>
      <c r="C7224" s="1" t="n">
        <v>45715</v>
      </c>
      <c r="D7224" t="inlineStr">
        <is>
          <t>KALMAR LÄN</t>
        </is>
      </c>
      <c r="E7224" t="inlineStr">
        <is>
          <t>NYBRO</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7880-2023</t>
        </is>
      </c>
      <c r="B7225" s="1" t="n">
        <v>44973</v>
      </c>
      <c r="C7225" s="1" t="n">
        <v>45715</v>
      </c>
      <c r="D7225" t="inlineStr">
        <is>
          <t>KALMAR LÄN</t>
        </is>
      </c>
      <c r="E7225" t="inlineStr">
        <is>
          <t>OSKARSHAMN</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7956-2023</t>
        </is>
      </c>
      <c r="B7226" s="1" t="n">
        <v>44973</v>
      </c>
      <c r="C7226" s="1" t="n">
        <v>45715</v>
      </c>
      <c r="D7226" t="inlineStr">
        <is>
          <t>KALMAR LÄN</t>
        </is>
      </c>
      <c r="E7226" t="inlineStr">
        <is>
          <t>NYBRO</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8000-2023</t>
        </is>
      </c>
      <c r="B7227" s="1" t="n">
        <v>44973</v>
      </c>
      <c r="C7227" s="1" t="n">
        <v>45715</v>
      </c>
      <c r="D7227" t="inlineStr">
        <is>
          <t>KALMAR LÄN</t>
        </is>
      </c>
      <c r="E7227" t="inlineStr">
        <is>
          <t>NYBRO</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8005-2023</t>
        </is>
      </c>
      <c r="B7228" s="1" t="n">
        <v>44973</v>
      </c>
      <c r="C7228" s="1" t="n">
        <v>45715</v>
      </c>
      <c r="D7228" t="inlineStr">
        <is>
          <t>KALMAR LÄN</t>
        </is>
      </c>
      <c r="E7228" t="inlineStr">
        <is>
          <t>VÄSTERVIK</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7742-2023</t>
        </is>
      </c>
      <c r="B7229" s="1" t="n">
        <v>44973</v>
      </c>
      <c r="C7229" s="1" t="n">
        <v>45715</v>
      </c>
      <c r="D7229" t="inlineStr">
        <is>
          <t>KALMAR LÄN</t>
        </is>
      </c>
      <c r="E7229" t="inlineStr">
        <is>
          <t>KALMAR</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7850-2023</t>
        </is>
      </c>
      <c r="B7230" s="1" t="n">
        <v>44973</v>
      </c>
      <c r="C7230" s="1" t="n">
        <v>45715</v>
      </c>
      <c r="D7230" t="inlineStr">
        <is>
          <t>KALMAR LÄN</t>
        </is>
      </c>
      <c r="E7230" t="inlineStr">
        <is>
          <t>NYBRO</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7882-2023</t>
        </is>
      </c>
      <c r="B7231" s="1" t="n">
        <v>44973</v>
      </c>
      <c r="C7231" s="1" t="n">
        <v>45715</v>
      </c>
      <c r="D7231" t="inlineStr">
        <is>
          <t>KALMAR LÄN</t>
        </is>
      </c>
      <c r="E7231" t="inlineStr">
        <is>
          <t>OSKARSHAMN</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7887-2023</t>
        </is>
      </c>
      <c r="B7232" s="1" t="n">
        <v>44973</v>
      </c>
      <c r="C7232" s="1" t="n">
        <v>45715</v>
      </c>
      <c r="D7232" t="inlineStr">
        <is>
          <t>KALMAR LÄN</t>
        </is>
      </c>
      <c r="E7232" t="inlineStr">
        <is>
          <t>OSKARSHAMN</t>
        </is>
      </c>
      <c r="F7232" t="inlineStr">
        <is>
          <t>Övriga Aktiebolag</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7958-2023</t>
        </is>
      </c>
      <c r="B7233" s="1" t="n">
        <v>44973</v>
      </c>
      <c r="C7233" s="1" t="n">
        <v>45715</v>
      </c>
      <c r="D7233" t="inlineStr">
        <is>
          <t>KALMAR LÄN</t>
        </is>
      </c>
      <c r="E7233" t="inlineStr">
        <is>
          <t>NYBRO</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7883-2023</t>
        </is>
      </c>
      <c r="B7234" s="1" t="n">
        <v>44973</v>
      </c>
      <c r="C7234" s="1" t="n">
        <v>45715</v>
      </c>
      <c r="D7234" t="inlineStr">
        <is>
          <t>KALMAR LÄN</t>
        </is>
      </c>
      <c r="E7234" t="inlineStr">
        <is>
          <t>VIMMERBY</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7925-2023</t>
        </is>
      </c>
      <c r="B7235" s="1" t="n">
        <v>44973</v>
      </c>
      <c r="C7235" s="1" t="n">
        <v>45715</v>
      </c>
      <c r="D7235" t="inlineStr">
        <is>
          <t>KALMAR LÄN</t>
        </is>
      </c>
      <c r="E7235" t="inlineStr">
        <is>
          <t>VÄSTERVIK</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7885-2023</t>
        </is>
      </c>
      <c r="B7236" s="1" t="n">
        <v>44973</v>
      </c>
      <c r="C7236" s="1" t="n">
        <v>45715</v>
      </c>
      <c r="D7236" t="inlineStr">
        <is>
          <t>KALMAR LÄN</t>
        </is>
      </c>
      <c r="E7236" t="inlineStr">
        <is>
          <t>VIMMERBY</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7960-2023</t>
        </is>
      </c>
      <c r="B7237" s="1" t="n">
        <v>44973</v>
      </c>
      <c r="C7237" s="1" t="n">
        <v>45715</v>
      </c>
      <c r="D7237" t="inlineStr">
        <is>
          <t>KALMAR LÄN</t>
        </is>
      </c>
      <c r="E7237" t="inlineStr">
        <is>
          <t>BORGHOLM</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8004-2023</t>
        </is>
      </c>
      <c r="B7238" s="1" t="n">
        <v>44973</v>
      </c>
      <c r="C7238" s="1" t="n">
        <v>45715</v>
      </c>
      <c r="D7238" t="inlineStr">
        <is>
          <t>KALMAR LÄN</t>
        </is>
      </c>
      <c r="E7238" t="inlineStr">
        <is>
          <t>NYBRO</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7934-2023</t>
        </is>
      </c>
      <c r="B7239" s="1" t="n">
        <v>44973</v>
      </c>
      <c r="C7239" s="1" t="n">
        <v>45715</v>
      </c>
      <c r="D7239" t="inlineStr">
        <is>
          <t>KALMAR LÄN</t>
        </is>
      </c>
      <c r="E7239" t="inlineStr">
        <is>
          <t>VÄSTERVIK</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7938-2023</t>
        </is>
      </c>
      <c r="B7240" s="1" t="n">
        <v>44973</v>
      </c>
      <c r="C7240" s="1" t="n">
        <v>45715</v>
      </c>
      <c r="D7240" t="inlineStr">
        <is>
          <t>KALMAR LÄN</t>
        </is>
      </c>
      <c r="E7240" t="inlineStr">
        <is>
          <t>VÄSTERVIK</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8002-2023</t>
        </is>
      </c>
      <c r="B7241" s="1" t="n">
        <v>44973</v>
      </c>
      <c r="C7241" s="1" t="n">
        <v>45715</v>
      </c>
      <c r="D7241" t="inlineStr">
        <is>
          <t>KALMAR LÄN</t>
        </is>
      </c>
      <c r="E7241" t="inlineStr">
        <is>
          <t>EMMABODA</t>
        </is>
      </c>
      <c r="F7241" t="inlineStr">
        <is>
          <t>Kommuner</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8014-2023</t>
        </is>
      </c>
      <c r="B7242" s="1" t="n">
        <v>44973</v>
      </c>
      <c r="C7242" s="1" t="n">
        <v>45715</v>
      </c>
      <c r="D7242" t="inlineStr">
        <is>
          <t>KALMAR LÄN</t>
        </is>
      </c>
      <c r="E7242" t="inlineStr">
        <is>
          <t>VÄSTERVIK</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8003-2023</t>
        </is>
      </c>
      <c r="B7243" s="1" t="n">
        <v>44973</v>
      </c>
      <c r="C7243" s="1" t="n">
        <v>45715</v>
      </c>
      <c r="D7243" t="inlineStr">
        <is>
          <t>KALMAR LÄN</t>
        </is>
      </c>
      <c r="E7243" t="inlineStr">
        <is>
          <t>NYBRO</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8007-2023</t>
        </is>
      </c>
      <c r="B7244" s="1" t="n">
        <v>44973</v>
      </c>
      <c r="C7244" s="1" t="n">
        <v>45715</v>
      </c>
      <c r="D7244" t="inlineStr">
        <is>
          <t>KALMAR LÄN</t>
        </is>
      </c>
      <c r="E7244" t="inlineStr">
        <is>
          <t>VÄSTERVIK</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8039-2023</t>
        </is>
      </c>
      <c r="B7245" s="1" t="n">
        <v>44974</v>
      </c>
      <c r="C7245" s="1" t="n">
        <v>45715</v>
      </c>
      <c r="D7245" t="inlineStr">
        <is>
          <t>KALMAR LÄN</t>
        </is>
      </c>
      <c r="E7245" t="inlineStr">
        <is>
          <t>BORGHOLM</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8069-2023</t>
        </is>
      </c>
      <c r="B7246" s="1" t="n">
        <v>44974</v>
      </c>
      <c r="C7246" s="1" t="n">
        <v>45715</v>
      </c>
      <c r="D7246" t="inlineStr">
        <is>
          <t>KALMAR LÄN</t>
        </is>
      </c>
      <c r="E7246" t="inlineStr">
        <is>
          <t>NYBRO</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8103-2023</t>
        </is>
      </c>
      <c r="B7247" s="1" t="n">
        <v>44974</v>
      </c>
      <c r="C7247" s="1" t="n">
        <v>45715</v>
      </c>
      <c r="D7247" t="inlineStr">
        <is>
          <t>KALMAR LÄN</t>
        </is>
      </c>
      <c r="E7247" t="inlineStr">
        <is>
          <t>NYBRO</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8100-2023</t>
        </is>
      </c>
      <c r="B7248" s="1" t="n">
        <v>44974</v>
      </c>
      <c r="C7248" s="1" t="n">
        <v>45715</v>
      </c>
      <c r="D7248" t="inlineStr">
        <is>
          <t>KALMAR LÄN</t>
        </is>
      </c>
      <c r="E7248" t="inlineStr">
        <is>
          <t>NYBRO</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8219-2023</t>
        </is>
      </c>
      <c r="B7249" s="1" t="n">
        <v>44974</v>
      </c>
      <c r="C7249" s="1" t="n">
        <v>45715</v>
      </c>
      <c r="D7249" t="inlineStr">
        <is>
          <t>KALMAR LÄN</t>
        </is>
      </c>
      <c r="E7249" t="inlineStr">
        <is>
          <t>VIMMERBY</t>
        </is>
      </c>
      <c r="F7249" t="inlineStr">
        <is>
          <t>Sveaskog</t>
        </is>
      </c>
      <c r="G7249" t="n">
        <v>6.1</v>
      </c>
      <c r="H7249" t="n">
        <v>0</v>
      </c>
      <c r="I7249" t="n">
        <v>0</v>
      </c>
      <c r="J7249" t="n">
        <v>0</v>
      </c>
      <c r="K7249" t="n">
        <v>0</v>
      </c>
      <c r="L7249" t="n">
        <v>0</v>
      </c>
      <c r="M7249" t="n">
        <v>0</v>
      </c>
      <c r="N7249" t="n">
        <v>0</v>
      </c>
      <c r="O7249" t="n">
        <v>0</v>
      </c>
      <c r="P7249" t="n">
        <v>0</v>
      </c>
      <c r="Q7249" t="n">
        <v>0</v>
      </c>
      <c r="R7249" s="2" t="inlineStr"/>
    </row>
    <row r="7250" ht="15" customHeight="1">
      <c r="A7250" t="inlineStr">
        <is>
          <t>A 8283-2023</t>
        </is>
      </c>
      <c r="B7250" s="1" t="n">
        <v>44974</v>
      </c>
      <c r="C7250" s="1" t="n">
        <v>45715</v>
      </c>
      <c r="D7250" t="inlineStr">
        <is>
          <t>KALMAR LÄN</t>
        </is>
      </c>
      <c r="E7250" t="inlineStr">
        <is>
          <t>VÄSTERVIK</t>
        </is>
      </c>
      <c r="F7250" t="inlineStr">
        <is>
          <t>Kyrkan</t>
        </is>
      </c>
      <c r="G7250" t="n">
        <v>14.5</v>
      </c>
      <c r="H7250" t="n">
        <v>0</v>
      </c>
      <c r="I7250" t="n">
        <v>0</v>
      </c>
      <c r="J7250" t="n">
        <v>0</v>
      </c>
      <c r="K7250" t="n">
        <v>0</v>
      </c>
      <c r="L7250" t="n">
        <v>0</v>
      </c>
      <c r="M7250" t="n">
        <v>0</v>
      </c>
      <c r="N7250" t="n">
        <v>0</v>
      </c>
      <c r="O7250" t="n">
        <v>0</v>
      </c>
      <c r="P7250" t="n">
        <v>0</v>
      </c>
      <c r="Q7250" t="n">
        <v>0</v>
      </c>
      <c r="R7250" s="2" t="inlineStr"/>
    </row>
    <row r="7251" ht="15" customHeight="1">
      <c r="A7251" t="inlineStr">
        <is>
          <t>A 8113-2023</t>
        </is>
      </c>
      <c r="B7251" s="1" t="n">
        <v>44974</v>
      </c>
      <c r="C7251" s="1" t="n">
        <v>45715</v>
      </c>
      <c r="D7251" t="inlineStr">
        <is>
          <t>KALMAR LÄN</t>
        </is>
      </c>
      <c r="E7251" t="inlineStr">
        <is>
          <t>MÖNSTERÅS</t>
        </is>
      </c>
      <c r="F7251" t="inlineStr">
        <is>
          <t>Övriga Aktiebolag</t>
        </is>
      </c>
      <c r="G7251" t="n">
        <v>8.5</v>
      </c>
      <c r="H7251" t="n">
        <v>0</v>
      </c>
      <c r="I7251" t="n">
        <v>0</v>
      </c>
      <c r="J7251" t="n">
        <v>0</v>
      </c>
      <c r="K7251" t="n">
        <v>0</v>
      </c>
      <c r="L7251" t="n">
        <v>0</v>
      </c>
      <c r="M7251" t="n">
        <v>0</v>
      </c>
      <c r="N7251" t="n">
        <v>0</v>
      </c>
      <c r="O7251" t="n">
        <v>0</v>
      </c>
      <c r="P7251" t="n">
        <v>0</v>
      </c>
      <c r="Q7251" t="n">
        <v>0</v>
      </c>
      <c r="R7251" s="2" t="inlineStr"/>
    </row>
    <row r="7252" ht="15" customHeight="1">
      <c r="A7252" t="inlineStr">
        <is>
          <t>A 8212-2023</t>
        </is>
      </c>
      <c r="B7252" s="1" t="n">
        <v>44974</v>
      </c>
      <c r="C7252" s="1" t="n">
        <v>45715</v>
      </c>
      <c r="D7252" t="inlineStr">
        <is>
          <t>KALMAR LÄN</t>
        </is>
      </c>
      <c r="E7252" t="inlineStr">
        <is>
          <t>OSKARSHAMN</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8289-2023</t>
        </is>
      </c>
      <c r="B7253" s="1" t="n">
        <v>44974</v>
      </c>
      <c r="C7253" s="1" t="n">
        <v>45715</v>
      </c>
      <c r="D7253" t="inlineStr">
        <is>
          <t>KALMAR LÄN</t>
        </is>
      </c>
      <c r="E7253" t="inlineStr">
        <is>
          <t>VÄSTERVIK</t>
        </is>
      </c>
      <c r="F7253" t="inlineStr">
        <is>
          <t>Kyrkan</t>
        </is>
      </c>
      <c r="G7253" t="n">
        <v>9.199999999999999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8332-2023</t>
        </is>
      </c>
      <c r="B7254" s="1" t="n">
        <v>44974</v>
      </c>
      <c r="C7254" s="1" t="n">
        <v>45715</v>
      </c>
      <c r="D7254" t="inlineStr">
        <is>
          <t>KALMAR LÄN</t>
        </is>
      </c>
      <c r="E7254" t="inlineStr">
        <is>
          <t>OSKARSHAMN</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8191-2023</t>
        </is>
      </c>
      <c r="B7255" s="1" t="n">
        <v>44974</v>
      </c>
      <c r="C7255" s="1" t="n">
        <v>45715</v>
      </c>
      <c r="D7255" t="inlineStr">
        <is>
          <t>KALMAR LÄN</t>
        </is>
      </c>
      <c r="E7255" t="inlineStr">
        <is>
          <t>OSKARSHAMN</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8337-2023</t>
        </is>
      </c>
      <c r="B7256" s="1" t="n">
        <v>44975</v>
      </c>
      <c r="C7256" s="1" t="n">
        <v>45715</v>
      </c>
      <c r="D7256" t="inlineStr">
        <is>
          <t>KALMAR LÄN</t>
        </is>
      </c>
      <c r="E7256" t="inlineStr">
        <is>
          <t>HULTSFRED</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8361-2023</t>
        </is>
      </c>
      <c r="B7257" s="1" t="n">
        <v>44977</v>
      </c>
      <c r="C7257" s="1" t="n">
        <v>45715</v>
      </c>
      <c r="D7257" t="inlineStr">
        <is>
          <t>KALMAR LÄN</t>
        </is>
      </c>
      <c r="E7257" t="inlineStr">
        <is>
          <t>EMMABODA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8410-2023</t>
        </is>
      </c>
      <c r="B7258" s="1" t="n">
        <v>44977</v>
      </c>
      <c r="C7258" s="1" t="n">
        <v>45715</v>
      </c>
      <c r="D7258" t="inlineStr">
        <is>
          <t>KALMAR LÄN</t>
        </is>
      </c>
      <c r="E7258" t="inlineStr">
        <is>
          <t>VIMMERBY</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8456-2023</t>
        </is>
      </c>
      <c r="B7259" s="1" t="n">
        <v>44977</v>
      </c>
      <c r="C7259" s="1" t="n">
        <v>45715</v>
      </c>
      <c r="D7259" t="inlineStr">
        <is>
          <t>KALMAR LÄN</t>
        </is>
      </c>
      <c r="E7259" t="inlineStr">
        <is>
          <t>VÄSTERVIK</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8495-2023</t>
        </is>
      </c>
      <c r="B7260" s="1" t="n">
        <v>44977</v>
      </c>
      <c r="C7260" s="1" t="n">
        <v>45715</v>
      </c>
      <c r="D7260" t="inlineStr">
        <is>
          <t>KALMAR LÄN</t>
        </is>
      </c>
      <c r="E7260" t="inlineStr">
        <is>
          <t>NYBRO</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8426-2023</t>
        </is>
      </c>
      <c r="B7261" s="1" t="n">
        <v>44977</v>
      </c>
      <c r="C7261" s="1" t="n">
        <v>45715</v>
      </c>
      <c r="D7261" t="inlineStr">
        <is>
          <t>KALMAR LÄN</t>
        </is>
      </c>
      <c r="E7261" t="inlineStr">
        <is>
          <t>TORSÅS</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8382-2023</t>
        </is>
      </c>
      <c r="B7262" s="1" t="n">
        <v>44977</v>
      </c>
      <c r="C7262" s="1" t="n">
        <v>45715</v>
      </c>
      <c r="D7262" t="inlineStr">
        <is>
          <t>KALMAR LÄN</t>
        </is>
      </c>
      <c r="E7262" t="inlineStr">
        <is>
          <t>VÄSTERVIK</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8397-2023</t>
        </is>
      </c>
      <c r="B7263" s="1" t="n">
        <v>44977</v>
      </c>
      <c r="C7263" s="1" t="n">
        <v>45715</v>
      </c>
      <c r="D7263" t="inlineStr">
        <is>
          <t>KALMAR LÄN</t>
        </is>
      </c>
      <c r="E7263" t="inlineStr">
        <is>
          <t>EMMABODA</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8427-2023</t>
        </is>
      </c>
      <c r="B7264" s="1" t="n">
        <v>44977</v>
      </c>
      <c r="C7264" s="1" t="n">
        <v>45715</v>
      </c>
      <c r="D7264" t="inlineStr">
        <is>
          <t>KALMAR LÄN</t>
        </is>
      </c>
      <c r="E7264" t="inlineStr">
        <is>
          <t>TORSÅS</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8440-2023</t>
        </is>
      </c>
      <c r="B7265" s="1" t="n">
        <v>44977</v>
      </c>
      <c r="C7265" s="1" t="n">
        <v>45715</v>
      </c>
      <c r="D7265" t="inlineStr">
        <is>
          <t>KALMAR LÄN</t>
        </is>
      </c>
      <c r="E7265" t="inlineStr">
        <is>
          <t>VÄSTERVIK</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8516-2023</t>
        </is>
      </c>
      <c r="B7266" s="1" t="n">
        <v>44977</v>
      </c>
      <c r="C7266" s="1" t="n">
        <v>45715</v>
      </c>
      <c r="D7266" t="inlineStr">
        <is>
          <t>KALMAR LÄN</t>
        </is>
      </c>
      <c r="E7266" t="inlineStr">
        <is>
          <t>HULTSFRED</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8593-2023</t>
        </is>
      </c>
      <c r="B7267" s="1" t="n">
        <v>44977</v>
      </c>
      <c r="C7267" s="1" t="n">
        <v>45715</v>
      </c>
      <c r="D7267" t="inlineStr">
        <is>
          <t>KALMAR LÄN</t>
        </is>
      </c>
      <c r="E7267" t="inlineStr">
        <is>
          <t>VÄSTERVIK</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8597-2023</t>
        </is>
      </c>
      <c r="B7268" s="1" t="n">
        <v>44977</v>
      </c>
      <c r="C7268" s="1" t="n">
        <v>45715</v>
      </c>
      <c r="D7268" t="inlineStr">
        <is>
          <t>KALMAR LÄN</t>
        </is>
      </c>
      <c r="E7268" t="inlineStr">
        <is>
          <t>VÄSTERVIK</t>
        </is>
      </c>
      <c r="G7268" t="n">
        <v>0.2</v>
      </c>
      <c r="H7268" t="n">
        <v>0</v>
      </c>
      <c r="I7268" t="n">
        <v>0</v>
      </c>
      <c r="J7268" t="n">
        <v>0</v>
      </c>
      <c r="K7268" t="n">
        <v>0</v>
      </c>
      <c r="L7268" t="n">
        <v>0</v>
      </c>
      <c r="M7268" t="n">
        <v>0</v>
      </c>
      <c r="N7268" t="n">
        <v>0</v>
      </c>
      <c r="O7268" t="n">
        <v>0</v>
      </c>
      <c r="P7268" t="n">
        <v>0</v>
      </c>
      <c r="Q7268" t="n">
        <v>0</v>
      </c>
      <c r="R7268" s="2" t="inlineStr"/>
    </row>
    <row r="7269" ht="15" customHeight="1">
      <c r="A7269" t="inlineStr">
        <is>
          <t>A 8499-2023</t>
        </is>
      </c>
      <c r="B7269" s="1" t="n">
        <v>44977</v>
      </c>
      <c r="C7269" s="1" t="n">
        <v>45715</v>
      </c>
      <c r="D7269" t="inlineStr">
        <is>
          <t>KALMAR LÄN</t>
        </is>
      </c>
      <c r="E7269" t="inlineStr">
        <is>
          <t>OSKARSHAMN</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8594-2023</t>
        </is>
      </c>
      <c r="B7270" s="1" t="n">
        <v>44977</v>
      </c>
      <c r="C7270" s="1" t="n">
        <v>45715</v>
      </c>
      <c r="D7270" t="inlineStr">
        <is>
          <t>KALMAR LÄN</t>
        </is>
      </c>
      <c r="E7270" t="inlineStr">
        <is>
          <t>VÄSTERVIK</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8513-2023</t>
        </is>
      </c>
      <c r="B7271" s="1" t="n">
        <v>44977</v>
      </c>
      <c r="C7271" s="1" t="n">
        <v>45715</v>
      </c>
      <c r="D7271" t="inlineStr">
        <is>
          <t>KALMAR LÄN</t>
        </is>
      </c>
      <c r="E7271" t="inlineStr">
        <is>
          <t>VÄSTERVIK</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8489-2023</t>
        </is>
      </c>
      <c r="B7272" s="1" t="n">
        <v>44977</v>
      </c>
      <c r="C7272" s="1" t="n">
        <v>45715</v>
      </c>
      <c r="D7272" t="inlineStr">
        <is>
          <t>KALMAR LÄN</t>
        </is>
      </c>
      <c r="E7272" t="inlineStr">
        <is>
          <t>NYBRO</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8561-2023</t>
        </is>
      </c>
      <c r="B7273" s="1" t="n">
        <v>44977</v>
      </c>
      <c r="C7273" s="1" t="n">
        <v>45715</v>
      </c>
      <c r="D7273" t="inlineStr">
        <is>
          <t>KALMAR LÄN</t>
        </is>
      </c>
      <c r="E7273" t="inlineStr">
        <is>
          <t>VÄSTERVIK</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8689-2023</t>
        </is>
      </c>
      <c r="B7274" s="1" t="n">
        <v>44978</v>
      </c>
      <c r="C7274" s="1" t="n">
        <v>45715</v>
      </c>
      <c r="D7274" t="inlineStr">
        <is>
          <t>KALMAR LÄN</t>
        </is>
      </c>
      <c r="E7274" t="inlineStr">
        <is>
          <t>EMMABODA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8710-2023</t>
        </is>
      </c>
      <c r="B7275" s="1" t="n">
        <v>44978</v>
      </c>
      <c r="C7275" s="1" t="n">
        <v>45715</v>
      </c>
      <c r="D7275" t="inlineStr">
        <is>
          <t>KALMAR LÄN</t>
        </is>
      </c>
      <c r="E7275" t="inlineStr">
        <is>
          <t>OSKARSHAMN</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8735-2023</t>
        </is>
      </c>
      <c r="B7276" s="1" t="n">
        <v>44978</v>
      </c>
      <c r="C7276" s="1" t="n">
        <v>45715</v>
      </c>
      <c r="D7276" t="inlineStr">
        <is>
          <t>KALMAR LÄN</t>
        </is>
      </c>
      <c r="E7276" t="inlineStr">
        <is>
          <t>KALMAR</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8760-2023</t>
        </is>
      </c>
      <c r="B7277" s="1" t="n">
        <v>44978</v>
      </c>
      <c r="C7277" s="1" t="n">
        <v>45715</v>
      </c>
      <c r="D7277" t="inlineStr">
        <is>
          <t>KALMAR LÄN</t>
        </is>
      </c>
      <c r="E7277" t="inlineStr">
        <is>
          <t>OSKARSHAMN</t>
        </is>
      </c>
      <c r="G7277" t="n">
        <v>5.3</v>
      </c>
      <c r="H7277" t="n">
        <v>0</v>
      </c>
      <c r="I7277" t="n">
        <v>0</v>
      </c>
      <c r="J7277" t="n">
        <v>0</v>
      </c>
      <c r="K7277" t="n">
        <v>0</v>
      </c>
      <c r="L7277" t="n">
        <v>0</v>
      </c>
      <c r="M7277" t="n">
        <v>0</v>
      </c>
      <c r="N7277" t="n">
        <v>0</v>
      </c>
      <c r="O7277" t="n">
        <v>0</v>
      </c>
      <c r="P7277" t="n">
        <v>0</v>
      </c>
      <c r="Q7277" t="n">
        <v>0</v>
      </c>
      <c r="R7277" s="2" t="inlineStr"/>
    </row>
    <row r="7278" ht="15" customHeight="1">
      <c r="A7278" t="inlineStr">
        <is>
          <t>A 8711-2023</t>
        </is>
      </c>
      <c r="B7278" s="1" t="n">
        <v>44978</v>
      </c>
      <c r="C7278" s="1" t="n">
        <v>45715</v>
      </c>
      <c r="D7278" t="inlineStr">
        <is>
          <t>KALMAR LÄN</t>
        </is>
      </c>
      <c r="E7278" t="inlineStr">
        <is>
          <t>OSKARSHAMN</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8688-2023</t>
        </is>
      </c>
      <c r="B7279" s="1" t="n">
        <v>44978</v>
      </c>
      <c r="C7279" s="1" t="n">
        <v>45715</v>
      </c>
      <c r="D7279" t="inlineStr">
        <is>
          <t>KALMAR LÄN</t>
        </is>
      </c>
      <c r="E7279" t="inlineStr">
        <is>
          <t>EMMABODA</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8846-2023</t>
        </is>
      </c>
      <c r="B7280" s="1" t="n">
        <v>44978</v>
      </c>
      <c r="C7280" s="1" t="n">
        <v>45715</v>
      </c>
      <c r="D7280" t="inlineStr">
        <is>
          <t>KALMAR LÄN</t>
        </is>
      </c>
      <c r="E7280" t="inlineStr">
        <is>
          <t>OSKARSHAMN</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8913-2023</t>
        </is>
      </c>
      <c r="B7281" s="1" t="n">
        <v>44979</v>
      </c>
      <c r="C7281" s="1" t="n">
        <v>45715</v>
      </c>
      <c r="D7281" t="inlineStr">
        <is>
          <t>KALMAR LÄN</t>
        </is>
      </c>
      <c r="E7281" t="inlineStr">
        <is>
          <t>EMMABODA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8971-2023</t>
        </is>
      </c>
      <c r="B7282" s="1" t="n">
        <v>44979</v>
      </c>
      <c r="C7282" s="1" t="n">
        <v>45715</v>
      </c>
      <c r="D7282" t="inlineStr">
        <is>
          <t>KALMAR LÄN</t>
        </is>
      </c>
      <c r="E7282" t="inlineStr">
        <is>
          <t>EMMABODA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8896-2023</t>
        </is>
      </c>
      <c r="B7283" s="1" t="n">
        <v>44979</v>
      </c>
      <c r="C7283" s="1" t="n">
        <v>45715</v>
      </c>
      <c r="D7283" t="inlineStr">
        <is>
          <t>KALMAR LÄN</t>
        </is>
      </c>
      <c r="E7283" t="inlineStr">
        <is>
          <t>VÄSTERVIK</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8888-2023</t>
        </is>
      </c>
      <c r="B7284" s="1" t="n">
        <v>44979</v>
      </c>
      <c r="C7284" s="1" t="n">
        <v>45715</v>
      </c>
      <c r="D7284" t="inlineStr">
        <is>
          <t>KALMAR LÄN</t>
        </is>
      </c>
      <c r="E7284" t="inlineStr">
        <is>
          <t>NYBRO</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8974-2023</t>
        </is>
      </c>
      <c r="B7285" s="1" t="n">
        <v>44979</v>
      </c>
      <c r="C7285" s="1" t="n">
        <v>45715</v>
      </c>
      <c r="D7285" t="inlineStr">
        <is>
          <t>KALMAR LÄN</t>
        </is>
      </c>
      <c r="E7285" t="inlineStr">
        <is>
          <t>EMMABODA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9024-2023</t>
        </is>
      </c>
      <c r="B7286" s="1" t="n">
        <v>44979</v>
      </c>
      <c r="C7286" s="1" t="n">
        <v>45715</v>
      </c>
      <c r="D7286" t="inlineStr">
        <is>
          <t>KALMAR LÄN</t>
        </is>
      </c>
      <c r="E7286" t="inlineStr">
        <is>
          <t>VIMMERBY</t>
        </is>
      </c>
      <c r="G7286" t="n">
        <v>5.2</v>
      </c>
      <c r="H7286" t="n">
        <v>0</v>
      </c>
      <c r="I7286" t="n">
        <v>0</v>
      </c>
      <c r="J7286" t="n">
        <v>0</v>
      </c>
      <c r="K7286" t="n">
        <v>0</v>
      </c>
      <c r="L7286" t="n">
        <v>0</v>
      </c>
      <c r="M7286" t="n">
        <v>0</v>
      </c>
      <c r="N7286" t="n">
        <v>0</v>
      </c>
      <c r="O7286" t="n">
        <v>0</v>
      </c>
      <c r="P7286" t="n">
        <v>0</v>
      </c>
      <c r="Q7286" t="n">
        <v>0</v>
      </c>
      <c r="R7286" s="2" t="inlineStr"/>
    </row>
    <row r="7287" ht="15" customHeight="1">
      <c r="A7287" t="inlineStr">
        <is>
          <t>A 9037-2023</t>
        </is>
      </c>
      <c r="B7287" s="1" t="n">
        <v>44979</v>
      </c>
      <c r="C7287" s="1" t="n">
        <v>45715</v>
      </c>
      <c r="D7287" t="inlineStr">
        <is>
          <t>KALMAR LÄN</t>
        </is>
      </c>
      <c r="E7287" t="inlineStr">
        <is>
          <t>VÄSTERVIK</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9055-2023</t>
        </is>
      </c>
      <c r="B7288" s="1" t="n">
        <v>44979</v>
      </c>
      <c r="C7288" s="1" t="n">
        <v>45715</v>
      </c>
      <c r="D7288" t="inlineStr">
        <is>
          <t>KALMAR LÄN</t>
        </is>
      </c>
      <c r="E7288" t="inlineStr">
        <is>
          <t>KALMAR</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9111-2023</t>
        </is>
      </c>
      <c r="B7289" s="1" t="n">
        <v>44980</v>
      </c>
      <c r="C7289" s="1" t="n">
        <v>45715</v>
      </c>
      <c r="D7289" t="inlineStr">
        <is>
          <t>KALMAR LÄN</t>
        </is>
      </c>
      <c r="E7289" t="inlineStr">
        <is>
          <t>VÄSTERVIK</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9042-2023</t>
        </is>
      </c>
      <c r="B7290" s="1" t="n">
        <v>44979</v>
      </c>
      <c r="C7290" s="1" t="n">
        <v>45715</v>
      </c>
      <c r="D7290" t="inlineStr">
        <is>
          <t>KALMAR LÄN</t>
        </is>
      </c>
      <c r="E7290" t="inlineStr">
        <is>
          <t>VÄSTERVIK</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9050-2023</t>
        </is>
      </c>
      <c r="B7291" s="1" t="n">
        <v>44979</v>
      </c>
      <c r="C7291" s="1" t="n">
        <v>45715</v>
      </c>
      <c r="D7291" t="inlineStr">
        <is>
          <t>KALMAR LÄN</t>
        </is>
      </c>
      <c r="E7291" t="inlineStr">
        <is>
          <t>MÖNSTERÅS</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9054-2023</t>
        </is>
      </c>
      <c r="B7292" s="1" t="n">
        <v>44979</v>
      </c>
      <c r="C7292" s="1" t="n">
        <v>45715</v>
      </c>
      <c r="D7292" t="inlineStr">
        <is>
          <t>KALMAR LÄN</t>
        </is>
      </c>
      <c r="E7292" t="inlineStr">
        <is>
          <t>TORSÅS</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9064-2023</t>
        </is>
      </c>
      <c r="B7293" s="1" t="n">
        <v>44979</v>
      </c>
      <c r="C7293" s="1" t="n">
        <v>45715</v>
      </c>
      <c r="D7293" t="inlineStr">
        <is>
          <t>KALMAR LÄN</t>
        </is>
      </c>
      <c r="E7293" t="inlineStr">
        <is>
          <t>KALMAR</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9113-2023</t>
        </is>
      </c>
      <c r="B7294" s="1" t="n">
        <v>44979</v>
      </c>
      <c r="C7294" s="1" t="n">
        <v>45715</v>
      </c>
      <c r="D7294" t="inlineStr">
        <is>
          <t>KALMAR LÄN</t>
        </is>
      </c>
      <c r="E7294" t="inlineStr">
        <is>
          <t>VIMMERBY</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9112-2023</t>
        </is>
      </c>
      <c r="B7295" s="1" t="n">
        <v>44979</v>
      </c>
      <c r="C7295" s="1" t="n">
        <v>45715</v>
      </c>
      <c r="D7295" t="inlineStr">
        <is>
          <t>KALMAR LÄN</t>
        </is>
      </c>
      <c r="E7295" t="inlineStr">
        <is>
          <t>VÄSTERVIK</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9110-2023</t>
        </is>
      </c>
      <c r="B7296" s="1" t="n">
        <v>44979</v>
      </c>
      <c r="C7296" s="1" t="n">
        <v>45715</v>
      </c>
      <c r="D7296" t="inlineStr">
        <is>
          <t>KALMAR LÄN</t>
        </is>
      </c>
      <c r="E7296" t="inlineStr">
        <is>
          <t>VÄSTERVIK</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9223-2023</t>
        </is>
      </c>
      <c r="B7297" s="1" t="n">
        <v>44980</v>
      </c>
      <c r="C7297" s="1" t="n">
        <v>45715</v>
      </c>
      <c r="D7297" t="inlineStr">
        <is>
          <t>KALMAR LÄN</t>
        </is>
      </c>
      <c r="E7297" t="inlineStr">
        <is>
          <t>VÄSTERVIK</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9151-2023</t>
        </is>
      </c>
      <c r="B7298" s="1" t="n">
        <v>44980</v>
      </c>
      <c r="C7298" s="1" t="n">
        <v>45715</v>
      </c>
      <c r="D7298" t="inlineStr">
        <is>
          <t>KALMAR LÄN</t>
        </is>
      </c>
      <c r="E7298" t="inlineStr">
        <is>
          <t>TORSÅS</t>
        </is>
      </c>
      <c r="G7298" t="n">
        <v>5.3</v>
      </c>
      <c r="H7298" t="n">
        <v>0</v>
      </c>
      <c r="I7298" t="n">
        <v>0</v>
      </c>
      <c r="J7298" t="n">
        <v>0</v>
      </c>
      <c r="K7298" t="n">
        <v>0</v>
      </c>
      <c r="L7298" t="n">
        <v>0</v>
      </c>
      <c r="M7298" t="n">
        <v>0</v>
      </c>
      <c r="N7298" t="n">
        <v>0</v>
      </c>
      <c r="O7298" t="n">
        <v>0</v>
      </c>
      <c r="P7298" t="n">
        <v>0</v>
      </c>
      <c r="Q7298" t="n">
        <v>0</v>
      </c>
      <c r="R7298" s="2" t="inlineStr"/>
    </row>
    <row r="7299" ht="15" customHeight="1">
      <c r="A7299" t="inlineStr">
        <is>
          <t>A 9333-2023</t>
        </is>
      </c>
      <c r="B7299" s="1" t="n">
        <v>44980</v>
      </c>
      <c r="C7299" s="1" t="n">
        <v>45715</v>
      </c>
      <c r="D7299" t="inlineStr">
        <is>
          <t>KALMAR LÄN</t>
        </is>
      </c>
      <c r="E7299" t="inlineStr">
        <is>
          <t>OSKARSHAMN</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9222-2023</t>
        </is>
      </c>
      <c r="B7300" s="1" t="n">
        <v>44980</v>
      </c>
      <c r="C7300" s="1" t="n">
        <v>45715</v>
      </c>
      <c r="D7300" t="inlineStr">
        <is>
          <t>KALMAR LÄN</t>
        </is>
      </c>
      <c r="E7300" t="inlineStr">
        <is>
          <t>VÄSTERVIK</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9246-2023</t>
        </is>
      </c>
      <c r="B7301" s="1" t="n">
        <v>44980</v>
      </c>
      <c r="C7301" s="1" t="n">
        <v>45715</v>
      </c>
      <c r="D7301" t="inlineStr">
        <is>
          <t>KALMAR LÄN</t>
        </is>
      </c>
      <c r="E7301" t="inlineStr">
        <is>
          <t>EMMABODA</t>
        </is>
      </c>
      <c r="G7301" t="n">
        <v>7.8</v>
      </c>
      <c r="H7301" t="n">
        <v>0</v>
      </c>
      <c r="I7301" t="n">
        <v>0</v>
      </c>
      <c r="J7301" t="n">
        <v>0</v>
      </c>
      <c r="K7301" t="n">
        <v>0</v>
      </c>
      <c r="L7301" t="n">
        <v>0</v>
      </c>
      <c r="M7301" t="n">
        <v>0</v>
      </c>
      <c r="N7301" t="n">
        <v>0</v>
      </c>
      <c r="O7301" t="n">
        <v>0</v>
      </c>
      <c r="P7301" t="n">
        <v>0</v>
      </c>
      <c r="Q7301" t="n">
        <v>0</v>
      </c>
      <c r="R7301" s="2" t="inlineStr"/>
    </row>
    <row r="7302" ht="15" customHeight="1">
      <c r="A7302" t="inlineStr">
        <is>
          <t>A 9337-2023</t>
        </is>
      </c>
      <c r="B7302" s="1" t="n">
        <v>44980</v>
      </c>
      <c r="C7302" s="1" t="n">
        <v>45715</v>
      </c>
      <c r="D7302" t="inlineStr">
        <is>
          <t>KALMAR LÄN</t>
        </is>
      </c>
      <c r="E7302" t="inlineStr">
        <is>
          <t>OSKARSHAMN</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9153-2023</t>
        </is>
      </c>
      <c r="B7303" s="1" t="n">
        <v>44980</v>
      </c>
      <c r="C7303" s="1" t="n">
        <v>45715</v>
      </c>
      <c r="D7303" t="inlineStr">
        <is>
          <t>KALMAR LÄN</t>
        </is>
      </c>
      <c r="E7303" t="inlineStr">
        <is>
          <t>NYBRO</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9220-2023</t>
        </is>
      </c>
      <c r="B7304" s="1" t="n">
        <v>44980</v>
      </c>
      <c r="C7304" s="1" t="n">
        <v>45715</v>
      </c>
      <c r="D7304" t="inlineStr">
        <is>
          <t>KALMAR LÄN</t>
        </is>
      </c>
      <c r="E7304" t="inlineStr">
        <is>
          <t>VÄSTERVIK</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9253-2023</t>
        </is>
      </c>
      <c r="B7305" s="1" t="n">
        <v>44980</v>
      </c>
      <c r="C7305" s="1" t="n">
        <v>45715</v>
      </c>
      <c r="D7305" t="inlineStr">
        <is>
          <t>KALMAR LÄN</t>
        </is>
      </c>
      <c r="E7305" t="inlineStr">
        <is>
          <t>OSKARSHAMN</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9275-2023</t>
        </is>
      </c>
      <c r="B7306" s="1" t="n">
        <v>44980</v>
      </c>
      <c r="C7306" s="1" t="n">
        <v>45715</v>
      </c>
      <c r="D7306" t="inlineStr">
        <is>
          <t>KALMAR LÄN</t>
        </is>
      </c>
      <c r="E7306" t="inlineStr">
        <is>
          <t>OSKARSHAMN</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9320-2023</t>
        </is>
      </c>
      <c r="B7307" s="1" t="n">
        <v>44980</v>
      </c>
      <c r="C7307" s="1" t="n">
        <v>45715</v>
      </c>
      <c r="D7307" t="inlineStr">
        <is>
          <t>KALMAR LÄN</t>
        </is>
      </c>
      <c r="E7307" t="inlineStr">
        <is>
          <t>OSKARSHAMN</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9334-2023</t>
        </is>
      </c>
      <c r="B7308" s="1" t="n">
        <v>44980</v>
      </c>
      <c r="C7308" s="1" t="n">
        <v>45715</v>
      </c>
      <c r="D7308" t="inlineStr">
        <is>
          <t>KALMAR LÄN</t>
        </is>
      </c>
      <c r="E7308" t="inlineStr">
        <is>
          <t>OSKARSHAMN</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9407-2023</t>
        </is>
      </c>
      <c r="B7309" s="1" t="n">
        <v>44981</v>
      </c>
      <c r="C7309" s="1" t="n">
        <v>45715</v>
      </c>
      <c r="D7309" t="inlineStr">
        <is>
          <t>KALMAR LÄN</t>
        </is>
      </c>
      <c r="E7309" t="inlineStr">
        <is>
          <t>OSKARSHAMN</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9427-2023</t>
        </is>
      </c>
      <c r="B7310" s="1" t="n">
        <v>44981</v>
      </c>
      <c r="C7310" s="1" t="n">
        <v>45715</v>
      </c>
      <c r="D7310" t="inlineStr">
        <is>
          <t>KALMAR LÄN</t>
        </is>
      </c>
      <c r="E7310" t="inlineStr">
        <is>
          <t>HÖGSBY</t>
        </is>
      </c>
      <c r="F7310" t="inlineStr">
        <is>
          <t>Övriga Aktiebolag</t>
        </is>
      </c>
      <c r="G7310" t="n">
        <v>8.300000000000001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9387-2023</t>
        </is>
      </c>
      <c r="B7311" s="1" t="n">
        <v>44981</v>
      </c>
      <c r="C7311" s="1" t="n">
        <v>45715</v>
      </c>
      <c r="D7311" t="inlineStr">
        <is>
          <t>KALMAR LÄN</t>
        </is>
      </c>
      <c r="E7311" t="inlineStr">
        <is>
          <t>HULTSFRED</t>
        </is>
      </c>
      <c r="G7311" t="n">
        <v>7.6</v>
      </c>
      <c r="H7311" t="n">
        <v>0</v>
      </c>
      <c r="I7311" t="n">
        <v>0</v>
      </c>
      <c r="J7311" t="n">
        <v>0</v>
      </c>
      <c r="K7311" t="n">
        <v>0</v>
      </c>
      <c r="L7311" t="n">
        <v>0</v>
      </c>
      <c r="M7311" t="n">
        <v>0</v>
      </c>
      <c r="N7311" t="n">
        <v>0</v>
      </c>
      <c r="O7311" t="n">
        <v>0</v>
      </c>
      <c r="P7311" t="n">
        <v>0</v>
      </c>
      <c r="Q7311" t="n">
        <v>0</v>
      </c>
      <c r="R7311" s="2" t="inlineStr"/>
    </row>
    <row r="7312" ht="15" customHeight="1">
      <c r="A7312" t="inlineStr">
        <is>
          <t>A 9424-2023</t>
        </is>
      </c>
      <c r="B7312" s="1" t="n">
        <v>44981</v>
      </c>
      <c r="C7312" s="1" t="n">
        <v>45715</v>
      </c>
      <c r="D7312" t="inlineStr">
        <is>
          <t>KALMAR LÄN</t>
        </is>
      </c>
      <c r="E7312" t="inlineStr">
        <is>
          <t>HÖGSBY</t>
        </is>
      </c>
      <c r="F7312" t="inlineStr">
        <is>
          <t>Övriga Aktiebolag</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9454-2023</t>
        </is>
      </c>
      <c r="B7313" s="1" t="n">
        <v>44981</v>
      </c>
      <c r="C7313" s="1" t="n">
        <v>45715</v>
      </c>
      <c r="D7313" t="inlineStr">
        <is>
          <t>KALMAR LÄN</t>
        </is>
      </c>
      <c r="E7313" t="inlineStr">
        <is>
          <t>HÖGSBY</t>
        </is>
      </c>
      <c r="F7313" t="inlineStr">
        <is>
          <t>Övriga Aktiebolag</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9475-2023</t>
        </is>
      </c>
      <c r="B7314" s="1" t="n">
        <v>44981</v>
      </c>
      <c r="C7314" s="1" t="n">
        <v>45715</v>
      </c>
      <c r="D7314" t="inlineStr">
        <is>
          <t>KALMAR LÄN</t>
        </is>
      </c>
      <c r="E7314" t="inlineStr">
        <is>
          <t>VIMMERBY</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10398-2023</t>
        </is>
      </c>
      <c r="B7315" s="1" t="n">
        <v>44981</v>
      </c>
      <c r="C7315" s="1" t="n">
        <v>45715</v>
      </c>
      <c r="D7315" t="inlineStr">
        <is>
          <t>KALMAR LÄN</t>
        </is>
      </c>
      <c r="E7315" t="inlineStr">
        <is>
          <t>MÖNSTERÅS</t>
        </is>
      </c>
      <c r="G7315" t="n">
        <v>4.8</v>
      </c>
      <c r="H7315" t="n">
        <v>0</v>
      </c>
      <c r="I7315" t="n">
        <v>0</v>
      </c>
      <c r="J7315" t="n">
        <v>0</v>
      </c>
      <c r="K7315" t="n">
        <v>0</v>
      </c>
      <c r="L7315" t="n">
        <v>0</v>
      </c>
      <c r="M7315" t="n">
        <v>0</v>
      </c>
      <c r="N7315" t="n">
        <v>0</v>
      </c>
      <c r="O7315" t="n">
        <v>0</v>
      </c>
      <c r="P7315" t="n">
        <v>0</v>
      </c>
      <c r="Q7315" t="n">
        <v>0</v>
      </c>
      <c r="R7315" s="2" t="inlineStr"/>
    </row>
    <row r="7316" ht="15" customHeight="1">
      <c r="A7316" t="inlineStr">
        <is>
          <t>A 9511-2023</t>
        </is>
      </c>
      <c r="B7316" s="1" t="n">
        <v>44981</v>
      </c>
      <c r="C7316" s="1" t="n">
        <v>45715</v>
      </c>
      <c r="D7316" t="inlineStr">
        <is>
          <t>KALMAR LÄN</t>
        </is>
      </c>
      <c r="E7316" t="inlineStr">
        <is>
          <t>VIMMERBY</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10388-2023</t>
        </is>
      </c>
      <c r="B7317" s="1" t="n">
        <v>44981</v>
      </c>
      <c r="C7317" s="1" t="n">
        <v>45715</v>
      </c>
      <c r="D7317" t="inlineStr">
        <is>
          <t>KALMAR LÄN</t>
        </is>
      </c>
      <c r="E7317" t="inlineStr">
        <is>
          <t>MÖNSTERÅS</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9580-2023</t>
        </is>
      </c>
      <c r="B7318" s="1" t="n">
        <v>44982</v>
      </c>
      <c r="C7318" s="1" t="n">
        <v>45715</v>
      </c>
      <c r="D7318" t="inlineStr">
        <is>
          <t>KALMAR LÄN</t>
        </is>
      </c>
      <c r="E7318" t="inlineStr">
        <is>
          <t>NYBRO</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9563-2023</t>
        </is>
      </c>
      <c r="B7319" s="1" t="n">
        <v>44982</v>
      </c>
      <c r="C7319" s="1" t="n">
        <v>45715</v>
      </c>
      <c r="D7319" t="inlineStr">
        <is>
          <t>KALMAR LÄN</t>
        </is>
      </c>
      <c r="E7319" t="inlineStr">
        <is>
          <t>NYBRO</t>
        </is>
      </c>
      <c r="F7319" t="inlineStr">
        <is>
          <t>Sveaskog</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9577-2023</t>
        </is>
      </c>
      <c r="B7320" s="1" t="n">
        <v>44982</v>
      </c>
      <c r="C7320" s="1" t="n">
        <v>45715</v>
      </c>
      <c r="D7320" t="inlineStr">
        <is>
          <t>KALMAR LÄN</t>
        </is>
      </c>
      <c r="E7320" t="inlineStr">
        <is>
          <t>EMMABODA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9581-2023</t>
        </is>
      </c>
      <c r="B7321" s="1" t="n">
        <v>44982</v>
      </c>
      <c r="C7321" s="1" t="n">
        <v>45715</v>
      </c>
      <c r="D7321" t="inlineStr">
        <is>
          <t>KALMAR LÄN</t>
        </is>
      </c>
      <c r="E7321" t="inlineStr">
        <is>
          <t>NYBRO</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9631-2023</t>
        </is>
      </c>
      <c r="B7322" s="1" t="n">
        <v>44984</v>
      </c>
      <c r="C7322" s="1" t="n">
        <v>45715</v>
      </c>
      <c r="D7322" t="inlineStr">
        <is>
          <t>KALMAR LÄN</t>
        </is>
      </c>
      <c r="E7322" t="inlineStr">
        <is>
          <t>VÄSTERVIK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9644-2023</t>
        </is>
      </c>
      <c r="B7323" s="1" t="n">
        <v>44984</v>
      </c>
      <c r="C7323" s="1" t="n">
        <v>45715</v>
      </c>
      <c r="D7323" t="inlineStr">
        <is>
          <t>KALMAR LÄN</t>
        </is>
      </c>
      <c r="E7323" t="inlineStr">
        <is>
          <t>VIMMERBY</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9694-2023</t>
        </is>
      </c>
      <c r="B7324" s="1" t="n">
        <v>44984</v>
      </c>
      <c r="C7324" s="1" t="n">
        <v>45715</v>
      </c>
      <c r="D7324" t="inlineStr">
        <is>
          <t>KALMAR LÄN</t>
        </is>
      </c>
      <c r="E7324" t="inlineStr">
        <is>
          <t>VIMMERBY</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9710-2023</t>
        </is>
      </c>
      <c r="B7325" s="1" t="n">
        <v>44984</v>
      </c>
      <c r="C7325" s="1" t="n">
        <v>45715</v>
      </c>
      <c r="D7325" t="inlineStr">
        <is>
          <t>KALMAR LÄN</t>
        </is>
      </c>
      <c r="E7325" t="inlineStr">
        <is>
          <t>VIMMERBY</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9628-2023</t>
        </is>
      </c>
      <c r="B7326" s="1" t="n">
        <v>44984</v>
      </c>
      <c r="C7326" s="1" t="n">
        <v>45715</v>
      </c>
      <c r="D7326" t="inlineStr">
        <is>
          <t>KALMAR LÄN</t>
        </is>
      </c>
      <c r="E7326" t="inlineStr">
        <is>
          <t>EMMABODA</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9712-2023</t>
        </is>
      </c>
      <c r="B7327" s="1" t="n">
        <v>44984</v>
      </c>
      <c r="C7327" s="1" t="n">
        <v>45715</v>
      </c>
      <c r="D7327" t="inlineStr">
        <is>
          <t>KALMAR LÄN</t>
        </is>
      </c>
      <c r="E7327" t="inlineStr">
        <is>
          <t>KALMAR</t>
        </is>
      </c>
      <c r="G7327" t="n">
        <v>1.1</v>
      </c>
      <c r="H7327" t="n">
        <v>0</v>
      </c>
      <c r="I7327" t="n">
        <v>0</v>
      </c>
      <c r="J7327" t="n">
        <v>0</v>
      </c>
      <c r="K7327" t="n">
        <v>0</v>
      </c>
      <c r="L7327" t="n">
        <v>0</v>
      </c>
      <c r="M7327" t="n">
        <v>0</v>
      </c>
      <c r="N7327" t="n">
        <v>0</v>
      </c>
      <c r="O7327" t="n">
        <v>0</v>
      </c>
      <c r="P7327" t="n">
        <v>0</v>
      </c>
      <c r="Q7327" t="n">
        <v>0</v>
      </c>
      <c r="R7327" s="2" t="inlineStr"/>
      <c r="U7327">
        <f>HYPERLINK("https://klasma.github.io/Logging_0880/knärot/A 9712-2023 karta knärot.png", "A 9712-2023")</f>
        <v/>
      </c>
      <c r="V7327">
        <f>HYPERLINK("https://klasma.github.io/Logging_0880/klagomål/A 9712-2023 FSC-klagomål.docx", "A 9712-2023")</f>
        <v/>
      </c>
      <c r="W7327">
        <f>HYPERLINK("https://klasma.github.io/Logging_0880/klagomålsmail/A 9712-2023 FSC-klagomål mail.docx", "A 9712-2023")</f>
        <v/>
      </c>
      <c r="X7327">
        <f>HYPERLINK("https://klasma.github.io/Logging_0880/tillsyn/A 9712-2023 tillsynsbegäran.docx", "A 9712-2023")</f>
        <v/>
      </c>
      <c r="Y7327">
        <f>HYPERLINK("https://klasma.github.io/Logging_0880/tillsynsmail/A 9712-2023 tillsynsbegäran mail.docx", "A 9712-2023")</f>
        <v/>
      </c>
    </row>
    <row r="7328" ht="15" customHeight="1">
      <c r="A7328" t="inlineStr">
        <is>
          <t>A 9720-2023</t>
        </is>
      </c>
      <c r="B7328" s="1" t="n">
        <v>44984</v>
      </c>
      <c r="C7328" s="1" t="n">
        <v>45715</v>
      </c>
      <c r="D7328" t="inlineStr">
        <is>
          <t>KALMAR LÄN</t>
        </is>
      </c>
      <c r="E7328" t="inlineStr">
        <is>
          <t>VIMMERBY</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9757-2023</t>
        </is>
      </c>
      <c r="B7329" s="1" t="n">
        <v>44984</v>
      </c>
      <c r="C7329" s="1" t="n">
        <v>45715</v>
      </c>
      <c r="D7329" t="inlineStr">
        <is>
          <t>KALMAR LÄN</t>
        </is>
      </c>
      <c r="E7329" t="inlineStr">
        <is>
          <t>TORSÅS</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9640-2023</t>
        </is>
      </c>
      <c r="B7330" s="1" t="n">
        <v>44984</v>
      </c>
      <c r="C7330" s="1" t="n">
        <v>45715</v>
      </c>
      <c r="D7330" t="inlineStr">
        <is>
          <t>KALMAR LÄN</t>
        </is>
      </c>
      <c r="E7330" t="inlineStr">
        <is>
          <t>EMMABODA</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9662-2023</t>
        </is>
      </c>
      <c r="B7331" s="1" t="n">
        <v>44984</v>
      </c>
      <c r="C7331" s="1" t="n">
        <v>45715</v>
      </c>
      <c r="D7331" t="inlineStr">
        <is>
          <t>KALMAR LÄN</t>
        </is>
      </c>
      <c r="E7331" t="inlineStr">
        <is>
          <t>EMMABODA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9700-2023</t>
        </is>
      </c>
      <c r="B7332" s="1" t="n">
        <v>44984</v>
      </c>
      <c r="C7332" s="1" t="n">
        <v>45715</v>
      </c>
      <c r="D7332" t="inlineStr">
        <is>
          <t>KALMAR LÄN</t>
        </is>
      </c>
      <c r="E7332" t="inlineStr">
        <is>
          <t>HÖGSBY</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9643-2023</t>
        </is>
      </c>
      <c r="B7333" s="1" t="n">
        <v>44984</v>
      </c>
      <c r="C7333" s="1" t="n">
        <v>45715</v>
      </c>
      <c r="D7333" t="inlineStr">
        <is>
          <t>KALMAR LÄN</t>
        </is>
      </c>
      <c r="E7333" t="inlineStr">
        <is>
          <t>VIMMERBY</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9780-2023</t>
        </is>
      </c>
      <c r="B7334" s="1" t="n">
        <v>44984</v>
      </c>
      <c r="C7334" s="1" t="n">
        <v>45715</v>
      </c>
      <c r="D7334" t="inlineStr">
        <is>
          <t>KALMAR LÄN</t>
        </is>
      </c>
      <c r="E7334" t="inlineStr">
        <is>
          <t>KALMAR</t>
        </is>
      </c>
      <c r="G7334" t="n">
        <v>8.300000000000001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9771-2023</t>
        </is>
      </c>
      <c r="B7335" s="1" t="n">
        <v>44984</v>
      </c>
      <c r="C7335" s="1" t="n">
        <v>45715</v>
      </c>
      <c r="D7335" t="inlineStr">
        <is>
          <t>KALMAR LÄN</t>
        </is>
      </c>
      <c r="E7335" t="inlineStr">
        <is>
          <t>VÄSTERVIK</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9727-2023</t>
        </is>
      </c>
      <c r="B7336" s="1" t="n">
        <v>44984</v>
      </c>
      <c r="C7336" s="1" t="n">
        <v>45715</v>
      </c>
      <c r="D7336" t="inlineStr">
        <is>
          <t>KALMAR LÄN</t>
        </is>
      </c>
      <c r="E7336" t="inlineStr">
        <is>
          <t>KALMAR</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9755-2023</t>
        </is>
      </c>
      <c r="B7337" s="1" t="n">
        <v>44984</v>
      </c>
      <c r="C7337" s="1" t="n">
        <v>45715</v>
      </c>
      <c r="D7337" t="inlineStr">
        <is>
          <t>KALMAR LÄN</t>
        </is>
      </c>
      <c r="E7337" t="inlineStr">
        <is>
          <t>EMMABODA</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9768-2023</t>
        </is>
      </c>
      <c r="B7338" s="1" t="n">
        <v>44984</v>
      </c>
      <c r="C7338" s="1" t="n">
        <v>45715</v>
      </c>
      <c r="D7338" t="inlineStr">
        <is>
          <t>KALMAR LÄN</t>
        </is>
      </c>
      <c r="E7338" t="inlineStr">
        <is>
          <t>NYBRO</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9770-2023</t>
        </is>
      </c>
      <c r="B7339" s="1" t="n">
        <v>44984</v>
      </c>
      <c r="C7339" s="1" t="n">
        <v>45715</v>
      </c>
      <c r="D7339" t="inlineStr">
        <is>
          <t>KALMAR LÄN</t>
        </is>
      </c>
      <c r="E7339" t="inlineStr">
        <is>
          <t>VÄSTERVIK</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9790-2023</t>
        </is>
      </c>
      <c r="B7340" s="1" t="n">
        <v>44984</v>
      </c>
      <c r="C7340" s="1" t="n">
        <v>45715</v>
      </c>
      <c r="D7340" t="inlineStr">
        <is>
          <t>KALMAR LÄN</t>
        </is>
      </c>
      <c r="E7340" t="inlineStr">
        <is>
          <t>OSKARSHAMN</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9792-2023</t>
        </is>
      </c>
      <c r="B7341" s="1" t="n">
        <v>44984</v>
      </c>
      <c r="C7341" s="1" t="n">
        <v>45715</v>
      </c>
      <c r="D7341" t="inlineStr">
        <is>
          <t>KALMAR LÄN</t>
        </is>
      </c>
      <c r="E7341" t="inlineStr">
        <is>
          <t>VÄSTERVIK</t>
        </is>
      </c>
      <c r="F7341" t="inlineStr">
        <is>
          <t>Holmen skog AB</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9831-2023</t>
        </is>
      </c>
      <c r="B7342" s="1" t="n">
        <v>44984</v>
      </c>
      <c r="C7342" s="1" t="n">
        <v>45715</v>
      </c>
      <c r="D7342" t="inlineStr">
        <is>
          <t>KALMAR LÄN</t>
        </is>
      </c>
      <c r="E7342" t="inlineStr">
        <is>
          <t>OSKARSHAMN</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9933-2023</t>
        </is>
      </c>
      <c r="B7343" s="1" t="n">
        <v>44985</v>
      </c>
      <c r="C7343" s="1" t="n">
        <v>45715</v>
      </c>
      <c r="D7343" t="inlineStr">
        <is>
          <t>KALMAR LÄN</t>
        </is>
      </c>
      <c r="E7343" t="inlineStr">
        <is>
          <t>TORSÅS</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9942-2023</t>
        </is>
      </c>
      <c r="B7344" s="1" t="n">
        <v>44985</v>
      </c>
      <c r="C7344" s="1" t="n">
        <v>45715</v>
      </c>
      <c r="D7344" t="inlineStr">
        <is>
          <t>KALMAR LÄN</t>
        </is>
      </c>
      <c r="E7344" t="inlineStr">
        <is>
          <t>NYBRO</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9978-2023</t>
        </is>
      </c>
      <c r="B7345" s="1" t="n">
        <v>44985</v>
      </c>
      <c r="C7345" s="1" t="n">
        <v>45715</v>
      </c>
      <c r="D7345" t="inlineStr">
        <is>
          <t>KALMAR LÄN</t>
        </is>
      </c>
      <c r="E7345" t="inlineStr">
        <is>
          <t>OSKARSHAMN</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10062-2023</t>
        </is>
      </c>
      <c r="B7346" s="1" t="n">
        <v>44985</v>
      </c>
      <c r="C7346" s="1" t="n">
        <v>45715</v>
      </c>
      <c r="D7346" t="inlineStr">
        <is>
          <t>KALMAR LÄN</t>
        </is>
      </c>
      <c r="E7346" t="inlineStr">
        <is>
          <t>TORSÅS</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10160-2023</t>
        </is>
      </c>
      <c r="B7347" s="1" t="n">
        <v>44986</v>
      </c>
      <c r="C7347" s="1" t="n">
        <v>45715</v>
      </c>
      <c r="D7347" t="inlineStr">
        <is>
          <t>KALMAR LÄN</t>
        </is>
      </c>
      <c r="E7347" t="inlineStr">
        <is>
          <t>NYBRO</t>
        </is>
      </c>
      <c r="F7347" t="inlineStr">
        <is>
          <t>Sveaskog</t>
        </is>
      </c>
      <c r="G7347" t="n">
        <v>6.4</v>
      </c>
      <c r="H7347" t="n">
        <v>0</v>
      </c>
      <c r="I7347" t="n">
        <v>0</v>
      </c>
      <c r="J7347" t="n">
        <v>0</v>
      </c>
      <c r="K7347" t="n">
        <v>0</v>
      </c>
      <c r="L7347" t="n">
        <v>0</v>
      </c>
      <c r="M7347" t="n">
        <v>0</v>
      </c>
      <c r="N7347" t="n">
        <v>0</v>
      </c>
      <c r="O7347" t="n">
        <v>0</v>
      </c>
      <c r="P7347" t="n">
        <v>0</v>
      </c>
      <c r="Q7347" t="n">
        <v>0</v>
      </c>
      <c r="R7347" s="2" t="inlineStr"/>
    </row>
    <row r="7348" ht="15" customHeight="1">
      <c r="A7348" t="inlineStr">
        <is>
          <t>A 10167-2023</t>
        </is>
      </c>
      <c r="B7348" s="1" t="n">
        <v>44986</v>
      </c>
      <c r="C7348" s="1" t="n">
        <v>45715</v>
      </c>
      <c r="D7348" t="inlineStr">
        <is>
          <t>KALMAR LÄN</t>
        </is>
      </c>
      <c r="E7348" t="inlineStr">
        <is>
          <t>NYBRO</t>
        </is>
      </c>
      <c r="F7348" t="inlineStr">
        <is>
          <t>Sveaskog</t>
        </is>
      </c>
      <c r="G7348" t="n">
        <v>14.8</v>
      </c>
      <c r="H7348" t="n">
        <v>0</v>
      </c>
      <c r="I7348" t="n">
        <v>0</v>
      </c>
      <c r="J7348" t="n">
        <v>0</v>
      </c>
      <c r="K7348" t="n">
        <v>0</v>
      </c>
      <c r="L7348" t="n">
        <v>0</v>
      </c>
      <c r="M7348" t="n">
        <v>0</v>
      </c>
      <c r="N7348" t="n">
        <v>0</v>
      </c>
      <c r="O7348" t="n">
        <v>0</v>
      </c>
      <c r="P7348" t="n">
        <v>0</v>
      </c>
      <c r="Q7348" t="n">
        <v>0</v>
      </c>
      <c r="R7348" s="2" t="inlineStr"/>
    </row>
    <row r="7349" ht="15" customHeight="1">
      <c r="A7349" t="inlineStr">
        <is>
          <t>A 10234-2023</t>
        </is>
      </c>
      <c r="B7349" s="1" t="n">
        <v>44986</v>
      </c>
      <c r="C7349" s="1" t="n">
        <v>45715</v>
      </c>
      <c r="D7349" t="inlineStr">
        <is>
          <t>KALMAR LÄN</t>
        </is>
      </c>
      <c r="E7349" t="inlineStr">
        <is>
          <t>OSKARSHAMN</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10109-2023</t>
        </is>
      </c>
      <c r="B7350" s="1" t="n">
        <v>44986</v>
      </c>
      <c r="C7350" s="1" t="n">
        <v>45715</v>
      </c>
      <c r="D7350" t="inlineStr">
        <is>
          <t>KALMAR LÄN</t>
        </is>
      </c>
      <c r="E7350" t="inlineStr">
        <is>
          <t>NYBRO</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10260-2023</t>
        </is>
      </c>
      <c r="B7351" s="1" t="n">
        <v>44986</v>
      </c>
      <c r="C7351" s="1" t="n">
        <v>45715</v>
      </c>
      <c r="D7351" t="inlineStr">
        <is>
          <t>KALMAR LÄN</t>
        </is>
      </c>
      <c r="E7351" t="inlineStr">
        <is>
          <t>TORSÅS</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10264-2023</t>
        </is>
      </c>
      <c r="B7352" s="1" t="n">
        <v>44986</v>
      </c>
      <c r="C7352" s="1" t="n">
        <v>45715</v>
      </c>
      <c r="D7352" t="inlineStr">
        <is>
          <t>KALMAR LÄN</t>
        </is>
      </c>
      <c r="E7352" t="inlineStr">
        <is>
          <t>TORSÅS</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10408-2023</t>
        </is>
      </c>
      <c r="B7353" s="1" t="n">
        <v>44987</v>
      </c>
      <c r="C7353" s="1" t="n">
        <v>45715</v>
      </c>
      <c r="D7353" t="inlineStr">
        <is>
          <t>KALMAR LÄN</t>
        </is>
      </c>
      <c r="E7353" t="inlineStr">
        <is>
          <t>HÖGSBY</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10413-2023</t>
        </is>
      </c>
      <c r="B7354" s="1" t="n">
        <v>44987</v>
      </c>
      <c r="C7354" s="1" t="n">
        <v>45715</v>
      </c>
      <c r="D7354" t="inlineStr">
        <is>
          <t>KALMAR LÄN</t>
        </is>
      </c>
      <c r="E7354" t="inlineStr">
        <is>
          <t>HÖGSBY</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10444-2023</t>
        </is>
      </c>
      <c r="B7355" s="1" t="n">
        <v>44987</v>
      </c>
      <c r="C7355" s="1" t="n">
        <v>45715</v>
      </c>
      <c r="D7355" t="inlineStr">
        <is>
          <t>KALMAR LÄN</t>
        </is>
      </c>
      <c r="E7355" t="inlineStr">
        <is>
          <t>VIMMERBY</t>
        </is>
      </c>
      <c r="G7355" t="n">
        <v>7.4</v>
      </c>
      <c r="H7355" t="n">
        <v>0</v>
      </c>
      <c r="I7355" t="n">
        <v>0</v>
      </c>
      <c r="J7355" t="n">
        <v>0</v>
      </c>
      <c r="K7355" t="n">
        <v>0</v>
      </c>
      <c r="L7355" t="n">
        <v>0</v>
      </c>
      <c r="M7355" t="n">
        <v>0</v>
      </c>
      <c r="N7355" t="n">
        <v>0</v>
      </c>
      <c r="O7355" t="n">
        <v>0</v>
      </c>
      <c r="P7355" t="n">
        <v>0</v>
      </c>
      <c r="Q7355" t="n">
        <v>0</v>
      </c>
      <c r="R7355" s="2" t="inlineStr"/>
    </row>
    <row r="7356" ht="15" customHeight="1">
      <c r="A7356" t="inlineStr">
        <is>
          <t>A 10472-2023</t>
        </is>
      </c>
      <c r="B7356" s="1" t="n">
        <v>44987</v>
      </c>
      <c r="C7356" s="1" t="n">
        <v>45715</v>
      </c>
      <c r="D7356" t="inlineStr">
        <is>
          <t>KALMAR LÄN</t>
        </is>
      </c>
      <c r="E7356" t="inlineStr">
        <is>
          <t>TORSÅS</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10424-2023</t>
        </is>
      </c>
      <c r="B7357" s="1" t="n">
        <v>44987</v>
      </c>
      <c r="C7357" s="1" t="n">
        <v>45715</v>
      </c>
      <c r="D7357" t="inlineStr">
        <is>
          <t>KALMAR LÄN</t>
        </is>
      </c>
      <c r="E7357" t="inlineStr">
        <is>
          <t>VIMMERBY</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10439-2023</t>
        </is>
      </c>
      <c r="B7358" s="1" t="n">
        <v>44987</v>
      </c>
      <c r="C7358" s="1" t="n">
        <v>45715</v>
      </c>
      <c r="D7358" t="inlineStr">
        <is>
          <t>KALMAR LÄN</t>
        </is>
      </c>
      <c r="E7358" t="inlineStr">
        <is>
          <t>VIMMERBY</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10409-2023</t>
        </is>
      </c>
      <c r="B7359" s="1" t="n">
        <v>44987</v>
      </c>
      <c r="C7359" s="1" t="n">
        <v>45715</v>
      </c>
      <c r="D7359" t="inlineStr">
        <is>
          <t>KALMAR LÄN</t>
        </is>
      </c>
      <c r="E7359" t="inlineStr">
        <is>
          <t>HÖGSBY</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10404-2023</t>
        </is>
      </c>
      <c r="B7360" s="1" t="n">
        <v>44987</v>
      </c>
      <c r="C7360" s="1" t="n">
        <v>45715</v>
      </c>
      <c r="D7360" t="inlineStr">
        <is>
          <t>KALMAR LÄN</t>
        </is>
      </c>
      <c r="E7360" t="inlineStr">
        <is>
          <t>OSKARSHAMN</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10419-2023</t>
        </is>
      </c>
      <c r="B7361" s="1" t="n">
        <v>44987</v>
      </c>
      <c r="C7361" s="1" t="n">
        <v>45715</v>
      </c>
      <c r="D7361" t="inlineStr">
        <is>
          <t>KALMAR LÄN</t>
        </is>
      </c>
      <c r="E7361" t="inlineStr">
        <is>
          <t>VÄSTERVIK</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10421-2023</t>
        </is>
      </c>
      <c r="B7362" s="1" t="n">
        <v>44987</v>
      </c>
      <c r="C7362" s="1" t="n">
        <v>45715</v>
      </c>
      <c r="D7362" t="inlineStr">
        <is>
          <t>KALMAR LÄN</t>
        </is>
      </c>
      <c r="E7362" t="inlineStr">
        <is>
          <t>VÄSTERVIK</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10454-2023</t>
        </is>
      </c>
      <c r="B7363" s="1" t="n">
        <v>44987</v>
      </c>
      <c r="C7363" s="1" t="n">
        <v>45715</v>
      </c>
      <c r="D7363" t="inlineStr">
        <is>
          <t>KALMAR LÄN</t>
        </is>
      </c>
      <c r="E7363" t="inlineStr">
        <is>
          <t>OSKARSHAMN</t>
        </is>
      </c>
      <c r="F7363" t="inlineStr">
        <is>
          <t>Kommuner</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10462-2023</t>
        </is>
      </c>
      <c r="B7364" s="1" t="n">
        <v>44987</v>
      </c>
      <c r="C7364" s="1" t="n">
        <v>45715</v>
      </c>
      <c r="D7364" t="inlineStr">
        <is>
          <t>KALMAR LÄN</t>
        </is>
      </c>
      <c r="E7364" t="inlineStr">
        <is>
          <t>OSKARSHAMN</t>
        </is>
      </c>
      <c r="F7364" t="inlineStr">
        <is>
          <t>Kommuner</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10613-2023</t>
        </is>
      </c>
      <c r="B7365" s="1" t="n">
        <v>44988</v>
      </c>
      <c r="C7365" s="1" t="n">
        <v>45715</v>
      </c>
      <c r="D7365" t="inlineStr">
        <is>
          <t>KALMAR LÄN</t>
        </is>
      </c>
      <c r="E7365" t="inlineStr">
        <is>
          <t>TORSÅS</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10652-2023</t>
        </is>
      </c>
      <c r="B7366" s="1" t="n">
        <v>44988</v>
      </c>
      <c r="C7366" s="1" t="n">
        <v>45715</v>
      </c>
      <c r="D7366" t="inlineStr">
        <is>
          <t>KALMAR LÄN</t>
        </is>
      </c>
      <c r="E7366" t="inlineStr">
        <is>
          <t>TORSÅS</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10665-2023</t>
        </is>
      </c>
      <c r="B7367" s="1" t="n">
        <v>44988</v>
      </c>
      <c r="C7367" s="1" t="n">
        <v>45715</v>
      </c>
      <c r="D7367" t="inlineStr">
        <is>
          <t>KALMAR LÄN</t>
        </is>
      </c>
      <c r="E7367" t="inlineStr">
        <is>
          <t>VÄSTERVIK</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10576-2023</t>
        </is>
      </c>
      <c r="B7368" s="1" t="n">
        <v>44988</v>
      </c>
      <c r="C7368" s="1" t="n">
        <v>45715</v>
      </c>
      <c r="D7368" t="inlineStr">
        <is>
          <t>KALMAR LÄN</t>
        </is>
      </c>
      <c r="E7368" t="inlineStr">
        <is>
          <t>HÖGSBY</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10628-2023</t>
        </is>
      </c>
      <c r="B7369" s="1" t="n">
        <v>44988</v>
      </c>
      <c r="C7369" s="1" t="n">
        <v>45715</v>
      </c>
      <c r="D7369" t="inlineStr">
        <is>
          <t>KALMAR LÄN</t>
        </is>
      </c>
      <c r="E7369" t="inlineStr">
        <is>
          <t>HULTSFRED</t>
        </is>
      </c>
      <c r="G7369" t="n">
        <v>7.4</v>
      </c>
      <c r="H7369" t="n">
        <v>0</v>
      </c>
      <c r="I7369" t="n">
        <v>0</v>
      </c>
      <c r="J7369" t="n">
        <v>0</v>
      </c>
      <c r="K7369" t="n">
        <v>0</v>
      </c>
      <c r="L7369" t="n">
        <v>0</v>
      </c>
      <c r="M7369" t="n">
        <v>0</v>
      </c>
      <c r="N7369" t="n">
        <v>0</v>
      </c>
      <c r="O7369" t="n">
        <v>0</v>
      </c>
      <c r="P7369" t="n">
        <v>0</v>
      </c>
      <c r="Q7369" t="n">
        <v>0</v>
      </c>
      <c r="R7369" s="2" t="inlineStr"/>
    </row>
    <row r="7370" ht="15" customHeight="1">
      <c r="A7370" t="inlineStr">
        <is>
          <t>A 10614-2023</t>
        </is>
      </c>
      <c r="B7370" s="1" t="n">
        <v>44988</v>
      </c>
      <c r="C7370" s="1" t="n">
        <v>45715</v>
      </c>
      <c r="D7370" t="inlineStr">
        <is>
          <t>KALMAR LÄN</t>
        </is>
      </c>
      <c r="E7370" t="inlineStr">
        <is>
          <t>KALMAR</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10651-2023</t>
        </is>
      </c>
      <c r="B7371" s="1" t="n">
        <v>44988</v>
      </c>
      <c r="C7371" s="1" t="n">
        <v>45715</v>
      </c>
      <c r="D7371" t="inlineStr">
        <is>
          <t>KALMAR LÄN</t>
        </is>
      </c>
      <c r="E7371" t="inlineStr">
        <is>
          <t>TORSÅS</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10631-2023</t>
        </is>
      </c>
      <c r="B7372" s="1" t="n">
        <v>44988</v>
      </c>
      <c r="C7372" s="1" t="n">
        <v>45715</v>
      </c>
      <c r="D7372" t="inlineStr">
        <is>
          <t>KALMAR LÄN</t>
        </is>
      </c>
      <c r="E7372" t="inlineStr">
        <is>
          <t>HULTSFRED</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10642-2023</t>
        </is>
      </c>
      <c r="B7373" s="1" t="n">
        <v>44988</v>
      </c>
      <c r="C7373" s="1" t="n">
        <v>45715</v>
      </c>
      <c r="D7373" t="inlineStr">
        <is>
          <t>KALMAR LÄN</t>
        </is>
      </c>
      <c r="E7373" t="inlineStr">
        <is>
          <t>HULTSFRED</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10731-2023</t>
        </is>
      </c>
      <c r="B7374" s="1" t="n">
        <v>44988</v>
      </c>
      <c r="C7374" s="1" t="n">
        <v>45715</v>
      </c>
      <c r="D7374" t="inlineStr">
        <is>
          <t>KALMAR LÄN</t>
        </is>
      </c>
      <c r="E7374" t="inlineStr">
        <is>
          <t>KALMAR</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10725-2023</t>
        </is>
      </c>
      <c r="B7375" s="1" t="n">
        <v>44988</v>
      </c>
      <c r="C7375" s="1" t="n">
        <v>45715</v>
      </c>
      <c r="D7375" t="inlineStr">
        <is>
          <t>KALMAR LÄN</t>
        </is>
      </c>
      <c r="E7375" t="inlineStr">
        <is>
          <t>VÄSTERVIK</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10759-2023</t>
        </is>
      </c>
      <c r="B7376" s="1" t="n">
        <v>44988</v>
      </c>
      <c r="C7376" s="1" t="n">
        <v>45715</v>
      </c>
      <c r="D7376" t="inlineStr">
        <is>
          <t>KALMAR LÄN</t>
        </is>
      </c>
      <c r="E7376" t="inlineStr">
        <is>
          <t>VIMMERBY</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10807-2023</t>
        </is>
      </c>
      <c r="B7377" s="1" t="n">
        <v>44989</v>
      </c>
      <c r="C7377" s="1" t="n">
        <v>45715</v>
      </c>
      <c r="D7377" t="inlineStr">
        <is>
          <t>KALMAR LÄN</t>
        </is>
      </c>
      <c r="E7377" t="inlineStr">
        <is>
          <t>VÄSTERVIK</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10801-2023</t>
        </is>
      </c>
      <c r="B7378" s="1" t="n">
        <v>44989</v>
      </c>
      <c r="C7378" s="1" t="n">
        <v>45715</v>
      </c>
      <c r="D7378" t="inlineStr">
        <is>
          <t>KALMAR LÄN</t>
        </is>
      </c>
      <c r="E7378" t="inlineStr">
        <is>
          <t>VÄSTERVIK</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10800-2023</t>
        </is>
      </c>
      <c r="B7379" s="1" t="n">
        <v>44989</v>
      </c>
      <c r="C7379" s="1" t="n">
        <v>45715</v>
      </c>
      <c r="D7379" t="inlineStr">
        <is>
          <t>KALMAR LÄN</t>
        </is>
      </c>
      <c r="E7379" t="inlineStr">
        <is>
          <t>VIMMERBY</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10821-2023</t>
        </is>
      </c>
      <c r="B7380" s="1" t="n">
        <v>44990</v>
      </c>
      <c r="C7380" s="1" t="n">
        <v>45715</v>
      </c>
      <c r="D7380" t="inlineStr">
        <is>
          <t>KALMAR LÄN</t>
        </is>
      </c>
      <c r="E7380" t="inlineStr">
        <is>
          <t>VIMMERBY</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10837-2023</t>
        </is>
      </c>
      <c r="B7381" s="1" t="n">
        <v>44991</v>
      </c>
      <c r="C7381" s="1" t="n">
        <v>45715</v>
      </c>
      <c r="D7381" t="inlineStr">
        <is>
          <t>KALMAR LÄN</t>
        </is>
      </c>
      <c r="E7381" t="inlineStr">
        <is>
          <t>VIMMERBY</t>
        </is>
      </c>
      <c r="G7381" t="n">
        <v>7.3</v>
      </c>
      <c r="H7381" t="n">
        <v>0</v>
      </c>
      <c r="I7381" t="n">
        <v>0</v>
      </c>
      <c r="J7381" t="n">
        <v>0</v>
      </c>
      <c r="K7381" t="n">
        <v>0</v>
      </c>
      <c r="L7381" t="n">
        <v>0</v>
      </c>
      <c r="M7381" t="n">
        <v>0</v>
      </c>
      <c r="N7381" t="n">
        <v>0</v>
      </c>
      <c r="O7381" t="n">
        <v>0</v>
      </c>
      <c r="P7381" t="n">
        <v>0</v>
      </c>
      <c r="Q7381" t="n">
        <v>0</v>
      </c>
      <c r="R7381" s="2" t="inlineStr"/>
    </row>
    <row r="7382" ht="15" customHeight="1">
      <c r="A7382" t="inlineStr">
        <is>
          <t>A 10934-2023</t>
        </is>
      </c>
      <c r="B7382" s="1" t="n">
        <v>44991</v>
      </c>
      <c r="C7382" s="1" t="n">
        <v>45715</v>
      </c>
      <c r="D7382" t="inlineStr">
        <is>
          <t>KALMAR LÄN</t>
        </is>
      </c>
      <c r="E7382" t="inlineStr">
        <is>
          <t>MÖNSTERÅS</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10835-2023</t>
        </is>
      </c>
      <c r="B7383" s="1" t="n">
        <v>44991</v>
      </c>
      <c r="C7383" s="1" t="n">
        <v>45715</v>
      </c>
      <c r="D7383" t="inlineStr">
        <is>
          <t>KALMAR LÄN</t>
        </is>
      </c>
      <c r="E7383" t="inlineStr">
        <is>
          <t>VIMMERBY</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10895-2023</t>
        </is>
      </c>
      <c r="B7384" s="1" t="n">
        <v>44991</v>
      </c>
      <c r="C7384" s="1" t="n">
        <v>45715</v>
      </c>
      <c r="D7384" t="inlineStr">
        <is>
          <t>KALMAR LÄN</t>
        </is>
      </c>
      <c r="E7384" t="inlineStr">
        <is>
          <t>NYBRO</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10838-2023</t>
        </is>
      </c>
      <c r="B7385" s="1" t="n">
        <v>44991</v>
      </c>
      <c r="C7385" s="1" t="n">
        <v>45715</v>
      </c>
      <c r="D7385" t="inlineStr">
        <is>
          <t>KALMAR LÄN</t>
        </is>
      </c>
      <c r="E7385" t="inlineStr">
        <is>
          <t>VIMMERBY</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10930-2023</t>
        </is>
      </c>
      <c r="B7386" s="1" t="n">
        <v>44991</v>
      </c>
      <c r="C7386" s="1" t="n">
        <v>45715</v>
      </c>
      <c r="D7386" t="inlineStr">
        <is>
          <t>KALMAR LÄN</t>
        </is>
      </c>
      <c r="E7386" t="inlineStr">
        <is>
          <t>KALMAR</t>
        </is>
      </c>
      <c r="G7386" t="n">
        <v>9.6</v>
      </c>
      <c r="H7386" t="n">
        <v>0</v>
      </c>
      <c r="I7386" t="n">
        <v>0</v>
      </c>
      <c r="J7386" t="n">
        <v>0</v>
      </c>
      <c r="K7386" t="n">
        <v>0</v>
      </c>
      <c r="L7386" t="n">
        <v>0</v>
      </c>
      <c r="M7386" t="n">
        <v>0</v>
      </c>
      <c r="N7386" t="n">
        <v>0</v>
      </c>
      <c r="O7386" t="n">
        <v>0</v>
      </c>
      <c r="P7386" t="n">
        <v>0</v>
      </c>
      <c r="Q7386" t="n">
        <v>0</v>
      </c>
      <c r="R7386" s="2" t="inlineStr"/>
    </row>
    <row r="7387" ht="15" customHeight="1">
      <c r="A7387" t="inlineStr">
        <is>
          <t>A 11027-2023</t>
        </is>
      </c>
      <c r="B7387" s="1" t="n">
        <v>44991</v>
      </c>
      <c r="C7387" s="1" t="n">
        <v>45715</v>
      </c>
      <c r="D7387" t="inlineStr">
        <is>
          <t>KALMAR LÄN</t>
        </is>
      </c>
      <c r="E7387" t="inlineStr">
        <is>
          <t>VIMMERBY</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10871-2023</t>
        </is>
      </c>
      <c r="B7388" s="1" t="n">
        <v>44991</v>
      </c>
      <c r="C7388" s="1" t="n">
        <v>45715</v>
      </c>
      <c r="D7388" t="inlineStr">
        <is>
          <t>KALMAR LÄN</t>
        </is>
      </c>
      <c r="E7388" t="inlineStr">
        <is>
          <t>HÖGSBY</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10966-2023</t>
        </is>
      </c>
      <c r="B7389" s="1" t="n">
        <v>44991</v>
      </c>
      <c r="C7389" s="1" t="n">
        <v>45715</v>
      </c>
      <c r="D7389" t="inlineStr">
        <is>
          <t>KALMAR LÄN</t>
        </is>
      </c>
      <c r="E7389" t="inlineStr">
        <is>
          <t>HULTSFRED</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11478-2023</t>
        </is>
      </c>
      <c r="B7390" s="1" t="n">
        <v>44991</v>
      </c>
      <c r="C7390" s="1" t="n">
        <v>45715</v>
      </c>
      <c r="D7390" t="inlineStr">
        <is>
          <t>KALMAR LÄN</t>
        </is>
      </c>
      <c r="E7390" t="inlineStr">
        <is>
          <t>HÖGSBY</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11076-2023</t>
        </is>
      </c>
      <c r="B7391" s="1" t="n">
        <v>44992</v>
      </c>
      <c r="C7391" s="1" t="n">
        <v>45715</v>
      </c>
      <c r="D7391" t="inlineStr">
        <is>
          <t>KALMAR LÄN</t>
        </is>
      </c>
      <c r="E7391" t="inlineStr">
        <is>
          <t>VIMMERBY</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11073-2023</t>
        </is>
      </c>
      <c r="B7392" s="1" t="n">
        <v>44992</v>
      </c>
      <c r="C7392" s="1" t="n">
        <v>45715</v>
      </c>
      <c r="D7392" t="inlineStr">
        <is>
          <t>KALMAR LÄN</t>
        </is>
      </c>
      <c r="E7392" t="inlineStr">
        <is>
          <t>VIMMERBY</t>
        </is>
      </c>
      <c r="F7392" t="inlineStr">
        <is>
          <t>Sveaskog</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11147-2023</t>
        </is>
      </c>
      <c r="B7393" s="1" t="n">
        <v>44992</v>
      </c>
      <c r="C7393" s="1" t="n">
        <v>45715</v>
      </c>
      <c r="D7393" t="inlineStr">
        <is>
          <t>KALMAR LÄN</t>
        </is>
      </c>
      <c r="E7393" t="inlineStr">
        <is>
          <t>VIMMERBY</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11155-2023</t>
        </is>
      </c>
      <c r="B7394" s="1" t="n">
        <v>44992</v>
      </c>
      <c r="C7394" s="1" t="n">
        <v>45715</v>
      </c>
      <c r="D7394" t="inlineStr">
        <is>
          <t>KALMAR LÄN</t>
        </is>
      </c>
      <c r="E7394" t="inlineStr">
        <is>
          <t>NYBRO</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11196-2023</t>
        </is>
      </c>
      <c r="B7395" s="1" t="n">
        <v>44992</v>
      </c>
      <c r="C7395" s="1" t="n">
        <v>45715</v>
      </c>
      <c r="D7395" t="inlineStr">
        <is>
          <t>KALMAR LÄN</t>
        </is>
      </c>
      <c r="E7395" t="inlineStr">
        <is>
          <t>OSKARSHAMN</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11210-2023</t>
        </is>
      </c>
      <c r="B7396" s="1" t="n">
        <v>44992</v>
      </c>
      <c r="C7396" s="1" t="n">
        <v>45715</v>
      </c>
      <c r="D7396" t="inlineStr">
        <is>
          <t>KALMAR LÄN</t>
        </is>
      </c>
      <c r="E7396" t="inlineStr">
        <is>
          <t>VÄSTERVIK</t>
        </is>
      </c>
      <c r="F7396" t="inlineStr">
        <is>
          <t>Holmen skog AB</t>
        </is>
      </c>
      <c r="G7396" t="n">
        <v>9.699999999999999</v>
      </c>
      <c r="H7396" t="n">
        <v>0</v>
      </c>
      <c r="I7396" t="n">
        <v>0</v>
      </c>
      <c r="J7396" t="n">
        <v>0</v>
      </c>
      <c r="K7396" t="n">
        <v>0</v>
      </c>
      <c r="L7396" t="n">
        <v>0</v>
      </c>
      <c r="M7396" t="n">
        <v>0</v>
      </c>
      <c r="N7396" t="n">
        <v>0</v>
      </c>
      <c r="O7396" t="n">
        <v>0</v>
      </c>
      <c r="P7396" t="n">
        <v>0</v>
      </c>
      <c r="Q7396" t="n">
        <v>0</v>
      </c>
      <c r="R7396" s="2" t="inlineStr"/>
    </row>
    <row r="7397" ht="15" customHeight="1">
      <c r="A7397" t="inlineStr">
        <is>
          <t>A 11111-2023</t>
        </is>
      </c>
      <c r="B7397" s="1" t="n">
        <v>44992</v>
      </c>
      <c r="C7397" s="1" t="n">
        <v>45715</v>
      </c>
      <c r="D7397" t="inlineStr">
        <is>
          <t>KALMAR LÄN</t>
        </is>
      </c>
      <c r="E7397" t="inlineStr">
        <is>
          <t>VIMMERBY</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11152-2023</t>
        </is>
      </c>
      <c r="B7398" s="1" t="n">
        <v>44992</v>
      </c>
      <c r="C7398" s="1" t="n">
        <v>45715</v>
      </c>
      <c r="D7398" t="inlineStr">
        <is>
          <t>KALMAR LÄN</t>
        </is>
      </c>
      <c r="E7398" t="inlineStr">
        <is>
          <t>VIMMERBY</t>
        </is>
      </c>
      <c r="G7398" t="n">
        <v>10.6</v>
      </c>
      <c r="H7398" t="n">
        <v>0</v>
      </c>
      <c r="I7398" t="n">
        <v>0</v>
      </c>
      <c r="J7398" t="n">
        <v>0</v>
      </c>
      <c r="K7398" t="n">
        <v>0</v>
      </c>
      <c r="L7398" t="n">
        <v>0</v>
      </c>
      <c r="M7398" t="n">
        <v>0</v>
      </c>
      <c r="N7398" t="n">
        <v>0</v>
      </c>
      <c r="O7398" t="n">
        <v>0</v>
      </c>
      <c r="P7398" t="n">
        <v>0</v>
      </c>
      <c r="Q7398" t="n">
        <v>0</v>
      </c>
      <c r="R7398" s="2" t="inlineStr"/>
    </row>
    <row r="7399" ht="15" customHeight="1">
      <c r="A7399" t="inlineStr">
        <is>
          <t>A 11162-2023</t>
        </is>
      </c>
      <c r="B7399" s="1" t="n">
        <v>44992</v>
      </c>
      <c r="C7399" s="1" t="n">
        <v>45715</v>
      </c>
      <c r="D7399" t="inlineStr">
        <is>
          <t>KALMAR LÄN</t>
        </is>
      </c>
      <c r="E7399" t="inlineStr">
        <is>
          <t>TORSÅS</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11074-2023</t>
        </is>
      </c>
      <c r="B7400" s="1" t="n">
        <v>44992</v>
      </c>
      <c r="C7400" s="1" t="n">
        <v>45715</v>
      </c>
      <c r="D7400" t="inlineStr">
        <is>
          <t>KALMAR LÄN</t>
        </is>
      </c>
      <c r="E7400" t="inlineStr">
        <is>
          <t>VIMMERBY</t>
        </is>
      </c>
      <c r="F7400" t="inlineStr">
        <is>
          <t>Sveaskog</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11254-2023</t>
        </is>
      </c>
      <c r="B7401" s="1" t="n">
        <v>44992</v>
      </c>
      <c r="C7401" s="1" t="n">
        <v>45715</v>
      </c>
      <c r="D7401" t="inlineStr">
        <is>
          <t>KALMAR LÄN</t>
        </is>
      </c>
      <c r="E7401" t="inlineStr">
        <is>
          <t>EMMABODA</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11219-2023</t>
        </is>
      </c>
      <c r="B7402" s="1" t="n">
        <v>44992</v>
      </c>
      <c r="C7402" s="1" t="n">
        <v>45715</v>
      </c>
      <c r="D7402" t="inlineStr">
        <is>
          <t>KALMAR LÄN</t>
        </is>
      </c>
      <c r="E7402" t="inlineStr">
        <is>
          <t>VIMMERBY</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11232-2023</t>
        </is>
      </c>
      <c r="B7403" s="1" t="n">
        <v>44992</v>
      </c>
      <c r="C7403" s="1" t="n">
        <v>45715</v>
      </c>
      <c r="D7403" t="inlineStr">
        <is>
          <t>KALMAR LÄN</t>
        </is>
      </c>
      <c r="E7403" t="inlineStr">
        <is>
          <t>HULTSFRED</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11279-2023</t>
        </is>
      </c>
      <c r="B7404" s="1" t="n">
        <v>44992</v>
      </c>
      <c r="C7404" s="1" t="n">
        <v>45715</v>
      </c>
      <c r="D7404" t="inlineStr">
        <is>
          <t>KALMAR LÄN</t>
        </is>
      </c>
      <c r="E7404" t="inlineStr">
        <is>
          <t>OSKARSHAMN</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11276-2023</t>
        </is>
      </c>
      <c r="B7405" s="1" t="n">
        <v>44992</v>
      </c>
      <c r="C7405" s="1" t="n">
        <v>45715</v>
      </c>
      <c r="D7405" t="inlineStr">
        <is>
          <t>KALMAR LÄN</t>
        </is>
      </c>
      <c r="E7405" t="inlineStr">
        <is>
          <t>VÄSTERVIK</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11156-2023</t>
        </is>
      </c>
      <c r="B7406" s="1" t="n">
        <v>44992</v>
      </c>
      <c r="C7406" s="1" t="n">
        <v>45715</v>
      </c>
      <c r="D7406" t="inlineStr">
        <is>
          <t>KALMAR LÄN</t>
        </is>
      </c>
      <c r="E7406" t="inlineStr">
        <is>
          <t>NYBRO</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11235-2023</t>
        </is>
      </c>
      <c r="B7407" s="1" t="n">
        <v>44992</v>
      </c>
      <c r="C7407" s="1" t="n">
        <v>45715</v>
      </c>
      <c r="D7407" t="inlineStr">
        <is>
          <t>KALMAR LÄN</t>
        </is>
      </c>
      <c r="E7407" t="inlineStr">
        <is>
          <t>HULTSFRED</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11343-2023</t>
        </is>
      </c>
      <c r="B7408" s="1" t="n">
        <v>44993</v>
      </c>
      <c r="C7408" s="1" t="n">
        <v>45715</v>
      </c>
      <c r="D7408" t="inlineStr">
        <is>
          <t>KALMAR LÄN</t>
        </is>
      </c>
      <c r="E7408" t="inlineStr">
        <is>
          <t>HÖGSBY</t>
        </is>
      </c>
      <c r="F7408" t="inlineStr">
        <is>
          <t>Sveaskog</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11388-2023</t>
        </is>
      </c>
      <c r="B7409" s="1" t="n">
        <v>44993</v>
      </c>
      <c r="C7409" s="1" t="n">
        <v>45715</v>
      </c>
      <c r="D7409" t="inlineStr">
        <is>
          <t>KALMAR LÄN</t>
        </is>
      </c>
      <c r="E7409" t="inlineStr">
        <is>
          <t>KALMAR</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11433-2023</t>
        </is>
      </c>
      <c r="B7410" s="1" t="n">
        <v>44993</v>
      </c>
      <c r="C7410" s="1" t="n">
        <v>45715</v>
      </c>
      <c r="D7410" t="inlineStr">
        <is>
          <t>KALMAR LÄN</t>
        </is>
      </c>
      <c r="E7410" t="inlineStr">
        <is>
          <t>EMMABODA</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11487-2023</t>
        </is>
      </c>
      <c r="B7411" s="1" t="n">
        <v>44993</v>
      </c>
      <c r="C7411" s="1" t="n">
        <v>45715</v>
      </c>
      <c r="D7411" t="inlineStr">
        <is>
          <t>KALMAR LÄN</t>
        </is>
      </c>
      <c r="E7411" t="inlineStr">
        <is>
          <t>KALMAR</t>
        </is>
      </c>
      <c r="G7411" t="n">
        <v>5.8</v>
      </c>
      <c r="H7411" t="n">
        <v>0</v>
      </c>
      <c r="I7411" t="n">
        <v>0</v>
      </c>
      <c r="J7411" t="n">
        <v>0</v>
      </c>
      <c r="K7411" t="n">
        <v>0</v>
      </c>
      <c r="L7411" t="n">
        <v>0</v>
      </c>
      <c r="M7411" t="n">
        <v>0</v>
      </c>
      <c r="N7411" t="n">
        <v>0</v>
      </c>
      <c r="O7411" t="n">
        <v>0</v>
      </c>
      <c r="P7411" t="n">
        <v>0</v>
      </c>
      <c r="Q7411" t="n">
        <v>0</v>
      </c>
      <c r="R7411" s="2" t="inlineStr"/>
    </row>
    <row r="7412" ht="15" customHeight="1">
      <c r="A7412" t="inlineStr">
        <is>
          <t>A 11516-2023</t>
        </is>
      </c>
      <c r="B7412" s="1" t="n">
        <v>44993</v>
      </c>
      <c r="C7412" s="1" t="n">
        <v>45715</v>
      </c>
      <c r="D7412" t="inlineStr">
        <is>
          <t>KALMAR LÄN</t>
        </is>
      </c>
      <c r="E7412" t="inlineStr">
        <is>
          <t>KALMAR</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11537-2023</t>
        </is>
      </c>
      <c r="B7413" s="1" t="n">
        <v>44993</v>
      </c>
      <c r="C7413" s="1" t="n">
        <v>45715</v>
      </c>
      <c r="D7413" t="inlineStr">
        <is>
          <t>KALMAR LÄN</t>
        </is>
      </c>
      <c r="E7413" t="inlineStr">
        <is>
          <t>OSKARSHAMN</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11416-2023</t>
        </is>
      </c>
      <c r="B7414" s="1" t="n">
        <v>44993</v>
      </c>
      <c r="C7414" s="1" t="n">
        <v>45715</v>
      </c>
      <c r="D7414" t="inlineStr">
        <is>
          <t>KALMAR LÄN</t>
        </is>
      </c>
      <c r="E7414" t="inlineStr">
        <is>
          <t>VIMMERBY</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11434-2023</t>
        </is>
      </c>
      <c r="B7415" s="1" t="n">
        <v>44993</v>
      </c>
      <c r="C7415" s="1" t="n">
        <v>45715</v>
      </c>
      <c r="D7415" t="inlineStr">
        <is>
          <t>KALMAR LÄN</t>
        </is>
      </c>
      <c r="E7415" t="inlineStr">
        <is>
          <t>EMMABODA</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11538-2023</t>
        </is>
      </c>
      <c r="B7416" s="1" t="n">
        <v>44993</v>
      </c>
      <c r="C7416" s="1" t="n">
        <v>45715</v>
      </c>
      <c r="D7416" t="inlineStr">
        <is>
          <t>KALMAR LÄN</t>
        </is>
      </c>
      <c r="E7416" t="inlineStr">
        <is>
          <t>OSKARSHAMN</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11353-2023</t>
        </is>
      </c>
      <c r="B7417" s="1" t="n">
        <v>44993</v>
      </c>
      <c r="C7417" s="1" t="n">
        <v>45715</v>
      </c>
      <c r="D7417" t="inlineStr">
        <is>
          <t>KALMAR LÄN</t>
        </is>
      </c>
      <c r="E7417" t="inlineStr">
        <is>
          <t>TORSÅS</t>
        </is>
      </c>
      <c r="G7417" t="n">
        <v>9.1</v>
      </c>
      <c r="H7417" t="n">
        <v>0</v>
      </c>
      <c r="I7417" t="n">
        <v>0</v>
      </c>
      <c r="J7417" t="n">
        <v>0</v>
      </c>
      <c r="K7417" t="n">
        <v>0</v>
      </c>
      <c r="L7417" t="n">
        <v>0</v>
      </c>
      <c r="M7417" t="n">
        <v>0</v>
      </c>
      <c r="N7417" t="n">
        <v>0</v>
      </c>
      <c r="O7417" t="n">
        <v>0</v>
      </c>
      <c r="P7417" t="n">
        <v>0</v>
      </c>
      <c r="Q7417" t="n">
        <v>0</v>
      </c>
      <c r="R7417" s="2" t="inlineStr"/>
    </row>
    <row r="7418" ht="15" customHeight="1">
      <c r="A7418" t="inlineStr">
        <is>
          <t>A 11409-2023</t>
        </is>
      </c>
      <c r="B7418" s="1" t="n">
        <v>44993</v>
      </c>
      <c r="C7418" s="1" t="n">
        <v>45715</v>
      </c>
      <c r="D7418" t="inlineStr">
        <is>
          <t>KALMAR LÄN</t>
        </is>
      </c>
      <c r="E7418" t="inlineStr">
        <is>
          <t>KALMAR</t>
        </is>
      </c>
      <c r="G7418" t="n">
        <v>7.6</v>
      </c>
      <c r="H7418" t="n">
        <v>0</v>
      </c>
      <c r="I7418" t="n">
        <v>0</v>
      </c>
      <c r="J7418" t="n">
        <v>0</v>
      </c>
      <c r="K7418" t="n">
        <v>0</v>
      </c>
      <c r="L7418" t="n">
        <v>0</v>
      </c>
      <c r="M7418" t="n">
        <v>0</v>
      </c>
      <c r="N7418" t="n">
        <v>0</v>
      </c>
      <c r="O7418" t="n">
        <v>0</v>
      </c>
      <c r="P7418" t="n">
        <v>0</v>
      </c>
      <c r="Q7418" t="n">
        <v>0</v>
      </c>
      <c r="R7418" s="2" t="inlineStr"/>
    </row>
    <row r="7419" ht="15" customHeight="1">
      <c r="A7419" t="inlineStr">
        <is>
          <t>A 11417-2023</t>
        </is>
      </c>
      <c r="B7419" s="1" t="n">
        <v>44993</v>
      </c>
      <c r="C7419" s="1" t="n">
        <v>45715</v>
      </c>
      <c r="D7419" t="inlineStr">
        <is>
          <t>KALMAR LÄN</t>
        </is>
      </c>
      <c r="E7419" t="inlineStr">
        <is>
          <t>KALMAR</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11437-2023</t>
        </is>
      </c>
      <c r="B7420" s="1" t="n">
        <v>44993</v>
      </c>
      <c r="C7420" s="1" t="n">
        <v>45715</v>
      </c>
      <c r="D7420" t="inlineStr">
        <is>
          <t>KALMAR LÄN</t>
        </is>
      </c>
      <c r="E7420" t="inlineStr">
        <is>
          <t>EMMABODA</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11799-2023</t>
        </is>
      </c>
      <c r="B7421" s="1" t="n">
        <v>44993</v>
      </c>
      <c r="C7421" s="1" t="n">
        <v>45715</v>
      </c>
      <c r="D7421" t="inlineStr">
        <is>
          <t>KALMAR LÄN</t>
        </is>
      </c>
      <c r="E7421" t="inlineStr">
        <is>
          <t>OSKARSHAMN</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11926-2023</t>
        </is>
      </c>
      <c r="B7422" s="1" t="n">
        <v>44993</v>
      </c>
      <c r="C7422" s="1" t="n">
        <v>45715</v>
      </c>
      <c r="D7422" t="inlineStr">
        <is>
          <t>KALMAR LÄN</t>
        </is>
      </c>
      <c r="E7422" t="inlineStr">
        <is>
          <t>MÖNSTERÅS</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11577-2023</t>
        </is>
      </c>
      <c r="B7423" s="1" t="n">
        <v>44994</v>
      </c>
      <c r="C7423" s="1" t="n">
        <v>45715</v>
      </c>
      <c r="D7423" t="inlineStr">
        <is>
          <t>KALMAR LÄN</t>
        </is>
      </c>
      <c r="E7423" t="inlineStr">
        <is>
          <t>VÄSTERVIK</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11583-2023</t>
        </is>
      </c>
      <c r="B7424" s="1" t="n">
        <v>44994</v>
      </c>
      <c r="C7424" s="1" t="n">
        <v>45715</v>
      </c>
      <c r="D7424" t="inlineStr">
        <is>
          <t>KALMAR LÄN</t>
        </is>
      </c>
      <c r="E7424" t="inlineStr">
        <is>
          <t>VÄSTERVIK</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11656-2023</t>
        </is>
      </c>
      <c r="B7425" s="1" t="n">
        <v>44994</v>
      </c>
      <c r="C7425" s="1" t="n">
        <v>45715</v>
      </c>
      <c r="D7425" t="inlineStr">
        <is>
          <t>KALMAR LÄN</t>
        </is>
      </c>
      <c r="E7425" t="inlineStr">
        <is>
          <t>OSKARSHAMN</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11662-2023</t>
        </is>
      </c>
      <c r="B7426" s="1" t="n">
        <v>44994</v>
      </c>
      <c r="C7426" s="1" t="n">
        <v>45715</v>
      </c>
      <c r="D7426" t="inlineStr">
        <is>
          <t>KALMAR LÄN</t>
        </is>
      </c>
      <c r="E7426" t="inlineStr">
        <is>
          <t>OSKARSHAMN</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11579-2023</t>
        </is>
      </c>
      <c r="B7427" s="1" t="n">
        <v>44994</v>
      </c>
      <c r="C7427" s="1" t="n">
        <v>45715</v>
      </c>
      <c r="D7427" t="inlineStr">
        <is>
          <t>KALMAR LÄN</t>
        </is>
      </c>
      <c r="E7427" t="inlineStr">
        <is>
          <t>VÄSTERVIK</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11584-2023</t>
        </is>
      </c>
      <c r="B7428" s="1" t="n">
        <v>44994</v>
      </c>
      <c r="C7428" s="1" t="n">
        <v>45715</v>
      </c>
      <c r="D7428" t="inlineStr">
        <is>
          <t>KALMAR LÄN</t>
        </is>
      </c>
      <c r="E7428" t="inlineStr">
        <is>
          <t>VÄSTERVIK</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11581-2023</t>
        </is>
      </c>
      <c r="B7429" s="1" t="n">
        <v>44994</v>
      </c>
      <c r="C7429" s="1" t="n">
        <v>45715</v>
      </c>
      <c r="D7429" t="inlineStr">
        <is>
          <t>KALMAR LÄN</t>
        </is>
      </c>
      <c r="E7429" t="inlineStr">
        <is>
          <t>OSKARSHAMN</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11619-2023</t>
        </is>
      </c>
      <c r="B7430" s="1" t="n">
        <v>44994</v>
      </c>
      <c r="C7430" s="1" t="n">
        <v>45715</v>
      </c>
      <c r="D7430" t="inlineStr">
        <is>
          <t>KALMAR LÄN</t>
        </is>
      </c>
      <c r="E7430" t="inlineStr">
        <is>
          <t>VIMMERBY</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11648-2023</t>
        </is>
      </c>
      <c r="B7431" s="1" t="n">
        <v>44994</v>
      </c>
      <c r="C7431" s="1" t="n">
        <v>45715</v>
      </c>
      <c r="D7431" t="inlineStr">
        <is>
          <t>KALMAR LÄN</t>
        </is>
      </c>
      <c r="E7431" t="inlineStr">
        <is>
          <t>HULTSFRED</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11657-2023</t>
        </is>
      </c>
      <c r="B7432" s="1" t="n">
        <v>44994</v>
      </c>
      <c r="C7432" s="1" t="n">
        <v>45715</v>
      </c>
      <c r="D7432" t="inlineStr">
        <is>
          <t>KALMAR LÄN</t>
        </is>
      </c>
      <c r="E7432" t="inlineStr">
        <is>
          <t>OSKARSHAMN</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11665-2023</t>
        </is>
      </c>
      <c r="B7433" s="1" t="n">
        <v>44994</v>
      </c>
      <c r="C7433" s="1" t="n">
        <v>45715</v>
      </c>
      <c r="D7433" t="inlineStr">
        <is>
          <t>KALMAR LÄN</t>
        </is>
      </c>
      <c r="E7433" t="inlineStr">
        <is>
          <t>OSKARSHAMN</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11609-2023</t>
        </is>
      </c>
      <c r="B7434" s="1" t="n">
        <v>44994</v>
      </c>
      <c r="C7434" s="1" t="n">
        <v>45715</v>
      </c>
      <c r="D7434" t="inlineStr">
        <is>
          <t>KALMAR LÄN</t>
        </is>
      </c>
      <c r="E7434" t="inlineStr">
        <is>
          <t>VIMMERBY</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11586-2023</t>
        </is>
      </c>
      <c r="B7435" s="1" t="n">
        <v>44994</v>
      </c>
      <c r="C7435" s="1" t="n">
        <v>45715</v>
      </c>
      <c r="D7435" t="inlineStr">
        <is>
          <t>KALMAR LÄN</t>
        </is>
      </c>
      <c r="E7435" t="inlineStr">
        <is>
          <t>VÄSTERVIK</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11661-2023</t>
        </is>
      </c>
      <c r="B7436" s="1" t="n">
        <v>44994</v>
      </c>
      <c r="C7436" s="1" t="n">
        <v>45715</v>
      </c>
      <c r="D7436" t="inlineStr">
        <is>
          <t>KALMAR LÄN</t>
        </is>
      </c>
      <c r="E7436" t="inlineStr">
        <is>
          <t>VIMMERBY</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11710-2023</t>
        </is>
      </c>
      <c r="B7437" s="1" t="n">
        <v>44994</v>
      </c>
      <c r="C7437" s="1" t="n">
        <v>45715</v>
      </c>
      <c r="D7437" t="inlineStr">
        <is>
          <t>KALMAR LÄN</t>
        </is>
      </c>
      <c r="E7437" t="inlineStr">
        <is>
          <t>HULTSFRED</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11804-2023</t>
        </is>
      </c>
      <c r="B7438" s="1" t="n">
        <v>44994</v>
      </c>
      <c r="C7438" s="1" t="n">
        <v>45715</v>
      </c>
      <c r="D7438" t="inlineStr">
        <is>
          <t>KALMAR LÄN</t>
        </is>
      </c>
      <c r="E7438" t="inlineStr">
        <is>
          <t>VÄSTERVIK</t>
        </is>
      </c>
      <c r="F7438" t="inlineStr">
        <is>
          <t>Sveaskog</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11706-2023</t>
        </is>
      </c>
      <c r="B7439" s="1" t="n">
        <v>44994</v>
      </c>
      <c r="C7439" s="1" t="n">
        <v>45715</v>
      </c>
      <c r="D7439" t="inlineStr">
        <is>
          <t>KALMAR LÄN</t>
        </is>
      </c>
      <c r="E7439" t="inlineStr">
        <is>
          <t>HULTSFRED</t>
        </is>
      </c>
      <c r="G7439" t="n">
        <v>8.199999999999999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11727-2023</t>
        </is>
      </c>
      <c r="B7440" s="1" t="n">
        <v>44994</v>
      </c>
      <c r="C7440" s="1" t="n">
        <v>45715</v>
      </c>
      <c r="D7440" t="inlineStr">
        <is>
          <t>KALMAR LÄN</t>
        </is>
      </c>
      <c r="E7440" t="inlineStr">
        <is>
          <t>VÄSTERVIK</t>
        </is>
      </c>
      <c r="F7440" t="inlineStr">
        <is>
          <t>Sveaskog</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11732-2023</t>
        </is>
      </c>
      <c r="B7441" s="1" t="n">
        <v>44994</v>
      </c>
      <c r="C7441" s="1" t="n">
        <v>45715</v>
      </c>
      <c r="D7441" t="inlineStr">
        <is>
          <t>KALMAR LÄN</t>
        </is>
      </c>
      <c r="E7441" t="inlineStr">
        <is>
          <t>KALMAR</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11741-2023</t>
        </is>
      </c>
      <c r="B7442" s="1" t="n">
        <v>44994</v>
      </c>
      <c r="C7442" s="1" t="n">
        <v>45715</v>
      </c>
      <c r="D7442" t="inlineStr">
        <is>
          <t>KALMAR LÄN</t>
        </is>
      </c>
      <c r="E7442" t="inlineStr">
        <is>
          <t>VÄSTERVIK</t>
        </is>
      </c>
      <c r="F7442" t="inlineStr">
        <is>
          <t>Sveaskog</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11735-2023</t>
        </is>
      </c>
      <c r="B7443" s="1" t="n">
        <v>44994</v>
      </c>
      <c r="C7443" s="1" t="n">
        <v>45715</v>
      </c>
      <c r="D7443" t="inlineStr">
        <is>
          <t>KALMAR LÄN</t>
        </is>
      </c>
      <c r="E7443" t="inlineStr">
        <is>
          <t>KALMAR</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11812-2023</t>
        </is>
      </c>
      <c r="B7444" s="1" t="n">
        <v>44994</v>
      </c>
      <c r="C7444" s="1" t="n">
        <v>45715</v>
      </c>
      <c r="D7444" t="inlineStr">
        <is>
          <t>KALMAR LÄN</t>
        </is>
      </c>
      <c r="E7444" t="inlineStr">
        <is>
          <t>KALMAR</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11703-2023</t>
        </is>
      </c>
      <c r="B7445" s="1" t="n">
        <v>44994</v>
      </c>
      <c r="C7445" s="1" t="n">
        <v>45715</v>
      </c>
      <c r="D7445" t="inlineStr">
        <is>
          <t>KALMAR LÄN</t>
        </is>
      </c>
      <c r="E7445" t="inlineStr">
        <is>
          <t>HULTSFRED</t>
        </is>
      </c>
      <c r="G7445" t="n">
        <v>6.2</v>
      </c>
      <c r="H7445" t="n">
        <v>0</v>
      </c>
      <c r="I7445" t="n">
        <v>0</v>
      </c>
      <c r="J7445" t="n">
        <v>0</v>
      </c>
      <c r="K7445" t="n">
        <v>0</v>
      </c>
      <c r="L7445" t="n">
        <v>0</v>
      </c>
      <c r="M7445" t="n">
        <v>0</v>
      </c>
      <c r="N7445" t="n">
        <v>0</v>
      </c>
      <c r="O7445" t="n">
        <v>0</v>
      </c>
      <c r="P7445" t="n">
        <v>0</v>
      </c>
      <c r="Q7445" t="n">
        <v>0</v>
      </c>
      <c r="R7445" s="2" t="inlineStr"/>
    </row>
    <row r="7446" ht="15" customHeight="1">
      <c r="A7446" t="inlineStr">
        <is>
          <t>A 11730-2023</t>
        </is>
      </c>
      <c r="B7446" s="1" t="n">
        <v>44994</v>
      </c>
      <c r="C7446" s="1" t="n">
        <v>45715</v>
      </c>
      <c r="D7446" t="inlineStr">
        <is>
          <t>KALMAR LÄN</t>
        </is>
      </c>
      <c r="E7446" t="inlineStr">
        <is>
          <t>VÄSTERVIK</t>
        </is>
      </c>
      <c r="F7446" t="inlineStr">
        <is>
          <t>Sveaskog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11947-2023</t>
        </is>
      </c>
      <c r="B7447" s="1" t="n">
        <v>44995</v>
      </c>
      <c r="C7447" s="1" t="n">
        <v>45715</v>
      </c>
      <c r="D7447" t="inlineStr">
        <is>
          <t>KALMAR LÄN</t>
        </is>
      </c>
      <c r="E7447" t="inlineStr">
        <is>
          <t>OSKARSHAMN</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11975-2023</t>
        </is>
      </c>
      <c r="B7448" s="1" t="n">
        <v>44995</v>
      </c>
      <c r="C7448" s="1" t="n">
        <v>45715</v>
      </c>
      <c r="D7448" t="inlineStr">
        <is>
          <t>KALMAR LÄN</t>
        </is>
      </c>
      <c r="E7448" t="inlineStr">
        <is>
          <t>EMMABODA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12008-2023</t>
        </is>
      </c>
      <c r="B7449" s="1" t="n">
        <v>44995</v>
      </c>
      <c r="C7449" s="1" t="n">
        <v>45715</v>
      </c>
      <c r="D7449" t="inlineStr">
        <is>
          <t>KALMAR LÄN</t>
        </is>
      </c>
      <c r="E7449" t="inlineStr">
        <is>
          <t>VIMMERBY</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11928-2023</t>
        </is>
      </c>
      <c r="B7450" s="1" t="n">
        <v>44995</v>
      </c>
      <c r="C7450" s="1" t="n">
        <v>45715</v>
      </c>
      <c r="D7450" t="inlineStr">
        <is>
          <t>KALMAR LÄN</t>
        </is>
      </c>
      <c r="E7450" t="inlineStr">
        <is>
          <t>OSKARSHAMN</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11933-2023</t>
        </is>
      </c>
      <c r="B7451" s="1" t="n">
        <v>44995</v>
      </c>
      <c r="C7451" s="1" t="n">
        <v>45715</v>
      </c>
      <c r="D7451" t="inlineStr">
        <is>
          <t>KALMAR LÄN</t>
        </is>
      </c>
      <c r="E7451" t="inlineStr">
        <is>
          <t>OSKARSHAMN</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11938-2023</t>
        </is>
      </c>
      <c r="B7452" s="1" t="n">
        <v>44995</v>
      </c>
      <c r="C7452" s="1" t="n">
        <v>45715</v>
      </c>
      <c r="D7452" t="inlineStr">
        <is>
          <t>KALMAR LÄN</t>
        </is>
      </c>
      <c r="E7452" t="inlineStr">
        <is>
          <t>HULTSFRED</t>
        </is>
      </c>
      <c r="G7452" t="n">
        <v>4.5</v>
      </c>
      <c r="H7452" t="n">
        <v>0</v>
      </c>
      <c r="I7452" t="n">
        <v>0</v>
      </c>
      <c r="J7452" t="n">
        <v>0</v>
      </c>
      <c r="K7452" t="n">
        <v>0</v>
      </c>
      <c r="L7452" t="n">
        <v>0</v>
      </c>
      <c r="M7452" t="n">
        <v>0</v>
      </c>
      <c r="N7452" t="n">
        <v>0</v>
      </c>
      <c r="O7452" t="n">
        <v>0</v>
      </c>
      <c r="P7452" t="n">
        <v>0</v>
      </c>
      <c r="Q7452" t="n">
        <v>0</v>
      </c>
      <c r="R7452" s="2" t="inlineStr"/>
    </row>
    <row r="7453" ht="15" customHeight="1">
      <c r="A7453" t="inlineStr">
        <is>
          <t>A 11999-2023</t>
        </is>
      </c>
      <c r="B7453" s="1" t="n">
        <v>44995</v>
      </c>
      <c r="C7453" s="1" t="n">
        <v>45715</v>
      </c>
      <c r="D7453" t="inlineStr">
        <is>
          <t>KALMAR LÄN</t>
        </is>
      </c>
      <c r="E7453" t="inlineStr">
        <is>
          <t>VIMMERBY</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12012-2023</t>
        </is>
      </c>
      <c r="B7454" s="1" t="n">
        <v>44995</v>
      </c>
      <c r="C7454" s="1" t="n">
        <v>45715</v>
      </c>
      <c r="D7454" t="inlineStr">
        <is>
          <t>KALMAR LÄN</t>
        </is>
      </c>
      <c r="E7454" t="inlineStr">
        <is>
          <t>VIMMERBY</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12014-2023</t>
        </is>
      </c>
      <c r="B7455" s="1" t="n">
        <v>44995</v>
      </c>
      <c r="C7455" s="1" t="n">
        <v>45715</v>
      </c>
      <c r="D7455" t="inlineStr">
        <is>
          <t>KALMAR LÄN</t>
        </is>
      </c>
      <c r="E7455" t="inlineStr">
        <is>
          <t>EMMABODA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11954-2023</t>
        </is>
      </c>
      <c r="B7456" s="1" t="n">
        <v>44995</v>
      </c>
      <c r="C7456" s="1" t="n">
        <v>45715</v>
      </c>
      <c r="D7456" t="inlineStr">
        <is>
          <t>KALMAR LÄN</t>
        </is>
      </c>
      <c r="E7456" t="inlineStr">
        <is>
          <t>OSKARSHAMN</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11966-2023</t>
        </is>
      </c>
      <c r="B7457" s="1" t="n">
        <v>44995</v>
      </c>
      <c r="C7457" s="1" t="n">
        <v>45715</v>
      </c>
      <c r="D7457" t="inlineStr">
        <is>
          <t>KALMAR LÄN</t>
        </is>
      </c>
      <c r="E7457" t="inlineStr">
        <is>
          <t>OSKARSHAMN</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12010-2023</t>
        </is>
      </c>
      <c r="B7458" s="1" t="n">
        <v>44995</v>
      </c>
      <c r="C7458" s="1" t="n">
        <v>45715</v>
      </c>
      <c r="D7458" t="inlineStr">
        <is>
          <t>KALMAR LÄN</t>
        </is>
      </c>
      <c r="E7458" t="inlineStr">
        <is>
          <t>VIMMERBY</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12085-2023</t>
        </is>
      </c>
      <c r="B7459" s="1" t="n">
        <v>44997</v>
      </c>
      <c r="C7459" s="1" t="n">
        <v>45715</v>
      </c>
      <c r="D7459" t="inlineStr">
        <is>
          <t>KALMAR LÄN</t>
        </is>
      </c>
      <c r="E7459" t="inlineStr">
        <is>
          <t>EMMABODA</t>
        </is>
      </c>
      <c r="G7459" t="n">
        <v>12.1</v>
      </c>
      <c r="H7459" t="n">
        <v>0</v>
      </c>
      <c r="I7459" t="n">
        <v>0</v>
      </c>
      <c r="J7459" t="n">
        <v>0</v>
      </c>
      <c r="K7459" t="n">
        <v>0</v>
      </c>
      <c r="L7459" t="n">
        <v>0</v>
      </c>
      <c r="M7459" t="n">
        <v>0</v>
      </c>
      <c r="N7459" t="n">
        <v>0</v>
      </c>
      <c r="O7459" t="n">
        <v>0</v>
      </c>
      <c r="P7459" t="n">
        <v>0</v>
      </c>
      <c r="Q7459" t="n">
        <v>0</v>
      </c>
      <c r="R7459" s="2" t="inlineStr"/>
    </row>
    <row r="7460" ht="15" customHeight="1">
      <c r="A7460" t="inlineStr">
        <is>
          <t>A 12152-2023</t>
        </is>
      </c>
      <c r="B7460" s="1" t="n">
        <v>44998</v>
      </c>
      <c r="C7460" s="1" t="n">
        <v>45715</v>
      </c>
      <c r="D7460" t="inlineStr">
        <is>
          <t>KALMAR LÄN</t>
        </is>
      </c>
      <c r="E7460" t="inlineStr">
        <is>
          <t>TORSÅS</t>
        </is>
      </c>
      <c r="G7460" t="n">
        <v>9.199999999999999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12157-2023</t>
        </is>
      </c>
      <c r="B7461" s="1" t="n">
        <v>44998</v>
      </c>
      <c r="C7461" s="1" t="n">
        <v>45715</v>
      </c>
      <c r="D7461" t="inlineStr">
        <is>
          <t>KALMAR LÄN</t>
        </is>
      </c>
      <c r="E7461" t="inlineStr">
        <is>
          <t>TORSÅS</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12166-2023</t>
        </is>
      </c>
      <c r="B7462" s="1" t="n">
        <v>44998</v>
      </c>
      <c r="C7462" s="1" t="n">
        <v>45715</v>
      </c>
      <c r="D7462" t="inlineStr">
        <is>
          <t>KALMAR LÄN</t>
        </is>
      </c>
      <c r="E7462" t="inlineStr">
        <is>
          <t>HULTSFRED</t>
        </is>
      </c>
      <c r="F7462" t="inlineStr">
        <is>
          <t>Övriga Aktiebolag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12159-2023</t>
        </is>
      </c>
      <c r="B7463" s="1" t="n">
        <v>44998</v>
      </c>
      <c r="C7463" s="1" t="n">
        <v>45715</v>
      </c>
      <c r="D7463" t="inlineStr">
        <is>
          <t>KALMAR LÄN</t>
        </is>
      </c>
      <c r="E7463" t="inlineStr">
        <is>
          <t>TORSÅS</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12163-2023</t>
        </is>
      </c>
      <c r="B7464" s="1" t="n">
        <v>44998</v>
      </c>
      <c r="C7464" s="1" t="n">
        <v>45715</v>
      </c>
      <c r="D7464" t="inlineStr">
        <is>
          <t>KALMAR LÄN</t>
        </is>
      </c>
      <c r="E7464" t="inlineStr">
        <is>
          <t>TORSÅS</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12325-2023</t>
        </is>
      </c>
      <c r="B7465" s="1" t="n">
        <v>44999</v>
      </c>
      <c r="C7465" s="1" t="n">
        <v>45715</v>
      </c>
      <c r="D7465" t="inlineStr">
        <is>
          <t>KALMAR LÄN</t>
        </is>
      </c>
      <c r="E7465" t="inlineStr">
        <is>
          <t>VIMMERBY</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12390-2023</t>
        </is>
      </c>
      <c r="B7466" s="1" t="n">
        <v>44999</v>
      </c>
      <c r="C7466" s="1" t="n">
        <v>45715</v>
      </c>
      <c r="D7466" t="inlineStr">
        <is>
          <t>KALMAR LÄN</t>
        </is>
      </c>
      <c r="E7466" t="inlineStr">
        <is>
          <t>HULTSFRED</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12394-2023</t>
        </is>
      </c>
      <c r="B7467" s="1" t="n">
        <v>44999</v>
      </c>
      <c r="C7467" s="1" t="n">
        <v>45715</v>
      </c>
      <c r="D7467" t="inlineStr">
        <is>
          <t>KALMAR LÄN</t>
        </is>
      </c>
      <c r="E7467" t="inlineStr">
        <is>
          <t>HULTSFRED</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12407-2023</t>
        </is>
      </c>
      <c r="B7468" s="1" t="n">
        <v>44999</v>
      </c>
      <c r="C7468" s="1" t="n">
        <v>45715</v>
      </c>
      <c r="D7468" t="inlineStr">
        <is>
          <t>KALMAR LÄN</t>
        </is>
      </c>
      <c r="E7468" t="inlineStr">
        <is>
          <t>NYBRO</t>
        </is>
      </c>
      <c r="G7468" t="n">
        <v>16.5</v>
      </c>
      <c r="H7468" t="n">
        <v>0</v>
      </c>
      <c r="I7468" t="n">
        <v>0</v>
      </c>
      <c r="J7468" t="n">
        <v>0</v>
      </c>
      <c r="K7468" t="n">
        <v>0</v>
      </c>
      <c r="L7468" t="n">
        <v>0</v>
      </c>
      <c r="M7468" t="n">
        <v>0</v>
      </c>
      <c r="N7468" t="n">
        <v>0</v>
      </c>
      <c r="O7468" t="n">
        <v>0</v>
      </c>
      <c r="P7468" t="n">
        <v>0</v>
      </c>
      <c r="Q7468" t="n">
        <v>0</v>
      </c>
      <c r="R7468" s="2" t="inlineStr"/>
    </row>
    <row r="7469" ht="15" customHeight="1">
      <c r="A7469" t="inlineStr">
        <is>
          <t>A 12328-2023</t>
        </is>
      </c>
      <c r="B7469" s="1" t="n">
        <v>44999</v>
      </c>
      <c r="C7469" s="1" t="n">
        <v>45715</v>
      </c>
      <c r="D7469" t="inlineStr">
        <is>
          <t>KALMAR LÄN</t>
        </is>
      </c>
      <c r="E7469" t="inlineStr">
        <is>
          <t>HULTSFRED</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12335-2023</t>
        </is>
      </c>
      <c r="B7470" s="1" t="n">
        <v>44999</v>
      </c>
      <c r="C7470" s="1" t="n">
        <v>45715</v>
      </c>
      <c r="D7470" t="inlineStr">
        <is>
          <t>KALMAR LÄN</t>
        </is>
      </c>
      <c r="E7470" t="inlineStr">
        <is>
          <t>HULTSFRED</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12396-2023</t>
        </is>
      </c>
      <c r="B7471" s="1" t="n">
        <v>44999</v>
      </c>
      <c r="C7471" s="1" t="n">
        <v>45715</v>
      </c>
      <c r="D7471" t="inlineStr">
        <is>
          <t>KALMAR LÄN</t>
        </is>
      </c>
      <c r="E7471" t="inlineStr">
        <is>
          <t>HÖGSBY</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12327-2023</t>
        </is>
      </c>
      <c r="B7472" s="1" t="n">
        <v>44999</v>
      </c>
      <c r="C7472" s="1" t="n">
        <v>45715</v>
      </c>
      <c r="D7472" t="inlineStr">
        <is>
          <t>KALMAR LÄN</t>
        </is>
      </c>
      <c r="E7472" t="inlineStr">
        <is>
          <t>VIMMERBY</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12445-2023</t>
        </is>
      </c>
      <c r="B7473" s="1" t="n">
        <v>44999</v>
      </c>
      <c r="C7473" s="1" t="n">
        <v>45715</v>
      </c>
      <c r="D7473" t="inlineStr">
        <is>
          <t>KALMAR LÄN</t>
        </is>
      </c>
      <c r="E7473" t="inlineStr">
        <is>
          <t>TORSÅS</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12499-2023</t>
        </is>
      </c>
      <c r="B7474" s="1" t="n">
        <v>44999</v>
      </c>
      <c r="C7474" s="1" t="n">
        <v>45715</v>
      </c>
      <c r="D7474" t="inlineStr">
        <is>
          <t>KALMAR LÄN</t>
        </is>
      </c>
      <c r="E7474" t="inlineStr">
        <is>
          <t>VIMMERBY</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12504-2023</t>
        </is>
      </c>
      <c r="B7475" s="1" t="n">
        <v>44999</v>
      </c>
      <c r="C7475" s="1" t="n">
        <v>45715</v>
      </c>
      <c r="D7475" t="inlineStr">
        <is>
          <t>KALMAR LÄN</t>
        </is>
      </c>
      <c r="E7475" t="inlineStr">
        <is>
          <t>VÄSTERVIK</t>
        </is>
      </c>
      <c r="F7475" t="inlineStr">
        <is>
          <t>Holmen skog AB</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12410-2023</t>
        </is>
      </c>
      <c r="B7476" s="1" t="n">
        <v>44999</v>
      </c>
      <c r="C7476" s="1" t="n">
        <v>45715</v>
      </c>
      <c r="D7476" t="inlineStr">
        <is>
          <t>KALMAR LÄN</t>
        </is>
      </c>
      <c r="E7476" t="inlineStr">
        <is>
          <t>NYBRO</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12500-2023</t>
        </is>
      </c>
      <c r="B7477" s="1" t="n">
        <v>44999</v>
      </c>
      <c r="C7477" s="1" t="n">
        <v>45715</v>
      </c>
      <c r="D7477" t="inlineStr">
        <is>
          <t>KALMAR LÄN</t>
        </is>
      </c>
      <c r="E7477" t="inlineStr">
        <is>
          <t>VIMMERBY</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12630-2023</t>
        </is>
      </c>
      <c r="B7478" s="1" t="n">
        <v>45000</v>
      </c>
      <c r="C7478" s="1" t="n">
        <v>45715</v>
      </c>
      <c r="D7478" t="inlineStr">
        <is>
          <t>KALMAR LÄN</t>
        </is>
      </c>
      <c r="E7478" t="inlineStr">
        <is>
          <t>VIMMERBY</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12553-2023</t>
        </is>
      </c>
      <c r="B7479" s="1" t="n">
        <v>45000</v>
      </c>
      <c r="C7479" s="1" t="n">
        <v>45715</v>
      </c>
      <c r="D7479" t="inlineStr">
        <is>
          <t>KALMAR LÄN</t>
        </is>
      </c>
      <c r="E7479" t="inlineStr">
        <is>
          <t>TORSÅS</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12595-2023</t>
        </is>
      </c>
      <c r="B7480" s="1" t="n">
        <v>45000</v>
      </c>
      <c r="C7480" s="1" t="n">
        <v>45715</v>
      </c>
      <c r="D7480" t="inlineStr">
        <is>
          <t>KALMAR LÄN</t>
        </is>
      </c>
      <c r="E7480" t="inlineStr">
        <is>
          <t>VÄSTERVIK</t>
        </is>
      </c>
      <c r="F7480" t="inlineStr">
        <is>
          <t>Holmen skog AB</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12692-2023</t>
        </is>
      </c>
      <c r="B7481" s="1" t="n">
        <v>45000</v>
      </c>
      <c r="C7481" s="1" t="n">
        <v>45715</v>
      </c>
      <c r="D7481" t="inlineStr">
        <is>
          <t>KALMAR LÄN</t>
        </is>
      </c>
      <c r="E7481" t="inlineStr">
        <is>
          <t>VIMMERBY</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12810-2023</t>
        </is>
      </c>
      <c r="B7482" s="1" t="n">
        <v>45001</v>
      </c>
      <c r="C7482" s="1" t="n">
        <v>45715</v>
      </c>
      <c r="D7482" t="inlineStr">
        <is>
          <t>KALMAR LÄN</t>
        </is>
      </c>
      <c r="E7482" t="inlineStr">
        <is>
          <t>VIMMERBY</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12873-2023</t>
        </is>
      </c>
      <c r="B7483" s="1" t="n">
        <v>45001</v>
      </c>
      <c r="C7483" s="1" t="n">
        <v>45715</v>
      </c>
      <c r="D7483" t="inlineStr">
        <is>
          <t>KALMAR LÄN</t>
        </is>
      </c>
      <c r="E7483" t="inlineStr">
        <is>
          <t>KALMAR</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12878-2023</t>
        </is>
      </c>
      <c r="B7484" s="1" t="n">
        <v>45001</v>
      </c>
      <c r="C7484" s="1" t="n">
        <v>45715</v>
      </c>
      <c r="D7484" t="inlineStr">
        <is>
          <t>KALMAR LÄN</t>
        </is>
      </c>
      <c r="E7484" t="inlineStr">
        <is>
          <t>KALMAR</t>
        </is>
      </c>
      <c r="G7484" t="n">
        <v>1.6</v>
      </c>
      <c r="H7484" t="n">
        <v>0</v>
      </c>
      <c r="I7484" t="n">
        <v>0</v>
      </c>
      <c r="J7484" t="n">
        <v>0</v>
      </c>
      <c r="K7484" t="n">
        <v>0</v>
      </c>
      <c r="L7484" t="n">
        <v>0</v>
      </c>
      <c r="M7484" t="n">
        <v>0</v>
      </c>
      <c r="N7484" t="n">
        <v>0</v>
      </c>
      <c r="O7484" t="n">
        <v>0</v>
      </c>
      <c r="P7484" t="n">
        <v>0</v>
      </c>
      <c r="Q7484" t="n">
        <v>0</v>
      </c>
      <c r="R7484" s="2" t="inlineStr"/>
      <c r="U7484">
        <f>HYPERLINK("https://klasma.github.io/Logging_0880/knärot/A 12878-2023 karta knärot.png", "A 12878-2023")</f>
        <v/>
      </c>
      <c r="V7484">
        <f>HYPERLINK("https://klasma.github.io/Logging_0880/klagomål/A 12878-2023 FSC-klagomål.docx", "A 12878-2023")</f>
        <v/>
      </c>
      <c r="W7484">
        <f>HYPERLINK("https://klasma.github.io/Logging_0880/klagomålsmail/A 12878-2023 FSC-klagomål mail.docx", "A 12878-2023")</f>
        <v/>
      </c>
      <c r="X7484">
        <f>HYPERLINK("https://klasma.github.io/Logging_0880/tillsyn/A 12878-2023 tillsynsbegäran.docx", "A 12878-2023")</f>
        <v/>
      </c>
      <c r="Y7484">
        <f>HYPERLINK("https://klasma.github.io/Logging_0880/tillsynsmail/A 12878-2023 tillsynsbegäran mail.docx", "A 12878-2023")</f>
        <v/>
      </c>
    </row>
    <row r="7485" ht="15" customHeight="1">
      <c r="A7485" t="inlineStr">
        <is>
          <t>A 12757-2023</t>
        </is>
      </c>
      <c r="B7485" s="1" t="n">
        <v>45001</v>
      </c>
      <c r="C7485" s="1" t="n">
        <v>45715</v>
      </c>
      <c r="D7485" t="inlineStr">
        <is>
          <t>KALMAR LÄN</t>
        </is>
      </c>
      <c r="E7485" t="inlineStr">
        <is>
          <t>HÖGSBY</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12781-2023</t>
        </is>
      </c>
      <c r="B7486" s="1" t="n">
        <v>45001</v>
      </c>
      <c r="C7486" s="1" t="n">
        <v>45715</v>
      </c>
      <c r="D7486" t="inlineStr">
        <is>
          <t>KALMAR LÄN</t>
        </is>
      </c>
      <c r="E7486" t="inlineStr">
        <is>
          <t>HÖGSBY</t>
        </is>
      </c>
      <c r="F7486" t="inlineStr">
        <is>
          <t>Kommuner</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12809-2023</t>
        </is>
      </c>
      <c r="B7487" s="1" t="n">
        <v>45001</v>
      </c>
      <c r="C7487" s="1" t="n">
        <v>45715</v>
      </c>
      <c r="D7487" t="inlineStr">
        <is>
          <t>KALMAR LÄN</t>
        </is>
      </c>
      <c r="E7487" t="inlineStr">
        <is>
          <t>KALMAR</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12863-2023</t>
        </is>
      </c>
      <c r="B7488" s="1" t="n">
        <v>45001</v>
      </c>
      <c r="C7488" s="1" t="n">
        <v>45715</v>
      </c>
      <c r="D7488" t="inlineStr">
        <is>
          <t>KALMAR LÄN</t>
        </is>
      </c>
      <c r="E7488" t="inlineStr">
        <is>
          <t>NYBRO</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12871-2023</t>
        </is>
      </c>
      <c r="B7489" s="1" t="n">
        <v>45001</v>
      </c>
      <c r="C7489" s="1" t="n">
        <v>45715</v>
      </c>
      <c r="D7489" t="inlineStr">
        <is>
          <t>KALMAR LÄN</t>
        </is>
      </c>
      <c r="E7489" t="inlineStr">
        <is>
          <t>KALMAR</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12876-2023</t>
        </is>
      </c>
      <c r="B7490" s="1" t="n">
        <v>45001</v>
      </c>
      <c r="C7490" s="1" t="n">
        <v>45715</v>
      </c>
      <c r="D7490" t="inlineStr">
        <is>
          <t>KALMAR LÄN</t>
        </is>
      </c>
      <c r="E7490" t="inlineStr">
        <is>
          <t>KALMAR</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12879-2023</t>
        </is>
      </c>
      <c r="B7491" s="1" t="n">
        <v>45001</v>
      </c>
      <c r="C7491" s="1" t="n">
        <v>45715</v>
      </c>
      <c r="D7491" t="inlineStr">
        <is>
          <t>KALMAR LÄN</t>
        </is>
      </c>
      <c r="E7491" t="inlineStr">
        <is>
          <t>KALMAR</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12890-2023</t>
        </is>
      </c>
      <c r="B7492" s="1" t="n">
        <v>45001</v>
      </c>
      <c r="C7492" s="1" t="n">
        <v>45715</v>
      </c>
      <c r="D7492" t="inlineStr">
        <is>
          <t>KALMAR LÄN</t>
        </is>
      </c>
      <c r="E7492" t="inlineStr">
        <is>
          <t>VIMMERBY</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12925-2023</t>
        </is>
      </c>
      <c r="B7493" s="1" t="n">
        <v>45001</v>
      </c>
      <c r="C7493" s="1" t="n">
        <v>45715</v>
      </c>
      <c r="D7493" t="inlineStr">
        <is>
          <t>KALMAR LÄN</t>
        </is>
      </c>
      <c r="E7493" t="inlineStr">
        <is>
          <t>KALMAR</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12915-2023</t>
        </is>
      </c>
      <c r="B7494" s="1" t="n">
        <v>45001</v>
      </c>
      <c r="C7494" s="1" t="n">
        <v>45715</v>
      </c>
      <c r="D7494" t="inlineStr">
        <is>
          <t>KALMAR LÄN</t>
        </is>
      </c>
      <c r="E7494" t="inlineStr">
        <is>
          <t>TORSÅS</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12951-2023</t>
        </is>
      </c>
      <c r="B7495" s="1" t="n">
        <v>45001</v>
      </c>
      <c r="C7495" s="1" t="n">
        <v>45715</v>
      </c>
      <c r="D7495" t="inlineStr">
        <is>
          <t>KALMAR LÄN</t>
        </is>
      </c>
      <c r="E7495" t="inlineStr">
        <is>
          <t>TORSÅS</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12956-2023</t>
        </is>
      </c>
      <c r="B7496" s="1" t="n">
        <v>45001</v>
      </c>
      <c r="C7496" s="1" t="n">
        <v>45715</v>
      </c>
      <c r="D7496" t="inlineStr">
        <is>
          <t>KALMAR LÄN</t>
        </is>
      </c>
      <c r="E7496" t="inlineStr">
        <is>
          <t>TORSÅS</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12913-2023</t>
        </is>
      </c>
      <c r="B7497" s="1" t="n">
        <v>45001</v>
      </c>
      <c r="C7497" s="1" t="n">
        <v>45715</v>
      </c>
      <c r="D7497" t="inlineStr">
        <is>
          <t>KALMAR LÄN</t>
        </is>
      </c>
      <c r="E7497" t="inlineStr">
        <is>
          <t>TORSÅS</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12917-2023</t>
        </is>
      </c>
      <c r="B7498" s="1" t="n">
        <v>45001</v>
      </c>
      <c r="C7498" s="1" t="n">
        <v>45715</v>
      </c>
      <c r="D7498" t="inlineStr">
        <is>
          <t>KALMAR LÄN</t>
        </is>
      </c>
      <c r="E7498" t="inlineStr">
        <is>
          <t>MÖNSTERÅS</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12954-2023</t>
        </is>
      </c>
      <c r="B7499" s="1" t="n">
        <v>45001</v>
      </c>
      <c r="C7499" s="1" t="n">
        <v>45715</v>
      </c>
      <c r="D7499" t="inlineStr">
        <is>
          <t>KALMAR LÄN</t>
        </is>
      </c>
      <c r="E7499" t="inlineStr">
        <is>
          <t>TORSÅS</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12958-2023</t>
        </is>
      </c>
      <c r="B7500" s="1" t="n">
        <v>45001</v>
      </c>
      <c r="C7500" s="1" t="n">
        <v>45715</v>
      </c>
      <c r="D7500" t="inlineStr">
        <is>
          <t>KALMAR LÄN</t>
        </is>
      </c>
      <c r="E7500" t="inlineStr">
        <is>
          <t>TORSÅS</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12957-2023</t>
        </is>
      </c>
      <c r="B7501" s="1" t="n">
        <v>45001</v>
      </c>
      <c r="C7501" s="1" t="n">
        <v>45715</v>
      </c>
      <c r="D7501" t="inlineStr">
        <is>
          <t>KALMAR LÄN</t>
        </is>
      </c>
      <c r="E7501" t="inlineStr">
        <is>
          <t>TORSÅS</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13013-2023</t>
        </is>
      </c>
      <c r="B7502" s="1" t="n">
        <v>45002</v>
      </c>
      <c r="C7502" s="1" t="n">
        <v>45715</v>
      </c>
      <c r="D7502" t="inlineStr">
        <is>
          <t>KALMAR LÄN</t>
        </is>
      </c>
      <c r="E7502" t="inlineStr">
        <is>
          <t>OSKARSHAMN</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13010-2023</t>
        </is>
      </c>
      <c r="B7503" s="1" t="n">
        <v>45002</v>
      </c>
      <c r="C7503" s="1" t="n">
        <v>45715</v>
      </c>
      <c r="D7503" t="inlineStr">
        <is>
          <t>KALMAR LÄN</t>
        </is>
      </c>
      <c r="E7503" t="inlineStr">
        <is>
          <t>OSKARSHAMN</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13131-2023</t>
        </is>
      </c>
      <c r="B7504" s="1" t="n">
        <v>45002</v>
      </c>
      <c r="C7504" s="1" t="n">
        <v>45715</v>
      </c>
      <c r="D7504" t="inlineStr">
        <is>
          <t>KALMAR LÄN</t>
        </is>
      </c>
      <c r="E7504" t="inlineStr">
        <is>
          <t>EMMABODA</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13012-2023</t>
        </is>
      </c>
      <c r="B7505" s="1" t="n">
        <v>45002</v>
      </c>
      <c r="C7505" s="1" t="n">
        <v>45715</v>
      </c>
      <c r="D7505" t="inlineStr">
        <is>
          <t>KALMAR LÄN</t>
        </is>
      </c>
      <c r="E7505" t="inlineStr">
        <is>
          <t>OSKARSHAMN</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13016-2023</t>
        </is>
      </c>
      <c r="B7506" s="1" t="n">
        <v>45002</v>
      </c>
      <c r="C7506" s="1" t="n">
        <v>45715</v>
      </c>
      <c r="D7506" t="inlineStr">
        <is>
          <t>KALMAR LÄN</t>
        </is>
      </c>
      <c r="E7506" t="inlineStr">
        <is>
          <t>OSKARSHAMN</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13015-2023</t>
        </is>
      </c>
      <c r="B7507" s="1" t="n">
        <v>45002</v>
      </c>
      <c r="C7507" s="1" t="n">
        <v>45715</v>
      </c>
      <c r="D7507" t="inlineStr">
        <is>
          <t>KALMAR LÄN</t>
        </is>
      </c>
      <c r="E7507" t="inlineStr">
        <is>
          <t>VIMMERBY</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13275-2023</t>
        </is>
      </c>
      <c r="B7508" s="1" t="n">
        <v>45003</v>
      </c>
      <c r="C7508" s="1" t="n">
        <v>45715</v>
      </c>
      <c r="D7508" t="inlineStr">
        <is>
          <t>KALMAR LÄN</t>
        </is>
      </c>
      <c r="E7508" t="inlineStr">
        <is>
          <t>VÄSTERVIK</t>
        </is>
      </c>
      <c r="G7508" t="n">
        <v>1.6</v>
      </c>
      <c r="H7508" t="n">
        <v>0</v>
      </c>
      <c r="I7508" t="n">
        <v>0</v>
      </c>
      <c r="J7508" t="n">
        <v>0</v>
      </c>
      <c r="K7508" t="n">
        <v>0</v>
      </c>
      <c r="L7508" t="n">
        <v>0</v>
      </c>
      <c r="M7508" t="n">
        <v>0</v>
      </c>
      <c r="N7508" t="n">
        <v>0</v>
      </c>
      <c r="O7508" t="n">
        <v>0</v>
      </c>
      <c r="P7508" t="n">
        <v>0</v>
      </c>
      <c r="Q7508" t="n">
        <v>0</v>
      </c>
      <c r="R7508" s="2" t="inlineStr"/>
      <c r="U7508">
        <f>HYPERLINK("https://klasma.github.io/Logging_0883/knärot/A 13275-2023 karta knärot.png", "A 13275-2023")</f>
        <v/>
      </c>
      <c r="V7508">
        <f>HYPERLINK("https://klasma.github.io/Logging_0883/klagomål/A 13275-2023 FSC-klagomål.docx", "A 13275-2023")</f>
        <v/>
      </c>
      <c r="W7508">
        <f>HYPERLINK("https://klasma.github.io/Logging_0883/klagomålsmail/A 13275-2023 FSC-klagomål mail.docx", "A 13275-2023")</f>
        <v/>
      </c>
      <c r="X7508">
        <f>HYPERLINK("https://klasma.github.io/Logging_0883/tillsyn/A 13275-2023 tillsynsbegäran.docx", "A 13275-2023")</f>
        <v/>
      </c>
      <c r="Y7508">
        <f>HYPERLINK("https://klasma.github.io/Logging_0883/tillsynsmail/A 13275-2023 tillsynsbegäran mail.docx", "A 13275-2023")</f>
        <v/>
      </c>
    </row>
    <row r="7509" ht="15" customHeight="1">
      <c r="A7509" t="inlineStr">
        <is>
          <t>A 13276-2023</t>
        </is>
      </c>
      <c r="B7509" s="1" t="n">
        <v>45003</v>
      </c>
      <c r="C7509" s="1" t="n">
        <v>45715</v>
      </c>
      <c r="D7509" t="inlineStr">
        <is>
          <t>KALMAR LÄN</t>
        </is>
      </c>
      <c r="E7509" t="inlineStr">
        <is>
          <t>EMMABODA</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13371-2023</t>
        </is>
      </c>
      <c r="B7510" s="1" t="n">
        <v>45005</v>
      </c>
      <c r="C7510" s="1" t="n">
        <v>45715</v>
      </c>
      <c r="D7510" t="inlineStr">
        <is>
          <t>KALMAR LÄN</t>
        </is>
      </c>
      <c r="E7510" t="inlineStr">
        <is>
          <t>EMMABODA</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13384-2023</t>
        </is>
      </c>
      <c r="B7511" s="1" t="n">
        <v>45005</v>
      </c>
      <c r="C7511" s="1" t="n">
        <v>45715</v>
      </c>
      <c r="D7511" t="inlineStr">
        <is>
          <t>KALMAR LÄN</t>
        </is>
      </c>
      <c r="E7511" t="inlineStr">
        <is>
          <t>MÖRBYLÅNGA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13383-2023</t>
        </is>
      </c>
      <c r="B7512" s="1" t="n">
        <v>45005</v>
      </c>
      <c r="C7512" s="1" t="n">
        <v>45715</v>
      </c>
      <c r="D7512" t="inlineStr">
        <is>
          <t>KALMAR LÄN</t>
        </is>
      </c>
      <c r="E7512" t="inlineStr">
        <is>
          <t>BORGHOLM</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13462-2023</t>
        </is>
      </c>
      <c r="B7513" s="1" t="n">
        <v>45005</v>
      </c>
      <c r="C7513" s="1" t="n">
        <v>45715</v>
      </c>
      <c r="D7513" t="inlineStr">
        <is>
          <t>KALMAR LÄN</t>
        </is>
      </c>
      <c r="E7513" t="inlineStr">
        <is>
          <t>VIMMERBY</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13571-2023</t>
        </is>
      </c>
      <c r="B7514" s="1" t="n">
        <v>45006</v>
      </c>
      <c r="C7514" s="1" t="n">
        <v>45715</v>
      </c>
      <c r="D7514" t="inlineStr">
        <is>
          <t>KALMAR LÄN</t>
        </is>
      </c>
      <c r="E7514" t="inlineStr">
        <is>
          <t>KALMAR</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13646-2023</t>
        </is>
      </c>
      <c r="B7515" s="1" t="n">
        <v>45006</v>
      </c>
      <c r="C7515" s="1" t="n">
        <v>45715</v>
      </c>
      <c r="D7515" t="inlineStr">
        <is>
          <t>KALMAR LÄN</t>
        </is>
      </c>
      <c r="E7515" t="inlineStr">
        <is>
          <t>NYBRO</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13569-2023</t>
        </is>
      </c>
      <c r="B7516" s="1" t="n">
        <v>45006</v>
      </c>
      <c r="C7516" s="1" t="n">
        <v>45715</v>
      </c>
      <c r="D7516" t="inlineStr">
        <is>
          <t>KALMAR LÄN</t>
        </is>
      </c>
      <c r="E7516" t="inlineStr">
        <is>
          <t>MÖNSTERÅS</t>
        </is>
      </c>
      <c r="F7516" t="inlineStr">
        <is>
          <t>Kommuner</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13674-2023</t>
        </is>
      </c>
      <c r="B7517" s="1" t="n">
        <v>45006</v>
      </c>
      <c r="C7517" s="1" t="n">
        <v>45715</v>
      </c>
      <c r="D7517" t="inlineStr">
        <is>
          <t>KALMAR LÄN</t>
        </is>
      </c>
      <c r="E7517" t="inlineStr">
        <is>
          <t>NYBRO</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13719-2023</t>
        </is>
      </c>
      <c r="B7518" s="1" t="n">
        <v>45007</v>
      </c>
      <c r="C7518" s="1" t="n">
        <v>45715</v>
      </c>
      <c r="D7518" t="inlineStr">
        <is>
          <t>KALMAR LÄN</t>
        </is>
      </c>
      <c r="E7518" t="inlineStr">
        <is>
          <t>NYBRO</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13734-2023</t>
        </is>
      </c>
      <c r="B7519" s="1" t="n">
        <v>45007</v>
      </c>
      <c r="C7519" s="1" t="n">
        <v>45715</v>
      </c>
      <c r="D7519" t="inlineStr">
        <is>
          <t>KALMAR LÄN</t>
        </is>
      </c>
      <c r="E7519" t="inlineStr">
        <is>
          <t>KALMAR</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13735-2023</t>
        </is>
      </c>
      <c r="B7520" s="1" t="n">
        <v>45007</v>
      </c>
      <c r="C7520" s="1" t="n">
        <v>45715</v>
      </c>
      <c r="D7520" t="inlineStr">
        <is>
          <t>KALMAR LÄN</t>
        </is>
      </c>
      <c r="E7520" t="inlineStr">
        <is>
          <t>KALMAR</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13724-2023</t>
        </is>
      </c>
      <c r="B7521" s="1" t="n">
        <v>45007</v>
      </c>
      <c r="C7521" s="1" t="n">
        <v>45715</v>
      </c>
      <c r="D7521" t="inlineStr">
        <is>
          <t>KALMAR LÄN</t>
        </is>
      </c>
      <c r="E7521" t="inlineStr">
        <is>
          <t>KALMAR</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13761-2023</t>
        </is>
      </c>
      <c r="B7522" s="1" t="n">
        <v>45007</v>
      </c>
      <c r="C7522" s="1" t="n">
        <v>45715</v>
      </c>
      <c r="D7522" t="inlineStr">
        <is>
          <t>KALMAR LÄN</t>
        </is>
      </c>
      <c r="E7522" t="inlineStr">
        <is>
          <t>VÄSTERVIK</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13729-2023</t>
        </is>
      </c>
      <c r="B7523" s="1" t="n">
        <v>45007</v>
      </c>
      <c r="C7523" s="1" t="n">
        <v>45715</v>
      </c>
      <c r="D7523" t="inlineStr">
        <is>
          <t>KALMAR LÄN</t>
        </is>
      </c>
      <c r="E7523" t="inlineStr">
        <is>
          <t>OSKARSHAMN</t>
        </is>
      </c>
      <c r="F7523" t="inlineStr">
        <is>
          <t>Övriga Aktiebolag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13770-2023</t>
        </is>
      </c>
      <c r="B7524" s="1" t="n">
        <v>45007</v>
      </c>
      <c r="C7524" s="1" t="n">
        <v>45715</v>
      </c>
      <c r="D7524" t="inlineStr">
        <is>
          <t>KALMAR LÄN</t>
        </is>
      </c>
      <c r="E7524" t="inlineStr">
        <is>
          <t>VÄSTERVIK</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13801-2023</t>
        </is>
      </c>
      <c r="B7525" s="1" t="n">
        <v>45007</v>
      </c>
      <c r="C7525" s="1" t="n">
        <v>45715</v>
      </c>
      <c r="D7525" t="inlineStr">
        <is>
          <t>KALMAR LÄN</t>
        </is>
      </c>
      <c r="E7525" t="inlineStr">
        <is>
          <t>EMMABODA</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13797-2023</t>
        </is>
      </c>
      <c r="B7526" s="1" t="n">
        <v>45007</v>
      </c>
      <c r="C7526" s="1" t="n">
        <v>45715</v>
      </c>
      <c r="D7526" t="inlineStr">
        <is>
          <t>KALMAR LÄN</t>
        </is>
      </c>
      <c r="E7526" t="inlineStr">
        <is>
          <t>VIMMERBY</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13805-2023</t>
        </is>
      </c>
      <c r="B7527" s="1" t="n">
        <v>45007</v>
      </c>
      <c r="C7527" s="1" t="n">
        <v>45715</v>
      </c>
      <c r="D7527" t="inlineStr">
        <is>
          <t>KALMAR LÄN</t>
        </is>
      </c>
      <c r="E7527" t="inlineStr">
        <is>
          <t>EMMABODA</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13841-2023</t>
        </is>
      </c>
      <c r="B7528" s="1" t="n">
        <v>45007</v>
      </c>
      <c r="C7528" s="1" t="n">
        <v>45715</v>
      </c>
      <c r="D7528" t="inlineStr">
        <is>
          <t>KALMAR LÄN</t>
        </is>
      </c>
      <c r="E7528" t="inlineStr">
        <is>
          <t>VÄSTERVIK</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13838-2023</t>
        </is>
      </c>
      <c r="B7529" s="1" t="n">
        <v>45007</v>
      </c>
      <c r="C7529" s="1" t="n">
        <v>45715</v>
      </c>
      <c r="D7529" t="inlineStr">
        <is>
          <t>KALMAR LÄN</t>
        </is>
      </c>
      <c r="E7529" t="inlineStr">
        <is>
          <t>VÄSTERVIK</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13903-2023</t>
        </is>
      </c>
      <c r="B7530" s="1" t="n">
        <v>45008</v>
      </c>
      <c r="C7530" s="1" t="n">
        <v>45715</v>
      </c>
      <c r="D7530" t="inlineStr">
        <is>
          <t>KALMAR LÄN</t>
        </is>
      </c>
      <c r="E7530" t="inlineStr">
        <is>
          <t>HÖGSBY</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13908-2023</t>
        </is>
      </c>
      <c r="B7531" s="1" t="n">
        <v>45008</v>
      </c>
      <c r="C7531" s="1" t="n">
        <v>45715</v>
      </c>
      <c r="D7531" t="inlineStr">
        <is>
          <t>KALMAR LÄN</t>
        </is>
      </c>
      <c r="E7531" t="inlineStr">
        <is>
          <t>OSKARSHAMN</t>
        </is>
      </c>
      <c r="G7531" t="n">
        <v>4.8</v>
      </c>
      <c r="H7531" t="n">
        <v>0</v>
      </c>
      <c r="I7531" t="n">
        <v>0</v>
      </c>
      <c r="J7531" t="n">
        <v>0</v>
      </c>
      <c r="K7531" t="n">
        <v>0</v>
      </c>
      <c r="L7531" t="n">
        <v>0</v>
      </c>
      <c r="M7531" t="n">
        <v>0</v>
      </c>
      <c r="N7531" t="n">
        <v>0</v>
      </c>
      <c r="O7531" t="n">
        <v>0</v>
      </c>
      <c r="P7531" t="n">
        <v>0</v>
      </c>
      <c r="Q7531" t="n">
        <v>0</v>
      </c>
      <c r="R7531" s="2" t="inlineStr"/>
    </row>
    <row r="7532" ht="15" customHeight="1">
      <c r="A7532" t="inlineStr">
        <is>
          <t>A 13946-2023</t>
        </is>
      </c>
      <c r="B7532" s="1" t="n">
        <v>45008</v>
      </c>
      <c r="C7532" s="1" t="n">
        <v>45715</v>
      </c>
      <c r="D7532" t="inlineStr">
        <is>
          <t>KALMAR LÄN</t>
        </is>
      </c>
      <c r="E7532" t="inlineStr">
        <is>
          <t>HULTSFRED</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13962-2023</t>
        </is>
      </c>
      <c r="B7533" s="1" t="n">
        <v>45008</v>
      </c>
      <c r="C7533" s="1" t="n">
        <v>45715</v>
      </c>
      <c r="D7533" t="inlineStr">
        <is>
          <t>KALMAR LÄN</t>
        </is>
      </c>
      <c r="E7533" t="inlineStr">
        <is>
          <t>TORSÅS</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13974-2023</t>
        </is>
      </c>
      <c r="B7534" s="1" t="n">
        <v>45008</v>
      </c>
      <c r="C7534" s="1" t="n">
        <v>45715</v>
      </c>
      <c r="D7534" t="inlineStr">
        <is>
          <t>KALMAR LÄN</t>
        </is>
      </c>
      <c r="E7534" t="inlineStr">
        <is>
          <t>HULTSFRED</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13923-2023</t>
        </is>
      </c>
      <c r="B7535" s="1" t="n">
        <v>45008</v>
      </c>
      <c r="C7535" s="1" t="n">
        <v>45715</v>
      </c>
      <c r="D7535" t="inlineStr">
        <is>
          <t>KALMAR LÄN</t>
        </is>
      </c>
      <c r="E7535" t="inlineStr">
        <is>
          <t>TORSÅS</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13929-2023</t>
        </is>
      </c>
      <c r="B7536" s="1" t="n">
        <v>45008</v>
      </c>
      <c r="C7536" s="1" t="n">
        <v>45715</v>
      </c>
      <c r="D7536" t="inlineStr">
        <is>
          <t>KALMAR LÄN</t>
        </is>
      </c>
      <c r="E7536" t="inlineStr">
        <is>
          <t>TORSÅS</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13958-2023</t>
        </is>
      </c>
      <c r="B7537" s="1" t="n">
        <v>45008</v>
      </c>
      <c r="C7537" s="1" t="n">
        <v>45715</v>
      </c>
      <c r="D7537" t="inlineStr">
        <is>
          <t>KALMAR LÄN</t>
        </is>
      </c>
      <c r="E7537" t="inlineStr">
        <is>
          <t>TORSÅS</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13963-2023</t>
        </is>
      </c>
      <c r="B7538" s="1" t="n">
        <v>45008</v>
      </c>
      <c r="C7538" s="1" t="n">
        <v>45715</v>
      </c>
      <c r="D7538" t="inlineStr">
        <is>
          <t>KALMAR LÄN</t>
        </is>
      </c>
      <c r="E7538" t="inlineStr">
        <is>
          <t>TORSÅS</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13902-2023</t>
        </is>
      </c>
      <c r="B7539" s="1" t="n">
        <v>45008</v>
      </c>
      <c r="C7539" s="1" t="n">
        <v>45715</v>
      </c>
      <c r="D7539" t="inlineStr">
        <is>
          <t>KALMAR LÄN</t>
        </is>
      </c>
      <c r="E7539" t="inlineStr">
        <is>
          <t>MÖNSTERÅS</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13924-2023</t>
        </is>
      </c>
      <c r="B7540" s="1" t="n">
        <v>45008</v>
      </c>
      <c r="C7540" s="1" t="n">
        <v>45715</v>
      </c>
      <c r="D7540" t="inlineStr">
        <is>
          <t>KALMAR LÄN</t>
        </is>
      </c>
      <c r="E7540" t="inlineStr">
        <is>
          <t>TORSÅS</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13930-2023</t>
        </is>
      </c>
      <c r="B7541" s="1" t="n">
        <v>45008</v>
      </c>
      <c r="C7541" s="1" t="n">
        <v>45715</v>
      </c>
      <c r="D7541" t="inlineStr">
        <is>
          <t>KALMAR LÄN</t>
        </is>
      </c>
      <c r="E7541" t="inlineStr">
        <is>
          <t>TORSÅS</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13995-2023</t>
        </is>
      </c>
      <c r="B7542" s="1" t="n">
        <v>45008</v>
      </c>
      <c r="C7542" s="1" t="n">
        <v>45715</v>
      </c>
      <c r="D7542" t="inlineStr">
        <is>
          <t>KALMAR LÄN</t>
        </is>
      </c>
      <c r="E7542" t="inlineStr">
        <is>
          <t>VÄSTERVIK</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14025-2023</t>
        </is>
      </c>
      <c r="B7543" s="1" t="n">
        <v>45008</v>
      </c>
      <c r="C7543" s="1" t="n">
        <v>45715</v>
      </c>
      <c r="D7543" t="inlineStr">
        <is>
          <t>KALMAR LÄN</t>
        </is>
      </c>
      <c r="E7543" t="inlineStr">
        <is>
          <t>VIMMERBY</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14140-2023</t>
        </is>
      </c>
      <c r="B7544" s="1" t="n">
        <v>45009</v>
      </c>
      <c r="C7544" s="1" t="n">
        <v>45715</v>
      </c>
      <c r="D7544" t="inlineStr">
        <is>
          <t>KALMAR LÄN</t>
        </is>
      </c>
      <c r="E7544" t="inlineStr">
        <is>
          <t>EMMABODA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14112-2023</t>
        </is>
      </c>
      <c r="B7545" s="1" t="n">
        <v>45009</v>
      </c>
      <c r="C7545" s="1" t="n">
        <v>45715</v>
      </c>
      <c r="D7545" t="inlineStr">
        <is>
          <t>KALMAR LÄN</t>
        </is>
      </c>
      <c r="E7545" t="inlineStr">
        <is>
          <t>EMMABODA</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14098-2023</t>
        </is>
      </c>
      <c r="B7546" s="1" t="n">
        <v>45009</v>
      </c>
      <c r="C7546" s="1" t="n">
        <v>45715</v>
      </c>
      <c r="D7546" t="inlineStr">
        <is>
          <t>KALMAR LÄN</t>
        </is>
      </c>
      <c r="E7546" t="inlineStr">
        <is>
          <t>EMMABODA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14132-2023</t>
        </is>
      </c>
      <c r="B7547" s="1" t="n">
        <v>45009</v>
      </c>
      <c r="C7547" s="1" t="n">
        <v>45715</v>
      </c>
      <c r="D7547" t="inlineStr">
        <is>
          <t>KALMAR LÄN</t>
        </is>
      </c>
      <c r="E7547" t="inlineStr">
        <is>
          <t>VIMMERBY</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14137-2023</t>
        </is>
      </c>
      <c r="B7548" s="1" t="n">
        <v>45009</v>
      </c>
      <c r="C7548" s="1" t="n">
        <v>45715</v>
      </c>
      <c r="D7548" t="inlineStr">
        <is>
          <t>KALMAR LÄN</t>
        </is>
      </c>
      <c r="E7548" t="inlineStr">
        <is>
          <t>VIMMERBY</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14142-2023</t>
        </is>
      </c>
      <c r="B7549" s="1" t="n">
        <v>45009</v>
      </c>
      <c r="C7549" s="1" t="n">
        <v>45715</v>
      </c>
      <c r="D7549" t="inlineStr">
        <is>
          <t>KALMAR LÄN</t>
        </is>
      </c>
      <c r="E7549" t="inlineStr">
        <is>
          <t>VIMMERBY</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14096-2023</t>
        </is>
      </c>
      <c r="B7550" s="1" t="n">
        <v>45009</v>
      </c>
      <c r="C7550" s="1" t="n">
        <v>45715</v>
      </c>
      <c r="D7550" t="inlineStr">
        <is>
          <t>KALMAR LÄN</t>
        </is>
      </c>
      <c r="E7550" t="inlineStr">
        <is>
          <t>EMMABODA</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14138-2023</t>
        </is>
      </c>
      <c r="B7551" s="1" t="n">
        <v>45009</v>
      </c>
      <c r="C7551" s="1" t="n">
        <v>45715</v>
      </c>
      <c r="D7551" t="inlineStr">
        <is>
          <t>KALMAR LÄN</t>
        </is>
      </c>
      <c r="E7551" t="inlineStr">
        <is>
          <t>EMMABODA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14248-2023</t>
        </is>
      </c>
      <c r="B7552" s="1" t="n">
        <v>45009</v>
      </c>
      <c r="C7552" s="1" t="n">
        <v>45715</v>
      </c>
      <c r="D7552" t="inlineStr">
        <is>
          <t>KALMAR LÄN</t>
        </is>
      </c>
      <c r="E7552" t="inlineStr">
        <is>
          <t>VIMMERBY</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14300-2023</t>
        </is>
      </c>
      <c r="B7553" s="1" t="n">
        <v>45011</v>
      </c>
      <c r="C7553" s="1" t="n">
        <v>45715</v>
      </c>
      <c r="D7553" t="inlineStr">
        <is>
          <t>KALMAR LÄN</t>
        </is>
      </c>
      <c r="E7553" t="inlineStr">
        <is>
          <t>NYBRO</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14299-2023</t>
        </is>
      </c>
      <c r="B7554" s="1" t="n">
        <v>45011</v>
      </c>
      <c r="C7554" s="1" t="n">
        <v>45715</v>
      </c>
      <c r="D7554" t="inlineStr">
        <is>
          <t>KALMAR LÄN</t>
        </is>
      </c>
      <c r="E7554" t="inlineStr">
        <is>
          <t>NYBRO</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14321-2023</t>
        </is>
      </c>
      <c r="B7555" s="1" t="n">
        <v>45012</v>
      </c>
      <c r="C7555" s="1" t="n">
        <v>45715</v>
      </c>
      <c r="D7555" t="inlineStr">
        <is>
          <t>KALMAR LÄN</t>
        </is>
      </c>
      <c r="E7555" t="inlineStr">
        <is>
          <t>NYBRO</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14366-2023</t>
        </is>
      </c>
      <c r="B7556" s="1" t="n">
        <v>45012</v>
      </c>
      <c r="C7556" s="1" t="n">
        <v>45715</v>
      </c>
      <c r="D7556" t="inlineStr">
        <is>
          <t>KALMAR LÄN</t>
        </is>
      </c>
      <c r="E7556" t="inlineStr">
        <is>
          <t>TORSÅS</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14388-2023</t>
        </is>
      </c>
      <c r="B7557" s="1" t="n">
        <v>45012</v>
      </c>
      <c r="C7557" s="1" t="n">
        <v>45715</v>
      </c>
      <c r="D7557" t="inlineStr">
        <is>
          <t>KALMAR LÄN</t>
        </is>
      </c>
      <c r="E7557" t="inlineStr">
        <is>
          <t>VÄSTERVIK</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14394-2023</t>
        </is>
      </c>
      <c r="B7558" s="1" t="n">
        <v>45012</v>
      </c>
      <c r="C7558" s="1" t="n">
        <v>45715</v>
      </c>
      <c r="D7558" t="inlineStr">
        <is>
          <t>KALMAR LÄN</t>
        </is>
      </c>
      <c r="E7558" t="inlineStr">
        <is>
          <t>HÖGSBY</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14440-2023</t>
        </is>
      </c>
      <c r="B7559" s="1" t="n">
        <v>45012</v>
      </c>
      <c r="C7559" s="1" t="n">
        <v>45715</v>
      </c>
      <c r="D7559" t="inlineStr">
        <is>
          <t>KALMAR LÄN</t>
        </is>
      </c>
      <c r="E7559" t="inlineStr">
        <is>
          <t>VIMMERBY</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14494-2023</t>
        </is>
      </c>
      <c r="B7560" s="1" t="n">
        <v>45012</v>
      </c>
      <c r="C7560" s="1" t="n">
        <v>45715</v>
      </c>
      <c r="D7560" t="inlineStr">
        <is>
          <t>KALMAR LÄN</t>
        </is>
      </c>
      <c r="E7560" t="inlineStr">
        <is>
          <t>OSKARSHAMN</t>
        </is>
      </c>
      <c r="G7560" t="n">
        <v>8.300000000000001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14370-2023</t>
        </is>
      </c>
      <c r="B7561" s="1" t="n">
        <v>45012</v>
      </c>
      <c r="C7561" s="1" t="n">
        <v>45715</v>
      </c>
      <c r="D7561" t="inlineStr">
        <is>
          <t>KALMAR LÄN</t>
        </is>
      </c>
      <c r="E7561" t="inlineStr">
        <is>
          <t>NYBRO</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14375-2023</t>
        </is>
      </c>
      <c r="B7562" s="1" t="n">
        <v>45012</v>
      </c>
      <c r="C7562" s="1" t="n">
        <v>45715</v>
      </c>
      <c r="D7562" t="inlineStr">
        <is>
          <t>KALMAR LÄN</t>
        </is>
      </c>
      <c r="E7562" t="inlineStr">
        <is>
          <t>OSKARSHAMN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14379-2023</t>
        </is>
      </c>
      <c r="B7563" s="1" t="n">
        <v>45012</v>
      </c>
      <c r="C7563" s="1" t="n">
        <v>45715</v>
      </c>
      <c r="D7563" t="inlineStr">
        <is>
          <t>KALMAR LÄN</t>
        </is>
      </c>
      <c r="E7563" t="inlineStr">
        <is>
          <t>OSKARSHAMN</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14387-2023</t>
        </is>
      </c>
      <c r="B7564" s="1" t="n">
        <v>45012</v>
      </c>
      <c r="C7564" s="1" t="n">
        <v>45715</v>
      </c>
      <c r="D7564" t="inlineStr">
        <is>
          <t>KALMAR LÄN</t>
        </is>
      </c>
      <c r="E7564" t="inlineStr">
        <is>
          <t>VÄSTERVIK</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14417-2023</t>
        </is>
      </c>
      <c r="B7565" s="1" t="n">
        <v>45012</v>
      </c>
      <c r="C7565" s="1" t="n">
        <v>45715</v>
      </c>
      <c r="D7565" t="inlineStr">
        <is>
          <t>KALMAR LÄN</t>
        </is>
      </c>
      <c r="E7565" t="inlineStr">
        <is>
          <t>NYBRO</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14438-2023</t>
        </is>
      </c>
      <c r="B7566" s="1" t="n">
        <v>45012</v>
      </c>
      <c r="C7566" s="1" t="n">
        <v>45715</v>
      </c>
      <c r="D7566" t="inlineStr">
        <is>
          <t>KALMAR LÄN</t>
        </is>
      </c>
      <c r="E7566" t="inlineStr">
        <is>
          <t>VIMMERBY</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14489-2023</t>
        </is>
      </c>
      <c r="B7567" s="1" t="n">
        <v>45012</v>
      </c>
      <c r="C7567" s="1" t="n">
        <v>45715</v>
      </c>
      <c r="D7567" t="inlineStr">
        <is>
          <t>KALMAR LÄN</t>
        </is>
      </c>
      <c r="E7567" t="inlineStr">
        <is>
          <t>OSKARSHAMN</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14497-2023</t>
        </is>
      </c>
      <c r="B7568" s="1" t="n">
        <v>45012</v>
      </c>
      <c r="C7568" s="1" t="n">
        <v>45715</v>
      </c>
      <c r="D7568" t="inlineStr">
        <is>
          <t>KALMAR LÄN</t>
        </is>
      </c>
      <c r="E7568" t="inlineStr">
        <is>
          <t>OSKARSHAMN</t>
        </is>
      </c>
      <c r="G7568" t="n">
        <v>4.1</v>
      </c>
      <c r="H7568" t="n">
        <v>0</v>
      </c>
      <c r="I7568" t="n">
        <v>0</v>
      </c>
      <c r="J7568" t="n">
        <v>0</v>
      </c>
      <c r="K7568" t="n">
        <v>0</v>
      </c>
      <c r="L7568" t="n">
        <v>0</v>
      </c>
      <c r="M7568" t="n">
        <v>0</v>
      </c>
      <c r="N7568" t="n">
        <v>0</v>
      </c>
      <c r="O7568" t="n">
        <v>0</v>
      </c>
      <c r="P7568" t="n">
        <v>0</v>
      </c>
      <c r="Q7568" t="n">
        <v>0</v>
      </c>
      <c r="R7568" s="2" t="inlineStr"/>
    </row>
    <row r="7569" ht="15" customHeight="1">
      <c r="A7569" t="inlineStr">
        <is>
          <t>A 14362-2023</t>
        </is>
      </c>
      <c r="B7569" s="1" t="n">
        <v>45012</v>
      </c>
      <c r="C7569" s="1" t="n">
        <v>45715</v>
      </c>
      <c r="D7569" t="inlineStr">
        <is>
          <t>KALMAR LÄN</t>
        </is>
      </c>
      <c r="E7569" t="inlineStr">
        <is>
          <t>TORSÅS</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14377-2023</t>
        </is>
      </c>
      <c r="B7570" s="1" t="n">
        <v>45012</v>
      </c>
      <c r="C7570" s="1" t="n">
        <v>45715</v>
      </c>
      <c r="D7570" t="inlineStr">
        <is>
          <t>KALMAR LÄN</t>
        </is>
      </c>
      <c r="E7570" t="inlineStr">
        <is>
          <t>NYBRO</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14385-2023</t>
        </is>
      </c>
      <c r="B7571" s="1" t="n">
        <v>45012</v>
      </c>
      <c r="C7571" s="1" t="n">
        <v>45715</v>
      </c>
      <c r="D7571" t="inlineStr">
        <is>
          <t>KALMAR LÄN</t>
        </is>
      </c>
      <c r="E7571" t="inlineStr">
        <is>
          <t>VÄSTERVIK</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14475-2023</t>
        </is>
      </c>
      <c r="B7572" s="1" t="n">
        <v>45012</v>
      </c>
      <c r="C7572" s="1" t="n">
        <v>45715</v>
      </c>
      <c r="D7572" t="inlineStr">
        <is>
          <t>KALMAR LÄN</t>
        </is>
      </c>
      <c r="E7572" t="inlineStr">
        <is>
          <t>OSKARSHAMN</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14491-2023</t>
        </is>
      </c>
      <c r="B7573" s="1" t="n">
        <v>45012</v>
      </c>
      <c r="C7573" s="1" t="n">
        <v>45715</v>
      </c>
      <c r="D7573" t="inlineStr">
        <is>
          <t>KALMAR LÄN</t>
        </is>
      </c>
      <c r="E7573" t="inlineStr">
        <is>
          <t>OSKARSHAMN</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14638-2023</t>
        </is>
      </c>
      <c r="B7574" s="1" t="n">
        <v>45013</v>
      </c>
      <c r="C7574" s="1" t="n">
        <v>45715</v>
      </c>
      <c r="D7574" t="inlineStr">
        <is>
          <t>KALMAR LÄN</t>
        </is>
      </c>
      <c r="E7574" t="inlineStr">
        <is>
          <t>NYBRO</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14569-2023</t>
        </is>
      </c>
      <c r="B7575" s="1" t="n">
        <v>45013</v>
      </c>
      <c r="C7575" s="1" t="n">
        <v>45715</v>
      </c>
      <c r="D7575" t="inlineStr">
        <is>
          <t>KALMAR LÄN</t>
        </is>
      </c>
      <c r="E7575" t="inlineStr">
        <is>
          <t>HULTSFRED</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14610-2023</t>
        </is>
      </c>
      <c r="B7576" s="1" t="n">
        <v>45013</v>
      </c>
      <c r="C7576" s="1" t="n">
        <v>45715</v>
      </c>
      <c r="D7576" t="inlineStr">
        <is>
          <t>KALMAR LÄN</t>
        </is>
      </c>
      <c r="E7576" t="inlineStr">
        <is>
          <t>MÖNSTERÅS</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14539-2023</t>
        </is>
      </c>
      <c r="B7577" s="1" t="n">
        <v>45013</v>
      </c>
      <c r="C7577" s="1" t="n">
        <v>45715</v>
      </c>
      <c r="D7577" t="inlineStr">
        <is>
          <t>KALMAR LÄN</t>
        </is>
      </c>
      <c r="E7577" t="inlineStr">
        <is>
          <t>HULTSFRED</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14561-2023</t>
        </is>
      </c>
      <c r="B7578" s="1" t="n">
        <v>45013</v>
      </c>
      <c r="C7578" s="1" t="n">
        <v>45715</v>
      </c>
      <c r="D7578" t="inlineStr">
        <is>
          <t>KALMAR LÄN</t>
        </is>
      </c>
      <c r="E7578" t="inlineStr">
        <is>
          <t>HULTSFRED</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14586-2023</t>
        </is>
      </c>
      <c r="B7579" s="1" t="n">
        <v>45013</v>
      </c>
      <c r="C7579" s="1" t="n">
        <v>45715</v>
      </c>
      <c r="D7579" t="inlineStr">
        <is>
          <t>KALMAR LÄN</t>
        </is>
      </c>
      <c r="E7579" t="inlineStr">
        <is>
          <t>NYBRO</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14760-2023</t>
        </is>
      </c>
      <c r="B7580" s="1" t="n">
        <v>45014</v>
      </c>
      <c r="C7580" s="1" t="n">
        <v>45715</v>
      </c>
      <c r="D7580" t="inlineStr">
        <is>
          <t>KALMAR LÄN</t>
        </is>
      </c>
      <c r="E7580" t="inlineStr">
        <is>
          <t>EMMABODA</t>
        </is>
      </c>
      <c r="G7580" t="n">
        <v>6.4</v>
      </c>
      <c r="H7580" t="n">
        <v>0</v>
      </c>
      <c r="I7580" t="n">
        <v>0</v>
      </c>
      <c r="J7580" t="n">
        <v>0</v>
      </c>
      <c r="K7580" t="n">
        <v>0</v>
      </c>
      <c r="L7580" t="n">
        <v>0</v>
      </c>
      <c r="M7580" t="n">
        <v>0</v>
      </c>
      <c r="N7580" t="n">
        <v>0</v>
      </c>
      <c r="O7580" t="n">
        <v>0</v>
      </c>
      <c r="P7580" t="n">
        <v>0</v>
      </c>
      <c r="Q7580" t="n">
        <v>0</v>
      </c>
      <c r="R7580" s="2" t="inlineStr"/>
    </row>
    <row r="7581" ht="15" customHeight="1">
      <c r="A7581" t="inlineStr">
        <is>
          <t>A 14777-2023</t>
        </is>
      </c>
      <c r="B7581" s="1" t="n">
        <v>45014</v>
      </c>
      <c r="C7581" s="1" t="n">
        <v>45715</v>
      </c>
      <c r="D7581" t="inlineStr">
        <is>
          <t>KALMAR LÄN</t>
        </is>
      </c>
      <c r="E7581" t="inlineStr">
        <is>
          <t>HÖGSBY</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14789-2023</t>
        </is>
      </c>
      <c r="B7582" s="1" t="n">
        <v>45014</v>
      </c>
      <c r="C7582" s="1" t="n">
        <v>45715</v>
      </c>
      <c r="D7582" t="inlineStr">
        <is>
          <t>KALMAR LÄN</t>
        </is>
      </c>
      <c r="E7582" t="inlineStr">
        <is>
          <t>OSKARSHAMN</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14828-2023</t>
        </is>
      </c>
      <c r="B7583" s="1" t="n">
        <v>45014</v>
      </c>
      <c r="C7583" s="1" t="n">
        <v>45715</v>
      </c>
      <c r="D7583" t="inlineStr">
        <is>
          <t>KALMAR LÄN</t>
        </is>
      </c>
      <c r="E7583" t="inlineStr">
        <is>
          <t>MÖNSTERÅS</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14996-2023</t>
        </is>
      </c>
      <c r="B7584" s="1" t="n">
        <v>45014</v>
      </c>
      <c r="C7584" s="1" t="n">
        <v>45715</v>
      </c>
      <c r="D7584" t="inlineStr">
        <is>
          <t>KALMAR LÄN</t>
        </is>
      </c>
      <c r="E7584" t="inlineStr">
        <is>
          <t>VIMMERBY</t>
        </is>
      </c>
      <c r="G7584" t="n">
        <v>6.9</v>
      </c>
      <c r="H7584" t="n">
        <v>0</v>
      </c>
      <c r="I7584" t="n">
        <v>0</v>
      </c>
      <c r="J7584" t="n">
        <v>0</v>
      </c>
      <c r="K7584" t="n">
        <v>0</v>
      </c>
      <c r="L7584" t="n">
        <v>0</v>
      </c>
      <c r="M7584" t="n">
        <v>0</v>
      </c>
      <c r="N7584" t="n">
        <v>0</v>
      </c>
      <c r="O7584" t="n">
        <v>0</v>
      </c>
      <c r="P7584" t="n">
        <v>0</v>
      </c>
      <c r="Q7584" t="n">
        <v>0</v>
      </c>
      <c r="R7584" s="2" t="inlineStr"/>
    </row>
    <row r="7585" ht="15" customHeight="1">
      <c r="A7585" t="inlineStr">
        <is>
          <t>A 14900-2023</t>
        </is>
      </c>
      <c r="B7585" s="1" t="n">
        <v>45015</v>
      </c>
      <c r="C7585" s="1" t="n">
        <v>45715</v>
      </c>
      <c r="D7585" t="inlineStr">
        <is>
          <t>KALMAR LÄN</t>
        </is>
      </c>
      <c r="E7585" t="inlineStr">
        <is>
          <t>MÖNSTERÅS</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14906-2023</t>
        </is>
      </c>
      <c r="B7586" s="1" t="n">
        <v>45015</v>
      </c>
      <c r="C7586" s="1" t="n">
        <v>45715</v>
      </c>
      <c r="D7586" t="inlineStr">
        <is>
          <t>KALMAR LÄN</t>
        </is>
      </c>
      <c r="E7586" t="inlineStr">
        <is>
          <t>MÖNSTERÅS</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14936-2023</t>
        </is>
      </c>
      <c r="B7587" s="1" t="n">
        <v>45015</v>
      </c>
      <c r="C7587" s="1" t="n">
        <v>45715</v>
      </c>
      <c r="D7587" t="inlineStr">
        <is>
          <t>KALMAR LÄN</t>
        </is>
      </c>
      <c r="E7587" t="inlineStr">
        <is>
          <t>MÖNSTERÅS</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14924-2023</t>
        </is>
      </c>
      <c r="B7588" s="1" t="n">
        <v>45015</v>
      </c>
      <c r="C7588" s="1" t="n">
        <v>45715</v>
      </c>
      <c r="D7588" t="inlineStr">
        <is>
          <t>KALMAR LÄN</t>
        </is>
      </c>
      <c r="E7588" t="inlineStr">
        <is>
          <t>MÖNSTERÅS</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14930-2023</t>
        </is>
      </c>
      <c r="B7589" s="1" t="n">
        <v>45015</v>
      </c>
      <c r="C7589" s="1" t="n">
        <v>45715</v>
      </c>
      <c r="D7589" t="inlineStr">
        <is>
          <t>KALMAR LÄN</t>
        </is>
      </c>
      <c r="E7589" t="inlineStr">
        <is>
          <t>MÖNSTERÅS</t>
        </is>
      </c>
      <c r="G7589" t="n">
        <v>6.7</v>
      </c>
      <c r="H7589" t="n">
        <v>0</v>
      </c>
      <c r="I7589" t="n">
        <v>0</v>
      </c>
      <c r="J7589" t="n">
        <v>0</v>
      </c>
      <c r="K7589" t="n">
        <v>0</v>
      </c>
      <c r="L7589" t="n">
        <v>0</v>
      </c>
      <c r="M7589" t="n">
        <v>0</v>
      </c>
      <c r="N7589" t="n">
        <v>0</v>
      </c>
      <c r="O7589" t="n">
        <v>0</v>
      </c>
      <c r="P7589" t="n">
        <v>0</v>
      </c>
      <c r="Q7589" t="n">
        <v>0</v>
      </c>
      <c r="R7589" s="2" t="inlineStr"/>
    </row>
    <row r="7590" ht="15" customHeight="1">
      <c r="A7590" t="inlineStr">
        <is>
          <t>A 14942-2023</t>
        </is>
      </c>
      <c r="B7590" s="1" t="n">
        <v>45015</v>
      </c>
      <c r="C7590" s="1" t="n">
        <v>45715</v>
      </c>
      <c r="D7590" t="inlineStr">
        <is>
          <t>KALMAR LÄN</t>
        </is>
      </c>
      <c r="E7590" t="inlineStr">
        <is>
          <t>TORSÅS</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14949-2023</t>
        </is>
      </c>
      <c r="B7591" s="1" t="n">
        <v>45015</v>
      </c>
      <c r="C7591" s="1" t="n">
        <v>45715</v>
      </c>
      <c r="D7591" t="inlineStr">
        <is>
          <t>KALMAR LÄN</t>
        </is>
      </c>
      <c r="E7591" t="inlineStr">
        <is>
          <t>OSKARSHAMN</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15034-2023</t>
        </is>
      </c>
      <c r="B7592" s="1" t="n">
        <v>45015</v>
      </c>
      <c r="C7592" s="1" t="n">
        <v>45715</v>
      </c>
      <c r="D7592" t="inlineStr">
        <is>
          <t>KALMAR LÄN</t>
        </is>
      </c>
      <c r="E7592" t="inlineStr">
        <is>
          <t>HÖGSBY</t>
        </is>
      </c>
      <c r="F7592" t="inlineStr">
        <is>
          <t>Sveaskog</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15099-2023</t>
        </is>
      </c>
      <c r="B7593" s="1" t="n">
        <v>45016</v>
      </c>
      <c r="C7593" s="1" t="n">
        <v>45715</v>
      </c>
      <c r="D7593" t="inlineStr">
        <is>
          <t>KALMAR LÄN</t>
        </is>
      </c>
      <c r="E7593" t="inlineStr">
        <is>
          <t>VÄSTERVIK</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15106-2023</t>
        </is>
      </c>
      <c r="B7594" s="1" t="n">
        <v>45016</v>
      </c>
      <c r="C7594" s="1" t="n">
        <v>45715</v>
      </c>
      <c r="D7594" t="inlineStr">
        <is>
          <t>KALMAR LÄN</t>
        </is>
      </c>
      <c r="E7594" t="inlineStr">
        <is>
          <t>VÄSTERVIK</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15162-2023</t>
        </is>
      </c>
      <c r="B7595" s="1" t="n">
        <v>45016</v>
      </c>
      <c r="C7595" s="1" t="n">
        <v>45715</v>
      </c>
      <c r="D7595" t="inlineStr">
        <is>
          <t>KALMAR LÄN</t>
        </is>
      </c>
      <c r="E7595" t="inlineStr">
        <is>
          <t>TORSÅS</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15097-2023</t>
        </is>
      </c>
      <c r="B7596" s="1" t="n">
        <v>45016</v>
      </c>
      <c r="C7596" s="1" t="n">
        <v>45715</v>
      </c>
      <c r="D7596" t="inlineStr">
        <is>
          <t>KALMAR LÄN</t>
        </is>
      </c>
      <c r="E7596" t="inlineStr">
        <is>
          <t>VÄSTERVIK</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15090-2023</t>
        </is>
      </c>
      <c r="B7597" s="1" t="n">
        <v>45016</v>
      </c>
      <c r="C7597" s="1" t="n">
        <v>45715</v>
      </c>
      <c r="D7597" t="inlineStr">
        <is>
          <t>KALMAR LÄN</t>
        </is>
      </c>
      <c r="E7597" t="inlineStr">
        <is>
          <t>OSKARSHAMN</t>
        </is>
      </c>
      <c r="G7597" t="n">
        <v>6.2</v>
      </c>
      <c r="H7597" t="n">
        <v>0</v>
      </c>
      <c r="I7597" t="n">
        <v>0</v>
      </c>
      <c r="J7597" t="n">
        <v>0</v>
      </c>
      <c r="K7597" t="n">
        <v>0</v>
      </c>
      <c r="L7597" t="n">
        <v>0</v>
      </c>
      <c r="M7597" t="n">
        <v>0</v>
      </c>
      <c r="N7597" t="n">
        <v>0</v>
      </c>
      <c r="O7597" t="n">
        <v>0</v>
      </c>
      <c r="P7597" t="n">
        <v>0</v>
      </c>
      <c r="Q7597" t="n">
        <v>0</v>
      </c>
      <c r="R7597" s="2" t="inlineStr"/>
    </row>
    <row r="7598" ht="15" customHeight="1">
      <c r="A7598" t="inlineStr">
        <is>
          <t>A 15103-2023</t>
        </is>
      </c>
      <c r="B7598" s="1" t="n">
        <v>45016</v>
      </c>
      <c r="C7598" s="1" t="n">
        <v>45715</v>
      </c>
      <c r="D7598" t="inlineStr">
        <is>
          <t>KALMAR LÄN</t>
        </is>
      </c>
      <c r="E7598" t="inlineStr">
        <is>
          <t>VÄSTERVIK</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15116-2023</t>
        </is>
      </c>
      <c r="B7599" s="1" t="n">
        <v>45016</v>
      </c>
      <c r="C7599" s="1" t="n">
        <v>45715</v>
      </c>
      <c r="D7599" t="inlineStr">
        <is>
          <t>KALMAR LÄN</t>
        </is>
      </c>
      <c r="E7599" t="inlineStr">
        <is>
          <t>NYBRO</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15130-2023</t>
        </is>
      </c>
      <c r="B7600" s="1" t="n">
        <v>45016</v>
      </c>
      <c r="C7600" s="1" t="n">
        <v>45715</v>
      </c>
      <c r="D7600" t="inlineStr">
        <is>
          <t>KALMAR LÄN</t>
        </is>
      </c>
      <c r="E7600" t="inlineStr">
        <is>
          <t>HULTSFRED</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15437-2023</t>
        </is>
      </c>
      <c r="B7601" s="1" t="n">
        <v>45016</v>
      </c>
      <c r="C7601" s="1" t="n">
        <v>45715</v>
      </c>
      <c r="D7601" t="inlineStr">
        <is>
          <t>KALMAR LÄN</t>
        </is>
      </c>
      <c r="E7601" t="inlineStr">
        <is>
          <t>HULTSFRED</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15451-2023</t>
        </is>
      </c>
      <c r="B7602" s="1" t="n">
        <v>45016</v>
      </c>
      <c r="C7602" s="1" t="n">
        <v>45715</v>
      </c>
      <c r="D7602" t="inlineStr">
        <is>
          <t>KALMAR LÄN</t>
        </is>
      </c>
      <c r="E7602" t="inlineStr">
        <is>
          <t>HULTSFRED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15445-2023</t>
        </is>
      </c>
      <c r="B7603" s="1" t="n">
        <v>45016</v>
      </c>
      <c r="C7603" s="1" t="n">
        <v>45715</v>
      </c>
      <c r="D7603" t="inlineStr">
        <is>
          <t>KALMAR LÄN</t>
        </is>
      </c>
      <c r="E7603" t="inlineStr">
        <is>
          <t>HULTSFRED</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15493-2023</t>
        </is>
      </c>
      <c r="B7604" s="1" t="n">
        <v>45018</v>
      </c>
      <c r="C7604" s="1" t="n">
        <v>45715</v>
      </c>
      <c r="D7604" t="inlineStr">
        <is>
          <t>KALMAR LÄN</t>
        </is>
      </c>
      <c r="E7604" t="inlineStr">
        <is>
          <t>VIMMERBY</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15222-2023</t>
        </is>
      </c>
      <c r="B7605" s="1" t="n">
        <v>45019</v>
      </c>
      <c r="C7605" s="1" t="n">
        <v>45715</v>
      </c>
      <c r="D7605" t="inlineStr">
        <is>
          <t>KALMAR LÄN</t>
        </is>
      </c>
      <c r="E7605" t="inlineStr">
        <is>
          <t>OSKARSHAMN</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15230-2023</t>
        </is>
      </c>
      <c r="B7606" s="1" t="n">
        <v>45019</v>
      </c>
      <c r="C7606" s="1" t="n">
        <v>45715</v>
      </c>
      <c r="D7606" t="inlineStr">
        <is>
          <t>KALMAR LÄN</t>
        </is>
      </c>
      <c r="E7606" t="inlineStr">
        <is>
          <t>OSKARSHAMN</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15236-2023</t>
        </is>
      </c>
      <c r="B7607" s="1" t="n">
        <v>45019</v>
      </c>
      <c r="C7607" s="1" t="n">
        <v>45715</v>
      </c>
      <c r="D7607" t="inlineStr">
        <is>
          <t>KALMAR LÄN</t>
        </is>
      </c>
      <c r="E7607" t="inlineStr">
        <is>
          <t>HULTSFRED</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15239-2023</t>
        </is>
      </c>
      <c r="B7608" s="1" t="n">
        <v>45019</v>
      </c>
      <c r="C7608" s="1" t="n">
        <v>45715</v>
      </c>
      <c r="D7608" t="inlineStr">
        <is>
          <t>KALMAR LÄN</t>
        </is>
      </c>
      <c r="E7608" t="inlineStr">
        <is>
          <t>HULTSFRED</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15244-2023</t>
        </is>
      </c>
      <c r="B7609" s="1" t="n">
        <v>45019</v>
      </c>
      <c r="C7609" s="1" t="n">
        <v>45715</v>
      </c>
      <c r="D7609" t="inlineStr">
        <is>
          <t>KALMAR LÄN</t>
        </is>
      </c>
      <c r="E7609" t="inlineStr">
        <is>
          <t>HULTSFRED</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15281-2023</t>
        </is>
      </c>
      <c r="B7610" s="1" t="n">
        <v>45019</v>
      </c>
      <c r="C7610" s="1" t="n">
        <v>45715</v>
      </c>
      <c r="D7610" t="inlineStr">
        <is>
          <t>KALMAR LÄN</t>
        </is>
      </c>
      <c r="E7610" t="inlineStr">
        <is>
          <t>NYBRO</t>
        </is>
      </c>
      <c r="G7610" t="n">
        <v>6.7</v>
      </c>
      <c r="H7610" t="n">
        <v>0</v>
      </c>
      <c r="I7610" t="n">
        <v>0</v>
      </c>
      <c r="J7610" t="n">
        <v>0</v>
      </c>
      <c r="K7610" t="n">
        <v>0</v>
      </c>
      <c r="L7610" t="n">
        <v>0</v>
      </c>
      <c r="M7610" t="n">
        <v>0</v>
      </c>
      <c r="N7610" t="n">
        <v>0</v>
      </c>
      <c r="O7610" t="n">
        <v>0</v>
      </c>
      <c r="P7610" t="n">
        <v>0</v>
      </c>
      <c r="Q7610" t="n">
        <v>0</v>
      </c>
      <c r="R7610" s="2" t="inlineStr"/>
    </row>
    <row r="7611" ht="15" customHeight="1">
      <c r="A7611" t="inlineStr">
        <is>
          <t>A 15410-2023</t>
        </is>
      </c>
      <c r="B7611" s="1" t="n">
        <v>45019</v>
      </c>
      <c r="C7611" s="1" t="n">
        <v>45715</v>
      </c>
      <c r="D7611" t="inlineStr">
        <is>
          <t>KALMAR LÄN</t>
        </is>
      </c>
      <c r="E7611" t="inlineStr">
        <is>
          <t>EMMABODA</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15270-2023</t>
        </is>
      </c>
      <c r="B7612" s="1" t="n">
        <v>45019</v>
      </c>
      <c r="C7612" s="1" t="n">
        <v>45715</v>
      </c>
      <c r="D7612" t="inlineStr">
        <is>
          <t>KALMAR LÄN</t>
        </is>
      </c>
      <c r="E7612" t="inlineStr">
        <is>
          <t>VÄSTERVIK</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15335-2023</t>
        </is>
      </c>
      <c r="B7613" s="1" t="n">
        <v>45019</v>
      </c>
      <c r="C7613" s="1" t="n">
        <v>45715</v>
      </c>
      <c r="D7613" t="inlineStr">
        <is>
          <t>KALMAR LÄN</t>
        </is>
      </c>
      <c r="E7613" t="inlineStr">
        <is>
          <t>TORSÅS</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15373-2023</t>
        </is>
      </c>
      <c r="B7614" s="1" t="n">
        <v>45019</v>
      </c>
      <c r="C7614" s="1" t="n">
        <v>45715</v>
      </c>
      <c r="D7614" t="inlineStr">
        <is>
          <t>KALMAR LÄN</t>
        </is>
      </c>
      <c r="E7614" t="inlineStr">
        <is>
          <t>TORSÅS</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15596-2023</t>
        </is>
      </c>
      <c r="B7615" s="1" t="n">
        <v>45019</v>
      </c>
      <c r="C7615" s="1" t="n">
        <v>45715</v>
      </c>
      <c r="D7615" t="inlineStr">
        <is>
          <t>KALMAR LÄN</t>
        </is>
      </c>
      <c r="E7615" t="inlineStr">
        <is>
          <t>KALMAR</t>
        </is>
      </c>
      <c r="G7615" t="n">
        <v>9.4</v>
      </c>
      <c r="H7615" t="n">
        <v>0</v>
      </c>
      <c r="I7615" t="n">
        <v>0</v>
      </c>
      <c r="J7615" t="n">
        <v>0</v>
      </c>
      <c r="K7615" t="n">
        <v>0</v>
      </c>
      <c r="L7615" t="n">
        <v>0</v>
      </c>
      <c r="M7615" t="n">
        <v>0</v>
      </c>
      <c r="N7615" t="n">
        <v>0</v>
      </c>
      <c r="O7615" t="n">
        <v>0</v>
      </c>
      <c r="P7615" t="n">
        <v>0</v>
      </c>
      <c r="Q7615" t="n">
        <v>0</v>
      </c>
      <c r="R7615" s="2" t="inlineStr"/>
    </row>
    <row r="7616" ht="15" customHeight="1">
      <c r="A7616" t="inlineStr">
        <is>
          <t>A 15550-2023</t>
        </is>
      </c>
      <c r="B7616" s="1" t="n">
        <v>45020</v>
      </c>
      <c r="C7616" s="1" t="n">
        <v>45715</v>
      </c>
      <c r="D7616" t="inlineStr">
        <is>
          <t>KALMAR LÄN</t>
        </is>
      </c>
      <c r="E7616" t="inlineStr">
        <is>
          <t>VIMMERBY</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15449-2023</t>
        </is>
      </c>
      <c r="B7617" s="1" t="n">
        <v>45020</v>
      </c>
      <c r="C7617" s="1" t="n">
        <v>45715</v>
      </c>
      <c r="D7617" t="inlineStr">
        <is>
          <t>KALMAR LÄN</t>
        </is>
      </c>
      <c r="E7617" t="inlineStr">
        <is>
          <t>VIMMERBY</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15438-2023</t>
        </is>
      </c>
      <c r="B7618" s="1" t="n">
        <v>45020</v>
      </c>
      <c r="C7618" s="1" t="n">
        <v>45715</v>
      </c>
      <c r="D7618" t="inlineStr">
        <is>
          <t>KALMAR LÄN</t>
        </is>
      </c>
      <c r="E7618" t="inlineStr">
        <is>
          <t>VÄSTERVIK</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15486-2023</t>
        </is>
      </c>
      <c r="B7619" s="1" t="n">
        <v>45020</v>
      </c>
      <c r="C7619" s="1" t="n">
        <v>45715</v>
      </c>
      <c r="D7619" t="inlineStr">
        <is>
          <t>KALMAR LÄN</t>
        </is>
      </c>
      <c r="E7619" t="inlineStr">
        <is>
          <t>VIMMERBY</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15490-2023</t>
        </is>
      </c>
      <c r="B7620" s="1" t="n">
        <v>45020</v>
      </c>
      <c r="C7620" s="1" t="n">
        <v>45715</v>
      </c>
      <c r="D7620" t="inlineStr">
        <is>
          <t>KALMAR LÄN</t>
        </is>
      </c>
      <c r="E7620" t="inlineStr">
        <is>
          <t>VIMMERBY</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15604-2023</t>
        </is>
      </c>
      <c r="B7621" s="1" t="n">
        <v>45020</v>
      </c>
      <c r="C7621" s="1" t="n">
        <v>45715</v>
      </c>
      <c r="D7621" t="inlineStr">
        <is>
          <t>KALMAR LÄN</t>
        </is>
      </c>
      <c r="E7621" t="inlineStr">
        <is>
          <t>HÖGSBY</t>
        </is>
      </c>
      <c r="F7621" t="inlineStr">
        <is>
          <t>Sveaskog</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15700-2023</t>
        </is>
      </c>
      <c r="B7622" s="1" t="n">
        <v>45021</v>
      </c>
      <c r="C7622" s="1" t="n">
        <v>45715</v>
      </c>
      <c r="D7622" t="inlineStr">
        <is>
          <t>KALMAR LÄN</t>
        </is>
      </c>
      <c r="E7622" t="inlineStr">
        <is>
          <t>EMMABODA</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15761-2023</t>
        </is>
      </c>
      <c r="B7623" s="1" t="n">
        <v>45021</v>
      </c>
      <c r="C7623" s="1" t="n">
        <v>45715</v>
      </c>
      <c r="D7623" t="inlineStr">
        <is>
          <t>KALMAR LÄN</t>
        </is>
      </c>
      <c r="E7623" t="inlineStr">
        <is>
          <t>VÄSTERVIK</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15765-2023</t>
        </is>
      </c>
      <c r="B7624" s="1" t="n">
        <v>45021</v>
      </c>
      <c r="C7624" s="1" t="n">
        <v>45715</v>
      </c>
      <c r="D7624" t="inlineStr">
        <is>
          <t>KALMAR LÄN</t>
        </is>
      </c>
      <c r="E7624" t="inlineStr">
        <is>
          <t>VÄSTERVIK</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15699-2023</t>
        </is>
      </c>
      <c r="B7625" s="1" t="n">
        <v>45021</v>
      </c>
      <c r="C7625" s="1" t="n">
        <v>45715</v>
      </c>
      <c r="D7625" t="inlineStr">
        <is>
          <t>KALMAR LÄN</t>
        </is>
      </c>
      <c r="E7625" t="inlineStr">
        <is>
          <t>EMMABODA</t>
        </is>
      </c>
      <c r="G7625" t="n">
        <v>5.3</v>
      </c>
      <c r="H7625" t="n">
        <v>0</v>
      </c>
      <c r="I7625" t="n">
        <v>0</v>
      </c>
      <c r="J7625" t="n">
        <v>0</v>
      </c>
      <c r="K7625" t="n">
        <v>0</v>
      </c>
      <c r="L7625" t="n">
        <v>0</v>
      </c>
      <c r="M7625" t="n">
        <v>0</v>
      </c>
      <c r="N7625" t="n">
        <v>0</v>
      </c>
      <c r="O7625" t="n">
        <v>0</v>
      </c>
      <c r="P7625" t="n">
        <v>0</v>
      </c>
      <c r="Q7625" t="n">
        <v>0</v>
      </c>
      <c r="R7625" s="2" t="inlineStr"/>
    </row>
    <row r="7626" ht="15" customHeight="1">
      <c r="A7626" t="inlineStr">
        <is>
          <t>A 15735-2023</t>
        </is>
      </c>
      <c r="B7626" s="1" t="n">
        <v>45021</v>
      </c>
      <c r="C7626" s="1" t="n">
        <v>45715</v>
      </c>
      <c r="D7626" t="inlineStr">
        <is>
          <t>KALMAR LÄN</t>
        </is>
      </c>
      <c r="E7626" t="inlineStr">
        <is>
          <t>NYBRO</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15740-2023</t>
        </is>
      </c>
      <c r="B7627" s="1" t="n">
        <v>45021</v>
      </c>
      <c r="C7627" s="1" t="n">
        <v>45715</v>
      </c>
      <c r="D7627" t="inlineStr">
        <is>
          <t>KALMAR LÄN</t>
        </is>
      </c>
      <c r="E7627" t="inlineStr">
        <is>
          <t>VIMMERBY</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15782-2023</t>
        </is>
      </c>
      <c r="B7628" s="1" t="n">
        <v>45021</v>
      </c>
      <c r="C7628" s="1" t="n">
        <v>45715</v>
      </c>
      <c r="D7628" t="inlineStr">
        <is>
          <t>KALMAR LÄN</t>
        </is>
      </c>
      <c r="E7628" t="inlineStr">
        <is>
          <t>OSKARSHAMN</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15781-2023</t>
        </is>
      </c>
      <c r="B7629" s="1" t="n">
        <v>45021</v>
      </c>
      <c r="C7629" s="1" t="n">
        <v>45715</v>
      </c>
      <c r="D7629" t="inlineStr">
        <is>
          <t>KALMAR LÄN</t>
        </is>
      </c>
      <c r="E7629" t="inlineStr">
        <is>
          <t>EMMABODA</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15787-2023</t>
        </is>
      </c>
      <c r="B7630" s="1" t="n">
        <v>45021</v>
      </c>
      <c r="C7630" s="1" t="n">
        <v>45715</v>
      </c>
      <c r="D7630" t="inlineStr">
        <is>
          <t>KALMAR LÄN</t>
        </is>
      </c>
      <c r="E7630" t="inlineStr">
        <is>
          <t>EMMABODA</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15829-2023</t>
        </is>
      </c>
      <c r="B7631" s="1" t="n">
        <v>45022</v>
      </c>
      <c r="C7631" s="1" t="n">
        <v>45715</v>
      </c>
      <c r="D7631" t="inlineStr">
        <is>
          <t>KALMAR LÄN</t>
        </is>
      </c>
      <c r="E7631" t="inlineStr">
        <is>
          <t>NYBRO</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15875-2023</t>
        </is>
      </c>
      <c r="B7632" s="1" t="n">
        <v>45022</v>
      </c>
      <c r="C7632" s="1" t="n">
        <v>45715</v>
      </c>
      <c r="D7632" t="inlineStr">
        <is>
          <t>KALMAR LÄN</t>
        </is>
      </c>
      <c r="E7632" t="inlineStr">
        <is>
          <t>VÄSTERVIK</t>
        </is>
      </c>
      <c r="F7632" t="inlineStr">
        <is>
          <t>Kyrkan</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15898-2023</t>
        </is>
      </c>
      <c r="B7633" s="1" t="n">
        <v>45022</v>
      </c>
      <c r="C7633" s="1" t="n">
        <v>45715</v>
      </c>
      <c r="D7633" t="inlineStr">
        <is>
          <t>KALMAR LÄN</t>
        </is>
      </c>
      <c r="E7633" t="inlineStr">
        <is>
          <t>NYBRO</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15925-2023</t>
        </is>
      </c>
      <c r="B7634" s="1" t="n">
        <v>45022</v>
      </c>
      <c r="C7634" s="1" t="n">
        <v>45715</v>
      </c>
      <c r="D7634" t="inlineStr">
        <is>
          <t>KALMAR LÄN</t>
        </is>
      </c>
      <c r="E7634" t="inlineStr">
        <is>
          <t>OSKARSHAMN</t>
        </is>
      </c>
      <c r="G7634" t="n">
        <v>8.6</v>
      </c>
      <c r="H7634" t="n">
        <v>0</v>
      </c>
      <c r="I7634" t="n">
        <v>0</v>
      </c>
      <c r="J7634" t="n">
        <v>0</v>
      </c>
      <c r="K7634" t="n">
        <v>0</v>
      </c>
      <c r="L7634" t="n">
        <v>0</v>
      </c>
      <c r="M7634" t="n">
        <v>0</v>
      </c>
      <c r="N7634" t="n">
        <v>0</v>
      </c>
      <c r="O7634" t="n">
        <v>0</v>
      </c>
      <c r="P7634" t="n">
        <v>0</v>
      </c>
      <c r="Q7634" t="n">
        <v>0</v>
      </c>
      <c r="R7634" s="2" t="inlineStr"/>
    </row>
    <row r="7635" ht="15" customHeight="1">
      <c r="A7635" t="inlineStr">
        <is>
          <t>A 15828-2023</t>
        </is>
      </c>
      <c r="B7635" s="1" t="n">
        <v>45022</v>
      </c>
      <c r="C7635" s="1" t="n">
        <v>45715</v>
      </c>
      <c r="D7635" t="inlineStr">
        <is>
          <t>KALMAR LÄN</t>
        </is>
      </c>
      <c r="E7635" t="inlineStr">
        <is>
          <t>NYBRO</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15830-2023</t>
        </is>
      </c>
      <c r="B7636" s="1" t="n">
        <v>45022</v>
      </c>
      <c r="C7636" s="1" t="n">
        <v>45715</v>
      </c>
      <c r="D7636" t="inlineStr">
        <is>
          <t>KALMAR LÄN</t>
        </is>
      </c>
      <c r="E7636" t="inlineStr">
        <is>
          <t>NYBRO</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15932-2023</t>
        </is>
      </c>
      <c r="B7637" s="1" t="n">
        <v>45022</v>
      </c>
      <c r="C7637" s="1" t="n">
        <v>45715</v>
      </c>
      <c r="D7637" t="inlineStr">
        <is>
          <t>KALMAR LÄN</t>
        </is>
      </c>
      <c r="E7637" t="inlineStr">
        <is>
          <t>OSKARSHAMN</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15831-2023</t>
        </is>
      </c>
      <c r="B7638" s="1" t="n">
        <v>45022</v>
      </c>
      <c r="C7638" s="1" t="n">
        <v>45715</v>
      </c>
      <c r="D7638" t="inlineStr">
        <is>
          <t>KALMAR LÄN</t>
        </is>
      </c>
      <c r="E7638" t="inlineStr">
        <is>
          <t>NYBRO</t>
        </is>
      </c>
      <c r="G7638" t="n">
        <v>5.8</v>
      </c>
      <c r="H7638" t="n">
        <v>0</v>
      </c>
      <c r="I7638" t="n">
        <v>0</v>
      </c>
      <c r="J7638" t="n">
        <v>0</v>
      </c>
      <c r="K7638" t="n">
        <v>0</v>
      </c>
      <c r="L7638" t="n">
        <v>0</v>
      </c>
      <c r="M7638" t="n">
        <v>0</v>
      </c>
      <c r="N7638" t="n">
        <v>0</v>
      </c>
      <c r="O7638" t="n">
        <v>0</v>
      </c>
      <c r="P7638" t="n">
        <v>0</v>
      </c>
      <c r="Q7638" t="n">
        <v>0</v>
      </c>
      <c r="R7638" s="2" t="inlineStr"/>
    </row>
    <row r="7639" ht="15" customHeight="1">
      <c r="A7639" t="inlineStr">
        <is>
          <t>A 15895-2023</t>
        </is>
      </c>
      <c r="B7639" s="1" t="n">
        <v>45022</v>
      </c>
      <c r="C7639" s="1" t="n">
        <v>45715</v>
      </c>
      <c r="D7639" t="inlineStr">
        <is>
          <t>KALMAR LÄN</t>
        </is>
      </c>
      <c r="E7639" t="inlineStr">
        <is>
          <t>OSKARSHAMN</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15962-2023</t>
        </is>
      </c>
      <c r="B7640" s="1" t="n">
        <v>45022</v>
      </c>
      <c r="C7640" s="1" t="n">
        <v>45715</v>
      </c>
      <c r="D7640" t="inlineStr">
        <is>
          <t>KALMAR LÄN</t>
        </is>
      </c>
      <c r="E7640" t="inlineStr">
        <is>
          <t>EMMABODA</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15960-2023</t>
        </is>
      </c>
      <c r="B7641" s="1" t="n">
        <v>45022</v>
      </c>
      <c r="C7641" s="1" t="n">
        <v>45715</v>
      </c>
      <c r="D7641" t="inlineStr">
        <is>
          <t>KALMAR LÄN</t>
        </is>
      </c>
      <c r="E7641" t="inlineStr">
        <is>
          <t>EMMABODA</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15969-2023</t>
        </is>
      </c>
      <c r="B7642" s="1" t="n">
        <v>45022</v>
      </c>
      <c r="C7642" s="1" t="n">
        <v>45715</v>
      </c>
      <c r="D7642" t="inlineStr">
        <is>
          <t>KALMAR LÄN</t>
        </is>
      </c>
      <c r="E7642" t="inlineStr">
        <is>
          <t>HULTSFRED</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16428-2023</t>
        </is>
      </c>
      <c r="B7643" s="1" t="n">
        <v>45022</v>
      </c>
      <c r="C7643" s="1" t="n">
        <v>45715</v>
      </c>
      <c r="D7643" t="inlineStr">
        <is>
          <t>KALMAR LÄN</t>
        </is>
      </c>
      <c r="E7643" t="inlineStr">
        <is>
          <t>MÖNSTERÅS</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16437-2023</t>
        </is>
      </c>
      <c r="B7644" s="1" t="n">
        <v>45022</v>
      </c>
      <c r="C7644" s="1" t="n">
        <v>45715</v>
      </c>
      <c r="D7644" t="inlineStr">
        <is>
          <t>KALMAR LÄN</t>
        </is>
      </c>
      <c r="E7644" t="inlineStr">
        <is>
          <t>MÖNSTERÅS</t>
        </is>
      </c>
      <c r="G7644" t="n">
        <v>5.2</v>
      </c>
      <c r="H7644" t="n">
        <v>0</v>
      </c>
      <c r="I7644" t="n">
        <v>0</v>
      </c>
      <c r="J7644" t="n">
        <v>0</v>
      </c>
      <c r="K7644" t="n">
        <v>0</v>
      </c>
      <c r="L7644" t="n">
        <v>0</v>
      </c>
      <c r="M7644" t="n">
        <v>0</v>
      </c>
      <c r="N7644" t="n">
        <v>0</v>
      </c>
      <c r="O7644" t="n">
        <v>0</v>
      </c>
      <c r="P7644" t="n">
        <v>0</v>
      </c>
      <c r="Q7644" t="n">
        <v>0</v>
      </c>
      <c r="R7644" s="2" t="inlineStr"/>
    </row>
    <row r="7645" ht="15" customHeight="1">
      <c r="A7645" t="inlineStr">
        <is>
          <t>A 15993-2023</t>
        </is>
      </c>
      <c r="B7645" s="1" t="n">
        <v>45023</v>
      </c>
      <c r="C7645" s="1" t="n">
        <v>45715</v>
      </c>
      <c r="D7645" t="inlineStr">
        <is>
          <t>KALMAR LÄN</t>
        </is>
      </c>
      <c r="E7645" t="inlineStr">
        <is>
          <t>VIMMERBY</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16495-2023</t>
        </is>
      </c>
      <c r="B7646" s="1" t="n">
        <v>45026</v>
      </c>
      <c r="C7646" s="1" t="n">
        <v>45715</v>
      </c>
      <c r="D7646" t="inlineStr">
        <is>
          <t>KALMAR LÄN</t>
        </is>
      </c>
      <c r="E7646" t="inlineStr">
        <is>
          <t>HULTSFRED</t>
        </is>
      </c>
      <c r="G7646" t="n">
        <v>12.6</v>
      </c>
      <c r="H7646" t="n">
        <v>0</v>
      </c>
      <c r="I7646" t="n">
        <v>0</v>
      </c>
      <c r="J7646" t="n">
        <v>0</v>
      </c>
      <c r="K7646" t="n">
        <v>0</v>
      </c>
      <c r="L7646" t="n">
        <v>0</v>
      </c>
      <c r="M7646" t="n">
        <v>0</v>
      </c>
      <c r="N7646" t="n">
        <v>0</v>
      </c>
      <c r="O7646" t="n">
        <v>0</v>
      </c>
      <c r="P7646" t="n">
        <v>0</v>
      </c>
      <c r="Q7646" t="n">
        <v>0</v>
      </c>
      <c r="R7646" s="2" t="inlineStr"/>
    </row>
    <row r="7647" ht="15" customHeight="1">
      <c r="A7647" t="inlineStr">
        <is>
          <t>A 16020-2023</t>
        </is>
      </c>
      <c r="B7647" s="1" t="n">
        <v>45026</v>
      </c>
      <c r="C7647" s="1" t="n">
        <v>45715</v>
      </c>
      <c r="D7647" t="inlineStr">
        <is>
          <t>KALMAR LÄN</t>
        </is>
      </c>
      <c r="E7647" t="inlineStr">
        <is>
          <t>VIMMERBY</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16069-2023</t>
        </is>
      </c>
      <c r="B7648" s="1" t="n">
        <v>45027</v>
      </c>
      <c r="C7648" s="1" t="n">
        <v>45715</v>
      </c>
      <c r="D7648" t="inlineStr">
        <is>
          <t>KALMAR LÄN</t>
        </is>
      </c>
      <c r="E7648" t="inlineStr">
        <is>
          <t>KALMAR</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16085-2023</t>
        </is>
      </c>
      <c r="B7649" s="1" t="n">
        <v>45027</v>
      </c>
      <c r="C7649" s="1" t="n">
        <v>45715</v>
      </c>
      <c r="D7649" t="inlineStr">
        <is>
          <t>KALMAR LÄN</t>
        </is>
      </c>
      <c r="E7649" t="inlineStr">
        <is>
          <t>HULTSFRED</t>
        </is>
      </c>
      <c r="F7649" t="inlineStr">
        <is>
          <t>Övriga Aktiebolag</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16120-2023</t>
        </is>
      </c>
      <c r="B7650" s="1" t="n">
        <v>45027</v>
      </c>
      <c r="C7650" s="1" t="n">
        <v>45715</v>
      </c>
      <c r="D7650" t="inlineStr">
        <is>
          <t>KALMAR LÄN</t>
        </is>
      </c>
      <c r="E7650" t="inlineStr">
        <is>
          <t>OSKARSHAMN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16119-2023</t>
        </is>
      </c>
      <c r="B7651" s="1" t="n">
        <v>45027</v>
      </c>
      <c r="C7651" s="1" t="n">
        <v>45715</v>
      </c>
      <c r="D7651" t="inlineStr">
        <is>
          <t>KALMAR LÄN</t>
        </is>
      </c>
      <c r="E7651" t="inlineStr">
        <is>
          <t>VIMMERBY</t>
        </is>
      </c>
      <c r="F7651" t="inlineStr">
        <is>
          <t>Kommuner</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16149-2023</t>
        </is>
      </c>
      <c r="B7652" s="1" t="n">
        <v>45027</v>
      </c>
      <c r="C7652" s="1" t="n">
        <v>45715</v>
      </c>
      <c r="D7652" t="inlineStr">
        <is>
          <t>KALMAR LÄN</t>
        </is>
      </c>
      <c r="E7652" t="inlineStr">
        <is>
          <t>KALMAR</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16117-2023</t>
        </is>
      </c>
      <c r="B7653" s="1" t="n">
        <v>45027</v>
      </c>
      <c r="C7653" s="1" t="n">
        <v>45715</v>
      </c>
      <c r="D7653" t="inlineStr">
        <is>
          <t>KALMAR LÄN</t>
        </is>
      </c>
      <c r="E7653" t="inlineStr">
        <is>
          <t>OSKARSHAMN</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16127-2023</t>
        </is>
      </c>
      <c r="B7654" s="1" t="n">
        <v>45027</v>
      </c>
      <c r="C7654" s="1" t="n">
        <v>45715</v>
      </c>
      <c r="D7654" t="inlineStr">
        <is>
          <t>KALMAR LÄN</t>
        </is>
      </c>
      <c r="E7654" t="inlineStr">
        <is>
          <t>OSKARSHAMN</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16152-2023</t>
        </is>
      </c>
      <c r="B7655" s="1" t="n">
        <v>45027</v>
      </c>
      <c r="C7655" s="1" t="n">
        <v>45715</v>
      </c>
      <c r="D7655" t="inlineStr">
        <is>
          <t>KALMAR LÄN</t>
        </is>
      </c>
      <c r="E7655" t="inlineStr">
        <is>
          <t>TORSÅS</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16160-2023</t>
        </is>
      </c>
      <c r="B7656" s="1" t="n">
        <v>45027</v>
      </c>
      <c r="C7656" s="1" t="n">
        <v>45715</v>
      </c>
      <c r="D7656" t="inlineStr">
        <is>
          <t>KALMAR LÄN</t>
        </is>
      </c>
      <c r="E7656" t="inlineStr">
        <is>
          <t>HÖGSBY</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16215-2023</t>
        </is>
      </c>
      <c r="B7657" s="1" t="n">
        <v>45028</v>
      </c>
      <c r="C7657" s="1" t="n">
        <v>45715</v>
      </c>
      <c r="D7657" t="inlineStr">
        <is>
          <t>KALMAR LÄN</t>
        </is>
      </c>
      <c r="E7657" t="inlineStr">
        <is>
          <t>OSKARSHAMN</t>
        </is>
      </c>
      <c r="G7657" t="n">
        <v>4.2</v>
      </c>
      <c r="H7657" t="n">
        <v>0</v>
      </c>
      <c r="I7657" t="n">
        <v>0</v>
      </c>
      <c r="J7657" t="n">
        <v>0</v>
      </c>
      <c r="K7657" t="n">
        <v>0</v>
      </c>
      <c r="L7657" t="n">
        <v>0</v>
      </c>
      <c r="M7657" t="n">
        <v>0</v>
      </c>
      <c r="N7657" t="n">
        <v>0</v>
      </c>
      <c r="O7657" t="n">
        <v>0</v>
      </c>
      <c r="P7657" t="n">
        <v>0</v>
      </c>
      <c r="Q7657" t="n">
        <v>0</v>
      </c>
      <c r="R7657" s="2" t="inlineStr"/>
    </row>
    <row r="7658" ht="15" customHeight="1">
      <c r="A7658" t="inlineStr">
        <is>
          <t>A 16236-2023</t>
        </is>
      </c>
      <c r="B7658" s="1" t="n">
        <v>45028</v>
      </c>
      <c r="C7658" s="1" t="n">
        <v>45715</v>
      </c>
      <c r="D7658" t="inlineStr">
        <is>
          <t>KALMAR LÄN</t>
        </is>
      </c>
      <c r="E7658" t="inlineStr">
        <is>
          <t>EMMABODA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16325-2023</t>
        </is>
      </c>
      <c r="B7659" s="1" t="n">
        <v>45028</v>
      </c>
      <c r="C7659" s="1" t="n">
        <v>45715</v>
      </c>
      <c r="D7659" t="inlineStr">
        <is>
          <t>KALMAR LÄN</t>
        </is>
      </c>
      <c r="E7659" t="inlineStr">
        <is>
          <t>KALMAR</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16338-2023</t>
        </is>
      </c>
      <c r="B7660" s="1" t="n">
        <v>45028</v>
      </c>
      <c r="C7660" s="1" t="n">
        <v>45715</v>
      </c>
      <c r="D7660" t="inlineStr">
        <is>
          <t>KALMAR LÄN</t>
        </is>
      </c>
      <c r="E7660" t="inlineStr">
        <is>
          <t>NYBRO</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16331-2023</t>
        </is>
      </c>
      <c r="B7661" s="1" t="n">
        <v>45028</v>
      </c>
      <c r="C7661" s="1" t="n">
        <v>45715</v>
      </c>
      <c r="D7661" t="inlineStr">
        <is>
          <t>KALMAR LÄN</t>
        </is>
      </c>
      <c r="E7661" t="inlineStr">
        <is>
          <t>KALMAR</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16326-2023</t>
        </is>
      </c>
      <c r="B7662" s="1" t="n">
        <v>45028</v>
      </c>
      <c r="C7662" s="1" t="n">
        <v>45715</v>
      </c>
      <c r="D7662" t="inlineStr">
        <is>
          <t>KALMAR LÄN</t>
        </is>
      </c>
      <c r="E7662" t="inlineStr">
        <is>
          <t>KALMAR</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16270-2023</t>
        </is>
      </c>
      <c r="B7663" s="1" t="n">
        <v>45028</v>
      </c>
      <c r="C7663" s="1" t="n">
        <v>45715</v>
      </c>
      <c r="D7663" t="inlineStr">
        <is>
          <t>KALMAR LÄN</t>
        </is>
      </c>
      <c r="E7663" t="inlineStr">
        <is>
          <t>HULTSFRED</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16296-2023</t>
        </is>
      </c>
      <c r="B7664" s="1" t="n">
        <v>45028</v>
      </c>
      <c r="C7664" s="1" t="n">
        <v>45715</v>
      </c>
      <c r="D7664" t="inlineStr">
        <is>
          <t>KALMAR LÄN</t>
        </is>
      </c>
      <c r="E7664" t="inlineStr">
        <is>
          <t>NYBRO</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16324-2023</t>
        </is>
      </c>
      <c r="B7665" s="1" t="n">
        <v>45028</v>
      </c>
      <c r="C7665" s="1" t="n">
        <v>45715</v>
      </c>
      <c r="D7665" t="inlineStr">
        <is>
          <t>KALMAR LÄN</t>
        </is>
      </c>
      <c r="E7665" t="inlineStr">
        <is>
          <t>MÖNSTERÅS</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16676-2023</t>
        </is>
      </c>
      <c r="B7666" s="1" t="n">
        <v>45028</v>
      </c>
      <c r="C7666" s="1" t="n">
        <v>45715</v>
      </c>
      <c r="D7666" t="inlineStr">
        <is>
          <t>KALMAR LÄN</t>
        </is>
      </c>
      <c r="E7666" t="inlineStr">
        <is>
          <t>VIMMERBY</t>
        </is>
      </c>
      <c r="G7666" t="n">
        <v>9.699999999999999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16409-2023</t>
        </is>
      </c>
      <c r="B7667" s="1" t="n">
        <v>45029</v>
      </c>
      <c r="C7667" s="1" t="n">
        <v>45715</v>
      </c>
      <c r="D7667" t="inlineStr">
        <is>
          <t>KALMAR LÄN</t>
        </is>
      </c>
      <c r="E7667" t="inlineStr">
        <is>
          <t>TORSÅS</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16485-2023</t>
        </is>
      </c>
      <c r="B7668" s="1" t="n">
        <v>45029</v>
      </c>
      <c r="C7668" s="1" t="n">
        <v>45715</v>
      </c>
      <c r="D7668" t="inlineStr">
        <is>
          <t>KALMAR LÄN</t>
        </is>
      </c>
      <c r="E7668" t="inlineStr">
        <is>
          <t>VÄSTERVIK</t>
        </is>
      </c>
      <c r="F7668" t="inlineStr">
        <is>
          <t>Sveaskog</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16508-2023</t>
        </is>
      </c>
      <c r="B7669" s="1" t="n">
        <v>45029</v>
      </c>
      <c r="C7669" s="1" t="n">
        <v>45715</v>
      </c>
      <c r="D7669" t="inlineStr">
        <is>
          <t>KALMAR LÄN</t>
        </is>
      </c>
      <c r="E7669" t="inlineStr">
        <is>
          <t>EMMABODA</t>
        </is>
      </c>
      <c r="G7669" t="n">
        <v>6.7</v>
      </c>
      <c r="H7669" t="n">
        <v>0</v>
      </c>
      <c r="I7669" t="n">
        <v>0</v>
      </c>
      <c r="J7669" t="n">
        <v>0</v>
      </c>
      <c r="K7669" t="n">
        <v>0</v>
      </c>
      <c r="L7669" t="n">
        <v>0</v>
      </c>
      <c r="M7669" t="n">
        <v>0</v>
      </c>
      <c r="N7669" t="n">
        <v>0</v>
      </c>
      <c r="O7669" t="n">
        <v>0</v>
      </c>
      <c r="P7669" t="n">
        <v>0</v>
      </c>
      <c r="Q7669" t="n">
        <v>0</v>
      </c>
      <c r="R7669" s="2" t="inlineStr"/>
    </row>
    <row r="7670" ht="15" customHeight="1">
      <c r="A7670" t="inlineStr">
        <is>
          <t>A 16506-2023</t>
        </is>
      </c>
      <c r="B7670" s="1" t="n">
        <v>45029</v>
      </c>
      <c r="C7670" s="1" t="n">
        <v>45715</v>
      </c>
      <c r="D7670" t="inlineStr">
        <is>
          <t>KALMAR LÄN</t>
        </is>
      </c>
      <c r="E7670" t="inlineStr">
        <is>
          <t>VÄSTERVIK</t>
        </is>
      </c>
      <c r="F7670" t="inlineStr">
        <is>
          <t>Sveaskog</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16516-2023</t>
        </is>
      </c>
      <c r="B7671" s="1" t="n">
        <v>45029</v>
      </c>
      <c r="C7671" s="1" t="n">
        <v>45715</v>
      </c>
      <c r="D7671" t="inlineStr">
        <is>
          <t>KALMAR LÄN</t>
        </is>
      </c>
      <c r="E7671" t="inlineStr">
        <is>
          <t>VIMMERBY</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16528-2023</t>
        </is>
      </c>
      <c r="B7672" s="1" t="n">
        <v>45029</v>
      </c>
      <c r="C7672" s="1" t="n">
        <v>45715</v>
      </c>
      <c r="D7672" t="inlineStr">
        <is>
          <t>KALMAR LÄN</t>
        </is>
      </c>
      <c r="E7672" t="inlineStr">
        <is>
          <t>HULTSFRED</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16507-2023</t>
        </is>
      </c>
      <c r="B7673" s="1" t="n">
        <v>45029</v>
      </c>
      <c r="C7673" s="1" t="n">
        <v>45715</v>
      </c>
      <c r="D7673" t="inlineStr">
        <is>
          <t>KALMAR LÄN</t>
        </is>
      </c>
      <c r="E7673" t="inlineStr">
        <is>
          <t>VÄSTERVIK</t>
        </is>
      </c>
      <c r="F7673" t="inlineStr">
        <is>
          <t>Sveaskog</t>
        </is>
      </c>
      <c r="G7673" t="n">
        <v>5.6</v>
      </c>
      <c r="H7673" t="n">
        <v>0</v>
      </c>
      <c r="I7673" t="n">
        <v>0</v>
      </c>
      <c r="J7673" t="n">
        <v>0</v>
      </c>
      <c r="K7673" t="n">
        <v>0</v>
      </c>
      <c r="L7673" t="n">
        <v>0</v>
      </c>
      <c r="M7673" t="n">
        <v>0</v>
      </c>
      <c r="N7673" t="n">
        <v>0</v>
      </c>
      <c r="O7673" t="n">
        <v>0</v>
      </c>
      <c r="P7673" t="n">
        <v>0</v>
      </c>
      <c r="Q7673" t="n">
        <v>0</v>
      </c>
      <c r="R7673" s="2" t="inlineStr"/>
    </row>
    <row r="7674" ht="15" customHeight="1">
      <c r="A7674" t="inlineStr">
        <is>
          <t>A 16617-2023</t>
        </is>
      </c>
      <c r="B7674" s="1" t="n">
        <v>45030</v>
      </c>
      <c r="C7674" s="1" t="n">
        <v>45715</v>
      </c>
      <c r="D7674" t="inlineStr">
        <is>
          <t>KALMAR LÄN</t>
        </is>
      </c>
      <c r="E7674" t="inlineStr">
        <is>
          <t>VÄSTERVIK</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16734-2023</t>
        </is>
      </c>
      <c r="B7675" s="1" t="n">
        <v>45030</v>
      </c>
      <c r="C7675" s="1" t="n">
        <v>45715</v>
      </c>
      <c r="D7675" t="inlineStr">
        <is>
          <t>KALMAR LÄN</t>
        </is>
      </c>
      <c r="E7675" t="inlineStr">
        <is>
          <t>VIMMERBY</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17159-2023</t>
        </is>
      </c>
      <c r="B7676" s="1" t="n">
        <v>45030</v>
      </c>
      <c r="C7676" s="1" t="n">
        <v>45715</v>
      </c>
      <c r="D7676" t="inlineStr">
        <is>
          <t>KALMAR LÄN</t>
        </is>
      </c>
      <c r="E7676" t="inlineStr">
        <is>
          <t>HULTSFRED</t>
        </is>
      </c>
      <c r="F7676" t="inlineStr">
        <is>
          <t>Kommuner</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17115-2023</t>
        </is>
      </c>
      <c r="B7677" s="1" t="n">
        <v>45030</v>
      </c>
      <c r="C7677" s="1" t="n">
        <v>45715</v>
      </c>
      <c r="D7677" t="inlineStr">
        <is>
          <t>KALMAR LÄN</t>
        </is>
      </c>
      <c r="E7677" t="inlineStr">
        <is>
          <t>HULTSFRED</t>
        </is>
      </c>
      <c r="F7677" t="inlineStr">
        <is>
          <t>Kommuner</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16750-2023</t>
        </is>
      </c>
      <c r="B7678" s="1" t="n">
        <v>45030</v>
      </c>
      <c r="C7678" s="1" t="n">
        <v>45715</v>
      </c>
      <c r="D7678" t="inlineStr">
        <is>
          <t>KALMAR LÄN</t>
        </is>
      </c>
      <c r="E7678" t="inlineStr">
        <is>
          <t>VIMMERBY</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16822-2023</t>
        </is>
      </c>
      <c r="B7679" s="1" t="n">
        <v>45033</v>
      </c>
      <c r="C7679" s="1" t="n">
        <v>45715</v>
      </c>
      <c r="D7679" t="inlineStr">
        <is>
          <t>KALMAR LÄN</t>
        </is>
      </c>
      <c r="E7679" t="inlineStr">
        <is>
          <t>HULTSFRED</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16834-2023</t>
        </is>
      </c>
      <c r="B7680" s="1" t="n">
        <v>45033</v>
      </c>
      <c r="C7680" s="1" t="n">
        <v>45715</v>
      </c>
      <c r="D7680" t="inlineStr">
        <is>
          <t>KALMAR LÄN</t>
        </is>
      </c>
      <c r="E7680" t="inlineStr">
        <is>
          <t>VÄSTERVIK</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16819-2023</t>
        </is>
      </c>
      <c r="B7681" s="1" t="n">
        <v>45033</v>
      </c>
      <c r="C7681" s="1" t="n">
        <v>45715</v>
      </c>
      <c r="D7681" t="inlineStr">
        <is>
          <t>KALMAR LÄN</t>
        </is>
      </c>
      <c r="E7681" t="inlineStr">
        <is>
          <t>VÄSTERVIK</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16927-2023</t>
        </is>
      </c>
      <c r="B7682" s="1" t="n">
        <v>45033</v>
      </c>
      <c r="C7682" s="1" t="n">
        <v>45715</v>
      </c>
      <c r="D7682" t="inlineStr">
        <is>
          <t>KALMAR LÄN</t>
        </is>
      </c>
      <c r="E7682" t="inlineStr">
        <is>
          <t>VIMMERBY</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16983-2023</t>
        </is>
      </c>
      <c r="B7683" s="1" t="n">
        <v>45033</v>
      </c>
      <c r="C7683" s="1" t="n">
        <v>45715</v>
      </c>
      <c r="D7683" t="inlineStr">
        <is>
          <t>KALMAR LÄN</t>
        </is>
      </c>
      <c r="E7683" t="inlineStr">
        <is>
          <t>VIMMERBY</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17012-2023</t>
        </is>
      </c>
      <c r="B7684" s="1" t="n">
        <v>45034</v>
      </c>
      <c r="C7684" s="1" t="n">
        <v>45715</v>
      </c>
      <c r="D7684" t="inlineStr">
        <is>
          <t>KALMAR LÄN</t>
        </is>
      </c>
      <c r="E7684" t="inlineStr">
        <is>
          <t>HULTSFRED</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17085-2023</t>
        </is>
      </c>
      <c r="B7685" s="1" t="n">
        <v>45034</v>
      </c>
      <c r="C7685" s="1" t="n">
        <v>45715</v>
      </c>
      <c r="D7685" t="inlineStr">
        <is>
          <t>KALMAR LÄN</t>
        </is>
      </c>
      <c r="E7685" t="inlineStr">
        <is>
          <t>KALMAR</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17043-2023</t>
        </is>
      </c>
      <c r="B7686" s="1" t="n">
        <v>45034</v>
      </c>
      <c r="C7686" s="1" t="n">
        <v>45715</v>
      </c>
      <c r="D7686" t="inlineStr">
        <is>
          <t>KALMAR LÄN</t>
        </is>
      </c>
      <c r="E7686" t="inlineStr">
        <is>
          <t>OSKARSHAMN</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17050-2023</t>
        </is>
      </c>
      <c r="B7687" s="1" t="n">
        <v>45034</v>
      </c>
      <c r="C7687" s="1" t="n">
        <v>45715</v>
      </c>
      <c r="D7687" t="inlineStr">
        <is>
          <t>KALMAR LÄN</t>
        </is>
      </c>
      <c r="E7687" t="inlineStr">
        <is>
          <t>OSKARSHAMN</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17192-2023</t>
        </is>
      </c>
      <c r="B7688" s="1" t="n">
        <v>45034</v>
      </c>
      <c r="C7688" s="1" t="n">
        <v>45715</v>
      </c>
      <c r="D7688" t="inlineStr">
        <is>
          <t>KALMAR LÄN</t>
        </is>
      </c>
      <c r="E7688" t="inlineStr">
        <is>
          <t>OSKARSHAMN</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17067-2023</t>
        </is>
      </c>
      <c r="B7689" s="1" t="n">
        <v>45034</v>
      </c>
      <c r="C7689" s="1" t="n">
        <v>45715</v>
      </c>
      <c r="D7689" t="inlineStr">
        <is>
          <t>KALMAR LÄN</t>
        </is>
      </c>
      <c r="E7689" t="inlineStr">
        <is>
          <t>KALMAR</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17179-2023</t>
        </is>
      </c>
      <c r="B7690" s="1" t="n">
        <v>45034</v>
      </c>
      <c r="C7690" s="1" t="n">
        <v>45715</v>
      </c>
      <c r="D7690" t="inlineStr">
        <is>
          <t>KALMAR LÄN</t>
        </is>
      </c>
      <c r="E7690" t="inlineStr">
        <is>
          <t>OSKARSHAMN</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17123-2023</t>
        </is>
      </c>
      <c r="B7691" s="1" t="n">
        <v>45034</v>
      </c>
      <c r="C7691" s="1" t="n">
        <v>45715</v>
      </c>
      <c r="D7691" t="inlineStr">
        <is>
          <t>KALMAR LÄN</t>
        </is>
      </c>
      <c r="E7691" t="inlineStr">
        <is>
          <t>MÖNSTERÅS</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17215-2023</t>
        </is>
      </c>
      <c r="B7692" s="1" t="n">
        <v>45035</v>
      </c>
      <c r="C7692" s="1" t="n">
        <v>45715</v>
      </c>
      <c r="D7692" t="inlineStr">
        <is>
          <t>KALMAR LÄN</t>
        </is>
      </c>
      <c r="E7692" t="inlineStr">
        <is>
          <t>HÖGSBY</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17194-2023</t>
        </is>
      </c>
      <c r="B7693" s="1" t="n">
        <v>45034</v>
      </c>
      <c r="C7693" s="1" t="n">
        <v>45715</v>
      </c>
      <c r="D7693" t="inlineStr">
        <is>
          <t>KALMAR LÄN</t>
        </is>
      </c>
      <c r="E7693" t="inlineStr">
        <is>
          <t>OSKARSHAMN</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17216-2023</t>
        </is>
      </c>
      <c r="B7694" s="1" t="n">
        <v>45035</v>
      </c>
      <c r="C7694" s="1" t="n">
        <v>45715</v>
      </c>
      <c r="D7694" t="inlineStr">
        <is>
          <t>KALMAR LÄN</t>
        </is>
      </c>
      <c r="E7694" t="inlineStr">
        <is>
          <t>HÖGSBY</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17307-2023</t>
        </is>
      </c>
      <c r="B7695" s="1" t="n">
        <v>45035</v>
      </c>
      <c r="C7695" s="1" t="n">
        <v>45715</v>
      </c>
      <c r="D7695" t="inlineStr">
        <is>
          <t>KALMAR LÄN</t>
        </is>
      </c>
      <c r="E7695" t="inlineStr">
        <is>
          <t>VÄSTERVIK</t>
        </is>
      </c>
      <c r="G7695" t="n">
        <v>0</v>
      </c>
      <c r="H7695" t="n">
        <v>0</v>
      </c>
      <c r="I7695" t="n">
        <v>0</v>
      </c>
      <c r="J7695" t="n">
        <v>0</v>
      </c>
      <c r="K7695" t="n">
        <v>0</v>
      </c>
      <c r="L7695" t="n">
        <v>0</v>
      </c>
      <c r="M7695" t="n">
        <v>0</v>
      </c>
      <c r="N7695" t="n">
        <v>0</v>
      </c>
      <c r="O7695" t="n">
        <v>0</v>
      </c>
      <c r="P7695" t="n">
        <v>0</v>
      </c>
      <c r="Q7695" t="n">
        <v>0</v>
      </c>
      <c r="R7695" s="2" t="inlineStr"/>
    </row>
    <row r="7696" ht="15" customHeight="1">
      <c r="A7696" t="inlineStr">
        <is>
          <t>A 17314-2023</t>
        </is>
      </c>
      <c r="B7696" s="1" t="n">
        <v>45035</v>
      </c>
      <c r="C7696" s="1" t="n">
        <v>45715</v>
      </c>
      <c r="D7696" t="inlineStr">
        <is>
          <t>KALMAR LÄN</t>
        </is>
      </c>
      <c r="E7696" t="inlineStr">
        <is>
          <t>VÄSTERVIK</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17315-2023</t>
        </is>
      </c>
      <c r="B7697" s="1" t="n">
        <v>45035</v>
      </c>
      <c r="C7697" s="1" t="n">
        <v>45715</v>
      </c>
      <c r="D7697" t="inlineStr">
        <is>
          <t>KALMAR LÄN</t>
        </is>
      </c>
      <c r="E7697" t="inlineStr">
        <is>
          <t>VÄSTERVIK</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17306-2023</t>
        </is>
      </c>
      <c r="B7698" s="1" t="n">
        <v>45035</v>
      </c>
      <c r="C7698" s="1" t="n">
        <v>45715</v>
      </c>
      <c r="D7698" t="inlineStr">
        <is>
          <t>KALMAR LÄN</t>
        </is>
      </c>
      <c r="E7698" t="inlineStr">
        <is>
          <t>VÄSTERVIK</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17313-2023</t>
        </is>
      </c>
      <c r="B7699" s="1" t="n">
        <v>45035</v>
      </c>
      <c r="C7699" s="1" t="n">
        <v>45715</v>
      </c>
      <c r="D7699" t="inlineStr">
        <is>
          <t>KALMAR LÄN</t>
        </is>
      </c>
      <c r="E7699" t="inlineStr">
        <is>
          <t>VÄSTERVIK</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17317-2023</t>
        </is>
      </c>
      <c r="B7700" s="1" t="n">
        <v>45035</v>
      </c>
      <c r="C7700" s="1" t="n">
        <v>45715</v>
      </c>
      <c r="D7700" t="inlineStr">
        <is>
          <t>KALMAR LÄN</t>
        </is>
      </c>
      <c r="E7700" t="inlineStr">
        <is>
          <t>VÄSTERVIK</t>
        </is>
      </c>
      <c r="G7700" t="n">
        <v>2.5</v>
      </c>
      <c r="H7700" t="n">
        <v>0</v>
      </c>
      <c r="I7700" t="n">
        <v>0</v>
      </c>
      <c r="J7700" t="n">
        <v>0</v>
      </c>
      <c r="K7700" t="n">
        <v>0</v>
      </c>
      <c r="L7700" t="n">
        <v>0</v>
      </c>
      <c r="M7700" t="n">
        <v>0</v>
      </c>
      <c r="N7700" t="n">
        <v>0</v>
      </c>
      <c r="O7700" t="n">
        <v>0</v>
      </c>
      <c r="P7700" t="n">
        <v>0</v>
      </c>
      <c r="Q7700" t="n">
        <v>0</v>
      </c>
      <c r="R7700" s="2" t="inlineStr"/>
      <c r="U7700">
        <f>HYPERLINK("https://klasma.github.io/Logging_0883/knärot/A 17317-2023 karta knärot.png", "A 17317-2023")</f>
        <v/>
      </c>
      <c r="V7700">
        <f>HYPERLINK("https://klasma.github.io/Logging_0883/klagomål/A 17317-2023 FSC-klagomål.docx", "A 17317-2023")</f>
        <v/>
      </c>
      <c r="W7700">
        <f>HYPERLINK("https://klasma.github.io/Logging_0883/klagomålsmail/A 17317-2023 FSC-klagomål mail.docx", "A 17317-2023")</f>
        <v/>
      </c>
      <c r="X7700">
        <f>HYPERLINK("https://klasma.github.io/Logging_0883/tillsyn/A 17317-2023 tillsynsbegäran.docx", "A 17317-2023")</f>
        <v/>
      </c>
      <c r="Y7700">
        <f>HYPERLINK("https://klasma.github.io/Logging_0883/tillsynsmail/A 17317-2023 tillsynsbegäran mail.docx", "A 17317-2023")</f>
        <v/>
      </c>
    </row>
    <row r="7701" ht="15" customHeight="1">
      <c r="A7701" t="inlineStr">
        <is>
          <t>A 17605-2023</t>
        </is>
      </c>
      <c r="B7701" s="1" t="n">
        <v>45035</v>
      </c>
      <c r="C7701" s="1" t="n">
        <v>45715</v>
      </c>
      <c r="D7701" t="inlineStr">
        <is>
          <t>KALMAR LÄN</t>
        </is>
      </c>
      <c r="E7701" t="inlineStr">
        <is>
          <t>NYBRO</t>
        </is>
      </c>
      <c r="G7701" t="n">
        <v>15.1</v>
      </c>
      <c r="H7701" t="n">
        <v>0</v>
      </c>
      <c r="I7701" t="n">
        <v>0</v>
      </c>
      <c r="J7701" t="n">
        <v>0</v>
      </c>
      <c r="K7701" t="n">
        <v>0</v>
      </c>
      <c r="L7701" t="n">
        <v>0</v>
      </c>
      <c r="M7701" t="n">
        <v>0</v>
      </c>
      <c r="N7701" t="n">
        <v>0</v>
      </c>
      <c r="O7701" t="n">
        <v>0</v>
      </c>
      <c r="P7701" t="n">
        <v>0</v>
      </c>
      <c r="Q7701" t="n">
        <v>0</v>
      </c>
      <c r="R7701" s="2" t="inlineStr"/>
    </row>
    <row r="7702" ht="15" customHeight="1">
      <c r="A7702" t="inlineStr">
        <is>
          <t>A 17467-2023</t>
        </is>
      </c>
      <c r="B7702" s="1" t="n">
        <v>45036</v>
      </c>
      <c r="C7702" s="1" t="n">
        <v>45715</v>
      </c>
      <c r="D7702" t="inlineStr">
        <is>
          <t>KALMAR LÄN</t>
        </is>
      </c>
      <c r="E7702" t="inlineStr">
        <is>
          <t>VÄSTERVIK</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17525-2023</t>
        </is>
      </c>
      <c r="B7703" s="1" t="n">
        <v>45036</v>
      </c>
      <c r="C7703" s="1" t="n">
        <v>45715</v>
      </c>
      <c r="D7703" t="inlineStr">
        <is>
          <t>KALMAR LÄN</t>
        </is>
      </c>
      <c r="E7703" t="inlineStr">
        <is>
          <t>EMMABODA</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17642-2023</t>
        </is>
      </c>
      <c r="B7704" s="1" t="n">
        <v>45036</v>
      </c>
      <c r="C7704" s="1" t="n">
        <v>45715</v>
      </c>
      <c r="D7704" t="inlineStr">
        <is>
          <t>KALMAR LÄN</t>
        </is>
      </c>
      <c r="E7704" t="inlineStr">
        <is>
          <t>VÄSTERVIK</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17565-2023</t>
        </is>
      </c>
      <c r="B7705" s="1" t="n">
        <v>45036</v>
      </c>
      <c r="C7705" s="1" t="n">
        <v>45715</v>
      </c>
      <c r="D7705" t="inlineStr">
        <is>
          <t>KALMAR LÄN</t>
        </is>
      </c>
      <c r="E7705" t="inlineStr">
        <is>
          <t>HÖGSBY</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17644-2023</t>
        </is>
      </c>
      <c r="B7706" s="1" t="n">
        <v>45036</v>
      </c>
      <c r="C7706" s="1" t="n">
        <v>45715</v>
      </c>
      <c r="D7706" t="inlineStr">
        <is>
          <t>KALMAR LÄN</t>
        </is>
      </c>
      <c r="E7706" t="inlineStr">
        <is>
          <t>VÄSTERVIK</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17650-2023</t>
        </is>
      </c>
      <c r="B7707" s="1" t="n">
        <v>45036</v>
      </c>
      <c r="C7707" s="1" t="n">
        <v>45715</v>
      </c>
      <c r="D7707" t="inlineStr">
        <is>
          <t>KALMAR LÄN</t>
        </is>
      </c>
      <c r="E7707" t="inlineStr">
        <is>
          <t>VÄSTERVIK</t>
        </is>
      </c>
      <c r="G7707" t="n">
        <v>0.3</v>
      </c>
      <c r="H7707" t="n">
        <v>0</v>
      </c>
      <c r="I7707" t="n">
        <v>0</v>
      </c>
      <c r="J7707" t="n">
        <v>0</v>
      </c>
      <c r="K7707" t="n">
        <v>0</v>
      </c>
      <c r="L7707" t="n">
        <v>0</v>
      </c>
      <c r="M7707" t="n">
        <v>0</v>
      </c>
      <c r="N7707" t="n">
        <v>0</v>
      </c>
      <c r="O7707" t="n">
        <v>0</v>
      </c>
      <c r="P7707" t="n">
        <v>0</v>
      </c>
      <c r="Q7707" t="n">
        <v>0</v>
      </c>
      <c r="R7707" s="2" t="inlineStr"/>
    </row>
    <row r="7708" ht="15" customHeight="1">
      <c r="A7708" t="inlineStr">
        <is>
          <t>A 17561-2023</t>
        </is>
      </c>
      <c r="B7708" s="1" t="n">
        <v>45036</v>
      </c>
      <c r="C7708" s="1" t="n">
        <v>45715</v>
      </c>
      <c r="D7708" t="inlineStr">
        <is>
          <t>KALMAR LÄN</t>
        </is>
      </c>
      <c r="E7708" t="inlineStr">
        <is>
          <t>HÖGSBY</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17623-2023</t>
        </is>
      </c>
      <c r="B7709" s="1" t="n">
        <v>45036</v>
      </c>
      <c r="C7709" s="1" t="n">
        <v>45715</v>
      </c>
      <c r="D7709" t="inlineStr">
        <is>
          <t>KALMAR LÄN</t>
        </is>
      </c>
      <c r="E7709" t="inlineStr">
        <is>
          <t>OSKARSHAMN</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17645-2023</t>
        </is>
      </c>
      <c r="B7710" s="1" t="n">
        <v>45036</v>
      </c>
      <c r="C7710" s="1" t="n">
        <v>45715</v>
      </c>
      <c r="D7710" t="inlineStr">
        <is>
          <t>KALMAR LÄN</t>
        </is>
      </c>
      <c r="E7710" t="inlineStr">
        <is>
          <t>VÄSTERVIK</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17652-2023</t>
        </is>
      </c>
      <c r="B7711" s="1" t="n">
        <v>45036</v>
      </c>
      <c r="C7711" s="1" t="n">
        <v>45715</v>
      </c>
      <c r="D7711" t="inlineStr">
        <is>
          <t>KALMAR LÄN</t>
        </is>
      </c>
      <c r="E7711" t="inlineStr">
        <is>
          <t>VÄSTERVIK</t>
        </is>
      </c>
      <c r="G7711" t="n">
        <v>0.2</v>
      </c>
      <c r="H7711" t="n">
        <v>0</v>
      </c>
      <c r="I7711" t="n">
        <v>0</v>
      </c>
      <c r="J7711" t="n">
        <v>0</v>
      </c>
      <c r="K7711" t="n">
        <v>0</v>
      </c>
      <c r="L7711" t="n">
        <v>0</v>
      </c>
      <c r="M7711" t="n">
        <v>0</v>
      </c>
      <c r="N7711" t="n">
        <v>0</v>
      </c>
      <c r="O7711" t="n">
        <v>0</v>
      </c>
      <c r="P7711" t="n">
        <v>0</v>
      </c>
      <c r="Q7711" t="n">
        <v>0</v>
      </c>
      <c r="R7711" s="2" t="inlineStr"/>
    </row>
    <row r="7712" ht="15" customHeight="1">
      <c r="A7712" t="inlineStr">
        <is>
          <t>A 17643-2023</t>
        </is>
      </c>
      <c r="B7712" s="1" t="n">
        <v>45036</v>
      </c>
      <c r="C7712" s="1" t="n">
        <v>45715</v>
      </c>
      <c r="D7712" t="inlineStr">
        <is>
          <t>KALMAR LÄN</t>
        </is>
      </c>
      <c r="E7712" t="inlineStr">
        <is>
          <t>VÄSTERVIK</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17648-2023</t>
        </is>
      </c>
      <c r="B7713" s="1" t="n">
        <v>45036</v>
      </c>
      <c r="C7713" s="1" t="n">
        <v>45715</v>
      </c>
      <c r="D7713" t="inlineStr">
        <is>
          <t>KALMAR LÄN</t>
        </is>
      </c>
      <c r="E7713" t="inlineStr">
        <is>
          <t>VÄSTERVIK</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17757-2023</t>
        </is>
      </c>
      <c r="B7714" s="1" t="n">
        <v>45036</v>
      </c>
      <c r="C7714" s="1" t="n">
        <v>45715</v>
      </c>
      <c r="D7714" t="inlineStr">
        <is>
          <t>KALMAR LÄN</t>
        </is>
      </c>
      <c r="E7714" t="inlineStr">
        <is>
          <t>KALMAR</t>
        </is>
      </c>
      <c r="G7714" t="n">
        <v>3.5</v>
      </c>
      <c r="H7714" t="n">
        <v>0</v>
      </c>
      <c r="I7714" t="n">
        <v>0</v>
      </c>
      <c r="J7714" t="n">
        <v>0</v>
      </c>
      <c r="K7714" t="n">
        <v>0</v>
      </c>
      <c r="L7714" t="n">
        <v>0</v>
      </c>
      <c r="M7714" t="n">
        <v>0</v>
      </c>
      <c r="N7714" t="n">
        <v>0</v>
      </c>
      <c r="O7714" t="n">
        <v>0</v>
      </c>
      <c r="P7714" t="n">
        <v>0</v>
      </c>
      <c r="Q7714" t="n">
        <v>0</v>
      </c>
      <c r="R7714" s="2" t="inlineStr"/>
    </row>
    <row r="7715" ht="15" customHeight="1">
      <c r="A7715" t="inlineStr">
        <is>
          <t>A 17815-2023</t>
        </is>
      </c>
      <c r="B7715" s="1" t="n">
        <v>45036</v>
      </c>
      <c r="C7715" s="1" t="n">
        <v>45715</v>
      </c>
      <c r="D7715" t="inlineStr">
        <is>
          <t>KALMAR LÄN</t>
        </is>
      </c>
      <c r="E7715" t="inlineStr">
        <is>
          <t>TORSÅS</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17758-2023</t>
        </is>
      </c>
      <c r="B7716" s="1" t="n">
        <v>45037</v>
      </c>
      <c r="C7716" s="1" t="n">
        <v>45715</v>
      </c>
      <c r="D7716" t="inlineStr">
        <is>
          <t>KALMAR LÄN</t>
        </is>
      </c>
      <c r="E7716" t="inlineStr">
        <is>
          <t>VIMMERBY</t>
        </is>
      </c>
      <c r="F7716" t="inlineStr">
        <is>
          <t>Kommuner</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17749-2023</t>
        </is>
      </c>
      <c r="B7717" s="1" t="n">
        <v>45037</v>
      </c>
      <c r="C7717" s="1" t="n">
        <v>45715</v>
      </c>
      <c r="D7717" t="inlineStr">
        <is>
          <t>KALMAR LÄN</t>
        </is>
      </c>
      <c r="E7717" t="inlineStr">
        <is>
          <t>NYBRO</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17753-2023</t>
        </is>
      </c>
      <c r="B7718" s="1" t="n">
        <v>45037</v>
      </c>
      <c r="C7718" s="1" t="n">
        <v>45715</v>
      </c>
      <c r="D7718" t="inlineStr">
        <is>
          <t>KALMAR LÄN</t>
        </is>
      </c>
      <c r="E7718" t="inlineStr">
        <is>
          <t>MÖNSTERÅS</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17838-2023</t>
        </is>
      </c>
      <c r="B7719" s="1" t="n">
        <v>45037</v>
      </c>
      <c r="C7719" s="1" t="n">
        <v>45715</v>
      </c>
      <c r="D7719" t="inlineStr">
        <is>
          <t>KALMAR LÄN</t>
        </is>
      </c>
      <c r="E7719" t="inlineStr">
        <is>
          <t>EMMABODA</t>
        </is>
      </c>
      <c r="G7719" t="n">
        <v>8.300000000000001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17880-2023</t>
        </is>
      </c>
      <c r="B7720" s="1" t="n">
        <v>45039</v>
      </c>
      <c r="C7720" s="1" t="n">
        <v>45715</v>
      </c>
      <c r="D7720" t="inlineStr">
        <is>
          <t>KALMAR LÄN</t>
        </is>
      </c>
      <c r="E7720" t="inlineStr">
        <is>
          <t>HULTSFRED</t>
        </is>
      </c>
      <c r="F7720" t="inlineStr">
        <is>
          <t>Övriga Aktiebolag</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18049-2023</t>
        </is>
      </c>
      <c r="B7721" s="1" t="n">
        <v>45040</v>
      </c>
      <c r="C7721" s="1" t="n">
        <v>45715</v>
      </c>
      <c r="D7721" t="inlineStr">
        <is>
          <t>KALMAR LÄN</t>
        </is>
      </c>
      <c r="E7721" t="inlineStr">
        <is>
          <t>MÖNSTERÅS</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18051-2023</t>
        </is>
      </c>
      <c r="B7722" s="1" t="n">
        <v>45040</v>
      </c>
      <c r="C7722" s="1" t="n">
        <v>45715</v>
      </c>
      <c r="D7722" t="inlineStr">
        <is>
          <t>KALMAR LÄN</t>
        </is>
      </c>
      <c r="E7722" t="inlineStr">
        <is>
          <t>VÄSTERVIK</t>
        </is>
      </c>
      <c r="F7722" t="inlineStr">
        <is>
          <t>Sveaskog</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18071-2023</t>
        </is>
      </c>
      <c r="B7723" s="1" t="n">
        <v>45040</v>
      </c>
      <c r="C7723" s="1" t="n">
        <v>45715</v>
      </c>
      <c r="D7723" t="inlineStr">
        <is>
          <t>KALMAR LÄN</t>
        </is>
      </c>
      <c r="E7723" t="inlineStr">
        <is>
          <t>VÄSTERVIK</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17923-2023</t>
        </is>
      </c>
      <c r="B7724" s="1" t="n">
        <v>45040</v>
      </c>
      <c r="C7724" s="1" t="n">
        <v>45715</v>
      </c>
      <c r="D7724" t="inlineStr">
        <is>
          <t>KALMAR LÄN</t>
        </is>
      </c>
      <c r="E7724" t="inlineStr">
        <is>
          <t>EMMABODA</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17964-2023</t>
        </is>
      </c>
      <c r="B7725" s="1" t="n">
        <v>45040</v>
      </c>
      <c r="C7725" s="1" t="n">
        <v>45715</v>
      </c>
      <c r="D7725" t="inlineStr">
        <is>
          <t>KALMAR LÄN</t>
        </is>
      </c>
      <c r="E7725" t="inlineStr">
        <is>
          <t>VIMMERBY</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17975-2023</t>
        </is>
      </c>
      <c r="B7726" s="1" t="n">
        <v>45040</v>
      </c>
      <c r="C7726" s="1" t="n">
        <v>45715</v>
      </c>
      <c r="D7726" t="inlineStr">
        <is>
          <t>KALMAR LÄN</t>
        </is>
      </c>
      <c r="E7726" t="inlineStr">
        <is>
          <t>EMMABODA</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17977-2023</t>
        </is>
      </c>
      <c r="B7727" s="1" t="n">
        <v>45040</v>
      </c>
      <c r="C7727" s="1" t="n">
        <v>45715</v>
      </c>
      <c r="D7727" t="inlineStr">
        <is>
          <t>KALMAR LÄN</t>
        </is>
      </c>
      <c r="E7727" t="inlineStr">
        <is>
          <t>TORSÅS</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18045-2023</t>
        </is>
      </c>
      <c r="B7728" s="1" t="n">
        <v>45040</v>
      </c>
      <c r="C7728" s="1" t="n">
        <v>45715</v>
      </c>
      <c r="D7728" t="inlineStr">
        <is>
          <t>KALMAR LÄN</t>
        </is>
      </c>
      <c r="E7728" t="inlineStr">
        <is>
          <t>TORSÅS</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18068-2023</t>
        </is>
      </c>
      <c r="B7729" s="1" t="n">
        <v>45040</v>
      </c>
      <c r="C7729" s="1" t="n">
        <v>45715</v>
      </c>
      <c r="D7729" t="inlineStr">
        <is>
          <t>KALMAR LÄN</t>
        </is>
      </c>
      <c r="E7729" t="inlineStr">
        <is>
          <t>VÄSTERVIK</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18079-2023</t>
        </is>
      </c>
      <c r="B7730" s="1" t="n">
        <v>45040</v>
      </c>
      <c r="C7730" s="1" t="n">
        <v>45715</v>
      </c>
      <c r="D7730" t="inlineStr">
        <is>
          <t>KALMAR LÄN</t>
        </is>
      </c>
      <c r="E7730" t="inlineStr">
        <is>
          <t>VÄSTERVIK</t>
        </is>
      </c>
      <c r="F7730" t="inlineStr">
        <is>
          <t>Sveaskog</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18084-2023</t>
        </is>
      </c>
      <c r="B7731" s="1" t="n">
        <v>45040</v>
      </c>
      <c r="C7731" s="1" t="n">
        <v>45715</v>
      </c>
      <c r="D7731" t="inlineStr">
        <is>
          <t>KALMAR LÄN</t>
        </is>
      </c>
      <c r="E7731" t="inlineStr">
        <is>
          <t>HÖGSBY</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18099-2023</t>
        </is>
      </c>
      <c r="B7732" s="1" t="n">
        <v>45040</v>
      </c>
      <c r="C7732" s="1" t="n">
        <v>45715</v>
      </c>
      <c r="D7732" t="inlineStr">
        <is>
          <t>KALMAR LÄN</t>
        </is>
      </c>
      <c r="E7732" t="inlineStr">
        <is>
          <t>HÖGSBY</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18048-2023</t>
        </is>
      </c>
      <c r="B7733" s="1" t="n">
        <v>45040</v>
      </c>
      <c r="C7733" s="1" t="n">
        <v>45715</v>
      </c>
      <c r="D7733" t="inlineStr">
        <is>
          <t>KALMAR LÄN</t>
        </is>
      </c>
      <c r="E7733" t="inlineStr">
        <is>
          <t>VÄSTERVIK</t>
        </is>
      </c>
      <c r="F7733" t="inlineStr">
        <is>
          <t>Sveaskog</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18081-2023</t>
        </is>
      </c>
      <c r="B7734" s="1" t="n">
        <v>45040</v>
      </c>
      <c r="C7734" s="1" t="n">
        <v>45715</v>
      </c>
      <c r="D7734" t="inlineStr">
        <is>
          <t>KALMAR LÄN</t>
        </is>
      </c>
      <c r="E7734" t="inlineStr">
        <is>
          <t>VÄSTERVIK</t>
        </is>
      </c>
      <c r="F7734" t="inlineStr">
        <is>
          <t>Sveaskog</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18090-2023</t>
        </is>
      </c>
      <c r="B7735" s="1" t="n">
        <v>45040</v>
      </c>
      <c r="C7735" s="1" t="n">
        <v>45715</v>
      </c>
      <c r="D7735" t="inlineStr">
        <is>
          <t>KALMAR LÄN</t>
        </is>
      </c>
      <c r="E7735" t="inlineStr">
        <is>
          <t>HÖGSBY</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18096-2023</t>
        </is>
      </c>
      <c r="B7736" s="1" t="n">
        <v>45040</v>
      </c>
      <c r="C7736" s="1" t="n">
        <v>45715</v>
      </c>
      <c r="D7736" t="inlineStr">
        <is>
          <t>KALMAR LÄN</t>
        </is>
      </c>
      <c r="E7736" t="inlineStr">
        <is>
          <t>HÖGSBY</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17980-2023</t>
        </is>
      </c>
      <c r="B7737" s="1" t="n">
        <v>45040</v>
      </c>
      <c r="C7737" s="1" t="n">
        <v>45715</v>
      </c>
      <c r="D7737" t="inlineStr">
        <is>
          <t>KALMAR LÄN</t>
        </is>
      </c>
      <c r="E7737" t="inlineStr">
        <is>
          <t>HÖGSBY</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17921-2023</t>
        </is>
      </c>
      <c r="B7738" s="1" t="n">
        <v>45040</v>
      </c>
      <c r="C7738" s="1" t="n">
        <v>45715</v>
      </c>
      <c r="D7738" t="inlineStr">
        <is>
          <t>KALMAR LÄN</t>
        </is>
      </c>
      <c r="E7738" t="inlineStr">
        <is>
          <t>EMMABODA</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17978-2023</t>
        </is>
      </c>
      <c r="B7739" s="1" t="n">
        <v>45040</v>
      </c>
      <c r="C7739" s="1" t="n">
        <v>45715</v>
      </c>
      <c r="D7739" t="inlineStr">
        <is>
          <t>KALMAR LÄN</t>
        </is>
      </c>
      <c r="E7739" t="inlineStr">
        <is>
          <t>HÖGSBY</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18024-2023</t>
        </is>
      </c>
      <c r="B7740" s="1" t="n">
        <v>45040</v>
      </c>
      <c r="C7740" s="1" t="n">
        <v>45715</v>
      </c>
      <c r="D7740" t="inlineStr">
        <is>
          <t>KALMAR LÄN</t>
        </is>
      </c>
      <c r="E7740" t="inlineStr">
        <is>
          <t>TORSÅS</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18021-2023</t>
        </is>
      </c>
      <c r="B7741" s="1" t="n">
        <v>45040</v>
      </c>
      <c r="C7741" s="1" t="n">
        <v>45715</v>
      </c>
      <c r="D7741" t="inlineStr">
        <is>
          <t>KALMAR LÄN</t>
        </is>
      </c>
      <c r="E7741" t="inlineStr">
        <is>
          <t>TORSÅS</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18025-2023</t>
        </is>
      </c>
      <c r="B7742" s="1" t="n">
        <v>45040</v>
      </c>
      <c r="C7742" s="1" t="n">
        <v>45715</v>
      </c>
      <c r="D7742" t="inlineStr">
        <is>
          <t>KALMAR LÄN</t>
        </is>
      </c>
      <c r="E7742" t="inlineStr">
        <is>
          <t>TORSÅS</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18237-2023</t>
        </is>
      </c>
      <c r="B7743" s="1" t="n">
        <v>45041</v>
      </c>
      <c r="C7743" s="1" t="n">
        <v>45715</v>
      </c>
      <c r="D7743" t="inlineStr">
        <is>
          <t>KALMAR LÄN</t>
        </is>
      </c>
      <c r="E7743" t="inlineStr">
        <is>
          <t>NYBRO</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18267-2023</t>
        </is>
      </c>
      <c r="B7744" s="1" t="n">
        <v>45041</v>
      </c>
      <c r="C7744" s="1" t="n">
        <v>45715</v>
      </c>
      <c r="D7744" t="inlineStr">
        <is>
          <t>KALMAR LÄN</t>
        </is>
      </c>
      <c r="E7744" t="inlineStr">
        <is>
          <t>HÖGSBY</t>
        </is>
      </c>
      <c r="G7744" t="n">
        <v>8.199999999999999</v>
      </c>
      <c r="H7744" t="n">
        <v>0</v>
      </c>
      <c r="I7744" t="n">
        <v>0</v>
      </c>
      <c r="J7744" t="n">
        <v>0</v>
      </c>
      <c r="K7744" t="n">
        <v>0</v>
      </c>
      <c r="L7744" t="n">
        <v>0</v>
      </c>
      <c r="M7744" t="n">
        <v>0</v>
      </c>
      <c r="N7744" t="n">
        <v>0</v>
      </c>
      <c r="O7744" t="n">
        <v>0</v>
      </c>
      <c r="P7744" t="n">
        <v>0</v>
      </c>
      <c r="Q7744" t="n">
        <v>0</v>
      </c>
      <c r="R7744" s="2" t="inlineStr"/>
    </row>
    <row r="7745" ht="15" customHeight="1">
      <c r="A7745" t="inlineStr">
        <is>
          <t>A 18209-2023</t>
        </is>
      </c>
      <c r="B7745" s="1" t="n">
        <v>45041</v>
      </c>
      <c r="C7745" s="1" t="n">
        <v>45715</v>
      </c>
      <c r="D7745" t="inlineStr">
        <is>
          <t>KALMAR LÄN</t>
        </is>
      </c>
      <c r="E7745" t="inlineStr">
        <is>
          <t>VIMMERBY</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18330-2023</t>
        </is>
      </c>
      <c r="B7746" s="1" t="n">
        <v>45041</v>
      </c>
      <c r="C7746" s="1" t="n">
        <v>45715</v>
      </c>
      <c r="D7746" t="inlineStr">
        <is>
          <t>KALMAR LÄN</t>
        </is>
      </c>
      <c r="E7746" t="inlineStr">
        <is>
          <t>VIMMERBY</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18321-2023</t>
        </is>
      </c>
      <c r="B7747" s="1" t="n">
        <v>45041</v>
      </c>
      <c r="C7747" s="1" t="n">
        <v>45715</v>
      </c>
      <c r="D7747" t="inlineStr">
        <is>
          <t>KALMAR LÄN</t>
        </is>
      </c>
      <c r="E7747" t="inlineStr">
        <is>
          <t>HULTSFRED</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18329-2023</t>
        </is>
      </c>
      <c r="B7748" s="1" t="n">
        <v>45041</v>
      </c>
      <c r="C7748" s="1" t="n">
        <v>45715</v>
      </c>
      <c r="D7748" t="inlineStr">
        <is>
          <t>KALMAR LÄN</t>
        </is>
      </c>
      <c r="E7748" t="inlineStr">
        <is>
          <t>VIMMERBY</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18323-2023</t>
        </is>
      </c>
      <c r="B7749" s="1" t="n">
        <v>45041</v>
      </c>
      <c r="C7749" s="1" t="n">
        <v>45715</v>
      </c>
      <c r="D7749" t="inlineStr">
        <is>
          <t>KALMAR LÄN</t>
        </is>
      </c>
      <c r="E7749" t="inlineStr">
        <is>
          <t>HULTSFRED</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18324-2023</t>
        </is>
      </c>
      <c r="B7750" s="1" t="n">
        <v>45041</v>
      </c>
      <c r="C7750" s="1" t="n">
        <v>45715</v>
      </c>
      <c r="D7750" t="inlineStr">
        <is>
          <t>KALMAR LÄN</t>
        </is>
      </c>
      <c r="E7750" t="inlineStr">
        <is>
          <t>HULTSFRED</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18328-2023</t>
        </is>
      </c>
      <c r="B7751" s="1" t="n">
        <v>45041</v>
      </c>
      <c r="C7751" s="1" t="n">
        <v>45715</v>
      </c>
      <c r="D7751" t="inlineStr">
        <is>
          <t>KALMAR LÄN</t>
        </is>
      </c>
      <c r="E7751" t="inlineStr">
        <is>
          <t>VIMMERBY</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18349-2023</t>
        </is>
      </c>
      <c r="B7752" s="1" t="n">
        <v>45041</v>
      </c>
      <c r="C7752" s="1" t="n">
        <v>45715</v>
      </c>
      <c r="D7752" t="inlineStr">
        <is>
          <t>KALMAR LÄN</t>
        </is>
      </c>
      <c r="E7752" t="inlineStr">
        <is>
          <t>OSKARSHAMN</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18346-2023</t>
        </is>
      </c>
      <c r="B7753" s="1" t="n">
        <v>45041</v>
      </c>
      <c r="C7753" s="1" t="n">
        <v>45715</v>
      </c>
      <c r="D7753" t="inlineStr">
        <is>
          <t>KALMAR LÄN</t>
        </is>
      </c>
      <c r="E7753" t="inlineStr">
        <is>
          <t>OSKARSHAMN</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18609-2023</t>
        </is>
      </c>
      <c r="B7754" s="1" t="n">
        <v>45041</v>
      </c>
      <c r="C7754" s="1" t="n">
        <v>45715</v>
      </c>
      <c r="D7754" t="inlineStr">
        <is>
          <t>KALMAR LÄN</t>
        </is>
      </c>
      <c r="E7754" t="inlineStr">
        <is>
          <t>VIMMERBY</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18476-2023</t>
        </is>
      </c>
      <c r="B7755" s="1" t="n">
        <v>45042</v>
      </c>
      <c r="C7755" s="1" t="n">
        <v>45715</v>
      </c>
      <c r="D7755" t="inlineStr">
        <is>
          <t>KALMAR LÄN</t>
        </is>
      </c>
      <c r="E7755" t="inlineStr">
        <is>
          <t>KALMAR</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18400-2023</t>
        </is>
      </c>
      <c r="B7756" s="1" t="n">
        <v>45042</v>
      </c>
      <c r="C7756" s="1" t="n">
        <v>45715</v>
      </c>
      <c r="D7756" t="inlineStr">
        <is>
          <t>KALMAR LÄN</t>
        </is>
      </c>
      <c r="E7756" t="inlineStr">
        <is>
          <t>NYBRO</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18416-2023</t>
        </is>
      </c>
      <c r="B7757" s="1" t="n">
        <v>45042</v>
      </c>
      <c r="C7757" s="1" t="n">
        <v>45715</v>
      </c>
      <c r="D7757" t="inlineStr">
        <is>
          <t>KALMAR LÄN</t>
        </is>
      </c>
      <c r="E7757" t="inlineStr">
        <is>
          <t>NYBRO</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18402-2023</t>
        </is>
      </c>
      <c r="B7758" s="1" t="n">
        <v>45042</v>
      </c>
      <c r="C7758" s="1" t="n">
        <v>45715</v>
      </c>
      <c r="D7758" t="inlineStr">
        <is>
          <t>KALMAR LÄN</t>
        </is>
      </c>
      <c r="E7758" t="inlineStr">
        <is>
          <t>NYBRO</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18415-2023</t>
        </is>
      </c>
      <c r="B7759" s="1" t="n">
        <v>45042</v>
      </c>
      <c r="C7759" s="1" t="n">
        <v>45715</v>
      </c>
      <c r="D7759" t="inlineStr">
        <is>
          <t>KALMAR LÄN</t>
        </is>
      </c>
      <c r="E7759" t="inlineStr">
        <is>
          <t>NYBRO</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18424-2023</t>
        </is>
      </c>
      <c r="B7760" s="1" t="n">
        <v>45042</v>
      </c>
      <c r="C7760" s="1" t="n">
        <v>45715</v>
      </c>
      <c r="D7760" t="inlineStr">
        <is>
          <t>KALMAR LÄN</t>
        </is>
      </c>
      <c r="E7760" t="inlineStr">
        <is>
          <t>NYBRO</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18435-2023</t>
        </is>
      </c>
      <c r="B7761" s="1" t="n">
        <v>45042</v>
      </c>
      <c r="C7761" s="1" t="n">
        <v>45715</v>
      </c>
      <c r="D7761" t="inlineStr">
        <is>
          <t>KALMAR LÄN</t>
        </is>
      </c>
      <c r="E7761" t="inlineStr">
        <is>
          <t>KALMAR</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18412-2023</t>
        </is>
      </c>
      <c r="B7762" s="1" t="n">
        <v>45042</v>
      </c>
      <c r="C7762" s="1" t="n">
        <v>45715</v>
      </c>
      <c r="D7762" t="inlineStr">
        <is>
          <t>KALMAR LÄN</t>
        </is>
      </c>
      <c r="E7762" t="inlineStr">
        <is>
          <t>NYBRO</t>
        </is>
      </c>
      <c r="G7762" t="n">
        <v>11.3</v>
      </c>
      <c r="H7762" t="n">
        <v>0</v>
      </c>
      <c r="I7762" t="n">
        <v>0</v>
      </c>
      <c r="J7762" t="n">
        <v>0</v>
      </c>
      <c r="K7762" t="n">
        <v>0</v>
      </c>
      <c r="L7762" t="n">
        <v>0</v>
      </c>
      <c r="M7762" t="n">
        <v>0</v>
      </c>
      <c r="N7762" t="n">
        <v>0</v>
      </c>
      <c r="O7762" t="n">
        <v>0</v>
      </c>
      <c r="P7762" t="n">
        <v>0</v>
      </c>
      <c r="Q7762" t="n">
        <v>0</v>
      </c>
      <c r="R7762" s="2" t="inlineStr"/>
    </row>
    <row r="7763" ht="15" customHeight="1">
      <c r="A7763" t="inlineStr">
        <is>
          <t>A 18418-2023</t>
        </is>
      </c>
      <c r="B7763" s="1" t="n">
        <v>45042</v>
      </c>
      <c r="C7763" s="1" t="n">
        <v>45715</v>
      </c>
      <c r="D7763" t="inlineStr">
        <is>
          <t>KALMAR LÄN</t>
        </is>
      </c>
      <c r="E7763" t="inlineStr">
        <is>
          <t>NYBRO</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18519-2023</t>
        </is>
      </c>
      <c r="B7764" s="1" t="n">
        <v>45042</v>
      </c>
      <c r="C7764" s="1" t="n">
        <v>45715</v>
      </c>
      <c r="D7764" t="inlineStr">
        <is>
          <t>KALMAR LÄN</t>
        </is>
      </c>
      <c r="E7764" t="inlineStr">
        <is>
          <t>EMMABODA</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18731-2023</t>
        </is>
      </c>
      <c r="B7765" s="1" t="n">
        <v>45043</v>
      </c>
      <c r="C7765" s="1" t="n">
        <v>45715</v>
      </c>
      <c r="D7765" t="inlineStr">
        <is>
          <t>KALMAR LÄN</t>
        </is>
      </c>
      <c r="E7765" t="inlineStr">
        <is>
          <t>VIMMERBY</t>
        </is>
      </c>
      <c r="G7765" t="n">
        <v>8.300000000000001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18567-2023</t>
        </is>
      </c>
      <c r="B7766" s="1" t="n">
        <v>45043</v>
      </c>
      <c r="C7766" s="1" t="n">
        <v>45715</v>
      </c>
      <c r="D7766" t="inlineStr">
        <is>
          <t>KALMAR LÄN</t>
        </is>
      </c>
      <c r="E7766" t="inlineStr">
        <is>
          <t>NYBRO</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18748-2023</t>
        </is>
      </c>
      <c r="B7767" s="1" t="n">
        <v>45043</v>
      </c>
      <c r="C7767" s="1" t="n">
        <v>45715</v>
      </c>
      <c r="D7767" t="inlineStr">
        <is>
          <t>KALMAR LÄN</t>
        </is>
      </c>
      <c r="E7767" t="inlineStr">
        <is>
          <t>NYBRO</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18566-2023</t>
        </is>
      </c>
      <c r="B7768" s="1" t="n">
        <v>45043</v>
      </c>
      <c r="C7768" s="1" t="n">
        <v>45715</v>
      </c>
      <c r="D7768" t="inlineStr">
        <is>
          <t>KALMAR LÄN</t>
        </is>
      </c>
      <c r="E7768" t="inlineStr">
        <is>
          <t>NYBRO</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18571-2023</t>
        </is>
      </c>
      <c r="B7769" s="1" t="n">
        <v>45043</v>
      </c>
      <c r="C7769" s="1" t="n">
        <v>45715</v>
      </c>
      <c r="D7769" t="inlineStr">
        <is>
          <t>KALMAR LÄN</t>
        </is>
      </c>
      <c r="E7769" t="inlineStr">
        <is>
          <t>NYBRO</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18576-2023</t>
        </is>
      </c>
      <c r="B7770" s="1" t="n">
        <v>45043</v>
      </c>
      <c r="C7770" s="1" t="n">
        <v>45715</v>
      </c>
      <c r="D7770" t="inlineStr">
        <is>
          <t>KALMAR LÄN</t>
        </is>
      </c>
      <c r="E7770" t="inlineStr">
        <is>
          <t>OSKARSHAMN</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18749-2023</t>
        </is>
      </c>
      <c r="B7771" s="1" t="n">
        <v>45043</v>
      </c>
      <c r="C7771" s="1" t="n">
        <v>45715</v>
      </c>
      <c r="D7771" t="inlineStr">
        <is>
          <t>KALMAR LÄN</t>
        </is>
      </c>
      <c r="E7771" t="inlineStr">
        <is>
          <t>NYBRO</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18858-2023</t>
        </is>
      </c>
      <c r="B7772" s="1" t="n">
        <v>45044</v>
      </c>
      <c r="C7772" s="1" t="n">
        <v>45715</v>
      </c>
      <c r="D7772" t="inlineStr">
        <is>
          <t>KALMAR LÄN</t>
        </is>
      </c>
      <c r="E7772" t="inlineStr">
        <is>
          <t>VÄSTERVIK</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18859-2023</t>
        </is>
      </c>
      <c r="B7773" s="1" t="n">
        <v>45044</v>
      </c>
      <c r="C7773" s="1" t="n">
        <v>45715</v>
      </c>
      <c r="D7773" t="inlineStr">
        <is>
          <t>KALMAR LÄN</t>
        </is>
      </c>
      <c r="E7773" t="inlineStr">
        <is>
          <t>VÄSTERVIK</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18881-2023</t>
        </is>
      </c>
      <c r="B7774" s="1" t="n">
        <v>45044</v>
      </c>
      <c r="C7774" s="1" t="n">
        <v>45715</v>
      </c>
      <c r="D7774" t="inlineStr">
        <is>
          <t>KALMAR LÄN</t>
        </is>
      </c>
      <c r="E7774" t="inlineStr">
        <is>
          <t>KALMAR</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18960-2023</t>
        </is>
      </c>
      <c r="B7775" s="1" t="n">
        <v>45044</v>
      </c>
      <c r="C7775" s="1" t="n">
        <v>45715</v>
      </c>
      <c r="D7775" t="inlineStr">
        <is>
          <t>KALMAR LÄN</t>
        </is>
      </c>
      <c r="E7775" t="inlineStr">
        <is>
          <t>VÄSTERVIK</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18790-2023</t>
        </is>
      </c>
      <c r="B7776" s="1" t="n">
        <v>45044</v>
      </c>
      <c r="C7776" s="1" t="n">
        <v>45715</v>
      </c>
      <c r="D7776" t="inlineStr">
        <is>
          <t>KALMAR LÄN</t>
        </is>
      </c>
      <c r="E7776" t="inlineStr">
        <is>
          <t>NYBRO</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18847-2023</t>
        </is>
      </c>
      <c r="B7777" s="1" t="n">
        <v>45044</v>
      </c>
      <c r="C7777" s="1" t="n">
        <v>45715</v>
      </c>
      <c r="D7777" t="inlineStr">
        <is>
          <t>KALMAR LÄN</t>
        </is>
      </c>
      <c r="E7777" t="inlineStr">
        <is>
          <t>KALMAR</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18883-2023</t>
        </is>
      </c>
      <c r="B7778" s="1" t="n">
        <v>45044</v>
      </c>
      <c r="C7778" s="1" t="n">
        <v>45715</v>
      </c>
      <c r="D7778" t="inlineStr">
        <is>
          <t>KALMAR LÄN</t>
        </is>
      </c>
      <c r="E7778" t="inlineStr">
        <is>
          <t>HULTSFRED</t>
        </is>
      </c>
      <c r="G7778" t="n">
        <v>5.6</v>
      </c>
      <c r="H7778" t="n">
        <v>0</v>
      </c>
      <c r="I7778" t="n">
        <v>0</v>
      </c>
      <c r="J7778" t="n">
        <v>0</v>
      </c>
      <c r="K7778" t="n">
        <v>0</v>
      </c>
      <c r="L7778" t="n">
        <v>0</v>
      </c>
      <c r="M7778" t="n">
        <v>0</v>
      </c>
      <c r="N7778" t="n">
        <v>0</v>
      </c>
      <c r="O7778" t="n">
        <v>0</v>
      </c>
      <c r="P7778" t="n">
        <v>0</v>
      </c>
      <c r="Q7778" t="n">
        <v>0</v>
      </c>
      <c r="R7778" s="2" t="inlineStr"/>
    </row>
    <row r="7779" ht="15" customHeight="1">
      <c r="A7779" t="inlineStr">
        <is>
          <t>A 19013-2023</t>
        </is>
      </c>
      <c r="B7779" s="1" t="n">
        <v>45045</v>
      </c>
      <c r="C7779" s="1" t="n">
        <v>45715</v>
      </c>
      <c r="D7779" t="inlineStr">
        <is>
          <t>KALMAR LÄN</t>
        </is>
      </c>
      <c r="E7779" t="inlineStr">
        <is>
          <t>VIMMERBY</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19047-2023</t>
        </is>
      </c>
      <c r="B7780" s="1" t="n">
        <v>45047</v>
      </c>
      <c r="C7780" s="1" t="n">
        <v>45715</v>
      </c>
      <c r="D7780" t="inlineStr">
        <is>
          <t>KALMAR LÄN</t>
        </is>
      </c>
      <c r="E7780" t="inlineStr">
        <is>
          <t>HULTSFRED</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19050-2023</t>
        </is>
      </c>
      <c r="B7781" s="1" t="n">
        <v>45047</v>
      </c>
      <c r="C7781" s="1" t="n">
        <v>45715</v>
      </c>
      <c r="D7781" t="inlineStr">
        <is>
          <t>KALMAR LÄN</t>
        </is>
      </c>
      <c r="E7781" t="inlineStr">
        <is>
          <t>HULTSFRED</t>
        </is>
      </c>
      <c r="G7781" t="n">
        <v>4.7</v>
      </c>
      <c r="H7781" t="n">
        <v>0</v>
      </c>
      <c r="I7781" t="n">
        <v>0</v>
      </c>
      <c r="J7781" t="n">
        <v>0</v>
      </c>
      <c r="K7781" t="n">
        <v>0</v>
      </c>
      <c r="L7781" t="n">
        <v>0</v>
      </c>
      <c r="M7781" t="n">
        <v>0</v>
      </c>
      <c r="N7781" t="n">
        <v>0</v>
      </c>
      <c r="O7781" t="n">
        <v>0</v>
      </c>
      <c r="P7781" t="n">
        <v>0</v>
      </c>
      <c r="Q7781" t="n">
        <v>0</v>
      </c>
      <c r="R7781" s="2" t="inlineStr"/>
    </row>
    <row r="7782" ht="15" customHeight="1">
      <c r="A7782" t="inlineStr">
        <is>
          <t>A 19094-2023</t>
        </is>
      </c>
      <c r="B7782" s="1" t="n">
        <v>45048</v>
      </c>
      <c r="C7782" s="1" t="n">
        <v>45715</v>
      </c>
      <c r="D7782" t="inlineStr">
        <is>
          <t>KALMAR LÄN</t>
        </is>
      </c>
      <c r="E7782" t="inlineStr">
        <is>
          <t>NYBRO</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19098-2023</t>
        </is>
      </c>
      <c r="B7783" s="1" t="n">
        <v>45048</v>
      </c>
      <c r="C7783" s="1" t="n">
        <v>45715</v>
      </c>
      <c r="D7783" t="inlineStr">
        <is>
          <t>KALMAR LÄN</t>
        </is>
      </c>
      <c r="E7783" t="inlineStr">
        <is>
          <t>EMMABODA</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19101-2023</t>
        </is>
      </c>
      <c r="B7784" s="1" t="n">
        <v>45048</v>
      </c>
      <c r="C7784" s="1" t="n">
        <v>45715</v>
      </c>
      <c r="D7784" t="inlineStr">
        <is>
          <t>KALMAR LÄN</t>
        </is>
      </c>
      <c r="E7784" t="inlineStr">
        <is>
          <t>EMMABODA</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19110-2023</t>
        </is>
      </c>
      <c r="B7785" s="1" t="n">
        <v>45048</v>
      </c>
      <c r="C7785" s="1" t="n">
        <v>45715</v>
      </c>
      <c r="D7785" t="inlineStr">
        <is>
          <t>KALMAR LÄN</t>
        </is>
      </c>
      <c r="E7785" t="inlineStr">
        <is>
          <t>VÄSTERVIK</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19072-2023</t>
        </is>
      </c>
      <c r="B7786" s="1" t="n">
        <v>45048</v>
      </c>
      <c r="C7786" s="1" t="n">
        <v>45715</v>
      </c>
      <c r="D7786" t="inlineStr">
        <is>
          <t>KALMAR LÄN</t>
        </is>
      </c>
      <c r="E7786" t="inlineStr">
        <is>
          <t>HULTSFRED</t>
        </is>
      </c>
      <c r="G7786" t="n">
        <v>23.7</v>
      </c>
      <c r="H7786" t="n">
        <v>0</v>
      </c>
      <c r="I7786" t="n">
        <v>0</v>
      </c>
      <c r="J7786" t="n">
        <v>0</v>
      </c>
      <c r="K7786" t="n">
        <v>0</v>
      </c>
      <c r="L7786" t="n">
        <v>0</v>
      </c>
      <c r="M7786" t="n">
        <v>0</v>
      </c>
      <c r="N7786" t="n">
        <v>0</v>
      </c>
      <c r="O7786" t="n">
        <v>0</v>
      </c>
      <c r="P7786" t="n">
        <v>0</v>
      </c>
      <c r="Q7786" t="n">
        <v>0</v>
      </c>
      <c r="R7786" s="2" t="inlineStr"/>
    </row>
    <row r="7787" ht="15" customHeight="1">
      <c r="A7787" t="inlineStr">
        <is>
          <t>A 19162-2023</t>
        </is>
      </c>
      <c r="B7787" s="1" t="n">
        <v>45048</v>
      </c>
      <c r="C7787" s="1" t="n">
        <v>45715</v>
      </c>
      <c r="D7787" t="inlineStr">
        <is>
          <t>KALMAR LÄN</t>
        </is>
      </c>
      <c r="E7787" t="inlineStr">
        <is>
          <t>VIMMERBY</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19092-2023</t>
        </is>
      </c>
      <c r="B7788" s="1" t="n">
        <v>45048</v>
      </c>
      <c r="C7788" s="1" t="n">
        <v>45715</v>
      </c>
      <c r="D7788" t="inlineStr">
        <is>
          <t>KALMAR LÄN</t>
        </is>
      </c>
      <c r="E7788" t="inlineStr">
        <is>
          <t>NYBRO</t>
        </is>
      </c>
      <c r="G7788" t="n">
        <v>7.3</v>
      </c>
      <c r="H7788" t="n">
        <v>0</v>
      </c>
      <c r="I7788" t="n">
        <v>0</v>
      </c>
      <c r="J7788" t="n">
        <v>0</v>
      </c>
      <c r="K7788" t="n">
        <v>0</v>
      </c>
      <c r="L7788" t="n">
        <v>0</v>
      </c>
      <c r="M7788" t="n">
        <v>0</v>
      </c>
      <c r="N7788" t="n">
        <v>0</v>
      </c>
      <c r="O7788" t="n">
        <v>0</v>
      </c>
      <c r="P7788" t="n">
        <v>0</v>
      </c>
      <c r="Q7788" t="n">
        <v>0</v>
      </c>
      <c r="R7788" s="2" t="inlineStr"/>
    </row>
    <row r="7789" ht="15" customHeight="1">
      <c r="A7789" t="inlineStr">
        <is>
          <t>A 19212-2023</t>
        </is>
      </c>
      <c r="B7789" s="1" t="n">
        <v>45048</v>
      </c>
      <c r="C7789" s="1" t="n">
        <v>45715</v>
      </c>
      <c r="D7789" t="inlineStr">
        <is>
          <t>KALMAR LÄN</t>
        </is>
      </c>
      <c r="E7789" t="inlineStr">
        <is>
          <t>VÄSTERVIK</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19185-2023</t>
        </is>
      </c>
      <c r="B7790" s="1" t="n">
        <v>45048</v>
      </c>
      <c r="C7790" s="1" t="n">
        <v>45715</v>
      </c>
      <c r="D7790" t="inlineStr">
        <is>
          <t>KALMAR LÄN</t>
        </is>
      </c>
      <c r="E7790" t="inlineStr">
        <is>
          <t>HULTSFRED</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19210-2023</t>
        </is>
      </c>
      <c r="B7791" s="1" t="n">
        <v>45048</v>
      </c>
      <c r="C7791" s="1" t="n">
        <v>45715</v>
      </c>
      <c r="D7791" t="inlineStr">
        <is>
          <t>KALMAR LÄN</t>
        </is>
      </c>
      <c r="E7791" t="inlineStr">
        <is>
          <t>EMMABODA</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19359-2023</t>
        </is>
      </c>
      <c r="B7792" s="1" t="n">
        <v>45049</v>
      </c>
      <c r="C7792" s="1" t="n">
        <v>45715</v>
      </c>
      <c r="D7792" t="inlineStr">
        <is>
          <t>KALMAR LÄN</t>
        </is>
      </c>
      <c r="E7792" t="inlineStr">
        <is>
          <t>EMMABODA</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19365-2023</t>
        </is>
      </c>
      <c r="B7793" s="1" t="n">
        <v>45049</v>
      </c>
      <c r="C7793" s="1" t="n">
        <v>45715</v>
      </c>
      <c r="D7793" t="inlineStr">
        <is>
          <t>KALMAR LÄN</t>
        </is>
      </c>
      <c r="E7793" t="inlineStr">
        <is>
          <t>VÄSTERVIK</t>
        </is>
      </c>
      <c r="G7793" t="n">
        <v>5.8</v>
      </c>
      <c r="H7793" t="n">
        <v>0</v>
      </c>
      <c r="I7793" t="n">
        <v>0</v>
      </c>
      <c r="J7793" t="n">
        <v>0</v>
      </c>
      <c r="K7793" t="n">
        <v>0</v>
      </c>
      <c r="L7793" t="n">
        <v>0</v>
      </c>
      <c r="M7793" t="n">
        <v>0</v>
      </c>
      <c r="N7793" t="n">
        <v>0</v>
      </c>
      <c r="O7793" t="n">
        <v>0</v>
      </c>
      <c r="P7793" t="n">
        <v>0</v>
      </c>
      <c r="Q7793" t="n">
        <v>0</v>
      </c>
      <c r="R7793" s="2" t="inlineStr"/>
      <c r="U7793">
        <f>HYPERLINK("https://klasma.github.io/Logging_0883/knärot/A 19365-2023 karta knärot.png", "A 19365-2023")</f>
        <v/>
      </c>
      <c r="V7793">
        <f>HYPERLINK("https://klasma.github.io/Logging_0883/klagomål/A 19365-2023 FSC-klagomål.docx", "A 19365-2023")</f>
        <v/>
      </c>
      <c r="W7793">
        <f>HYPERLINK("https://klasma.github.io/Logging_0883/klagomålsmail/A 19365-2023 FSC-klagomål mail.docx", "A 19365-2023")</f>
        <v/>
      </c>
      <c r="X7793">
        <f>HYPERLINK("https://klasma.github.io/Logging_0883/tillsyn/A 19365-2023 tillsynsbegäran.docx", "A 19365-2023")</f>
        <v/>
      </c>
      <c r="Y7793">
        <f>HYPERLINK("https://klasma.github.io/Logging_0883/tillsynsmail/A 19365-2023 tillsynsbegäran mail.docx", "A 19365-2023")</f>
        <v/>
      </c>
    </row>
    <row r="7794" ht="15" customHeight="1">
      <c r="A7794" t="inlineStr">
        <is>
          <t>A 19372-2023</t>
        </is>
      </c>
      <c r="B7794" s="1" t="n">
        <v>45049</v>
      </c>
      <c r="C7794" s="1" t="n">
        <v>45715</v>
      </c>
      <c r="D7794" t="inlineStr">
        <is>
          <t>KALMAR LÄN</t>
        </is>
      </c>
      <c r="E7794" t="inlineStr">
        <is>
          <t>EMMABODA</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19333-2023</t>
        </is>
      </c>
      <c r="B7795" s="1" t="n">
        <v>45049</v>
      </c>
      <c r="C7795" s="1" t="n">
        <v>45715</v>
      </c>
      <c r="D7795" t="inlineStr">
        <is>
          <t>KALMAR LÄN</t>
        </is>
      </c>
      <c r="E7795" t="inlineStr">
        <is>
          <t>VÄSTERVIK</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19387-2023</t>
        </is>
      </c>
      <c r="B7796" s="1" t="n">
        <v>45049</v>
      </c>
      <c r="C7796" s="1" t="n">
        <v>45715</v>
      </c>
      <c r="D7796" t="inlineStr">
        <is>
          <t>KALMAR LÄN</t>
        </is>
      </c>
      <c r="E7796" t="inlineStr">
        <is>
          <t>BORGHOLM</t>
        </is>
      </c>
      <c r="G7796" t="n">
        <v>11.7</v>
      </c>
      <c r="H7796" t="n">
        <v>0</v>
      </c>
      <c r="I7796" t="n">
        <v>0</v>
      </c>
      <c r="J7796" t="n">
        <v>0</v>
      </c>
      <c r="K7796" t="n">
        <v>0</v>
      </c>
      <c r="L7796" t="n">
        <v>0</v>
      </c>
      <c r="M7796" t="n">
        <v>0</v>
      </c>
      <c r="N7796" t="n">
        <v>0</v>
      </c>
      <c r="O7796" t="n">
        <v>0</v>
      </c>
      <c r="P7796" t="n">
        <v>0</v>
      </c>
      <c r="Q7796" t="n">
        <v>0</v>
      </c>
      <c r="R7796" s="2" t="inlineStr"/>
    </row>
    <row r="7797" ht="15" customHeight="1">
      <c r="A7797" t="inlineStr">
        <is>
          <t>A 19395-2023</t>
        </is>
      </c>
      <c r="B7797" s="1" t="n">
        <v>45049</v>
      </c>
      <c r="C7797" s="1" t="n">
        <v>45715</v>
      </c>
      <c r="D7797" t="inlineStr">
        <is>
          <t>KALMAR LÄN</t>
        </is>
      </c>
      <c r="E7797" t="inlineStr">
        <is>
          <t>EMMABODA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19403-2023</t>
        </is>
      </c>
      <c r="B7798" s="1" t="n">
        <v>45049</v>
      </c>
      <c r="C7798" s="1" t="n">
        <v>45715</v>
      </c>
      <c r="D7798" t="inlineStr">
        <is>
          <t>KALMAR LÄN</t>
        </is>
      </c>
      <c r="E7798" t="inlineStr">
        <is>
          <t>HULTSFRED</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19524-2023</t>
        </is>
      </c>
      <c r="B7799" s="1" t="n">
        <v>45049</v>
      </c>
      <c r="C7799" s="1" t="n">
        <v>45715</v>
      </c>
      <c r="D7799" t="inlineStr">
        <is>
          <t>KALMAR LÄN</t>
        </is>
      </c>
      <c r="E7799" t="inlineStr">
        <is>
          <t>NYBRO</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19551-2023</t>
        </is>
      </c>
      <c r="B7800" s="1" t="n">
        <v>45049</v>
      </c>
      <c r="C7800" s="1" t="n">
        <v>45715</v>
      </c>
      <c r="D7800" t="inlineStr">
        <is>
          <t>KALMAR LÄN</t>
        </is>
      </c>
      <c r="E7800" t="inlineStr">
        <is>
          <t>VÄSTERVIK</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19522-2023</t>
        </is>
      </c>
      <c r="B7801" s="1" t="n">
        <v>45049</v>
      </c>
      <c r="C7801" s="1" t="n">
        <v>45715</v>
      </c>
      <c r="D7801" t="inlineStr">
        <is>
          <t>KALMAR LÄN</t>
        </is>
      </c>
      <c r="E7801" t="inlineStr">
        <is>
          <t>NYBRO</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19541-2023</t>
        </is>
      </c>
      <c r="B7802" s="1" t="n">
        <v>45050</v>
      </c>
      <c r="C7802" s="1" t="n">
        <v>45715</v>
      </c>
      <c r="D7802" t="inlineStr">
        <is>
          <t>KALMAR LÄN</t>
        </is>
      </c>
      <c r="E7802" t="inlineStr">
        <is>
          <t>KALMAR</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19462-2023</t>
        </is>
      </c>
      <c r="B7803" s="1" t="n">
        <v>45050</v>
      </c>
      <c r="C7803" s="1" t="n">
        <v>45715</v>
      </c>
      <c r="D7803" t="inlineStr">
        <is>
          <t>KALMAR LÄN</t>
        </is>
      </c>
      <c r="E7803" t="inlineStr">
        <is>
          <t>HÖGSBY</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19479-2023</t>
        </is>
      </c>
      <c r="B7804" s="1" t="n">
        <v>45050</v>
      </c>
      <c r="C7804" s="1" t="n">
        <v>45715</v>
      </c>
      <c r="D7804" t="inlineStr">
        <is>
          <t>KALMAR LÄN</t>
        </is>
      </c>
      <c r="E7804" t="inlineStr">
        <is>
          <t>HULTSFRED</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19523-2023</t>
        </is>
      </c>
      <c r="B7805" s="1" t="n">
        <v>45050</v>
      </c>
      <c r="C7805" s="1" t="n">
        <v>45715</v>
      </c>
      <c r="D7805" t="inlineStr">
        <is>
          <t>KALMAR LÄN</t>
        </is>
      </c>
      <c r="E7805" t="inlineStr">
        <is>
          <t>NYBRO</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19539-2023</t>
        </is>
      </c>
      <c r="B7806" s="1" t="n">
        <v>45050</v>
      </c>
      <c r="C7806" s="1" t="n">
        <v>45715</v>
      </c>
      <c r="D7806" t="inlineStr">
        <is>
          <t>KALMAR LÄN</t>
        </is>
      </c>
      <c r="E7806" t="inlineStr">
        <is>
          <t>NYBRO</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19587-2023</t>
        </is>
      </c>
      <c r="B7807" s="1" t="n">
        <v>45050</v>
      </c>
      <c r="C7807" s="1" t="n">
        <v>45715</v>
      </c>
      <c r="D7807" t="inlineStr">
        <is>
          <t>KALMAR LÄN</t>
        </is>
      </c>
      <c r="E7807" t="inlineStr">
        <is>
          <t>TORSÅS</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19466-2023</t>
        </is>
      </c>
      <c r="B7808" s="1" t="n">
        <v>45050</v>
      </c>
      <c r="C7808" s="1" t="n">
        <v>45715</v>
      </c>
      <c r="D7808" t="inlineStr">
        <is>
          <t>KALMAR LÄN</t>
        </is>
      </c>
      <c r="E7808" t="inlineStr">
        <is>
          <t>HÖGSBY</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19638-2023</t>
        </is>
      </c>
      <c r="B7809" s="1" t="n">
        <v>45051</v>
      </c>
      <c r="C7809" s="1" t="n">
        <v>45715</v>
      </c>
      <c r="D7809" t="inlineStr">
        <is>
          <t>KALMAR LÄN</t>
        </is>
      </c>
      <c r="E7809" t="inlineStr">
        <is>
          <t>VÄSTERVIK</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19649-2023</t>
        </is>
      </c>
      <c r="B7810" s="1" t="n">
        <v>45051</v>
      </c>
      <c r="C7810" s="1" t="n">
        <v>45715</v>
      </c>
      <c r="D7810" t="inlineStr">
        <is>
          <t>KALMAR LÄN</t>
        </is>
      </c>
      <c r="E7810" t="inlineStr">
        <is>
          <t>NYBRO</t>
        </is>
      </c>
      <c r="G7810" t="n">
        <v>4.1</v>
      </c>
      <c r="H7810" t="n">
        <v>0</v>
      </c>
      <c r="I7810" t="n">
        <v>0</v>
      </c>
      <c r="J7810" t="n">
        <v>0</v>
      </c>
      <c r="K7810" t="n">
        <v>0</v>
      </c>
      <c r="L7810" t="n">
        <v>0</v>
      </c>
      <c r="M7810" t="n">
        <v>0</v>
      </c>
      <c r="N7810" t="n">
        <v>0</v>
      </c>
      <c r="O7810" t="n">
        <v>0</v>
      </c>
      <c r="P7810" t="n">
        <v>0</v>
      </c>
      <c r="Q7810" t="n">
        <v>0</v>
      </c>
      <c r="R7810" s="2" t="inlineStr"/>
    </row>
    <row r="7811" ht="15" customHeight="1">
      <c r="A7811" t="inlineStr">
        <is>
          <t>A 19660-2023</t>
        </is>
      </c>
      <c r="B7811" s="1" t="n">
        <v>45051</v>
      </c>
      <c r="C7811" s="1" t="n">
        <v>45715</v>
      </c>
      <c r="D7811" t="inlineStr">
        <is>
          <t>KALMAR LÄN</t>
        </is>
      </c>
      <c r="E7811" t="inlineStr">
        <is>
          <t>VÄSTERVIK</t>
        </is>
      </c>
      <c r="F7811" t="inlineStr">
        <is>
          <t>Övriga Aktiebolag</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19795-2023</t>
        </is>
      </c>
      <c r="B7812" s="1" t="n">
        <v>45051</v>
      </c>
      <c r="C7812" s="1" t="n">
        <v>45715</v>
      </c>
      <c r="D7812" t="inlineStr">
        <is>
          <t>KALMAR LÄN</t>
        </is>
      </c>
      <c r="E7812" t="inlineStr">
        <is>
          <t>OSKARSHAMN</t>
        </is>
      </c>
      <c r="F7812" t="inlineStr">
        <is>
          <t>Kommuner</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19639-2023</t>
        </is>
      </c>
      <c r="B7813" s="1" t="n">
        <v>45051</v>
      </c>
      <c r="C7813" s="1" t="n">
        <v>45715</v>
      </c>
      <c r="D7813" t="inlineStr">
        <is>
          <t>KALMAR LÄN</t>
        </is>
      </c>
      <c r="E7813" t="inlineStr">
        <is>
          <t>VÄSTERVIK</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19695-2023</t>
        </is>
      </c>
      <c r="B7814" s="1" t="n">
        <v>45051</v>
      </c>
      <c r="C7814" s="1" t="n">
        <v>45715</v>
      </c>
      <c r="D7814" t="inlineStr">
        <is>
          <t>KALMAR LÄN</t>
        </is>
      </c>
      <c r="E7814" t="inlineStr">
        <is>
          <t>EMMABODA</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19788-2023</t>
        </is>
      </c>
      <c r="B7815" s="1" t="n">
        <v>45051</v>
      </c>
      <c r="C7815" s="1" t="n">
        <v>45715</v>
      </c>
      <c r="D7815" t="inlineStr">
        <is>
          <t>KALMAR LÄN</t>
        </is>
      </c>
      <c r="E7815" t="inlineStr">
        <is>
          <t>NYBRO</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19640-2023</t>
        </is>
      </c>
      <c r="B7816" s="1" t="n">
        <v>45051</v>
      </c>
      <c r="C7816" s="1" t="n">
        <v>45715</v>
      </c>
      <c r="D7816" t="inlineStr">
        <is>
          <t>KALMAR LÄN</t>
        </is>
      </c>
      <c r="E7816" t="inlineStr">
        <is>
          <t>VÄSTERVIK</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19686-2023</t>
        </is>
      </c>
      <c r="B7817" s="1" t="n">
        <v>45051</v>
      </c>
      <c r="C7817" s="1" t="n">
        <v>45715</v>
      </c>
      <c r="D7817" t="inlineStr">
        <is>
          <t>KALMAR LÄN</t>
        </is>
      </c>
      <c r="E7817" t="inlineStr">
        <is>
          <t>EMMABODA</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19832-2023</t>
        </is>
      </c>
      <c r="B7818" s="1" t="n">
        <v>45051</v>
      </c>
      <c r="C7818" s="1" t="n">
        <v>45715</v>
      </c>
      <c r="D7818" t="inlineStr">
        <is>
          <t>KALMAR LÄN</t>
        </is>
      </c>
      <c r="E7818" t="inlineStr">
        <is>
          <t>OSKARSHAMN</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19742-2023</t>
        </is>
      </c>
      <c r="B7819" s="1" t="n">
        <v>45051</v>
      </c>
      <c r="C7819" s="1" t="n">
        <v>45715</v>
      </c>
      <c r="D7819" t="inlineStr">
        <is>
          <t>KALMAR LÄN</t>
        </is>
      </c>
      <c r="E7819" t="inlineStr">
        <is>
          <t>HÖGSBY</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19789-2023</t>
        </is>
      </c>
      <c r="B7820" s="1" t="n">
        <v>45051</v>
      </c>
      <c r="C7820" s="1" t="n">
        <v>45715</v>
      </c>
      <c r="D7820" t="inlineStr">
        <is>
          <t>KALMAR LÄN</t>
        </is>
      </c>
      <c r="E7820" t="inlineStr">
        <is>
          <t>TORSÅS</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19833-2023</t>
        </is>
      </c>
      <c r="B7821" s="1" t="n">
        <v>45052</v>
      </c>
      <c r="C7821" s="1" t="n">
        <v>45715</v>
      </c>
      <c r="D7821" t="inlineStr">
        <is>
          <t>KALMAR LÄN</t>
        </is>
      </c>
      <c r="E7821" t="inlineStr">
        <is>
          <t>VIMMERBY</t>
        </is>
      </c>
      <c r="G7821" t="n">
        <v>6.7</v>
      </c>
      <c r="H7821" t="n">
        <v>0</v>
      </c>
      <c r="I7821" t="n">
        <v>0</v>
      </c>
      <c r="J7821" t="n">
        <v>0</v>
      </c>
      <c r="K7821" t="n">
        <v>0</v>
      </c>
      <c r="L7821" t="n">
        <v>0</v>
      </c>
      <c r="M7821" t="n">
        <v>0</v>
      </c>
      <c r="N7821" t="n">
        <v>0</v>
      </c>
      <c r="O7821" t="n">
        <v>0</v>
      </c>
      <c r="P7821" t="n">
        <v>0</v>
      </c>
      <c r="Q7821" t="n">
        <v>0</v>
      </c>
      <c r="R7821" s="2" t="inlineStr"/>
    </row>
    <row r="7822" ht="15" customHeight="1">
      <c r="A7822" t="inlineStr">
        <is>
          <t>A 19864-2023</t>
        </is>
      </c>
      <c r="B7822" s="1" t="n">
        <v>45053</v>
      </c>
      <c r="C7822" s="1" t="n">
        <v>45715</v>
      </c>
      <c r="D7822" t="inlineStr">
        <is>
          <t>KALMAR LÄN</t>
        </is>
      </c>
      <c r="E7822" t="inlineStr">
        <is>
          <t>VÄSTERVIK</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19943-2023</t>
        </is>
      </c>
      <c r="B7823" s="1" t="n">
        <v>45054</v>
      </c>
      <c r="C7823" s="1" t="n">
        <v>45715</v>
      </c>
      <c r="D7823" t="inlineStr">
        <is>
          <t>KALMAR LÄN</t>
        </is>
      </c>
      <c r="E7823" t="inlineStr">
        <is>
          <t>TORSÅS</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19932-2023</t>
        </is>
      </c>
      <c r="B7824" s="1" t="n">
        <v>45054</v>
      </c>
      <c r="C7824" s="1" t="n">
        <v>45715</v>
      </c>
      <c r="D7824" t="inlineStr">
        <is>
          <t>KALMAR LÄN</t>
        </is>
      </c>
      <c r="E7824" t="inlineStr">
        <is>
          <t>HULTSFRED</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19942-2023</t>
        </is>
      </c>
      <c r="B7825" s="1" t="n">
        <v>45054</v>
      </c>
      <c r="C7825" s="1" t="n">
        <v>45715</v>
      </c>
      <c r="D7825" t="inlineStr">
        <is>
          <t>KALMAR LÄN</t>
        </is>
      </c>
      <c r="E7825" t="inlineStr">
        <is>
          <t>TORSÅS</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20035-2023</t>
        </is>
      </c>
      <c r="B7826" s="1" t="n">
        <v>45054</v>
      </c>
      <c r="C7826" s="1" t="n">
        <v>45715</v>
      </c>
      <c r="D7826" t="inlineStr">
        <is>
          <t>KALMAR LÄN</t>
        </is>
      </c>
      <c r="E7826" t="inlineStr">
        <is>
          <t>HULTSFRED</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20044-2023</t>
        </is>
      </c>
      <c r="B7827" s="1" t="n">
        <v>45054</v>
      </c>
      <c r="C7827" s="1" t="n">
        <v>45715</v>
      </c>
      <c r="D7827" t="inlineStr">
        <is>
          <t>KALMAR LÄN</t>
        </is>
      </c>
      <c r="E7827" t="inlineStr">
        <is>
          <t>HULTSFRED</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20047-2023</t>
        </is>
      </c>
      <c r="B7828" s="1" t="n">
        <v>45054</v>
      </c>
      <c r="C7828" s="1" t="n">
        <v>45715</v>
      </c>
      <c r="D7828" t="inlineStr">
        <is>
          <t>KALMAR LÄN</t>
        </is>
      </c>
      <c r="E7828" t="inlineStr">
        <is>
          <t>HULTSFRED</t>
        </is>
      </c>
      <c r="G7828" t="n">
        <v>5.1</v>
      </c>
      <c r="H7828" t="n">
        <v>0</v>
      </c>
      <c r="I7828" t="n">
        <v>0</v>
      </c>
      <c r="J7828" t="n">
        <v>0</v>
      </c>
      <c r="K7828" t="n">
        <v>0</v>
      </c>
      <c r="L7828" t="n">
        <v>0</v>
      </c>
      <c r="M7828" t="n">
        <v>0</v>
      </c>
      <c r="N7828" t="n">
        <v>0</v>
      </c>
      <c r="O7828" t="n">
        <v>0</v>
      </c>
      <c r="P7828" t="n">
        <v>0</v>
      </c>
      <c r="Q7828" t="n">
        <v>0</v>
      </c>
      <c r="R7828" s="2" t="inlineStr"/>
    </row>
    <row r="7829" ht="15" customHeight="1">
      <c r="A7829" t="inlineStr">
        <is>
          <t>A 20051-2023</t>
        </is>
      </c>
      <c r="B7829" s="1" t="n">
        <v>45054</v>
      </c>
      <c r="C7829" s="1" t="n">
        <v>45715</v>
      </c>
      <c r="D7829" t="inlineStr">
        <is>
          <t>KALMAR LÄN</t>
        </is>
      </c>
      <c r="E7829" t="inlineStr">
        <is>
          <t>HULTSFRED</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20036-2023</t>
        </is>
      </c>
      <c r="B7830" s="1" t="n">
        <v>45054</v>
      </c>
      <c r="C7830" s="1" t="n">
        <v>45715</v>
      </c>
      <c r="D7830" t="inlineStr">
        <is>
          <t>KALMAR LÄN</t>
        </is>
      </c>
      <c r="E7830" t="inlineStr">
        <is>
          <t>HULTSFRED</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20054-2023</t>
        </is>
      </c>
      <c r="B7831" s="1" t="n">
        <v>45054</v>
      </c>
      <c r="C7831" s="1" t="n">
        <v>45715</v>
      </c>
      <c r="D7831" t="inlineStr">
        <is>
          <t>KALMAR LÄN</t>
        </is>
      </c>
      <c r="E7831" t="inlineStr">
        <is>
          <t>VIMMERBY</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19940-2023</t>
        </is>
      </c>
      <c r="B7832" s="1" t="n">
        <v>45054</v>
      </c>
      <c r="C7832" s="1" t="n">
        <v>45715</v>
      </c>
      <c r="D7832" t="inlineStr">
        <is>
          <t>KALMAR LÄN</t>
        </is>
      </c>
      <c r="E7832" t="inlineStr">
        <is>
          <t>OSKARSHAMN</t>
        </is>
      </c>
      <c r="G7832" t="n">
        <v>10.4</v>
      </c>
      <c r="H7832" t="n">
        <v>0</v>
      </c>
      <c r="I7832" t="n">
        <v>0</v>
      </c>
      <c r="J7832" t="n">
        <v>0</v>
      </c>
      <c r="K7832" t="n">
        <v>0</v>
      </c>
      <c r="L7832" t="n">
        <v>0</v>
      </c>
      <c r="M7832" t="n">
        <v>0</v>
      </c>
      <c r="N7832" t="n">
        <v>0</v>
      </c>
      <c r="O7832" t="n">
        <v>0</v>
      </c>
      <c r="P7832" t="n">
        <v>0</v>
      </c>
      <c r="Q7832" t="n">
        <v>0</v>
      </c>
      <c r="R7832" s="2" t="inlineStr"/>
    </row>
    <row r="7833" ht="15" customHeight="1">
      <c r="A7833" t="inlineStr">
        <is>
          <t>A 19947-2023</t>
        </is>
      </c>
      <c r="B7833" s="1" t="n">
        <v>45054</v>
      </c>
      <c r="C7833" s="1" t="n">
        <v>45715</v>
      </c>
      <c r="D7833" t="inlineStr">
        <is>
          <t>KALMAR LÄN</t>
        </is>
      </c>
      <c r="E7833" t="inlineStr">
        <is>
          <t>MÖNSTERÅS</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19967-2023</t>
        </is>
      </c>
      <c r="B7834" s="1" t="n">
        <v>45054</v>
      </c>
      <c r="C7834" s="1" t="n">
        <v>45715</v>
      </c>
      <c r="D7834" t="inlineStr">
        <is>
          <t>KALMAR LÄN</t>
        </is>
      </c>
      <c r="E7834" t="inlineStr">
        <is>
          <t>NYBRO</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20218-2023</t>
        </is>
      </c>
      <c r="B7835" s="1" t="n">
        <v>45055</v>
      </c>
      <c r="C7835" s="1" t="n">
        <v>45715</v>
      </c>
      <c r="D7835" t="inlineStr">
        <is>
          <t>KALMAR LÄN</t>
        </is>
      </c>
      <c r="E7835" t="inlineStr">
        <is>
          <t>VIMMERBY</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20112-2023</t>
        </is>
      </c>
      <c r="B7836" s="1" t="n">
        <v>45055</v>
      </c>
      <c r="C7836" s="1" t="n">
        <v>45715</v>
      </c>
      <c r="D7836" t="inlineStr">
        <is>
          <t>KALMAR LÄN</t>
        </is>
      </c>
      <c r="E7836" t="inlineStr">
        <is>
          <t>NYBRO</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20117-2023</t>
        </is>
      </c>
      <c r="B7837" s="1" t="n">
        <v>45055</v>
      </c>
      <c r="C7837" s="1" t="n">
        <v>45715</v>
      </c>
      <c r="D7837" t="inlineStr">
        <is>
          <t>KALMAR LÄN</t>
        </is>
      </c>
      <c r="E7837" t="inlineStr">
        <is>
          <t>VIMMERBY</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20215-2023</t>
        </is>
      </c>
      <c r="B7838" s="1" t="n">
        <v>45055</v>
      </c>
      <c r="C7838" s="1" t="n">
        <v>45715</v>
      </c>
      <c r="D7838" t="inlineStr">
        <is>
          <t>KALMAR LÄN</t>
        </is>
      </c>
      <c r="E7838" t="inlineStr">
        <is>
          <t>VIMMERBY</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20216-2023</t>
        </is>
      </c>
      <c r="B7839" s="1" t="n">
        <v>45055</v>
      </c>
      <c r="C7839" s="1" t="n">
        <v>45715</v>
      </c>
      <c r="D7839" t="inlineStr">
        <is>
          <t>KALMAR LÄN</t>
        </is>
      </c>
      <c r="E7839" t="inlineStr">
        <is>
          <t>VIMMERBY</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20386-2023</t>
        </is>
      </c>
      <c r="B7840" s="1" t="n">
        <v>45056</v>
      </c>
      <c r="C7840" s="1" t="n">
        <v>45715</v>
      </c>
      <c r="D7840" t="inlineStr">
        <is>
          <t>KALMAR LÄN</t>
        </is>
      </c>
      <c r="E7840" t="inlineStr">
        <is>
          <t>NYBRO</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20413-2023</t>
        </is>
      </c>
      <c r="B7841" s="1" t="n">
        <v>45056</v>
      </c>
      <c r="C7841" s="1" t="n">
        <v>45715</v>
      </c>
      <c r="D7841" t="inlineStr">
        <is>
          <t>KALMAR LÄN</t>
        </is>
      </c>
      <c r="E7841" t="inlineStr">
        <is>
          <t>OSKARSHAMN</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20417-2023</t>
        </is>
      </c>
      <c r="B7842" s="1" t="n">
        <v>45056</v>
      </c>
      <c r="C7842" s="1" t="n">
        <v>45715</v>
      </c>
      <c r="D7842" t="inlineStr">
        <is>
          <t>KALMAR LÄN</t>
        </is>
      </c>
      <c r="E7842" t="inlineStr">
        <is>
          <t>OSKARSHAMN</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20414-2023</t>
        </is>
      </c>
      <c r="B7843" s="1" t="n">
        <v>45056</v>
      </c>
      <c r="C7843" s="1" t="n">
        <v>45715</v>
      </c>
      <c r="D7843" t="inlineStr">
        <is>
          <t>KALMAR LÄN</t>
        </is>
      </c>
      <c r="E7843" t="inlineStr">
        <is>
          <t>OSKARSHAMN</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20419-2023</t>
        </is>
      </c>
      <c r="B7844" s="1" t="n">
        <v>45056</v>
      </c>
      <c r="C7844" s="1" t="n">
        <v>45715</v>
      </c>
      <c r="D7844" t="inlineStr">
        <is>
          <t>KALMAR LÄN</t>
        </is>
      </c>
      <c r="E7844" t="inlineStr">
        <is>
          <t>EMMABODA</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20423-2023</t>
        </is>
      </c>
      <c r="B7845" s="1" t="n">
        <v>45056</v>
      </c>
      <c r="C7845" s="1" t="n">
        <v>45715</v>
      </c>
      <c r="D7845" t="inlineStr">
        <is>
          <t>KALMAR LÄN</t>
        </is>
      </c>
      <c r="E7845" t="inlineStr">
        <is>
          <t>EMMABODA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20434-2023</t>
        </is>
      </c>
      <c r="B7846" s="1" t="n">
        <v>45056</v>
      </c>
      <c r="C7846" s="1" t="n">
        <v>45715</v>
      </c>
      <c r="D7846" t="inlineStr">
        <is>
          <t>KALMAR LÄN</t>
        </is>
      </c>
      <c r="E7846" t="inlineStr">
        <is>
          <t>NYBRO</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20291-2023</t>
        </is>
      </c>
      <c r="B7847" s="1" t="n">
        <v>45056</v>
      </c>
      <c r="C7847" s="1" t="n">
        <v>45715</v>
      </c>
      <c r="D7847" t="inlineStr">
        <is>
          <t>KALMAR LÄN</t>
        </is>
      </c>
      <c r="E7847" t="inlineStr">
        <is>
          <t>OSKARSHAMN</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20420-2023</t>
        </is>
      </c>
      <c r="B7848" s="1" t="n">
        <v>45056</v>
      </c>
      <c r="C7848" s="1" t="n">
        <v>45715</v>
      </c>
      <c r="D7848" t="inlineStr">
        <is>
          <t>KALMAR LÄN</t>
        </is>
      </c>
      <c r="E7848" t="inlineStr">
        <is>
          <t>EMMABODA</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20421-2023</t>
        </is>
      </c>
      <c r="B7849" s="1" t="n">
        <v>45056</v>
      </c>
      <c r="C7849" s="1" t="n">
        <v>45715</v>
      </c>
      <c r="D7849" t="inlineStr">
        <is>
          <t>KALMAR LÄN</t>
        </is>
      </c>
      <c r="E7849" t="inlineStr">
        <is>
          <t>VIMMERBY</t>
        </is>
      </c>
      <c r="G7849" t="n">
        <v>5.2</v>
      </c>
      <c r="H7849" t="n">
        <v>0</v>
      </c>
      <c r="I7849" t="n">
        <v>0</v>
      </c>
      <c r="J7849" t="n">
        <v>0</v>
      </c>
      <c r="K7849" t="n">
        <v>0</v>
      </c>
      <c r="L7849" t="n">
        <v>0</v>
      </c>
      <c r="M7849" t="n">
        <v>0</v>
      </c>
      <c r="N7849" t="n">
        <v>0</v>
      </c>
      <c r="O7849" t="n">
        <v>0</v>
      </c>
      <c r="P7849" t="n">
        <v>0</v>
      </c>
      <c r="Q7849" t="n">
        <v>0</v>
      </c>
      <c r="R7849" s="2" t="inlineStr"/>
    </row>
    <row r="7850" ht="15" customHeight="1">
      <c r="A7850" t="inlineStr">
        <is>
          <t>A 20498-2023</t>
        </is>
      </c>
      <c r="B7850" s="1" t="n">
        <v>45057</v>
      </c>
      <c r="C7850" s="1" t="n">
        <v>45715</v>
      </c>
      <c r="D7850" t="inlineStr">
        <is>
          <t>KALMAR LÄN</t>
        </is>
      </c>
      <c r="E7850" t="inlineStr">
        <is>
          <t>MÖNSTERÅS</t>
        </is>
      </c>
      <c r="G7850" t="n">
        <v>6.5</v>
      </c>
      <c r="H7850" t="n">
        <v>0</v>
      </c>
      <c r="I7850" t="n">
        <v>0</v>
      </c>
      <c r="J7850" t="n">
        <v>0</v>
      </c>
      <c r="K7850" t="n">
        <v>0</v>
      </c>
      <c r="L7850" t="n">
        <v>0</v>
      </c>
      <c r="M7850" t="n">
        <v>0</v>
      </c>
      <c r="N7850" t="n">
        <v>0</v>
      </c>
      <c r="O7850" t="n">
        <v>0</v>
      </c>
      <c r="P7850" t="n">
        <v>0</v>
      </c>
      <c r="Q7850" t="n">
        <v>0</v>
      </c>
      <c r="R7850" s="2" t="inlineStr"/>
    </row>
    <row r="7851" ht="15" customHeight="1">
      <c r="A7851" t="inlineStr">
        <is>
          <t>A 20481-2023</t>
        </is>
      </c>
      <c r="B7851" s="1" t="n">
        <v>45057</v>
      </c>
      <c r="C7851" s="1" t="n">
        <v>45715</v>
      </c>
      <c r="D7851" t="inlineStr">
        <is>
          <t>KALMAR LÄN</t>
        </is>
      </c>
      <c r="E7851" t="inlineStr">
        <is>
          <t>EMMABODA</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20530-2023</t>
        </is>
      </c>
      <c r="B7852" s="1" t="n">
        <v>45057</v>
      </c>
      <c r="C7852" s="1" t="n">
        <v>45715</v>
      </c>
      <c r="D7852" t="inlineStr">
        <is>
          <t>KALMAR LÄN</t>
        </is>
      </c>
      <c r="E7852" t="inlineStr">
        <is>
          <t>OSKARSHAMN</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20500-2023</t>
        </is>
      </c>
      <c r="B7853" s="1" t="n">
        <v>45057</v>
      </c>
      <c r="C7853" s="1" t="n">
        <v>45715</v>
      </c>
      <c r="D7853" t="inlineStr">
        <is>
          <t>KALMAR LÄN</t>
        </is>
      </c>
      <c r="E7853" t="inlineStr">
        <is>
          <t>MÖNSTERÅS</t>
        </is>
      </c>
      <c r="G7853" t="n">
        <v>7.7</v>
      </c>
      <c r="H7853" t="n">
        <v>0</v>
      </c>
      <c r="I7853" t="n">
        <v>0</v>
      </c>
      <c r="J7853" t="n">
        <v>0</v>
      </c>
      <c r="K7853" t="n">
        <v>0</v>
      </c>
      <c r="L7853" t="n">
        <v>0</v>
      </c>
      <c r="M7853" t="n">
        <v>0</v>
      </c>
      <c r="N7853" t="n">
        <v>0</v>
      </c>
      <c r="O7853" t="n">
        <v>0</v>
      </c>
      <c r="P7853" t="n">
        <v>0</v>
      </c>
      <c r="Q7853" t="n">
        <v>0</v>
      </c>
      <c r="R7853" s="2" t="inlineStr"/>
    </row>
    <row r="7854" ht="15" customHeight="1">
      <c r="A7854" t="inlineStr">
        <is>
          <t>A 21175-2023</t>
        </is>
      </c>
      <c r="B7854" s="1" t="n">
        <v>45057</v>
      </c>
      <c r="C7854" s="1" t="n">
        <v>45715</v>
      </c>
      <c r="D7854" t="inlineStr">
        <is>
          <t>KALMAR LÄN</t>
        </is>
      </c>
      <c r="E7854" t="inlineStr">
        <is>
          <t>NYBRO</t>
        </is>
      </c>
      <c r="G7854" t="n">
        <v>4.7</v>
      </c>
      <c r="H7854" t="n">
        <v>0</v>
      </c>
      <c r="I7854" t="n">
        <v>0</v>
      </c>
      <c r="J7854" t="n">
        <v>0</v>
      </c>
      <c r="K7854" t="n">
        <v>0</v>
      </c>
      <c r="L7854" t="n">
        <v>0</v>
      </c>
      <c r="M7854" t="n">
        <v>0</v>
      </c>
      <c r="N7854" t="n">
        <v>0</v>
      </c>
      <c r="O7854" t="n">
        <v>0</v>
      </c>
      <c r="P7854" t="n">
        <v>0</v>
      </c>
      <c r="Q7854" t="n">
        <v>0</v>
      </c>
      <c r="R7854" s="2" t="inlineStr"/>
    </row>
    <row r="7855" ht="15" customHeight="1">
      <c r="A7855" t="inlineStr">
        <is>
          <t>A 20637-2023</t>
        </is>
      </c>
      <c r="B7855" s="1" t="n">
        <v>45057</v>
      </c>
      <c r="C7855" s="1" t="n">
        <v>45715</v>
      </c>
      <c r="D7855" t="inlineStr">
        <is>
          <t>KALMAR LÄN</t>
        </is>
      </c>
      <c r="E7855" t="inlineStr">
        <is>
          <t>VÄSTERVIK</t>
        </is>
      </c>
      <c r="F7855" t="inlineStr">
        <is>
          <t>Holmen skog AB</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20542-2023</t>
        </is>
      </c>
      <c r="B7856" s="1" t="n">
        <v>45057</v>
      </c>
      <c r="C7856" s="1" t="n">
        <v>45715</v>
      </c>
      <c r="D7856" t="inlineStr">
        <is>
          <t>KALMAR LÄN</t>
        </is>
      </c>
      <c r="E7856" t="inlineStr">
        <is>
          <t>VIMMERBY</t>
        </is>
      </c>
      <c r="G7856" t="n">
        <v>4.4</v>
      </c>
      <c r="H7856" t="n">
        <v>0</v>
      </c>
      <c r="I7856" t="n">
        <v>0</v>
      </c>
      <c r="J7856" t="n">
        <v>0</v>
      </c>
      <c r="K7856" t="n">
        <v>0</v>
      </c>
      <c r="L7856" t="n">
        <v>0</v>
      </c>
      <c r="M7856" t="n">
        <v>0</v>
      </c>
      <c r="N7856" t="n">
        <v>0</v>
      </c>
      <c r="O7856" t="n">
        <v>0</v>
      </c>
      <c r="P7856" t="n">
        <v>0</v>
      </c>
      <c r="Q7856" t="n">
        <v>0</v>
      </c>
      <c r="R7856" s="2" t="inlineStr"/>
    </row>
    <row r="7857" ht="15" customHeight="1">
      <c r="A7857" t="inlineStr">
        <is>
          <t>A 20565-2023</t>
        </is>
      </c>
      <c r="B7857" s="1" t="n">
        <v>45057</v>
      </c>
      <c r="C7857" s="1" t="n">
        <v>45715</v>
      </c>
      <c r="D7857" t="inlineStr">
        <is>
          <t>KALMAR LÄN</t>
        </is>
      </c>
      <c r="E7857" t="inlineStr">
        <is>
          <t>NYBRO</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20571-2023</t>
        </is>
      </c>
      <c r="B7858" s="1" t="n">
        <v>45057</v>
      </c>
      <c r="C7858" s="1" t="n">
        <v>45715</v>
      </c>
      <c r="D7858" t="inlineStr">
        <is>
          <t>KALMAR LÄN</t>
        </is>
      </c>
      <c r="E7858" t="inlineStr">
        <is>
          <t>NYBRO</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21156-2023</t>
        </is>
      </c>
      <c r="B7859" s="1" t="n">
        <v>45057</v>
      </c>
      <c r="C7859" s="1" t="n">
        <v>45715</v>
      </c>
      <c r="D7859" t="inlineStr">
        <is>
          <t>KALMAR LÄN</t>
        </is>
      </c>
      <c r="E7859" t="inlineStr">
        <is>
          <t>HÖGSBY</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21187-2023</t>
        </is>
      </c>
      <c r="B7860" s="1" t="n">
        <v>45057</v>
      </c>
      <c r="C7860" s="1" t="n">
        <v>45715</v>
      </c>
      <c r="D7860" t="inlineStr">
        <is>
          <t>KALMAR LÄN</t>
        </is>
      </c>
      <c r="E7860" t="inlineStr">
        <is>
          <t>NYBRO</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21180-2023</t>
        </is>
      </c>
      <c r="B7861" s="1" t="n">
        <v>45057</v>
      </c>
      <c r="C7861" s="1" t="n">
        <v>45715</v>
      </c>
      <c r="D7861" t="inlineStr">
        <is>
          <t>KALMAR LÄN</t>
        </is>
      </c>
      <c r="E7861" t="inlineStr">
        <is>
          <t>NYBRO</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20673-2023</t>
        </is>
      </c>
      <c r="B7862" s="1" t="n">
        <v>45058</v>
      </c>
      <c r="C7862" s="1" t="n">
        <v>45715</v>
      </c>
      <c r="D7862" t="inlineStr">
        <is>
          <t>KALMAR LÄN</t>
        </is>
      </c>
      <c r="E7862" t="inlineStr">
        <is>
          <t>HÖGSBY</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20699-2023</t>
        </is>
      </c>
      <c r="B7863" s="1" t="n">
        <v>45058</v>
      </c>
      <c r="C7863" s="1" t="n">
        <v>45715</v>
      </c>
      <c r="D7863" t="inlineStr">
        <is>
          <t>KALMAR LÄN</t>
        </is>
      </c>
      <c r="E7863" t="inlineStr">
        <is>
          <t>VIMMERBY</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20714-2023</t>
        </is>
      </c>
      <c r="B7864" s="1" t="n">
        <v>45058</v>
      </c>
      <c r="C7864" s="1" t="n">
        <v>45715</v>
      </c>
      <c r="D7864" t="inlineStr">
        <is>
          <t>KALMAR LÄN</t>
        </is>
      </c>
      <c r="E7864" t="inlineStr">
        <is>
          <t>TORSÅS</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20658-2023</t>
        </is>
      </c>
      <c r="B7865" s="1" t="n">
        <v>45058</v>
      </c>
      <c r="C7865" s="1" t="n">
        <v>45715</v>
      </c>
      <c r="D7865" t="inlineStr">
        <is>
          <t>KALMAR LÄN</t>
        </is>
      </c>
      <c r="E7865" t="inlineStr">
        <is>
          <t>KALMAR</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20671-2023</t>
        </is>
      </c>
      <c r="B7866" s="1" t="n">
        <v>45058</v>
      </c>
      <c r="C7866" s="1" t="n">
        <v>45715</v>
      </c>
      <c r="D7866" t="inlineStr">
        <is>
          <t>KALMAR LÄN</t>
        </is>
      </c>
      <c r="E7866" t="inlineStr">
        <is>
          <t>HÖGSBY</t>
        </is>
      </c>
      <c r="G7866" t="n">
        <v>7.5</v>
      </c>
      <c r="H7866" t="n">
        <v>0</v>
      </c>
      <c r="I7866" t="n">
        <v>0</v>
      </c>
      <c r="J7866" t="n">
        <v>0</v>
      </c>
      <c r="K7866" t="n">
        <v>0</v>
      </c>
      <c r="L7866" t="n">
        <v>0</v>
      </c>
      <c r="M7866" t="n">
        <v>0</v>
      </c>
      <c r="N7866" t="n">
        <v>0</v>
      </c>
      <c r="O7866" t="n">
        <v>0</v>
      </c>
      <c r="P7866" t="n">
        <v>0</v>
      </c>
      <c r="Q7866" t="n">
        <v>0</v>
      </c>
      <c r="R7866" s="2" t="inlineStr"/>
    </row>
    <row r="7867" ht="15" customHeight="1">
      <c r="A7867" t="inlineStr">
        <is>
          <t>A 20736-2023</t>
        </is>
      </c>
      <c r="B7867" s="1" t="n">
        <v>45058</v>
      </c>
      <c r="C7867" s="1" t="n">
        <v>45715</v>
      </c>
      <c r="D7867" t="inlineStr">
        <is>
          <t>KALMAR LÄN</t>
        </is>
      </c>
      <c r="E7867" t="inlineStr">
        <is>
          <t>VIMMERBY</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20770-2023</t>
        </is>
      </c>
      <c r="B7868" s="1" t="n">
        <v>45058</v>
      </c>
      <c r="C7868" s="1" t="n">
        <v>45715</v>
      </c>
      <c r="D7868" t="inlineStr">
        <is>
          <t>KALMAR LÄN</t>
        </is>
      </c>
      <c r="E7868" t="inlineStr">
        <is>
          <t>HÖGSBY</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20774-2023</t>
        </is>
      </c>
      <c r="B7869" s="1" t="n">
        <v>45058</v>
      </c>
      <c r="C7869" s="1" t="n">
        <v>45715</v>
      </c>
      <c r="D7869" t="inlineStr">
        <is>
          <t>KALMAR LÄN</t>
        </is>
      </c>
      <c r="E7869" t="inlineStr">
        <is>
          <t>VÄSTERVIK</t>
        </is>
      </c>
      <c r="F7869" t="inlineStr">
        <is>
          <t>Sveaskog</t>
        </is>
      </c>
      <c r="G7869" t="n">
        <v>11.7</v>
      </c>
      <c r="H7869" t="n">
        <v>0</v>
      </c>
      <c r="I7869" t="n">
        <v>0</v>
      </c>
      <c r="J7869" t="n">
        <v>0</v>
      </c>
      <c r="K7869" t="n">
        <v>0</v>
      </c>
      <c r="L7869" t="n">
        <v>0</v>
      </c>
      <c r="M7869" t="n">
        <v>0</v>
      </c>
      <c r="N7869" t="n">
        <v>0</v>
      </c>
      <c r="O7869" t="n">
        <v>0</v>
      </c>
      <c r="P7869" t="n">
        <v>0</v>
      </c>
      <c r="Q7869" t="n">
        <v>0</v>
      </c>
      <c r="R7869" s="2" t="inlineStr"/>
    </row>
    <row r="7870" ht="15" customHeight="1">
      <c r="A7870" t="inlineStr">
        <is>
          <t>A 21278-2023</t>
        </is>
      </c>
      <c r="B7870" s="1" t="n">
        <v>45058</v>
      </c>
      <c r="C7870" s="1" t="n">
        <v>45715</v>
      </c>
      <c r="D7870" t="inlineStr">
        <is>
          <t>KALMAR LÄN</t>
        </is>
      </c>
      <c r="E7870" t="inlineStr">
        <is>
          <t>OSKARSHAMN</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20929-2023</t>
        </is>
      </c>
      <c r="B7871" s="1" t="n">
        <v>45061</v>
      </c>
      <c r="C7871" s="1" t="n">
        <v>45715</v>
      </c>
      <c r="D7871" t="inlineStr">
        <is>
          <t>KALMAR LÄN</t>
        </is>
      </c>
      <c r="E7871" t="inlineStr">
        <is>
          <t>HÖGSBY</t>
        </is>
      </c>
      <c r="F7871" t="inlineStr">
        <is>
          <t>Sveaskog</t>
        </is>
      </c>
      <c r="G7871" t="n">
        <v>10.4</v>
      </c>
      <c r="H7871" t="n">
        <v>0</v>
      </c>
      <c r="I7871" t="n">
        <v>0</v>
      </c>
      <c r="J7871" t="n">
        <v>0</v>
      </c>
      <c r="K7871" t="n">
        <v>0</v>
      </c>
      <c r="L7871" t="n">
        <v>0</v>
      </c>
      <c r="M7871" t="n">
        <v>0</v>
      </c>
      <c r="N7871" t="n">
        <v>0</v>
      </c>
      <c r="O7871" t="n">
        <v>0</v>
      </c>
      <c r="P7871" t="n">
        <v>0</v>
      </c>
      <c r="Q7871" t="n">
        <v>0</v>
      </c>
      <c r="R7871" s="2" t="inlineStr"/>
    </row>
    <row r="7872" ht="15" customHeight="1">
      <c r="A7872" t="inlineStr">
        <is>
          <t>A 21008-2023</t>
        </is>
      </c>
      <c r="B7872" s="1" t="n">
        <v>45061</v>
      </c>
      <c r="C7872" s="1" t="n">
        <v>45715</v>
      </c>
      <c r="D7872" t="inlineStr">
        <is>
          <t>KALMAR LÄN</t>
        </is>
      </c>
      <c r="E7872" t="inlineStr">
        <is>
          <t>HULTSFRED</t>
        </is>
      </c>
      <c r="F7872" t="inlineStr">
        <is>
          <t>Sveaskog</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21025-2023</t>
        </is>
      </c>
      <c r="B7873" s="1" t="n">
        <v>45061</v>
      </c>
      <c r="C7873" s="1" t="n">
        <v>45715</v>
      </c>
      <c r="D7873" t="inlineStr">
        <is>
          <t>KALMAR LÄN</t>
        </is>
      </c>
      <c r="E7873" t="inlineStr">
        <is>
          <t>VIMMERBY</t>
        </is>
      </c>
      <c r="F7873" t="inlineStr">
        <is>
          <t>Övriga Aktiebolag</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20928-2023</t>
        </is>
      </c>
      <c r="B7874" s="1" t="n">
        <v>45061</v>
      </c>
      <c r="C7874" s="1" t="n">
        <v>45715</v>
      </c>
      <c r="D7874" t="inlineStr">
        <is>
          <t>KALMAR LÄN</t>
        </is>
      </c>
      <c r="E7874" t="inlineStr">
        <is>
          <t>HÖGSBY</t>
        </is>
      </c>
      <c r="F7874" t="inlineStr">
        <is>
          <t>Sveaskog</t>
        </is>
      </c>
      <c r="G7874" t="n">
        <v>5.3</v>
      </c>
      <c r="H7874" t="n">
        <v>0</v>
      </c>
      <c r="I7874" t="n">
        <v>0</v>
      </c>
      <c r="J7874" t="n">
        <v>0</v>
      </c>
      <c r="K7874" t="n">
        <v>0</v>
      </c>
      <c r="L7874" t="n">
        <v>0</v>
      </c>
      <c r="M7874" t="n">
        <v>0</v>
      </c>
      <c r="N7874" t="n">
        <v>0</v>
      </c>
      <c r="O7874" t="n">
        <v>0</v>
      </c>
      <c r="P7874" t="n">
        <v>0</v>
      </c>
      <c r="Q7874" t="n">
        <v>0</v>
      </c>
      <c r="R7874" s="2" t="inlineStr"/>
    </row>
    <row r="7875" ht="15" customHeight="1">
      <c r="A7875" t="inlineStr">
        <is>
          <t>A 21122-2023</t>
        </is>
      </c>
      <c r="B7875" s="1" t="n">
        <v>45062</v>
      </c>
      <c r="C7875" s="1" t="n">
        <v>45715</v>
      </c>
      <c r="D7875" t="inlineStr">
        <is>
          <t>KALMAR LÄN</t>
        </is>
      </c>
      <c r="E7875" t="inlineStr">
        <is>
          <t>VÄSTERVIK</t>
        </is>
      </c>
      <c r="F7875" t="inlineStr">
        <is>
          <t>Holmen skog AB</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21007-2023</t>
        </is>
      </c>
      <c r="B7876" s="1" t="n">
        <v>45061</v>
      </c>
      <c r="C7876" s="1" t="n">
        <v>45715</v>
      </c>
      <c r="D7876" t="inlineStr">
        <is>
          <t>KALMAR LÄN</t>
        </is>
      </c>
      <c r="E7876" t="inlineStr">
        <is>
          <t>HULTSFRED</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21028-2023</t>
        </is>
      </c>
      <c r="B7877" s="1" t="n">
        <v>45061</v>
      </c>
      <c r="C7877" s="1" t="n">
        <v>45715</v>
      </c>
      <c r="D7877" t="inlineStr">
        <is>
          <t>KALMAR LÄN</t>
        </is>
      </c>
      <c r="E7877" t="inlineStr">
        <is>
          <t>VIMMERBY</t>
        </is>
      </c>
      <c r="F7877" t="inlineStr">
        <is>
          <t>Övriga Aktiebolag</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21384-2023</t>
        </is>
      </c>
      <c r="B7878" s="1" t="n">
        <v>45061</v>
      </c>
      <c r="C7878" s="1" t="n">
        <v>45715</v>
      </c>
      <c r="D7878" t="inlineStr">
        <is>
          <t>KALMAR LÄN</t>
        </is>
      </c>
      <c r="E7878" t="inlineStr">
        <is>
          <t>KALMAR</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21286-2023</t>
        </is>
      </c>
      <c r="B7879" s="1" t="n">
        <v>45062</v>
      </c>
      <c r="C7879" s="1" t="n">
        <v>45715</v>
      </c>
      <c r="D7879" t="inlineStr">
        <is>
          <t>KALMAR LÄN</t>
        </is>
      </c>
      <c r="E7879" t="inlineStr">
        <is>
          <t>VÄSTERVIK</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21291-2023</t>
        </is>
      </c>
      <c r="B7880" s="1" t="n">
        <v>45062</v>
      </c>
      <c r="C7880" s="1" t="n">
        <v>45715</v>
      </c>
      <c r="D7880" t="inlineStr">
        <is>
          <t>KALMAR LÄN</t>
        </is>
      </c>
      <c r="E7880" t="inlineStr">
        <is>
          <t>EMMABODA</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21433-2023</t>
        </is>
      </c>
      <c r="B7881" s="1" t="n">
        <v>45063</v>
      </c>
      <c r="C7881" s="1" t="n">
        <v>45715</v>
      </c>
      <c r="D7881" t="inlineStr">
        <is>
          <t>KALMAR LÄN</t>
        </is>
      </c>
      <c r="E7881" t="inlineStr">
        <is>
          <t>NYBRO</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21505-2023</t>
        </is>
      </c>
      <c r="B7882" s="1" t="n">
        <v>45063</v>
      </c>
      <c r="C7882" s="1" t="n">
        <v>45715</v>
      </c>
      <c r="D7882" t="inlineStr">
        <is>
          <t>KALMAR LÄN</t>
        </is>
      </c>
      <c r="E7882" t="inlineStr">
        <is>
          <t>HULTSFRED</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21447-2023</t>
        </is>
      </c>
      <c r="B7883" s="1" t="n">
        <v>45063</v>
      </c>
      <c r="C7883" s="1" t="n">
        <v>45715</v>
      </c>
      <c r="D7883" t="inlineStr">
        <is>
          <t>KALMAR LÄN</t>
        </is>
      </c>
      <c r="E7883" t="inlineStr">
        <is>
          <t>VÄSTERVIK</t>
        </is>
      </c>
      <c r="F7883" t="inlineStr">
        <is>
          <t>Holmen skog AB</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21496-2023</t>
        </is>
      </c>
      <c r="B7884" s="1" t="n">
        <v>45063</v>
      </c>
      <c r="C7884" s="1" t="n">
        <v>45715</v>
      </c>
      <c r="D7884" t="inlineStr">
        <is>
          <t>KALMAR LÄN</t>
        </is>
      </c>
      <c r="E7884" t="inlineStr">
        <is>
          <t>VIMMERBY</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21507-2023</t>
        </is>
      </c>
      <c r="B7885" s="1" t="n">
        <v>45063</v>
      </c>
      <c r="C7885" s="1" t="n">
        <v>45715</v>
      </c>
      <c r="D7885" t="inlineStr">
        <is>
          <t>KALMAR LÄN</t>
        </is>
      </c>
      <c r="E7885" t="inlineStr">
        <is>
          <t>VIMMERBY</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21522-2023</t>
        </is>
      </c>
      <c r="B7886" s="1" t="n">
        <v>45063</v>
      </c>
      <c r="C7886" s="1" t="n">
        <v>45715</v>
      </c>
      <c r="D7886" t="inlineStr">
        <is>
          <t>KALMAR LÄN</t>
        </is>
      </c>
      <c r="E7886" t="inlineStr">
        <is>
          <t>KALMAR</t>
        </is>
      </c>
      <c r="F7886" t="inlineStr">
        <is>
          <t>Sveaskog</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21429-2023</t>
        </is>
      </c>
      <c r="B7887" s="1" t="n">
        <v>45063</v>
      </c>
      <c r="C7887" s="1" t="n">
        <v>45715</v>
      </c>
      <c r="D7887" t="inlineStr">
        <is>
          <t>KALMAR LÄN</t>
        </is>
      </c>
      <c r="E7887" t="inlineStr">
        <is>
          <t>OSKARSHAMN</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21498-2023</t>
        </is>
      </c>
      <c r="B7888" s="1" t="n">
        <v>45063</v>
      </c>
      <c r="C7888" s="1" t="n">
        <v>45715</v>
      </c>
      <c r="D7888" t="inlineStr">
        <is>
          <t>KALMAR LÄN</t>
        </is>
      </c>
      <c r="E7888" t="inlineStr">
        <is>
          <t>HULTSFRED</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21564-2023</t>
        </is>
      </c>
      <c r="B7889" s="1" t="n">
        <v>45063</v>
      </c>
      <c r="C7889" s="1" t="n">
        <v>45715</v>
      </c>
      <c r="D7889" t="inlineStr">
        <is>
          <t>KALMAR LÄN</t>
        </is>
      </c>
      <c r="E7889" t="inlineStr">
        <is>
          <t>OSKARSHAMN</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21569-2023</t>
        </is>
      </c>
      <c r="B7890" s="1" t="n">
        <v>45063</v>
      </c>
      <c r="C7890" s="1" t="n">
        <v>45715</v>
      </c>
      <c r="D7890" t="inlineStr">
        <is>
          <t>KALMAR LÄN</t>
        </is>
      </c>
      <c r="E7890" t="inlineStr">
        <is>
          <t>OSKARSHAMN</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21596-2023</t>
        </is>
      </c>
      <c r="B7891" s="1" t="n">
        <v>45063</v>
      </c>
      <c r="C7891" s="1" t="n">
        <v>45715</v>
      </c>
      <c r="D7891" t="inlineStr">
        <is>
          <t>KALMAR LÄN</t>
        </is>
      </c>
      <c r="E7891" t="inlineStr">
        <is>
          <t>OSKARSHAMN</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21613-2023</t>
        </is>
      </c>
      <c r="B7892" s="1" t="n">
        <v>45063</v>
      </c>
      <c r="C7892" s="1" t="n">
        <v>45715</v>
      </c>
      <c r="D7892" t="inlineStr">
        <is>
          <t>KALMAR LÄN</t>
        </is>
      </c>
      <c r="E7892" t="inlineStr">
        <is>
          <t>NYBRO</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21575-2023</t>
        </is>
      </c>
      <c r="B7893" s="1" t="n">
        <v>45063</v>
      </c>
      <c r="C7893" s="1" t="n">
        <v>45715</v>
      </c>
      <c r="D7893" t="inlineStr">
        <is>
          <t>KALMAR LÄN</t>
        </is>
      </c>
      <c r="E7893" t="inlineStr">
        <is>
          <t>OSKARSHAMN</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21585-2023</t>
        </is>
      </c>
      <c r="B7894" s="1" t="n">
        <v>45063</v>
      </c>
      <c r="C7894" s="1" t="n">
        <v>45715</v>
      </c>
      <c r="D7894" t="inlineStr">
        <is>
          <t>KALMAR LÄN</t>
        </is>
      </c>
      <c r="E7894" t="inlineStr">
        <is>
          <t>OSKARSHAMN</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21604-2023</t>
        </is>
      </c>
      <c r="B7895" s="1" t="n">
        <v>45063</v>
      </c>
      <c r="C7895" s="1" t="n">
        <v>45715</v>
      </c>
      <c r="D7895" t="inlineStr">
        <is>
          <t>KALMAR LÄN</t>
        </is>
      </c>
      <c r="E7895" t="inlineStr">
        <is>
          <t>TORSÅS</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21644-2023</t>
        </is>
      </c>
      <c r="B7896" s="1" t="n">
        <v>45063</v>
      </c>
      <c r="C7896" s="1" t="n">
        <v>45715</v>
      </c>
      <c r="D7896" t="inlineStr">
        <is>
          <t>KALMAR LÄN</t>
        </is>
      </c>
      <c r="E7896" t="inlineStr">
        <is>
          <t>EMMABODA</t>
        </is>
      </c>
      <c r="F7896" t="inlineStr">
        <is>
          <t>Sveaskog</t>
        </is>
      </c>
      <c r="G7896" t="n">
        <v>6.3</v>
      </c>
      <c r="H7896" t="n">
        <v>0</v>
      </c>
      <c r="I7896" t="n">
        <v>0</v>
      </c>
      <c r="J7896" t="n">
        <v>0</v>
      </c>
      <c r="K7896" t="n">
        <v>0</v>
      </c>
      <c r="L7896" t="n">
        <v>0</v>
      </c>
      <c r="M7896" t="n">
        <v>0</v>
      </c>
      <c r="N7896" t="n">
        <v>0</v>
      </c>
      <c r="O7896" t="n">
        <v>0</v>
      </c>
      <c r="P7896" t="n">
        <v>0</v>
      </c>
      <c r="Q7896" t="n">
        <v>0</v>
      </c>
      <c r="R7896" s="2" t="inlineStr"/>
    </row>
    <row r="7897" ht="15" customHeight="1">
      <c r="A7897" t="inlineStr">
        <is>
          <t>A 21619-2023</t>
        </is>
      </c>
      <c r="B7897" s="1" t="n">
        <v>45063</v>
      </c>
      <c r="C7897" s="1" t="n">
        <v>45715</v>
      </c>
      <c r="D7897" t="inlineStr">
        <is>
          <t>KALMAR LÄN</t>
        </is>
      </c>
      <c r="E7897" t="inlineStr">
        <is>
          <t>HULTSFRED</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21698-2023</t>
        </is>
      </c>
      <c r="B7898" s="1" t="n">
        <v>45064</v>
      </c>
      <c r="C7898" s="1" t="n">
        <v>45715</v>
      </c>
      <c r="D7898" t="inlineStr">
        <is>
          <t>KALMAR LÄN</t>
        </is>
      </c>
      <c r="E7898" t="inlineStr">
        <is>
          <t>HULTSFRED</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21653-2023</t>
        </is>
      </c>
      <c r="B7899" s="1" t="n">
        <v>45063</v>
      </c>
      <c r="C7899" s="1" t="n">
        <v>45715</v>
      </c>
      <c r="D7899" t="inlineStr">
        <is>
          <t>KALMAR LÄN</t>
        </is>
      </c>
      <c r="E7899" t="inlineStr">
        <is>
          <t>TORSÅS</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21643-2023</t>
        </is>
      </c>
      <c r="B7900" s="1" t="n">
        <v>45063</v>
      </c>
      <c r="C7900" s="1" t="n">
        <v>45715</v>
      </c>
      <c r="D7900" t="inlineStr">
        <is>
          <t>KALMAR LÄN</t>
        </is>
      </c>
      <c r="E7900" t="inlineStr">
        <is>
          <t>OSKARSHAMN</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21787-2023</t>
        </is>
      </c>
      <c r="B7901" s="1" t="n">
        <v>45066</v>
      </c>
      <c r="C7901" s="1" t="n">
        <v>45715</v>
      </c>
      <c r="D7901" t="inlineStr">
        <is>
          <t>KALMAR LÄN</t>
        </is>
      </c>
      <c r="E7901" t="inlineStr">
        <is>
          <t>MÖNSTERÅS</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21798-2023</t>
        </is>
      </c>
      <c r="B7902" s="1" t="n">
        <v>45067</v>
      </c>
      <c r="C7902" s="1" t="n">
        <v>45715</v>
      </c>
      <c r="D7902" t="inlineStr">
        <is>
          <t>KALMAR LÄN</t>
        </is>
      </c>
      <c r="E7902" t="inlineStr">
        <is>
          <t>EMMABODA</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21799-2023</t>
        </is>
      </c>
      <c r="B7903" s="1" t="n">
        <v>45067</v>
      </c>
      <c r="C7903" s="1" t="n">
        <v>45715</v>
      </c>
      <c r="D7903" t="inlineStr">
        <is>
          <t>KALMAR LÄN</t>
        </is>
      </c>
      <c r="E7903" t="inlineStr">
        <is>
          <t>KALMAR</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21826-2023</t>
        </is>
      </c>
      <c r="B7904" s="1" t="n">
        <v>45068</v>
      </c>
      <c r="C7904" s="1" t="n">
        <v>45715</v>
      </c>
      <c r="D7904" t="inlineStr">
        <is>
          <t>KALMAR LÄN</t>
        </is>
      </c>
      <c r="E7904" t="inlineStr">
        <is>
          <t>VÄSTERVIK</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21831-2023</t>
        </is>
      </c>
      <c r="B7905" s="1" t="n">
        <v>45068</v>
      </c>
      <c r="C7905" s="1" t="n">
        <v>45715</v>
      </c>
      <c r="D7905" t="inlineStr">
        <is>
          <t>KALMAR LÄN</t>
        </is>
      </c>
      <c r="E7905" t="inlineStr">
        <is>
          <t>VÄSTERVIK</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21911-2023</t>
        </is>
      </c>
      <c r="B7906" s="1" t="n">
        <v>45068</v>
      </c>
      <c r="C7906" s="1" t="n">
        <v>45715</v>
      </c>
      <c r="D7906" t="inlineStr">
        <is>
          <t>KALMAR LÄN</t>
        </is>
      </c>
      <c r="E7906" t="inlineStr">
        <is>
          <t>VIMMERBY</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21939-2023</t>
        </is>
      </c>
      <c r="B7907" s="1" t="n">
        <v>45068</v>
      </c>
      <c r="C7907" s="1" t="n">
        <v>45715</v>
      </c>
      <c r="D7907" t="inlineStr">
        <is>
          <t>KALMAR LÄN</t>
        </is>
      </c>
      <c r="E7907" t="inlineStr">
        <is>
          <t>VÄSTERVIK</t>
        </is>
      </c>
      <c r="G7907" t="n">
        <v>5.5</v>
      </c>
      <c r="H7907" t="n">
        <v>0</v>
      </c>
      <c r="I7907" t="n">
        <v>0</v>
      </c>
      <c r="J7907" t="n">
        <v>0</v>
      </c>
      <c r="K7907" t="n">
        <v>0</v>
      </c>
      <c r="L7907" t="n">
        <v>0</v>
      </c>
      <c r="M7907" t="n">
        <v>0</v>
      </c>
      <c r="N7907" t="n">
        <v>0</v>
      </c>
      <c r="O7907" t="n">
        <v>0</v>
      </c>
      <c r="P7907" t="n">
        <v>0</v>
      </c>
      <c r="Q7907" t="n">
        <v>0</v>
      </c>
      <c r="R7907" s="2" t="inlineStr"/>
    </row>
    <row r="7908" ht="15" customHeight="1">
      <c r="A7908" t="inlineStr">
        <is>
          <t>A 21823-2023</t>
        </is>
      </c>
      <c r="B7908" s="1" t="n">
        <v>45068</v>
      </c>
      <c r="C7908" s="1" t="n">
        <v>45715</v>
      </c>
      <c r="D7908" t="inlineStr">
        <is>
          <t>KALMAR LÄN</t>
        </is>
      </c>
      <c r="E7908" t="inlineStr">
        <is>
          <t>VÄSTERVIK</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21830-2023</t>
        </is>
      </c>
      <c r="B7909" s="1" t="n">
        <v>45068</v>
      </c>
      <c r="C7909" s="1" t="n">
        <v>45715</v>
      </c>
      <c r="D7909" t="inlineStr">
        <is>
          <t>KALMAR LÄN</t>
        </is>
      </c>
      <c r="E7909" t="inlineStr">
        <is>
          <t>VÄSTERVIK</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21824-2023</t>
        </is>
      </c>
      <c r="B7910" s="1" t="n">
        <v>45068</v>
      </c>
      <c r="C7910" s="1" t="n">
        <v>45715</v>
      </c>
      <c r="D7910" t="inlineStr">
        <is>
          <t>KALMAR LÄN</t>
        </is>
      </c>
      <c r="E7910" t="inlineStr">
        <is>
          <t>VÄSTERVIK</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21829-2023</t>
        </is>
      </c>
      <c r="B7911" s="1" t="n">
        <v>45068</v>
      </c>
      <c r="C7911" s="1" t="n">
        <v>45715</v>
      </c>
      <c r="D7911" t="inlineStr">
        <is>
          <t>KALMAR LÄN</t>
        </is>
      </c>
      <c r="E7911" t="inlineStr">
        <is>
          <t>VÄSTERVIK</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21942-2023</t>
        </is>
      </c>
      <c r="B7912" s="1" t="n">
        <v>45068</v>
      </c>
      <c r="C7912" s="1" t="n">
        <v>45715</v>
      </c>
      <c r="D7912" t="inlineStr">
        <is>
          <t>KALMAR LÄN</t>
        </is>
      </c>
      <c r="E7912" t="inlineStr">
        <is>
          <t>VÄSTERVIK</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21955-2023</t>
        </is>
      </c>
      <c r="B7913" s="1" t="n">
        <v>45068</v>
      </c>
      <c r="C7913" s="1" t="n">
        <v>45715</v>
      </c>
      <c r="D7913" t="inlineStr">
        <is>
          <t>KALMAR LÄN</t>
        </is>
      </c>
      <c r="E7913" t="inlineStr">
        <is>
          <t>NYBRO</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21950-2023</t>
        </is>
      </c>
      <c r="B7914" s="1" t="n">
        <v>45068</v>
      </c>
      <c r="C7914" s="1" t="n">
        <v>45715</v>
      </c>
      <c r="D7914" t="inlineStr">
        <is>
          <t>KALMAR LÄN</t>
        </is>
      </c>
      <c r="E7914" t="inlineStr">
        <is>
          <t>MÖNSTERÅS</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21844-2023</t>
        </is>
      </c>
      <c r="B7915" s="1" t="n">
        <v>45068</v>
      </c>
      <c r="C7915" s="1" t="n">
        <v>45715</v>
      </c>
      <c r="D7915" t="inlineStr">
        <is>
          <t>KALMAR LÄN</t>
        </is>
      </c>
      <c r="E7915" t="inlineStr">
        <is>
          <t>EMMABODA</t>
        </is>
      </c>
      <c r="F7915" t="inlineStr">
        <is>
          <t>Kommuner</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21848-2023</t>
        </is>
      </c>
      <c r="B7916" s="1" t="n">
        <v>45068</v>
      </c>
      <c r="C7916" s="1" t="n">
        <v>45715</v>
      </c>
      <c r="D7916" t="inlineStr">
        <is>
          <t>KALMAR LÄN</t>
        </is>
      </c>
      <c r="E7916" t="inlineStr">
        <is>
          <t>EMMABODA</t>
        </is>
      </c>
      <c r="F7916" t="inlineStr">
        <is>
          <t>Kommuner</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21940-2023</t>
        </is>
      </c>
      <c r="B7917" s="1" t="n">
        <v>45068</v>
      </c>
      <c r="C7917" s="1" t="n">
        <v>45715</v>
      </c>
      <c r="D7917" t="inlineStr">
        <is>
          <t>KALMAR LÄN</t>
        </is>
      </c>
      <c r="E7917" t="inlineStr">
        <is>
          <t>VÄSTERVIK</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22171-2023</t>
        </is>
      </c>
      <c r="B7918" s="1" t="n">
        <v>45069</v>
      </c>
      <c r="C7918" s="1" t="n">
        <v>45715</v>
      </c>
      <c r="D7918" t="inlineStr">
        <is>
          <t>KALMAR LÄN</t>
        </is>
      </c>
      <c r="E7918" t="inlineStr">
        <is>
          <t>NYBRO</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22208-2023</t>
        </is>
      </c>
      <c r="B7919" s="1" t="n">
        <v>45069</v>
      </c>
      <c r="C7919" s="1" t="n">
        <v>45715</v>
      </c>
      <c r="D7919" t="inlineStr">
        <is>
          <t>KALMAR LÄN</t>
        </is>
      </c>
      <c r="E7919" t="inlineStr">
        <is>
          <t>NYBRO</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22099-2023</t>
        </is>
      </c>
      <c r="B7920" s="1" t="n">
        <v>45069</v>
      </c>
      <c r="C7920" s="1" t="n">
        <v>45715</v>
      </c>
      <c r="D7920" t="inlineStr">
        <is>
          <t>KALMAR LÄN</t>
        </is>
      </c>
      <c r="E7920" t="inlineStr">
        <is>
          <t>EMMABODA</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22169-2023</t>
        </is>
      </c>
      <c r="B7921" s="1" t="n">
        <v>45069</v>
      </c>
      <c r="C7921" s="1" t="n">
        <v>45715</v>
      </c>
      <c r="D7921" t="inlineStr">
        <is>
          <t>KALMAR LÄN</t>
        </is>
      </c>
      <c r="E7921" t="inlineStr">
        <is>
          <t>NYBRO</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22059-2023</t>
        </is>
      </c>
      <c r="B7922" s="1" t="n">
        <v>45069</v>
      </c>
      <c r="C7922" s="1" t="n">
        <v>45715</v>
      </c>
      <c r="D7922" t="inlineStr">
        <is>
          <t>KALMAR LÄN</t>
        </is>
      </c>
      <c r="E7922" t="inlineStr">
        <is>
          <t>NYBRO</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22105-2023</t>
        </is>
      </c>
      <c r="B7923" s="1" t="n">
        <v>45069</v>
      </c>
      <c r="C7923" s="1" t="n">
        <v>45715</v>
      </c>
      <c r="D7923" t="inlineStr">
        <is>
          <t>KALMAR LÄN</t>
        </is>
      </c>
      <c r="E7923" t="inlineStr">
        <is>
          <t>EMMABODA</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22117-2023</t>
        </is>
      </c>
      <c r="B7924" s="1" t="n">
        <v>45069</v>
      </c>
      <c r="C7924" s="1" t="n">
        <v>45715</v>
      </c>
      <c r="D7924" t="inlineStr">
        <is>
          <t>KALMAR LÄN</t>
        </is>
      </c>
      <c r="E7924" t="inlineStr">
        <is>
          <t>EMMABODA</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22014-2023</t>
        </is>
      </c>
      <c r="B7925" s="1" t="n">
        <v>45069</v>
      </c>
      <c r="C7925" s="1" t="n">
        <v>45715</v>
      </c>
      <c r="D7925" t="inlineStr">
        <is>
          <t>KALMAR LÄN</t>
        </is>
      </c>
      <c r="E7925" t="inlineStr">
        <is>
          <t>KALMAR</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22300-2023</t>
        </is>
      </c>
      <c r="B7926" s="1" t="n">
        <v>45070</v>
      </c>
      <c r="C7926" s="1" t="n">
        <v>45715</v>
      </c>
      <c r="D7926" t="inlineStr">
        <is>
          <t>KALMAR LÄN</t>
        </is>
      </c>
      <c r="E7926" t="inlineStr">
        <is>
          <t>EMMABODA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22415-2023</t>
        </is>
      </c>
      <c r="B7927" s="1" t="n">
        <v>45070</v>
      </c>
      <c r="C7927" s="1" t="n">
        <v>45715</v>
      </c>
      <c r="D7927" t="inlineStr">
        <is>
          <t>KALMAR LÄN</t>
        </is>
      </c>
      <c r="E7927" t="inlineStr">
        <is>
          <t>VIMMERBY</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22264-2023</t>
        </is>
      </c>
      <c r="B7928" s="1" t="n">
        <v>45070</v>
      </c>
      <c r="C7928" s="1" t="n">
        <v>45715</v>
      </c>
      <c r="D7928" t="inlineStr">
        <is>
          <t>KALMAR LÄN</t>
        </is>
      </c>
      <c r="E7928" t="inlineStr">
        <is>
          <t>VIMMERBY</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22403-2023</t>
        </is>
      </c>
      <c r="B7929" s="1" t="n">
        <v>45070</v>
      </c>
      <c r="C7929" s="1" t="n">
        <v>45715</v>
      </c>
      <c r="D7929" t="inlineStr">
        <is>
          <t>KALMAR LÄN</t>
        </is>
      </c>
      <c r="E7929" t="inlineStr">
        <is>
          <t>HULTSFRED</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22421-2023</t>
        </is>
      </c>
      <c r="B7930" s="1" t="n">
        <v>45070</v>
      </c>
      <c r="C7930" s="1" t="n">
        <v>45715</v>
      </c>
      <c r="D7930" t="inlineStr">
        <is>
          <t>KALMAR LÄN</t>
        </is>
      </c>
      <c r="E7930" t="inlineStr">
        <is>
          <t>VIMMERBY</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22429-2023</t>
        </is>
      </c>
      <c r="B7931" s="1" t="n">
        <v>45070</v>
      </c>
      <c r="C7931" s="1" t="n">
        <v>45715</v>
      </c>
      <c r="D7931" t="inlineStr">
        <is>
          <t>KALMAR LÄN</t>
        </is>
      </c>
      <c r="E7931" t="inlineStr">
        <is>
          <t>NYBRO</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22445-2023</t>
        </is>
      </c>
      <c r="B7932" s="1" t="n">
        <v>45070</v>
      </c>
      <c r="C7932" s="1" t="n">
        <v>45715</v>
      </c>
      <c r="D7932" t="inlineStr">
        <is>
          <t>KALMAR LÄN</t>
        </is>
      </c>
      <c r="E7932" t="inlineStr">
        <is>
          <t>OSKARSHAMN</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22266-2023</t>
        </is>
      </c>
      <c r="B7933" s="1" t="n">
        <v>45070</v>
      </c>
      <c r="C7933" s="1" t="n">
        <v>45715</v>
      </c>
      <c r="D7933" t="inlineStr">
        <is>
          <t>KALMAR LÄN</t>
        </is>
      </c>
      <c r="E7933" t="inlineStr">
        <is>
          <t>VIMMERBY</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22303-2023</t>
        </is>
      </c>
      <c r="B7934" s="1" t="n">
        <v>45070</v>
      </c>
      <c r="C7934" s="1" t="n">
        <v>45715</v>
      </c>
      <c r="D7934" t="inlineStr">
        <is>
          <t>KALMAR LÄN</t>
        </is>
      </c>
      <c r="E7934" t="inlineStr">
        <is>
          <t>KALMAR</t>
        </is>
      </c>
      <c r="F7934" t="inlineStr">
        <is>
          <t>Sveaskog</t>
        </is>
      </c>
      <c r="G7934" t="n">
        <v>0.1</v>
      </c>
      <c r="H7934" t="n">
        <v>0</v>
      </c>
      <c r="I7934" t="n">
        <v>0</v>
      </c>
      <c r="J7934" t="n">
        <v>0</v>
      </c>
      <c r="K7934" t="n">
        <v>0</v>
      </c>
      <c r="L7934" t="n">
        <v>0</v>
      </c>
      <c r="M7934" t="n">
        <v>0</v>
      </c>
      <c r="N7934" t="n">
        <v>0</v>
      </c>
      <c r="O7934" t="n">
        <v>0</v>
      </c>
      <c r="P7934" t="n">
        <v>0</v>
      </c>
      <c r="Q7934" t="n">
        <v>0</v>
      </c>
      <c r="R7934" s="2" t="inlineStr"/>
    </row>
    <row r="7935" ht="15" customHeight="1">
      <c r="A7935" t="inlineStr">
        <is>
          <t>A 22350-2023</t>
        </is>
      </c>
      <c r="B7935" s="1" t="n">
        <v>45070</v>
      </c>
      <c r="C7935" s="1" t="n">
        <v>45715</v>
      </c>
      <c r="D7935" t="inlineStr">
        <is>
          <t>KALMAR LÄN</t>
        </is>
      </c>
      <c r="E7935" t="inlineStr">
        <is>
          <t>KALMAR</t>
        </is>
      </c>
      <c r="F7935" t="inlineStr">
        <is>
          <t>Sveaskog</t>
        </is>
      </c>
      <c r="G7935" t="n">
        <v>5.5</v>
      </c>
      <c r="H7935" t="n">
        <v>0</v>
      </c>
      <c r="I7935" t="n">
        <v>0</v>
      </c>
      <c r="J7935" t="n">
        <v>0</v>
      </c>
      <c r="K7935" t="n">
        <v>0</v>
      </c>
      <c r="L7935" t="n">
        <v>0</v>
      </c>
      <c r="M7935" t="n">
        <v>0</v>
      </c>
      <c r="N7935" t="n">
        <v>0</v>
      </c>
      <c r="O7935" t="n">
        <v>0</v>
      </c>
      <c r="P7935" t="n">
        <v>0</v>
      </c>
      <c r="Q7935" t="n">
        <v>0</v>
      </c>
      <c r="R7935" s="2" t="inlineStr"/>
    </row>
    <row r="7936" ht="15" customHeight="1">
      <c r="A7936" t="inlineStr">
        <is>
          <t>A 22418-2023</t>
        </is>
      </c>
      <c r="B7936" s="1" t="n">
        <v>45070</v>
      </c>
      <c r="C7936" s="1" t="n">
        <v>45715</v>
      </c>
      <c r="D7936" t="inlineStr">
        <is>
          <t>KALMAR LÄN</t>
        </is>
      </c>
      <c r="E7936" t="inlineStr">
        <is>
          <t>VIMMERBY</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22426-2023</t>
        </is>
      </c>
      <c r="B7937" s="1" t="n">
        <v>45070</v>
      </c>
      <c r="C7937" s="1" t="n">
        <v>45715</v>
      </c>
      <c r="D7937" t="inlineStr">
        <is>
          <t>KALMAR LÄN</t>
        </is>
      </c>
      <c r="E7937" t="inlineStr">
        <is>
          <t>VIMMERBY</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22305-2023</t>
        </is>
      </c>
      <c r="B7938" s="1" t="n">
        <v>45070</v>
      </c>
      <c r="C7938" s="1" t="n">
        <v>45715</v>
      </c>
      <c r="D7938" t="inlineStr">
        <is>
          <t>KALMAR LÄN</t>
        </is>
      </c>
      <c r="E7938" t="inlineStr">
        <is>
          <t>KALMAR</t>
        </is>
      </c>
      <c r="F7938" t="inlineStr">
        <is>
          <t>Sveaskog</t>
        </is>
      </c>
      <c r="G7938" t="n">
        <v>8.9</v>
      </c>
      <c r="H7938" t="n">
        <v>0</v>
      </c>
      <c r="I7938" t="n">
        <v>0</v>
      </c>
      <c r="J7938" t="n">
        <v>0</v>
      </c>
      <c r="K7938" t="n">
        <v>0</v>
      </c>
      <c r="L7938" t="n">
        <v>0</v>
      </c>
      <c r="M7938" t="n">
        <v>0</v>
      </c>
      <c r="N7938" t="n">
        <v>0</v>
      </c>
      <c r="O7938" t="n">
        <v>0</v>
      </c>
      <c r="P7938" t="n">
        <v>0</v>
      </c>
      <c r="Q7938" t="n">
        <v>0</v>
      </c>
      <c r="R7938" s="2" t="inlineStr"/>
    </row>
    <row r="7939" ht="15" customHeight="1">
      <c r="A7939" t="inlineStr">
        <is>
          <t>A 22309-2023</t>
        </is>
      </c>
      <c r="B7939" s="1" t="n">
        <v>45070</v>
      </c>
      <c r="C7939" s="1" t="n">
        <v>45715</v>
      </c>
      <c r="D7939" t="inlineStr">
        <is>
          <t>KALMAR LÄN</t>
        </is>
      </c>
      <c r="E7939" t="inlineStr">
        <is>
          <t>KALMAR</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22446-2023</t>
        </is>
      </c>
      <c r="B7940" s="1" t="n">
        <v>45070</v>
      </c>
      <c r="C7940" s="1" t="n">
        <v>45715</v>
      </c>
      <c r="D7940" t="inlineStr">
        <is>
          <t>KALMAR LÄN</t>
        </is>
      </c>
      <c r="E7940" t="inlineStr">
        <is>
          <t>OSKARSHAMN</t>
        </is>
      </c>
      <c r="G7940" t="n">
        <v>3.8</v>
      </c>
      <c r="H7940" t="n">
        <v>0</v>
      </c>
      <c r="I7940" t="n">
        <v>0</v>
      </c>
      <c r="J7940" t="n">
        <v>0</v>
      </c>
      <c r="K7940" t="n">
        <v>0</v>
      </c>
      <c r="L7940" t="n">
        <v>0</v>
      </c>
      <c r="M7940" t="n">
        <v>0</v>
      </c>
      <c r="N7940" t="n">
        <v>0</v>
      </c>
      <c r="O7940" t="n">
        <v>0</v>
      </c>
      <c r="P7940" t="n">
        <v>0</v>
      </c>
      <c r="Q7940" t="n">
        <v>0</v>
      </c>
      <c r="R7940" s="2" t="inlineStr"/>
    </row>
    <row r="7941" ht="15" customHeight="1">
      <c r="A7941" t="inlineStr">
        <is>
          <t>A 22390-2023</t>
        </is>
      </c>
      <c r="B7941" s="1" t="n">
        <v>45070</v>
      </c>
      <c r="C7941" s="1" t="n">
        <v>45715</v>
      </c>
      <c r="D7941" t="inlineStr">
        <is>
          <t>KALMAR LÄN</t>
        </is>
      </c>
      <c r="E7941" t="inlineStr">
        <is>
          <t>EMMABODA</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22401-2023</t>
        </is>
      </c>
      <c r="B7942" s="1" t="n">
        <v>45070</v>
      </c>
      <c r="C7942" s="1" t="n">
        <v>45715</v>
      </c>
      <c r="D7942" t="inlineStr">
        <is>
          <t>KALMAR LÄN</t>
        </is>
      </c>
      <c r="E7942" t="inlineStr">
        <is>
          <t>HULTSFRED</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22424-2023</t>
        </is>
      </c>
      <c r="B7943" s="1" t="n">
        <v>45070</v>
      </c>
      <c r="C7943" s="1" t="n">
        <v>45715</v>
      </c>
      <c r="D7943" t="inlineStr">
        <is>
          <t>KALMAR LÄN</t>
        </is>
      </c>
      <c r="E7943" t="inlineStr">
        <is>
          <t>NYBRO</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22423-2023</t>
        </is>
      </c>
      <c r="B7944" s="1" t="n">
        <v>45070</v>
      </c>
      <c r="C7944" s="1" t="n">
        <v>45715</v>
      </c>
      <c r="D7944" t="inlineStr">
        <is>
          <t>KALMAR LÄN</t>
        </is>
      </c>
      <c r="E7944" t="inlineStr">
        <is>
          <t>VIMMERBY</t>
        </is>
      </c>
      <c r="G7944" t="n">
        <v>2.4</v>
      </c>
      <c r="H7944" t="n">
        <v>0</v>
      </c>
      <c r="I7944" t="n">
        <v>0</v>
      </c>
      <c r="J7944" t="n">
        <v>0</v>
      </c>
      <c r="K7944" t="n">
        <v>0</v>
      </c>
      <c r="L7944" t="n">
        <v>0</v>
      </c>
      <c r="M7944" t="n">
        <v>0</v>
      </c>
      <c r="N7944" t="n">
        <v>0</v>
      </c>
      <c r="O7944" t="n">
        <v>0</v>
      </c>
      <c r="P7944" t="n">
        <v>0</v>
      </c>
      <c r="Q7944" t="n">
        <v>0</v>
      </c>
      <c r="R7944" s="2" t="inlineStr"/>
      <c r="U7944">
        <f>HYPERLINK("https://klasma.github.io/Logging_0884/knärot/A 22423-2023 karta knärot.png", "A 22423-2023")</f>
        <v/>
      </c>
      <c r="V7944">
        <f>HYPERLINK("https://klasma.github.io/Logging_0884/klagomål/A 22423-2023 FSC-klagomål.docx", "A 22423-2023")</f>
        <v/>
      </c>
      <c r="W7944">
        <f>HYPERLINK("https://klasma.github.io/Logging_0884/klagomålsmail/A 22423-2023 FSC-klagomål mail.docx", "A 22423-2023")</f>
        <v/>
      </c>
      <c r="X7944">
        <f>HYPERLINK("https://klasma.github.io/Logging_0884/tillsyn/A 22423-2023 tillsynsbegäran.docx", "A 22423-2023")</f>
        <v/>
      </c>
      <c r="Y7944">
        <f>HYPERLINK("https://klasma.github.io/Logging_0884/tillsynsmail/A 22423-2023 tillsynsbegäran mail.docx", "A 22423-2023")</f>
        <v/>
      </c>
    </row>
    <row r="7945" ht="15" customHeight="1">
      <c r="A7945" t="inlineStr">
        <is>
          <t>A 22431-2023</t>
        </is>
      </c>
      <c r="B7945" s="1" t="n">
        <v>45070</v>
      </c>
      <c r="C7945" s="1" t="n">
        <v>45715</v>
      </c>
      <c r="D7945" t="inlineStr">
        <is>
          <t>KALMAR LÄN</t>
        </is>
      </c>
      <c r="E7945" t="inlineStr">
        <is>
          <t>NYBRO</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22435-2023</t>
        </is>
      </c>
      <c r="B7946" s="1" t="n">
        <v>45070</v>
      </c>
      <c r="C7946" s="1" t="n">
        <v>45715</v>
      </c>
      <c r="D7946" t="inlineStr">
        <is>
          <t>KALMAR LÄN</t>
        </is>
      </c>
      <c r="E7946" t="inlineStr">
        <is>
          <t>NYBRO</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22551-2023</t>
        </is>
      </c>
      <c r="B7947" s="1" t="n">
        <v>45071</v>
      </c>
      <c r="C7947" s="1" t="n">
        <v>45715</v>
      </c>
      <c r="D7947" t="inlineStr">
        <is>
          <t>KALMAR LÄN</t>
        </is>
      </c>
      <c r="E7947" t="inlineStr">
        <is>
          <t>HÖGSBY</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22583-2023</t>
        </is>
      </c>
      <c r="B7948" s="1" t="n">
        <v>45071</v>
      </c>
      <c r="C7948" s="1" t="n">
        <v>45715</v>
      </c>
      <c r="D7948" t="inlineStr">
        <is>
          <t>KALMAR LÄN</t>
        </is>
      </c>
      <c r="E7948" t="inlineStr">
        <is>
          <t>MÖNSTERÅS</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22643-2023</t>
        </is>
      </c>
      <c r="B7949" s="1" t="n">
        <v>45071</v>
      </c>
      <c r="C7949" s="1" t="n">
        <v>45715</v>
      </c>
      <c r="D7949" t="inlineStr">
        <is>
          <t>KALMAR LÄN</t>
        </is>
      </c>
      <c r="E7949" t="inlineStr">
        <is>
          <t>VIMMERBY</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22544-2023</t>
        </is>
      </c>
      <c r="B7950" s="1" t="n">
        <v>45071</v>
      </c>
      <c r="C7950" s="1" t="n">
        <v>45715</v>
      </c>
      <c r="D7950" t="inlineStr">
        <is>
          <t>KALMAR LÄN</t>
        </is>
      </c>
      <c r="E7950" t="inlineStr">
        <is>
          <t>HÖGSBY</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22598-2023</t>
        </is>
      </c>
      <c r="B7951" s="1" t="n">
        <v>45071</v>
      </c>
      <c r="C7951" s="1" t="n">
        <v>45715</v>
      </c>
      <c r="D7951" t="inlineStr">
        <is>
          <t>KALMAR LÄN</t>
        </is>
      </c>
      <c r="E7951" t="inlineStr">
        <is>
          <t>MÖNSTERÅS</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22645-2023</t>
        </is>
      </c>
      <c r="B7952" s="1" t="n">
        <v>45071</v>
      </c>
      <c r="C7952" s="1" t="n">
        <v>45715</v>
      </c>
      <c r="D7952" t="inlineStr">
        <is>
          <t>KALMAR LÄN</t>
        </is>
      </c>
      <c r="E7952" t="inlineStr">
        <is>
          <t>HULTSFRED</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22571-2023</t>
        </is>
      </c>
      <c r="B7953" s="1" t="n">
        <v>45071</v>
      </c>
      <c r="C7953" s="1" t="n">
        <v>45715</v>
      </c>
      <c r="D7953" t="inlineStr">
        <is>
          <t>KALMAR LÄN</t>
        </is>
      </c>
      <c r="E7953" t="inlineStr">
        <is>
          <t>HÖGSBY</t>
        </is>
      </c>
      <c r="G7953" t="n">
        <v>11.4</v>
      </c>
      <c r="H7953" t="n">
        <v>0</v>
      </c>
      <c r="I7953" t="n">
        <v>0</v>
      </c>
      <c r="J7953" t="n">
        <v>0</v>
      </c>
      <c r="K7953" t="n">
        <v>0</v>
      </c>
      <c r="L7953" t="n">
        <v>0</v>
      </c>
      <c r="M7953" t="n">
        <v>0</v>
      </c>
      <c r="N7953" t="n">
        <v>0</v>
      </c>
      <c r="O7953" t="n">
        <v>0</v>
      </c>
      <c r="P7953" t="n">
        <v>0</v>
      </c>
      <c r="Q7953" t="n">
        <v>0</v>
      </c>
      <c r="R7953" s="2" t="inlineStr"/>
    </row>
    <row r="7954" ht="15" customHeight="1">
      <c r="A7954" t="inlineStr">
        <is>
          <t>A 22646-2023</t>
        </is>
      </c>
      <c r="B7954" s="1" t="n">
        <v>45071</v>
      </c>
      <c r="C7954" s="1" t="n">
        <v>45715</v>
      </c>
      <c r="D7954" t="inlineStr">
        <is>
          <t>KALMAR LÄN</t>
        </is>
      </c>
      <c r="E7954" t="inlineStr">
        <is>
          <t>HULTSFRED</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22700-2023</t>
        </is>
      </c>
      <c r="B7955" s="1" t="n">
        <v>45071</v>
      </c>
      <c r="C7955" s="1" t="n">
        <v>45715</v>
      </c>
      <c r="D7955" t="inlineStr">
        <is>
          <t>KALMAR LÄN</t>
        </is>
      </c>
      <c r="E7955" t="inlineStr">
        <is>
          <t>KALMAR</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22716-2023</t>
        </is>
      </c>
      <c r="B7956" s="1" t="n">
        <v>45071</v>
      </c>
      <c r="C7956" s="1" t="n">
        <v>45715</v>
      </c>
      <c r="D7956" t="inlineStr">
        <is>
          <t>KALMAR LÄN</t>
        </is>
      </c>
      <c r="E7956" t="inlineStr">
        <is>
          <t>KALMAR</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22718-2023</t>
        </is>
      </c>
      <c r="B7957" s="1" t="n">
        <v>45071</v>
      </c>
      <c r="C7957" s="1" t="n">
        <v>45715</v>
      </c>
      <c r="D7957" t="inlineStr">
        <is>
          <t>KALMAR LÄN</t>
        </is>
      </c>
      <c r="E7957" t="inlineStr">
        <is>
          <t>KALMAR</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23257-2023</t>
        </is>
      </c>
      <c r="B7958" s="1" t="n">
        <v>45071</v>
      </c>
      <c r="C7958" s="1" t="n">
        <v>45715</v>
      </c>
      <c r="D7958" t="inlineStr">
        <is>
          <t>KALMAR LÄN</t>
        </is>
      </c>
      <c r="E7958" t="inlineStr">
        <is>
          <t>EMMABODA</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23255-2023</t>
        </is>
      </c>
      <c r="B7959" s="1" t="n">
        <v>45071</v>
      </c>
      <c r="C7959" s="1" t="n">
        <v>45715</v>
      </c>
      <c r="D7959" t="inlineStr">
        <is>
          <t>KALMAR LÄN</t>
        </is>
      </c>
      <c r="E7959" t="inlineStr">
        <is>
          <t>NYBRO</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22760-2023</t>
        </is>
      </c>
      <c r="B7960" s="1" t="n">
        <v>45072</v>
      </c>
      <c r="C7960" s="1" t="n">
        <v>45715</v>
      </c>
      <c r="D7960" t="inlineStr">
        <is>
          <t>KALMAR LÄN</t>
        </is>
      </c>
      <c r="E7960" t="inlineStr">
        <is>
          <t>VIMMERBY</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22762-2023</t>
        </is>
      </c>
      <c r="B7961" s="1" t="n">
        <v>45072</v>
      </c>
      <c r="C7961" s="1" t="n">
        <v>45715</v>
      </c>
      <c r="D7961" t="inlineStr">
        <is>
          <t>KALMAR LÄN</t>
        </is>
      </c>
      <c r="E7961" t="inlineStr">
        <is>
          <t>EMMABODA</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22761-2023</t>
        </is>
      </c>
      <c r="B7962" s="1" t="n">
        <v>45072</v>
      </c>
      <c r="C7962" s="1" t="n">
        <v>45715</v>
      </c>
      <c r="D7962" t="inlineStr">
        <is>
          <t>KALMAR LÄN</t>
        </is>
      </c>
      <c r="E7962" t="inlineStr">
        <is>
          <t>NYBRO</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22765-2023</t>
        </is>
      </c>
      <c r="B7963" s="1" t="n">
        <v>45072</v>
      </c>
      <c r="C7963" s="1" t="n">
        <v>45715</v>
      </c>
      <c r="D7963" t="inlineStr">
        <is>
          <t>KALMAR LÄN</t>
        </is>
      </c>
      <c r="E7963" t="inlineStr">
        <is>
          <t>KALMAR</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22877-2023</t>
        </is>
      </c>
      <c r="B7964" s="1" t="n">
        <v>45072</v>
      </c>
      <c r="C7964" s="1" t="n">
        <v>45715</v>
      </c>
      <c r="D7964" t="inlineStr">
        <is>
          <t>KALMAR LÄN</t>
        </is>
      </c>
      <c r="E7964" t="inlineStr">
        <is>
          <t>NYBRO</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22812-2023</t>
        </is>
      </c>
      <c r="B7965" s="1" t="n">
        <v>45072</v>
      </c>
      <c r="C7965" s="1" t="n">
        <v>45715</v>
      </c>
      <c r="D7965" t="inlineStr">
        <is>
          <t>KALMAR LÄN</t>
        </is>
      </c>
      <c r="E7965" t="inlineStr">
        <is>
          <t>NYBRO</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22873-2023</t>
        </is>
      </c>
      <c r="B7966" s="1" t="n">
        <v>45072</v>
      </c>
      <c r="C7966" s="1" t="n">
        <v>45715</v>
      </c>
      <c r="D7966" t="inlineStr">
        <is>
          <t>KALMAR LÄN</t>
        </is>
      </c>
      <c r="E7966" t="inlineStr">
        <is>
          <t>NYBRO</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22893-2023</t>
        </is>
      </c>
      <c r="B7967" s="1" t="n">
        <v>45072</v>
      </c>
      <c r="C7967" s="1" t="n">
        <v>45715</v>
      </c>
      <c r="D7967" t="inlineStr">
        <is>
          <t>KALMAR LÄN</t>
        </is>
      </c>
      <c r="E7967" t="inlineStr">
        <is>
          <t>KALMAR</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23459-2023</t>
        </is>
      </c>
      <c r="B7968" s="1" t="n">
        <v>45072</v>
      </c>
      <c r="C7968" s="1" t="n">
        <v>45715</v>
      </c>
      <c r="D7968" t="inlineStr">
        <is>
          <t>KALMAR LÄN</t>
        </is>
      </c>
      <c r="E7968" t="inlineStr">
        <is>
          <t>EMMABODA</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23439-2023</t>
        </is>
      </c>
      <c r="B7969" s="1" t="n">
        <v>45072</v>
      </c>
      <c r="C7969" s="1" t="n">
        <v>45715</v>
      </c>
      <c r="D7969" t="inlineStr">
        <is>
          <t>KALMAR LÄN</t>
        </is>
      </c>
      <c r="E7969" t="inlineStr">
        <is>
          <t>VÄSTERVIK</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23032-2023</t>
        </is>
      </c>
      <c r="B7970" s="1" t="n">
        <v>45074</v>
      </c>
      <c r="C7970" s="1" t="n">
        <v>45715</v>
      </c>
      <c r="D7970" t="inlineStr">
        <is>
          <t>KALMAR LÄN</t>
        </is>
      </c>
      <c r="E7970" t="inlineStr">
        <is>
          <t>VIMMERBY</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23033-2023</t>
        </is>
      </c>
      <c r="B7971" s="1" t="n">
        <v>45074</v>
      </c>
      <c r="C7971" s="1" t="n">
        <v>45715</v>
      </c>
      <c r="D7971" t="inlineStr">
        <is>
          <t>KALMAR LÄN</t>
        </is>
      </c>
      <c r="E7971" t="inlineStr">
        <is>
          <t>EMMABODA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23091-2023</t>
        </is>
      </c>
      <c r="B7972" s="1" t="n">
        <v>45075</v>
      </c>
      <c r="C7972" s="1" t="n">
        <v>45715</v>
      </c>
      <c r="D7972" t="inlineStr">
        <is>
          <t>KALMAR LÄN</t>
        </is>
      </c>
      <c r="E7972" t="inlineStr">
        <is>
          <t>TORSÅS</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23095-2023</t>
        </is>
      </c>
      <c r="B7973" s="1" t="n">
        <v>45075</v>
      </c>
      <c r="C7973" s="1" t="n">
        <v>45715</v>
      </c>
      <c r="D7973" t="inlineStr">
        <is>
          <t>KALMAR LÄN</t>
        </is>
      </c>
      <c r="E7973" t="inlineStr">
        <is>
          <t>VIMMERBY</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23044-2023</t>
        </is>
      </c>
      <c r="B7974" s="1" t="n">
        <v>45075</v>
      </c>
      <c r="C7974" s="1" t="n">
        <v>45715</v>
      </c>
      <c r="D7974" t="inlineStr">
        <is>
          <t>KALMAR LÄN</t>
        </is>
      </c>
      <c r="E7974" t="inlineStr">
        <is>
          <t>HÖGSBY</t>
        </is>
      </c>
      <c r="G7974" t="n">
        <v>3.2</v>
      </c>
      <c r="H7974" t="n">
        <v>0</v>
      </c>
      <c r="I7974" t="n">
        <v>0</v>
      </c>
      <c r="J7974" t="n">
        <v>0</v>
      </c>
      <c r="K7974" t="n">
        <v>0</v>
      </c>
      <c r="L7974" t="n">
        <v>0</v>
      </c>
      <c r="M7974" t="n">
        <v>0</v>
      </c>
      <c r="N7974" t="n">
        <v>0</v>
      </c>
      <c r="O7974" t="n">
        <v>0</v>
      </c>
      <c r="P7974" t="n">
        <v>0</v>
      </c>
      <c r="Q7974" t="n">
        <v>0</v>
      </c>
      <c r="R7974" s="2" t="inlineStr"/>
    </row>
    <row r="7975" ht="15" customHeight="1">
      <c r="A7975" t="inlineStr">
        <is>
          <t>A 23080-2023</t>
        </is>
      </c>
      <c r="B7975" s="1" t="n">
        <v>45075</v>
      </c>
      <c r="C7975" s="1" t="n">
        <v>45715</v>
      </c>
      <c r="D7975" t="inlineStr">
        <is>
          <t>KALMAR LÄN</t>
        </is>
      </c>
      <c r="E7975" t="inlineStr">
        <is>
          <t>VÄSTERVIK</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23088-2023</t>
        </is>
      </c>
      <c r="B7976" s="1" t="n">
        <v>45075</v>
      </c>
      <c r="C7976" s="1" t="n">
        <v>45715</v>
      </c>
      <c r="D7976" t="inlineStr">
        <is>
          <t>KALMAR LÄN</t>
        </is>
      </c>
      <c r="E7976" t="inlineStr">
        <is>
          <t>TORSÅS</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23231-2023</t>
        </is>
      </c>
      <c r="B7977" s="1" t="n">
        <v>45075</v>
      </c>
      <c r="C7977" s="1" t="n">
        <v>45715</v>
      </c>
      <c r="D7977" t="inlineStr">
        <is>
          <t>KALMAR LÄN</t>
        </is>
      </c>
      <c r="E7977" t="inlineStr">
        <is>
          <t>KALMAR</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23236-2023</t>
        </is>
      </c>
      <c r="B7978" s="1" t="n">
        <v>45075</v>
      </c>
      <c r="C7978" s="1" t="n">
        <v>45715</v>
      </c>
      <c r="D7978" t="inlineStr">
        <is>
          <t>KALMAR LÄN</t>
        </is>
      </c>
      <c r="E7978" t="inlineStr">
        <is>
          <t>KALMAR</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23200-2023</t>
        </is>
      </c>
      <c r="B7979" s="1" t="n">
        <v>45075</v>
      </c>
      <c r="C7979" s="1" t="n">
        <v>45715</v>
      </c>
      <c r="D7979" t="inlineStr">
        <is>
          <t>KALMAR LÄN</t>
        </is>
      </c>
      <c r="E7979" t="inlineStr">
        <is>
          <t>OSKARSHAMN</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23205-2023</t>
        </is>
      </c>
      <c r="B7980" s="1" t="n">
        <v>45075</v>
      </c>
      <c r="C7980" s="1" t="n">
        <v>45715</v>
      </c>
      <c r="D7980" t="inlineStr">
        <is>
          <t>KALMAR LÄN</t>
        </is>
      </c>
      <c r="E7980" t="inlineStr">
        <is>
          <t>KALMAR</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23238-2023</t>
        </is>
      </c>
      <c r="B7981" s="1" t="n">
        <v>45075</v>
      </c>
      <c r="C7981" s="1" t="n">
        <v>45715</v>
      </c>
      <c r="D7981" t="inlineStr">
        <is>
          <t>KALMAR LÄN</t>
        </is>
      </c>
      <c r="E7981" t="inlineStr">
        <is>
          <t>KALMAR</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23043-2023</t>
        </is>
      </c>
      <c r="B7982" s="1" t="n">
        <v>45075</v>
      </c>
      <c r="C7982" s="1" t="n">
        <v>45715</v>
      </c>
      <c r="D7982" t="inlineStr">
        <is>
          <t>KALMAR LÄN</t>
        </is>
      </c>
      <c r="E7982" t="inlineStr">
        <is>
          <t>KALMAR</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23202-2023</t>
        </is>
      </c>
      <c r="B7983" s="1" t="n">
        <v>45075</v>
      </c>
      <c r="C7983" s="1" t="n">
        <v>45715</v>
      </c>
      <c r="D7983" t="inlineStr">
        <is>
          <t>KALMAR LÄN</t>
        </is>
      </c>
      <c r="E7983" t="inlineStr">
        <is>
          <t>OSKARSHAMN</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23193-2023</t>
        </is>
      </c>
      <c r="B7984" s="1" t="n">
        <v>45075</v>
      </c>
      <c r="C7984" s="1" t="n">
        <v>45715</v>
      </c>
      <c r="D7984" t="inlineStr">
        <is>
          <t>KALMAR LÄN</t>
        </is>
      </c>
      <c r="E7984" t="inlineStr">
        <is>
          <t>OSKARSHAMN</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23199-2023</t>
        </is>
      </c>
      <c r="B7985" s="1" t="n">
        <v>45075</v>
      </c>
      <c r="C7985" s="1" t="n">
        <v>45715</v>
      </c>
      <c r="D7985" t="inlineStr">
        <is>
          <t>KALMAR LÄN</t>
        </is>
      </c>
      <c r="E7985" t="inlineStr">
        <is>
          <t>OSKARSHAMN</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23204-2023</t>
        </is>
      </c>
      <c r="B7986" s="1" t="n">
        <v>45075</v>
      </c>
      <c r="C7986" s="1" t="n">
        <v>45715</v>
      </c>
      <c r="D7986" t="inlineStr">
        <is>
          <t>KALMAR LÄN</t>
        </is>
      </c>
      <c r="E7986" t="inlineStr">
        <is>
          <t>NYBRO</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23701-2023</t>
        </is>
      </c>
      <c r="B7987" s="1" t="n">
        <v>45075</v>
      </c>
      <c r="C7987" s="1" t="n">
        <v>45715</v>
      </c>
      <c r="D7987" t="inlineStr">
        <is>
          <t>KALMAR LÄN</t>
        </is>
      </c>
      <c r="E7987" t="inlineStr">
        <is>
          <t>MÖNSTERÅS</t>
        </is>
      </c>
      <c r="G7987" t="n">
        <v>7</v>
      </c>
      <c r="H7987" t="n">
        <v>0</v>
      </c>
      <c r="I7987" t="n">
        <v>0</v>
      </c>
      <c r="J7987" t="n">
        <v>0</v>
      </c>
      <c r="K7987" t="n">
        <v>0</v>
      </c>
      <c r="L7987" t="n">
        <v>0</v>
      </c>
      <c r="M7987" t="n">
        <v>0</v>
      </c>
      <c r="N7987" t="n">
        <v>0</v>
      </c>
      <c r="O7987" t="n">
        <v>0</v>
      </c>
      <c r="P7987" t="n">
        <v>0</v>
      </c>
      <c r="Q7987" t="n">
        <v>0</v>
      </c>
      <c r="R7987" s="2" t="inlineStr"/>
    </row>
    <row r="7988" ht="15" customHeight="1">
      <c r="A7988" t="inlineStr">
        <is>
          <t>A 23926-2023</t>
        </is>
      </c>
      <c r="B7988" s="1" t="n">
        <v>45075</v>
      </c>
      <c r="C7988" s="1" t="n">
        <v>45715</v>
      </c>
      <c r="D7988" t="inlineStr">
        <is>
          <t>KALMAR LÄN</t>
        </is>
      </c>
      <c r="E7988" t="inlineStr">
        <is>
          <t>NYBRO</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23933-2023</t>
        </is>
      </c>
      <c r="B7989" s="1" t="n">
        <v>45075</v>
      </c>
      <c r="C7989" s="1" t="n">
        <v>45715</v>
      </c>
      <c r="D7989" t="inlineStr">
        <is>
          <t>KALMAR LÄN</t>
        </is>
      </c>
      <c r="E7989" t="inlineStr">
        <is>
          <t>NYBRO</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23317-2023</t>
        </is>
      </c>
      <c r="B7990" s="1" t="n">
        <v>45076</v>
      </c>
      <c r="C7990" s="1" t="n">
        <v>45715</v>
      </c>
      <c r="D7990" t="inlineStr">
        <is>
          <t>KALMAR LÄN</t>
        </is>
      </c>
      <c r="E7990" t="inlineStr">
        <is>
          <t>VÄSTERVIK</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23408-2023</t>
        </is>
      </c>
      <c r="B7991" s="1" t="n">
        <v>45076</v>
      </c>
      <c r="C7991" s="1" t="n">
        <v>45715</v>
      </c>
      <c r="D7991" t="inlineStr">
        <is>
          <t>KALMAR LÄN</t>
        </is>
      </c>
      <c r="E7991" t="inlineStr">
        <is>
          <t>HULTSFRED</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23413-2023</t>
        </is>
      </c>
      <c r="B7992" s="1" t="n">
        <v>45076</v>
      </c>
      <c r="C7992" s="1" t="n">
        <v>45715</v>
      </c>
      <c r="D7992" t="inlineStr">
        <is>
          <t>KALMAR LÄN</t>
        </is>
      </c>
      <c r="E7992" t="inlineStr">
        <is>
          <t>HÖGSBY</t>
        </is>
      </c>
      <c r="F7992" t="inlineStr">
        <is>
          <t>Sveaskog</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23437-2023</t>
        </is>
      </c>
      <c r="B7993" s="1" t="n">
        <v>45076</v>
      </c>
      <c r="C7993" s="1" t="n">
        <v>45715</v>
      </c>
      <c r="D7993" t="inlineStr">
        <is>
          <t>KALMAR LÄN</t>
        </is>
      </c>
      <c r="E7993" t="inlineStr">
        <is>
          <t>EMMABODA</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23316-2023</t>
        </is>
      </c>
      <c r="B7994" s="1" t="n">
        <v>45076</v>
      </c>
      <c r="C7994" s="1" t="n">
        <v>45715</v>
      </c>
      <c r="D7994" t="inlineStr">
        <is>
          <t>KALMAR LÄN</t>
        </is>
      </c>
      <c r="E7994" t="inlineStr">
        <is>
          <t>VÄSTERVIK</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23412-2023</t>
        </is>
      </c>
      <c r="B7995" s="1" t="n">
        <v>45076</v>
      </c>
      <c r="C7995" s="1" t="n">
        <v>45715</v>
      </c>
      <c r="D7995" t="inlineStr">
        <is>
          <t>KALMAR LÄN</t>
        </is>
      </c>
      <c r="E7995" t="inlineStr">
        <is>
          <t>HÖGSBY</t>
        </is>
      </c>
      <c r="F7995" t="inlineStr">
        <is>
          <t>Sveaskog</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23425-2023</t>
        </is>
      </c>
      <c r="B7996" s="1" t="n">
        <v>45076</v>
      </c>
      <c r="C7996" s="1" t="n">
        <v>45715</v>
      </c>
      <c r="D7996" t="inlineStr">
        <is>
          <t>KALMAR LÄN</t>
        </is>
      </c>
      <c r="E7996" t="inlineStr">
        <is>
          <t>VIMMERBY</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23486-2023</t>
        </is>
      </c>
      <c r="B7997" s="1" t="n">
        <v>45076</v>
      </c>
      <c r="C7997" s="1" t="n">
        <v>45715</v>
      </c>
      <c r="D7997" t="inlineStr">
        <is>
          <t>KALMAR LÄN</t>
        </is>
      </c>
      <c r="E7997" t="inlineStr">
        <is>
          <t>KALMAR</t>
        </is>
      </c>
      <c r="F7997" t="inlineStr">
        <is>
          <t>Kommuner</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23580-2023</t>
        </is>
      </c>
      <c r="B7998" s="1" t="n">
        <v>45077</v>
      </c>
      <c r="C7998" s="1" t="n">
        <v>45715</v>
      </c>
      <c r="D7998" t="inlineStr">
        <is>
          <t>KALMAR LÄN</t>
        </is>
      </c>
      <c r="E7998" t="inlineStr">
        <is>
          <t>VÄSTERVIK</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23584-2023</t>
        </is>
      </c>
      <c r="B7999" s="1" t="n">
        <v>45077</v>
      </c>
      <c r="C7999" s="1" t="n">
        <v>45715</v>
      </c>
      <c r="D7999" t="inlineStr">
        <is>
          <t>KALMAR LÄN</t>
        </is>
      </c>
      <c r="E7999" t="inlineStr">
        <is>
          <t>HULTSFRED</t>
        </is>
      </c>
      <c r="F7999" t="inlineStr">
        <is>
          <t>Sveaskog</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23539-2023</t>
        </is>
      </c>
      <c r="B8000" s="1" t="n">
        <v>45077</v>
      </c>
      <c r="C8000" s="1" t="n">
        <v>45715</v>
      </c>
      <c r="D8000" t="inlineStr">
        <is>
          <t>KALMAR LÄN</t>
        </is>
      </c>
      <c r="E8000" t="inlineStr">
        <is>
          <t>VIMMERBY</t>
        </is>
      </c>
      <c r="G8000" t="n">
        <v>6.9</v>
      </c>
      <c r="H8000" t="n">
        <v>0</v>
      </c>
      <c r="I8000" t="n">
        <v>0</v>
      </c>
      <c r="J8000" t="n">
        <v>0</v>
      </c>
      <c r="K8000" t="n">
        <v>0</v>
      </c>
      <c r="L8000" t="n">
        <v>0</v>
      </c>
      <c r="M8000" t="n">
        <v>0</v>
      </c>
      <c r="N8000" t="n">
        <v>0</v>
      </c>
      <c r="O8000" t="n">
        <v>0</v>
      </c>
      <c r="P8000" t="n">
        <v>0</v>
      </c>
      <c r="Q8000" t="n">
        <v>0</v>
      </c>
      <c r="R8000" s="2" t="inlineStr"/>
    </row>
    <row r="8001" ht="15" customHeight="1">
      <c r="A8001" t="inlineStr">
        <is>
          <t>A 23546-2023</t>
        </is>
      </c>
      <c r="B8001" s="1" t="n">
        <v>45077</v>
      </c>
      <c r="C8001" s="1" t="n">
        <v>45715</v>
      </c>
      <c r="D8001" t="inlineStr">
        <is>
          <t>KALMAR LÄN</t>
        </is>
      </c>
      <c r="E8001" t="inlineStr">
        <is>
          <t>KALMAR</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23577-2023</t>
        </is>
      </c>
      <c r="B8002" s="1" t="n">
        <v>45077</v>
      </c>
      <c r="C8002" s="1" t="n">
        <v>45715</v>
      </c>
      <c r="D8002" t="inlineStr">
        <is>
          <t>KALMAR LÄN</t>
        </is>
      </c>
      <c r="E8002" t="inlineStr">
        <is>
          <t>NYBRO</t>
        </is>
      </c>
      <c r="G8002" t="n">
        <v>10.3</v>
      </c>
      <c r="H8002" t="n">
        <v>0</v>
      </c>
      <c r="I8002" t="n">
        <v>0</v>
      </c>
      <c r="J8002" t="n">
        <v>0</v>
      </c>
      <c r="K8002" t="n">
        <v>0</v>
      </c>
      <c r="L8002" t="n">
        <v>0</v>
      </c>
      <c r="M8002" t="n">
        <v>0</v>
      </c>
      <c r="N8002" t="n">
        <v>0</v>
      </c>
      <c r="O8002" t="n">
        <v>0</v>
      </c>
      <c r="P8002" t="n">
        <v>0</v>
      </c>
      <c r="Q8002" t="n">
        <v>0</v>
      </c>
      <c r="R8002" s="2" t="inlineStr"/>
    </row>
    <row r="8003" ht="15" customHeight="1">
      <c r="A8003" t="inlineStr">
        <is>
          <t>A 23581-2023</t>
        </is>
      </c>
      <c r="B8003" s="1" t="n">
        <v>45077</v>
      </c>
      <c r="C8003" s="1" t="n">
        <v>45715</v>
      </c>
      <c r="D8003" t="inlineStr">
        <is>
          <t>KALMAR LÄN</t>
        </is>
      </c>
      <c r="E8003" t="inlineStr">
        <is>
          <t>HULTSFRED</t>
        </is>
      </c>
      <c r="F8003" t="inlineStr">
        <is>
          <t>Sveaskog</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23670-2023</t>
        </is>
      </c>
      <c r="B8004" s="1" t="n">
        <v>45077</v>
      </c>
      <c r="C8004" s="1" t="n">
        <v>45715</v>
      </c>
      <c r="D8004" t="inlineStr">
        <is>
          <t>KALMAR LÄN</t>
        </is>
      </c>
      <c r="E8004" t="inlineStr">
        <is>
          <t>HULTSFRED</t>
        </is>
      </c>
      <c r="G8004" t="n">
        <v>5.2</v>
      </c>
      <c r="H8004" t="n">
        <v>0</v>
      </c>
      <c r="I8004" t="n">
        <v>0</v>
      </c>
      <c r="J8004" t="n">
        <v>0</v>
      </c>
      <c r="K8004" t="n">
        <v>0</v>
      </c>
      <c r="L8004" t="n">
        <v>0</v>
      </c>
      <c r="M8004" t="n">
        <v>0</v>
      </c>
      <c r="N8004" t="n">
        <v>0</v>
      </c>
      <c r="O8004" t="n">
        <v>0</v>
      </c>
      <c r="P8004" t="n">
        <v>0</v>
      </c>
      <c r="Q8004" t="n">
        <v>0</v>
      </c>
      <c r="R8004" s="2" t="inlineStr"/>
    </row>
    <row r="8005" ht="15" customHeight="1">
      <c r="A8005" t="inlineStr">
        <is>
          <t>A 23682-2023</t>
        </is>
      </c>
      <c r="B8005" s="1" t="n">
        <v>45077</v>
      </c>
      <c r="C8005" s="1" t="n">
        <v>45715</v>
      </c>
      <c r="D8005" t="inlineStr">
        <is>
          <t>KALMAR LÄN</t>
        </is>
      </c>
      <c r="E8005" t="inlineStr">
        <is>
          <t>NYBRO</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23578-2023</t>
        </is>
      </c>
      <c r="B8006" s="1" t="n">
        <v>45077</v>
      </c>
      <c r="C8006" s="1" t="n">
        <v>45715</v>
      </c>
      <c r="D8006" t="inlineStr">
        <is>
          <t>KALMAR LÄN</t>
        </is>
      </c>
      <c r="E8006" t="inlineStr">
        <is>
          <t>HULTSFRED</t>
        </is>
      </c>
      <c r="F8006" t="inlineStr">
        <is>
          <t>Sveaskog</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23695-2023</t>
        </is>
      </c>
      <c r="B8007" s="1" t="n">
        <v>45077</v>
      </c>
      <c r="C8007" s="1" t="n">
        <v>45715</v>
      </c>
      <c r="D8007" t="inlineStr">
        <is>
          <t>KALMAR LÄN</t>
        </is>
      </c>
      <c r="E8007" t="inlineStr">
        <is>
          <t>VIMMERBY</t>
        </is>
      </c>
      <c r="G8007" t="n">
        <v>7.6</v>
      </c>
      <c r="H8007" t="n">
        <v>0</v>
      </c>
      <c r="I8007" t="n">
        <v>0</v>
      </c>
      <c r="J8007" t="n">
        <v>0</v>
      </c>
      <c r="K8007" t="n">
        <v>0</v>
      </c>
      <c r="L8007" t="n">
        <v>0</v>
      </c>
      <c r="M8007" t="n">
        <v>0</v>
      </c>
      <c r="N8007" t="n">
        <v>0</v>
      </c>
      <c r="O8007" t="n">
        <v>0</v>
      </c>
      <c r="P8007" t="n">
        <v>0</v>
      </c>
      <c r="Q8007" t="n">
        <v>0</v>
      </c>
      <c r="R8007" s="2" t="inlineStr"/>
    </row>
    <row r="8008" ht="15" customHeight="1">
      <c r="A8008" t="inlineStr">
        <is>
          <t>A 23579-2023</t>
        </is>
      </c>
      <c r="B8008" s="1" t="n">
        <v>45077</v>
      </c>
      <c r="C8008" s="1" t="n">
        <v>45715</v>
      </c>
      <c r="D8008" t="inlineStr">
        <is>
          <t>KALMAR LÄN</t>
        </is>
      </c>
      <c r="E8008" t="inlineStr">
        <is>
          <t>HULTSFRED</t>
        </is>
      </c>
      <c r="F8008" t="inlineStr">
        <is>
          <t>Sveaskog</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23583-2023</t>
        </is>
      </c>
      <c r="B8009" s="1" t="n">
        <v>45077</v>
      </c>
      <c r="C8009" s="1" t="n">
        <v>45715</v>
      </c>
      <c r="D8009" t="inlineStr">
        <is>
          <t>KALMAR LÄN</t>
        </is>
      </c>
      <c r="E8009" t="inlineStr">
        <is>
          <t>HULTSFRED</t>
        </is>
      </c>
      <c r="F8009" t="inlineStr">
        <is>
          <t>Sveaskog</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23824-2023</t>
        </is>
      </c>
      <c r="B8010" s="1" t="n">
        <v>45078</v>
      </c>
      <c r="C8010" s="1" t="n">
        <v>45715</v>
      </c>
      <c r="D8010" t="inlineStr">
        <is>
          <t>KALMAR LÄN</t>
        </is>
      </c>
      <c r="E8010" t="inlineStr">
        <is>
          <t>NYBRO</t>
        </is>
      </c>
      <c r="G8010" t="n">
        <v>4.8</v>
      </c>
      <c r="H8010" t="n">
        <v>0</v>
      </c>
      <c r="I8010" t="n">
        <v>0</v>
      </c>
      <c r="J8010" t="n">
        <v>0</v>
      </c>
      <c r="K8010" t="n">
        <v>0</v>
      </c>
      <c r="L8010" t="n">
        <v>0</v>
      </c>
      <c r="M8010" t="n">
        <v>0</v>
      </c>
      <c r="N8010" t="n">
        <v>0</v>
      </c>
      <c r="O8010" t="n">
        <v>0</v>
      </c>
      <c r="P8010" t="n">
        <v>0</v>
      </c>
      <c r="Q8010" t="n">
        <v>0</v>
      </c>
      <c r="R8010" s="2" t="inlineStr"/>
    </row>
    <row r="8011" ht="15" customHeight="1">
      <c r="A8011" t="inlineStr">
        <is>
          <t>A 23808-2023</t>
        </is>
      </c>
      <c r="B8011" s="1" t="n">
        <v>45078</v>
      </c>
      <c r="C8011" s="1" t="n">
        <v>45715</v>
      </c>
      <c r="D8011" t="inlineStr">
        <is>
          <t>KALMAR LÄN</t>
        </is>
      </c>
      <c r="E8011" t="inlineStr">
        <is>
          <t>EMMABODA</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23939-2023</t>
        </is>
      </c>
      <c r="B8012" s="1" t="n">
        <v>45078</v>
      </c>
      <c r="C8012" s="1" t="n">
        <v>45715</v>
      </c>
      <c r="D8012" t="inlineStr">
        <is>
          <t>KALMAR LÄN</t>
        </is>
      </c>
      <c r="E8012" t="inlineStr">
        <is>
          <t>EMMABODA</t>
        </is>
      </c>
      <c r="F8012" t="inlineStr">
        <is>
          <t>Sveaskog</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23938-2023</t>
        </is>
      </c>
      <c r="B8013" s="1" t="n">
        <v>45078</v>
      </c>
      <c r="C8013" s="1" t="n">
        <v>45715</v>
      </c>
      <c r="D8013" t="inlineStr">
        <is>
          <t>KALMAR LÄN</t>
        </is>
      </c>
      <c r="E8013" t="inlineStr">
        <is>
          <t>EMMABODA</t>
        </is>
      </c>
      <c r="F8013" t="inlineStr">
        <is>
          <t>Sveaskog</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23814-2023</t>
        </is>
      </c>
      <c r="B8014" s="1" t="n">
        <v>45078</v>
      </c>
      <c r="C8014" s="1" t="n">
        <v>45715</v>
      </c>
      <c r="D8014" t="inlineStr">
        <is>
          <t>KALMAR LÄN</t>
        </is>
      </c>
      <c r="E8014" t="inlineStr">
        <is>
          <t>NYBRO</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23818-2023</t>
        </is>
      </c>
      <c r="B8015" s="1" t="n">
        <v>45078</v>
      </c>
      <c r="C8015" s="1" t="n">
        <v>45715</v>
      </c>
      <c r="D8015" t="inlineStr">
        <is>
          <t>KALMAR LÄN</t>
        </is>
      </c>
      <c r="E8015" t="inlineStr">
        <is>
          <t>NYBRO</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23936-2023</t>
        </is>
      </c>
      <c r="B8016" s="1" t="n">
        <v>45078</v>
      </c>
      <c r="C8016" s="1" t="n">
        <v>45715</v>
      </c>
      <c r="D8016" t="inlineStr">
        <is>
          <t>KALMAR LÄN</t>
        </is>
      </c>
      <c r="E8016" t="inlineStr">
        <is>
          <t>EMMABODA</t>
        </is>
      </c>
      <c r="F8016" t="inlineStr">
        <is>
          <t>Sveaskog</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24148-2023</t>
        </is>
      </c>
      <c r="B8017" s="1" t="n">
        <v>45079</v>
      </c>
      <c r="C8017" s="1" t="n">
        <v>45715</v>
      </c>
      <c r="D8017" t="inlineStr">
        <is>
          <t>KALMAR LÄN</t>
        </is>
      </c>
      <c r="E8017" t="inlineStr">
        <is>
          <t>HULTSFRED</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24228-2023</t>
        </is>
      </c>
      <c r="B8018" s="1" t="n">
        <v>45079</v>
      </c>
      <c r="C8018" s="1" t="n">
        <v>45715</v>
      </c>
      <c r="D8018" t="inlineStr">
        <is>
          <t>KALMAR LÄN</t>
        </is>
      </c>
      <c r="E8018" t="inlineStr">
        <is>
          <t>EMMABODA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24235-2023</t>
        </is>
      </c>
      <c r="B8019" s="1" t="n">
        <v>45079</v>
      </c>
      <c r="C8019" s="1" t="n">
        <v>45715</v>
      </c>
      <c r="D8019" t="inlineStr">
        <is>
          <t>KALMAR LÄN</t>
        </is>
      </c>
      <c r="E8019" t="inlineStr">
        <is>
          <t>EMMABODA</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24183-2023</t>
        </is>
      </c>
      <c r="B8020" s="1" t="n">
        <v>45079</v>
      </c>
      <c r="C8020" s="1" t="n">
        <v>45715</v>
      </c>
      <c r="D8020" t="inlineStr">
        <is>
          <t>KALMAR LÄN</t>
        </is>
      </c>
      <c r="E8020" t="inlineStr">
        <is>
          <t>NYBRO</t>
        </is>
      </c>
      <c r="G8020" t="n">
        <v>3.9</v>
      </c>
      <c r="H8020" t="n">
        <v>0</v>
      </c>
      <c r="I8020" t="n">
        <v>0</v>
      </c>
      <c r="J8020" t="n">
        <v>0</v>
      </c>
      <c r="K8020" t="n">
        <v>0</v>
      </c>
      <c r="L8020" t="n">
        <v>0</v>
      </c>
      <c r="M8020" t="n">
        <v>0</v>
      </c>
      <c r="N8020" t="n">
        <v>0</v>
      </c>
      <c r="O8020" t="n">
        <v>0</v>
      </c>
      <c r="P8020" t="n">
        <v>0</v>
      </c>
      <c r="Q8020" t="n">
        <v>0</v>
      </c>
      <c r="R8020" s="2" t="inlineStr"/>
    </row>
    <row r="8021" ht="15" customHeight="1">
      <c r="A8021" t="inlineStr">
        <is>
          <t>A 24188-2023</t>
        </is>
      </c>
      <c r="B8021" s="1" t="n">
        <v>45079</v>
      </c>
      <c r="C8021" s="1" t="n">
        <v>45715</v>
      </c>
      <c r="D8021" t="inlineStr">
        <is>
          <t>KALMAR LÄN</t>
        </is>
      </c>
      <c r="E8021" t="inlineStr">
        <is>
          <t>NYBRO</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24111-2023</t>
        </is>
      </c>
      <c r="B8022" s="1" t="n">
        <v>45079</v>
      </c>
      <c r="C8022" s="1" t="n">
        <v>45715</v>
      </c>
      <c r="D8022" t="inlineStr">
        <is>
          <t>KALMAR LÄN</t>
        </is>
      </c>
      <c r="E8022" t="inlineStr">
        <is>
          <t>NYBRO</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24147-2023</t>
        </is>
      </c>
      <c r="B8023" s="1" t="n">
        <v>45079</v>
      </c>
      <c r="C8023" s="1" t="n">
        <v>45715</v>
      </c>
      <c r="D8023" t="inlineStr">
        <is>
          <t>KALMAR LÄN</t>
        </is>
      </c>
      <c r="E8023" t="inlineStr">
        <is>
          <t>HULTSFRED</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24283-2023</t>
        </is>
      </c>
      <c r="B8024" s="1" t="n">
        <v>45079</v>
      </c>
      <c r="C8024" s="1" t="n">
        <v>45715</v>
      </c>
      <c r="D8024" t="inlineStr">
        <is>
          <t>KALMAR LÄN</t>
        </is>
      </c>
      <c r="E8024" t="inlineStr">
        <is>
          <t>VIMMERBY</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24127-2023</t>
        </is>
      </c>
      <c r="B8025" s="1" t="n">
        <v>45079</v>
      </c>
      <c r="C8025" s="1" t="n">
        <v>45715</v>
      </c>
      <c r="D8025" t="inlineStr">
        <is>
          <t>KALMAR LÄN</t>
        </is>
      </c>
      <c r="E8025" t="inlineStr">
        <is>
          <t>NYBRO</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24145-2023</t>
        </is>
      </c>
      <c r="B8026" s="1" t="n">
        <v>45079</v>
      </c>
      <c r="C8026" s="1" t="n">
        <v>45715</v>
      </c>
      <c r="D8026" t="inlineStr">
        <is>
          <t>KALMAR LÄN</t>
        </is>
      </c>
      <c r="E8026" t="inlineStr">
        <is>
          <t>MÖNSTERÅS</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24285-2023</t>
        </is>
      </c>
      <c r="B8027" s="1" t="n">
        <v>45079</v>
      </c>
      <c r="C8027" s="1" t="n">
        <v>45715</v>
      </c>
      <c r="D8027" t="inlineStr">
        <is>
          <t>KALMAR LÄN</t>
        </is>
      </c>
      <c r="E8027" t="inlineStr">
        <is>
          <t>VIMMERBY</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24288-2023</t>
        </is>
      </c>
      <c r="B8028" s="1" t="n">
        <v>45080</v>
      </c>
      <c r="C8028" s="1" t="n">
        <v>45715</v>
      </c>
      <c r="D8028" t="inlineStr">
        <is>
          <t>KALMAR LÄN</t>
        </is>
      </c>
      <c r="E8028" t="inlineStr">
        <is>
          <t>VIMMERBY</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25403-2023</t>
        </is>
      </c>
      <c r="B8029" s="1" t="n">
        <v>45079</v>
      </c>
      <c r="C8029" s="1" t="n">
        <v>45715</v>
      </c>
      <c r="D8029" t="inlineStr">
        <is>
          <t>KALMAR LÄN</t>
        </is>
      </c>
      <c r="E8029" t="inlineStr">
        <is>
          <t>VÄSTERVIK</t>
        </is>
      </c>
      <c r="G8029" t="n">
        <v>4.3</v>
      </c>
      <c r="H8029" t="n">
        <v>0</v>
      </c>
      <c r="I8029" t="n">
        <v>0</v>
      </c>
      <c r="J8029" t="n">
        <v>0</v>
      </c>
      <c r="K8029" t="n">
        <v>0</v>
      </c>
      <c r="L8029" t="n">
        <v>0</v>
      </c>
      <c r="M8029" t="n">
        <v>0</v>
      </c>
      <c r="N8029" t="n">
        <v>0</v>
      </c>
      <c r="O8029" t="n">
        <v>0</v>
      </c>
      <c r="P8029" t="n">
        <v>0</v>
      </c>
      <c r="Q8029" t="n">
        <v>0</v>
      </c>
      <c r="R8029" s="2" t="inlineStr"/>
    </row>
    <row r="8030" ht="15" customHeight="1">
      <c r="A8030" t="inlineStr">
        <is>
          <t>A 24342-2023</t>
        </is>
      </c>
      <c r="B8030" s="1" t="n">
        <v>45082</v>
      </c>
      <c r="C8030" s="1" t="n">
        <v>45715</v>
      </c>
      <c r="D8030" t="inlineStr">
        <is>
          <t>KALMAR LÄN</t>
        </is>
      </c>
      <c r="E8030" t="inlineStr">
        <is>
          <t>HULTSFRED</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24343-2023</t>
        </is>
      </c>
      <c r="B8031" s="1" t="n">
        <v>45082</v>
      </c>
      <c r="C8031" s="1" t="n">
        <v>45715</v>
      </c>
      <c r="D8031" t="inlineStr">
        <is>
          <t>KALMAR LÄN</t>
        </is>
      </c>
      <c r="E8031" t="inlineStr">
        <is>
          <t>HULTSFRED</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24336-2023</t>
        </is>
      </c>
      <c r="B8032" s="1" t="n">
        <v>45081</v>
      </c>
      <c r="C8032" s="1" t="n">
        <v>45715</v>
      </c>
      <c r="D8032" t="inlineStr">
        <is>
          <t>KALMAR LÄN</t>
        </is>
      </c>
      <c r="E8032" t="inlineStr">
        <is>
          <t>HULTSFRED</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24340-2023</t>
        </is>
      </c>
      <c r="B8033" s="1" t="n">
        <v>45081</v>
      </c>
      <c r="C8033" s="1" t="n">
        <v>45715</v>
      </c>
      <c r="D8033" t="inlineStr">
        <is>
          <t>KALMAR LÄN</t>
        </is>
      </c>
      <c r="E8033" t="inlineStr">
        <is>
          <t>HULTSFRED</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24344-2023</t>
        </is>
      </c>
      <c r="B8034" s="1" t="n">
        <v>45082</v>
      </c>
      <c r="C8034" s="1" t="n">
        <v>45715</v>
      </c>
      <c r="D8034" t="inlineStr">
        <is>
          <t>KALMAR LÄN</t>
        </is>
      </c>
      <c r="E8034" t="inlineStr">
        <is>
          <t>HULTSFRED</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24337-2023</t>
        </is>
      </c>
      <c r="B8035" s="1" t="n">
        <v>45081</v>
      </c>
      <c r="C8035" s="1" t="n">
        <v>45715</v>
      </c>
      <c r="D8035" t="inlineStr">
        <is>
          <t>KALMAR LÄN</t>
        </is>
      </c>
      <c r="E8035" t="inlineStr">
        <is>
          <t>HULTSFRED</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24341-2023</t>
        </is>
      </c>
      <c r="B8036" s="1" t="n">
        <v>45082</v>
      </c>
      <c r="C8036" s="1" t="n">
        <v>45715</v>
      </c>
      <c r="D8036" t="inlineStr">
        <is>
          <t>KALMAR LÄN</t>
        </is>
      </c>
      <c r="E8036" t="inlineStr">
        <is>
          <t>HULTSFRED</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24345-2023</t>
        </is>
      </c>
      <c r="B8037" s="1" t="n">
        <v>45082</v>
      </c>
      <c r="C8037" s="1" t="n">
        <v>45715</v>
      </c>
      <c r="D8037" t="inlineStr">
        <is>
          <t>KALMAR LÄN</t>
        </is>
      </c>
      <c r="E8037" t="inlineStr">
        <is>
          <t>HULTSFRED</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24471-2023</t>
        </is>
      </c>
      <c r="B8038" s="1" t="n">
        <v>45082</v>
      </c>
      <c r="C8038" s="1" t="n">
        <v>45715</v>
      </c>
      <c r="D8038" t="inlineStr">
        <is>
          <t>KALMAR LÄN</t>
        </is>
      </c>
      <c r="E8038" t="inlineStr">
        <is>
          <t>TORSÅS</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24423-2023</t>
        </is>
      </c>
      <c r="B8039" s="1" t="n">
        <v>45082</v>
      </c>
      <c r="C8039" s="1" t="n">
        <v>45715</v>
      </c>
      <c r="D8039" t="inlineStr">
        <is>
          <t>KALMAR LÄN</t>
        </is>
      </c>
      <c r="E8039" t="inlineStr">
        <is>
          <t>KALMAR</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24398-2023</t>
        </is>
      </c>
      <c r="B8040" s="1" t="n">
        <v>45082</v>
      </c>
      <c r="C8040" s="1" t="n">
        <v>45715</v>
      </c>
      <c r="D8040" t="inlineStr">
        <is>
          <t>KALMAR LÄN</t>
        </is>
      </c>
      <c r="E8040" t="inlineStr">
        <is>
          <t>NYBRO</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24452-2023</t>
        </is>
      </c>
      <c r="B8041" s="1" t="n">
        <v>45082</v>
      </c>
      <c r="C8041" s="1" t="n">
        <v>45715</v>
      </c>
      <c r="D8041" t="inlineStr">
        <is>
          <t>KALMAR LÄN</t>
        </is>
      </c>
      <c r="E8041" t="inlineStr">
        <is>
          <t>NYBRO</t>
        </is>
      </c>
      <c r="F8041" t="inlineStr">
        <is>
          <t>Kommuner</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24418-2023</t>
        </is>
      </c>
      <c r="B8042" s="1" t="n">
        <v>45082</v>
      </c>
      <c r="C8042" s="1" t="n">
        <v>45715</v>
      </c>
      <c r="D8042" t="inlineStr">
        <is>
          <t>KALMAR LÄN</t>
        </is>
      </c>
      <c r="E8042" t="inlineStr">
        <is>
          <t>KALMAR</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24588-2023</t>
        </is>
      </c>
      <c r="B8043" s="1" t="n">
        <v>45083</v>
      </c>
      <c r="C8043" s="1" t="n">
        <v>45715</v>
      </c>
      <c r="D8043" t="inlineStr">
        <is>
          <t>KALMAR LÄN</t>
        </is>
      </c>
      <c r="E8043" t="inlineStr">
        <is>
          <t>KALMAR</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24671-2023</t>
        </is>
      </c>
      <c r="B8044" s="1" t="n">
        <v>45084</v>
      </c>
      <c r="C8044" s="1" t="n">
        <v>45715</v>
      </c>
      <c r="D8044" t="inlineStr">
        <is>
          <t>KALMAR LÄN</t>
        </is>
      </c>
      <c r="E8044" t="inlineStr">
        <is>
          <t>TORSÅS</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24666-2023</t>
        </is>
      </c>
      <c r="B8045" s="1" t="n">
        <v>45084</v>
      </c>
      <c r="C8045" s="1" t="n">
        <v>45715</v>
      </c>
      <c r="D8045" t="inlineStr">
        <is>
          <t>KALMAR LÄN</t>
        </is>
      </c>
      <c r="E8045" t="inlineStr">
        <is>
          <t>TORSÅS</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24689-2023</t>
        </is>
      </c>
      <c r="B8046" s="1" t="n">
        <v>45084</v>
      </c>
      <c r="C8046" s="1" t="n">
        <v>45715</v>
      </c>
      <c r="D8046" t="inlineStr">
        <is>
          <t>KALMAR LÄN</t>
        </is>
      </c>
      <c r="E8046" t="inlineStr">
        <is>
          <t>NYBRO</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24795-2023</t>
        </is>
      </c>
      <c r="B8047" s="1" t="n">
        <v>45084</v>
      </c>
      <c r="C8047" s="1" t="n">
        <v>45715</v>
      </c>
      <c r="D8047" t="inlineStr">
        <is>
          <t>KALMAR LÄN</t>
        </is>
      </c>
      <c r="E8047" t="inlineStr">
        <is>
          <t>EMMABODA</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24782-2023</t>
        </is>
      </c>
      <c r="B8048" s="1" t="n">
        <v>45084</v>
      </c>
      <c r="C8048" s="1" t="n">
        <v>45715</v>
      </c>
      <c r="D8048" t="inlineStr">
        <is>
          <t>KALMAR LÄN</t>
        </is>
      </c>
      <c r="E8048" t="inlineStr">
        <is>
          <t>EMMABODA</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24784-2023</t>
        </is>
      </c>
      <c r="B8049" s="1" t="n">
        <v>45084</v>
      </c>
      <c r="C8049" s="1" t="n">
        <v>45715</v>
      </c>
      <c r="D8049" t="inlineStr">
        <is>
          <t>KALMAR LÄN</t>
        </is>
      </c>
      <c r="E8049" t="inlineStr">
        <is>
          <t>EMMABODA</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24877-2023</t>
        </is>
      </c>
      <c r="B8050" s="1" t="n">
        <v>45085</v>
      </c>
      <c r="C8050" s="1" t="n">
        <v>45715</v>
      </c>
      <c r="D8050" t="inlineStr">
        <is>
          <t>KALMAR LÄN</t>
        </is>
      </c>
      <c r="E8050" t="inlineStr">
        <is>
          <t>VÄSTERVIK</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24881-2023</t>
        </is>
      </c>
      <c r="B8051" s="1" t="n">
        <v>45085</v>
      </c>
      <c r="C8051" s="1" t="n">
        <v>45715</v>
      </c>
      <c r="D8051" t="inlineStr">
        <is>
          <t>KALMAR LÄN</t>
        </is>
      </c>
      <c r="E8051" t="inlineStr">
        <is>
          <t>VÄSTERVIK</t>
        </is>
      </c>
      <c r="F8051" t="inlineStr">
        <is>
          <t>Holmen skog AB</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24941-2023</t>
        </is>
      </c>
      <c r="B8052" s="1" t="n">
        <v>45085</v>
      </c>
      <c r="C8052" s="1" t="n">
        <v>45715</v>
      </c>
      <c r="D8052" t="inlineStr">
        <is>
          <t>KALMAR LÄN</t>
        </is>
      </c>
      <c r="E8052" t="inlineStr">
        <is>
          <t>NYBRO</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24874-2023</t>
        </is>
      </c>
      <c r="B8053" s="1" t="n">
        <v>45085</v>
      </c>
      <c r="C8053" s="1" t="n">
        <v>45715</v>
      </c>
      <c r="D8053" t="inlineStr">
        <is>
          <t>KALMAR LÄN</t>
        </is>
      </c>
      <c r="E8053" t="inlineStr">
        <is>
          <t>MÖNSTERÅS</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24893-2023</t>
        </is>
      </c>
      <c r="B8054" s="1" t="n">
        <v>45085</v>
      </c>
      <c r="C8054" s="1" t="n">
        <v>45715</v>
      </c>
      <c r="D8054" t="inlineStr">
        <is>
          <t>KALMAR LÄN</t>
        </is>
      </c>
      <c r="E8054" t="inlineStr">
        <is>
          <t>VÄSTERVIK</t>
        </is>
      </c>
      <c r="F8054" t="inlineStr">
        <is>
          <t>Holmen skog AB</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24911-2023</t>
        </is>
      </c>
      <c r="B8055" s="1" t="n">
        <v>45085</v>
      </c>
      <c r="C8055" s="1" t="n">
        <v>45715</v>
      </c>
      <c r="D8055" t="inlineStr">
        <is>
          <t>KALMAR LÄN</t>
        </is>
      </c>
      <c r="E8055" t="inlineStr">
        <is>
          <t>HÖGSBY</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24916-2023</t>
        </is>
      </c>
      <c r="B8056" s="1" t="n">
        <v>45085</v>
      </c>
      <c r="C8056" s="1" t="n">
        <v>45715</v>
      </c>
      <c r="D8056" t="inlineStr">
        <is>
          <t>KALMAR LÄN</t>
        </is>
      </c>
      <c r="E8056" t="inlineStr">
        <is>
          <t>HÖGSBY</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25020-2023</t>
        </is>
      </c>
      <c r="B8057" s="1" t="n">
        <v>45085</v>
      </c>
      <c r="C8057" s="1" t="n">
        <v>45715</v>
      </c>
      <c r="D8057" t="inlineStr">
        <is>
          <t>KALMAR LÄN</t>
        </is>
      </c>
      <c r="E8057" t="inlineStr">
        <is>
          <t>HULTSFRED</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24984-2023</t>
        </is>
      </c>
      <c r="B8058" s="1" t="n">
        <v>45085</v>
      </c>
      <c r="C8058" s="1" t="n">
        <v>45715</v>
      </c>
      <c r="D8058" t="inlineStr">
        <is>
          <t>KALMAR LÄN</t>
        </is>
      </c>
      <c r="E8058" t="inlineStr">
        <is>
          <t>MÖNSTERÅS</t>
        </is>
      </c>
      <c r="G8058" t="n">
        <v>7.5</v>
      </c>
      <c r="H8058" t="n">
        <v>0</v>
      </c>
      <c r="I8058" t="n">
        <v>0</v>
      </c>
      <c r="J8058" t="n">
        <v>0</v>
      </c>
      <c r="K8058" t="n">
        <v>0</v>
      </c>
      <c r="L8058" t="n">
        <v>0</v>
      </c>
      <c r="M8058" t="n">
        <v>0</v>
      </c>
      <c r="N8058" t="n">
        <v>0</v>
      </c>
      <c r="O8058" t="n">
        <v>0</v>
      </c>
      <c r="P8058" t="n">
        <v>0</v>
      </c>
      <c r="Q8058" t="n">
        <v>0</v>
      </c>
      <c r="R8058" s="2" t="inlineStr"/>
    </row>
    <row r="8059" ht="15" customHeight="1">
      <c r="A8059" t="inlineStr">
        <is>
          <t>A 25951-2023</t>
        </is>
      </c>
      <c r="B8059" s="1" t="n">
        <v>45085</v>
      </c>
      <c r="C8059" s="1" t="n">
        <v>45715</v>
      </c>
      <c r="D8059" t="inlineStr">
        <is>
          <t>KALMAR LÄN</t>
        </is>
      </c>
      <c r="E8059" t="inlineStr">
        <is>
          <t>EMMABODA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24999-2023</t>
        </is>
      </c>
      <c r="B8060" s="1" t="n">
        <v>45085</v>
      </c>
      <c r="C8060" s="1" t="n">
        <v>45715</v>
      </c>
      <c r="D8060" t="inlineStr">
        <is>
          <t>KALMAR LÄN</t>
        </is>
      </c>
      <c r="E8060" t="inlineStr">
        <is>
          <t>MÖNSTERÅS</t>
        </is>
      </c>
      <c r="G8060" t="n">
        <v>6.8</v>
      </c>
      <c r="H8060" t="n">
        <v>0</v>
      </c>
      <c r="I8060" t="n">
        <v>0</v>
      </c>
      <c r="J8060" t="n">
        <v>0</v>
      </c>
      <c r="K8060" t="n">
        <v>0</v>
      </c>
      <c r="L8060" t="n">
        <v>0</v>
      </c>
      <c r="M8060" t="n">
        <v>0</v>
      </c>
      <c r="N8060" t="n">
        <v>0</v>
      </c>
      <c r="O8060" t="n">
        <v>0</v>
      </c>
      <c r="P8060" t="n">
        <v>0</v>
      </c>
      <c r="Q8060" t="n">
        <v>0</v>
      </c>
      <c r="R8060" s="2" t="inlineStr"/>
    </row>
    <row r="8061" ht="15" customHeight="1">
      <c r="A8061" t="inlineStr">
        <is>
          <t>A 25109-2023</t>
        </is>
      </c>
      <c r="B8061" s="1" t="n">
        <v>45086</v>
      </c>
      <c r="C8061" s="1" t="n">
        <v>45715</v>
      </c>
      <c r="D8061" t="inlineStr">
        <is>
          <t>KALMAR LÄN</t>
        </is>
      </c>
      <c r="E8061" t="inlineStr">
        <is>
          <t>VIMMERBY</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25202-2023</t>
        </is>
      </c>
      <c r="B8062" s="1" t="n">
        <v>45086</v>
      </c>
      <c r="C8062" s="1" t="n">
        <v>45715</v>
      </c>
      <c r="D8062" t="inlineStr">
        <is>
          <t>KALMAR LÄN</t>
        </is>
      </c>
      <c r="E8062" t="inlineStr">
        <is>
          <t>KALMAR</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25180-2023</t>
        </is>
      </c>
      <c r="B8063" s="1" t="n">
        <v>45086</v>
      </c>
      <c r="C8063" s="1" t="n">
        <v>45715</v>
      </c>
      <c r="D8063" t="inlineStr">
        <is>
          <t>KALMAR LÄN</t>
        </is>
      </c>
      <c r="E8063" t="inlineStr">
        <is>
          <t>VÄSTERVIK</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25236-2023</t>
        </is>
      </c>
      <c r="B8064" s="1" t="n">
        <v>45086</v>
      </c>
      <c r="C8064" s="1" t="n">
        <v>45715</v>
      </c>
      <c r="D8064" t="inlineStr">
        <is>
          <t>KALMAR LÄN</t>
        </is>
      </c>
      <c r="E8064" t="inlineStr">
        <is>
          <t>VIMMERBY</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25165-2023</t>
        </is>
      </c>
      <c r="B8065" s="1" t="n">
        <v>45086</v>
      </c>
      <c r="C8065" s="1" t="n">
        <v>45715</v>
      </c>
      <c r="D8065" t="inlineStr">
        <is>
          <t>KALMAR LÄN</t>
        </is>
      </c>
      <c r="E8065" t="inlineStr">
        <is>
          <t>MÖNSTERÅS</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25205-2023</t>
        </is>
      </c>
      <c r="B8066" s="1" t="n">
        <v>45086</v>
      </c>
      <c r="C8066" s="1" t="n">
        <v>45715</v>
      </c>
      <c r="D8066" t="inlineStr">
        <is>
          <t>KALMAR LÄN</t>
        </is>
      </c>
      <c r="E8066" t="inlineStr">
        <is>
          <t>MÖNSTERÅS</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26237-2023</t>
        </is>
      </c>
      <c r="B8067" s="1" t="n">
        <v>45086</v>
      </c>
      <c r="C8067" s="1" t="n">
        <v>45715</v>
      </c>
      <c r="D8067" t="inlineStr">
        <is>
          <t>KALMAR LÄN</t>
        </is>
      </c>
      <c r="E8067" t="inlineStr">
        <is>
          <t>NYBRO</t>
        </is>
      </c>
      <c r="G8067" t="n">
        <v>26.3</v>
      </c>
      <c r="H8067" t="n">
        <v>0</v>
      </c>
      <c r="I8067" t="n">
        <v>0</v>
      </c>
      <c r="J8067" t="n">
        <v>0</v>
      </c>
      <c r="K8067" t="n">
        <v>0</v>
      </c>
      <c r="L8067" t="n">
        <v>0</v>
      </c>
      <c r="M8067" t="n">
        <v>0</v>
      </c>
      <c r="N8067" t="n">
        <v>0</v>
      </c>
      <c r="O8067" t="n">
        <v>0</v>
      </c>
      <c r="P8067" t="n">
        <v>0</v>
      </c>
      <c r="Q8067" t="n">
        <v>0</v>
      </c>
      <c r="R8067" s="2" t="inlineStr"/>
    </row>
    <row r="8068" ht="15" customHeight="1">
      <c r="A8068" t="inlineStr">
        <is>
          <t>A 25244-2023</t>
        </is>
      </c>
      <c r="B8068" s="1" t="n">
        <v>45086</v>
      </c>
      <c r="C8068" s="1" t="n">
        <v>45715</v>
      </c>
      <c r="D8068" t="inlineStr">
        <is>
          <t>KALMAR LÄN</t>
        </is>
      </c>
      <c r="E8068" t="inlineStr">
        <is>
          <t>VIMMERBY</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25201-2023</t>
        </is>
      </c>
      <c r="B8069" s="1" t="n">
        <v>45086</v>
      </c>
      <c r="C8069" s="1" t="n">
        <v>45715</v>
      </c>
      <c r="D8069" t="inlineStr">
        <is>
          <t>KALMAR LÄN</t>
        </is>
      </c>
      <c r="E8069" t="inlineStr">
        <is>
          <t>MÖNSTERÅS</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25214-2023</t>
        </is>
      </c>
      <c r="B8070" s="1" t="n">
        <v>45086</v>
      </c>
      <c r="C8070" s="1" t="n">
        <v>45715</v>
      </c>
      <c r="D8070" t="inlineStr">
        <is>
          <t>KALMAR LÄN</t>
        </is>
      </c>
      <c r="E8070" t="inlineStr">
        <is>
          <t>KALMAR</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25234-2023</t>
        </is>
      </c>
      <c r="B8071" s="1" t="n">
        <v>45086</v>
      </c>
      <c r="C8071" s="1" t="n">
        <v>45715</v>
      </c>
      <c r="D8071" t="inlineStr">
        <is>
          <t>KALMAR LÄN</t>
        </is>
      </c>
      <c r="E8071" t="inlineStr">
        <is>
          <t>VIMMERBY</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25246-2023</t>
        </is>
      </c>
      <c r="B8072" s="1" t="n">
        <v>45086</v>
      </c>
      <c r="C8072" s="1" t="n">
        <v>45715</v>
      </c>
      <c r="D8072" t="inlineStr">
        <is>
          <t>KALMAR LÄN</t>
        </is>
      </c>
      <c r="E8072" t="inlineStr">
        <is>
          <t>HULTSFRED</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25382-2023</t>
        </is>
      </c>
      <c r="B8073" s="1" t="n">
        <v>45089</v>
      </c>
      <c r="C8073" s="1" t="n">
        <v>45715</v>
      </c>
      <c r="D8073" t="inlineStr">
        <is>
          <t>KALMAR LÄN</t>
        </is>
      </c>
      <c r="E8073" t="inlineStr">
        <is>
          <t>NYBRO</t>
        </is>
      </c>
      <c r="F8073" t="inlineStr">
        <is>
          <t>Kommuner</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25417-2023</t>
        </is>
      </c>
      <c r="B8074" s="1" t="n">
        <v>45089</v>
      </c>
      <c r="C8074" s="1" t="n">
        <v>45715</v>
      </c>
      <c r="D8074" t="inlineStr">
        <is>
          <t>KALMAR LÄN</t>
        </is>
      </c>
      <c r="E8074" t="inlineStr">
        <is>
          <t>EMMABODA</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25434-2023</t>
        </is>
      </c>
      <c r="B8075" s="1" t="n">
        <v>45089</v>
      </c>
      <c r="C8075" s="1" t="n">
        <v>45715</v>
      </c>
      <c r="D8075" t="inlineStr">
        <is>
          <t>KALMAR LÄN</t>
        </is>
      </c>
      <c r="E8075" t="inlineStr">
        <is>
          <t>VÄSTERVIK</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25440-2023</t>
        </is>
      </c>
      <c r="B8076" s="1" t="n">
        <v>45089</v>
      </c>
      <c r="C8076" s="1" t="n">
        <v>45715</v>
      </c>
      <c r="D8076" t="inlineStr">
        <is>
          <t>KALMAR LÄN</t>
        </is>
      </c>
      <c r="E8076" t="inlineStr">
        <is>
          <t>VÄSTERVIK</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25506-2023</t>
        </is>
      </c>
      <c r="B8077" s="1" t="n">
        <v>45089</v>
      </c>
      <c r="C8077" s="1" t="n">
        <v>45715</v>
      </c>
      <c r="D8077" t="inlineStr">
        <is>
          <t>KALMAR LÄN</t>
        </is>
      </c>
      <c r="E8077" t="inlineStr">
        <is>
          <t>KALMAR</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25577-2023</t>
        </is>
      </c>
      <c r="B8078" s="1" t="n">
        <v>45089</v>
      </c>
      <c r="C8078" s="1" t="n">
        <v>45715</v>
      </c>
      <c r="D8078" t="inlineStr">
        <is>
          <t>KALMAR LÄN</t>
        </is>
      </c>
      <c r="E8078" t="inlineStr">
        <is>
          <t>MÖNSTERÅS</t>
        </is>
      </c>
      <c r="G8078" t="n">
        <v>6.3</v>
      </c>
      <c r="H8078" t="n">
        <v>0</v>
      </c>
      <c r="I8078" t="n">
        <v>0</v>
      </c>
      <c r="J8078" t="n">
        <v>0</v>
      </c>
      <c r="K8078" t="n">
        <v>0</v>
      </c>
      <c r="L8078" t="n">
        <v>0</v>
      </c>
      <c r="M8078" t="n">
        <v>0</v>
      </c>
      <c r="N8078" t="n">
        <v>0</v>
      </c>
      <c r="O8078" t="n">
        <v>0</v>
      </c>
      <c r="P8078" t="n">
        <v>0</v>
      </c>
      <c r="Q8078" t="n">
        <v>0</v>
      </c>
      <c r="R8078" s="2" t="inlineStr"/>
    </row>
    <row r="8079" ht="15" customHeight="1">
      <c r="A8079" t="inlineStr">
        <is>
          <t>A 25472-2023</t>
        </is>
      </c>
      <c r="B8079" s="1" t="n">
        <v>45089</v>
      </c>
      <c r="C8079" s="1" t="n">
        <v>45715</v>
      </c>
      <c r="D8079" t="inlineStr">
        <is>
          <t>KALMAR LÄN</t>
        </is>
      </c>
      <c r="E8079" t="inlineStr">
        <is>
          <t>NYBRO</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25568-2023</t>
        </is>
      </c>
      <c r="B8080" s="1" t="n">
        <v>45089</v>
      </c>
      <c r="C8080" s="1" t="n">
        <v>45715</v>
      </c>
      <c r="D8080" t="inlineStr">
        <is>
          <t>KALMAR LÄN</t>
        </is>
      </c>
      <c r="E8080" t="inlineStr">
        <is>
          <t>VÄSTERVIK</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25578-2023</t>
        </is>
      </c>
      <c r="B8081" s="1" t="n">
        <v>45089</v>
      </c>
      <c r="C8081" s="1" t="n">
        <v>45715</v>
      </c>
      <c r="D8081" t="inlineStr">
        <is>
          <t>KALMAR LÄN</t>
        </is>
      </c>
      <c r="E8081" t="inlineStr">
        <is>
          <t>MÖNSTERÅS</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25488-2023</t>
        </is>
      </c>
      <c r="B8082" s="1" t="n">
        <v>45089</v>
      </c>
      <c r="C8082" s="1" t="n">
        <v>45715</v>
      </c>
      <c r="D8082" t="inlineStr">
        <is>
          <t>KALMAR LÄN</t>
        </is>
      </c>
      <c r="E8082" t="inlineStr">
        <is>
          <t>VÄSTERVIK</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25518-2023</t>
        </is>
      </c>
      <c r="B8083" s="1" t="n">
        <v>45089</v>
      </c>
      <c r="C8083" s="1" t="n">
        <v>45715</v>
      </c>
      <c r="D8083" t="inlineStr">
        <is>
          <t>KALMAR LÄN</t>
        </is>
      </c>
      <c r="E8083" t="inlineStr">
        <is>
          <t>VÄSTERVIK</t>
        </is>
      </c>
      <c r="F8083" t="inlineStr">
        <is>
          <t>Holmen skog AB</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25653-2023</t>
        </is>
      </c>
      <c r="B8084" s="1" t="n">
        <v>45089</v>
      </c>
      <c r="C8084" s="1" t="n">
        <v>45715</v>
      </c>
      <c r="D8084" t="inlineStr">
        <is>
          <t>KALMAR LÄN</t>
        </is>
      </c>
      <c r="E8084" t="inlineStr">
        <is>
          <t>TORSÅS</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25714-2023</t>
        </is>
      </c>
      <c r="B8085" s="1" t="n">
        <v>45089</v>
      </c>
      <c r="C8085" s="1" t="n">
        <v>45715</v>
      </c>
      <c r="D8085" t="inlineStr">
        <is>
          <t>KALMAR LÄN</t>
        </is>
      </c>
      <c r="E8085" t="inlineStr">
        <is>
          <t>VÄSTERVIK</t>
        </is>
      </c>
      <c r="G8085" t="n">
        <v>10.5</v>
      </c>
      <c r="H8085" t="n">
        <v>0</v>
      </c>
      <c r="I8085" t="n">
        <v>0</v>
      </c>
      <c r="J8085" t="n">
        <v>0</v>
      </c>
      <c r="K8085" t="n">
        <v>0</v>
      </c>
      <c r="L8085" t="n">
        <v>0</v>
      </c>
      <c r="M8085" t="n">
        <v>0</v>
      </c>
      <c r="N8085" t="n">
        <v>0</v>
      </c>
      <c r="O8085" t="n">
        <v>0</v>
      </c>
      <c r="P8085" t="n">
        <v>0</v>
      </c>
      <c r="Q8085" t="n">
        <v>0</v>
      </c>
      <c r="R8085" s="2" t="inlineStr"/>
    </row>
    <row r="8086" ht="15" customHeight="1">
      <c r="A8086" t="inlineStr">
        <is>
          <t>A 25700-2023</t>
        </is>
      </c>
      <c r="B8086" s="1" t="n">
        <v>45090</v>
      </c>
      <c r="C8086" s="1" t="n">
        <v>45715</v>
      </c>
      <c r="D8086" t="inlineStr">
        <is>
          <t>KALMAR LÄN</t>
        </is>
      </c>
      <c r="E8086" t="inlineStr">
        <is>
          <t>KALMAR</t>
        </is>
      </c>
      <c r="G8086" t="n">
        <v>0</v>
      </c>
      <c r="H8086" t="n">
        <v>0</v>
      </c>
      <c r="I8086" t="n">
        <v>0</v>
      </c>
      <c r="J8086" t="n">
        <v>0</v>
      </c>
      <c r="K8086" t="n">
        <v>0</v>
      </c>
      <c r="L8086" t="n">
        <v>0</v>
      </c>
      <c r="M8086" t="n">
        <v>0</v>
      </c>
      <c r="N8086" t="n">
        <v>0</v>
      </c>
      <c r="O8086" t="n">
        <v>0</v>
      </c>
      <c r="P8086" t="n">
        <v>0</v>
      </c>
      <c r="Q8086" t="n">
        <v>0</v>
      </c>
      <c r="R8086" s="2" t="inlineStr"/>
    </row>
    <row r="8087" ht="15" customHeight="1">
      <c r="A8087" t="inlineStr">
        <is>
          <t>A 25740-2023</t>
        </is>
      </c>
      <c r="B8087" s="1" t="n">
        <v>45090</v>
      </c>
      <c r="C8087" s="1" t="n">
        <v>45715</v>
      </c>
      <c r="D8087" t="inlineStr">
        <is>
          <t>KALMAR LÄN</t>
        </is>
      </c>
      <c r="E8087" t="inlineStr">
        <is>
          <t>KALMAR</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25755-2023</t>
        </is>
      </c>
      <c r="B8088" s="1" t="n">
        <v>45090</v>
      </c>
      <c r="C8088" s="1" t="n">
        <v>45715</v>
      </c>
      <c r="D8088" t="inlineStr">
        <is>
          <t>KALMAR LÄN</t>
        </is>
      </c>
      <c r="E8088" t="inlineStr">
        <is>
          <t>TORSÅS</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25816-2023</t>
        </is>
      </c>
      <c r="B8089" s="1" t="n">
        <v>45090</v>
      </c>
      <c r="C8089" s="1" t="n">
        <v>45715</v>
      </c>
      <c r="D8089" t="inlineStr">
        <is>
          <t>KALMAR LÄN</t>
        </is>
      </c>
      <c r="E8089" t="inlineStr">
        <is>
          <t>NYBRO</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25861-2023</t>
        </is>
      </c>
      <c r="B8090" s="1" t="n">
        <v>45090</v>
      </c>
      <c r="C8090" s="1" t="n">
        <v>45715</v>
      </c>
      <c r="D8090" t="inlineStr">
        <is>
          <t>KALMAR LÄN</t>
        </is>
      </c>
      <c r="E8090" t="inlineStr">
        <is>
          <t>HÖGSBY</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25871-2023</t>
        </is>
      </c>
      <c r="B8091" s="1" t="n">
        <v>45090</v>
      </c>
      <c r="C8091" s="1" t="n">
        <v>45715</v>
      </c>
      <c r="D8091" t="inlineStr">
        <is>
          <t>KALMAR LÄN</t>
        </is>
      </c>
      <c r="E8091" t="inlineStr">
        <is>
          <t>HÖGSBY</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25885-2023</t>
        </is>
      </c>
      <c r="B8092" s="1" t="n">
        <v>45090</v>
      </c>
      <c r="C8092" s="1" t="n">
        <v>45715</v>
      </c>
      <c r="D8092" t="inlineStr">
        <is>
          <t>KALMAR LÄN</t>
        </is>
      </c>
      <c r="E8092" t="inlineStr">
        <is>
          <t>VIMMERBY</t>
        </is>
      </c>
      <c r="G8092" t="n">
        <v>4.6</v>
      </c>
      <c r="H8092" t="n">
        <v>0</v>
      </c>
      <c r="I8092" t="n">
        <v>0</v>
      </c>
      <c r="J8092" t="n">
        <v>0</v>
      </c>
      <c r="K8092" t="n">
        <v>0</v>
      </c>
      <c r="L8092" t="n">
        <v>0</v>
      </c>
      <c r="M8092" t="n">
        <v>0</v>
      </c>
      <c r="N8092" t="n">
        <v>0</v>
      </c>
      <c r="O8092" t="n">
        <v>0</v>
      </c>
      <c r="P8092" t="n">
        <v>0</v>
      </c>
      <c r="Q8092" t="n">
        <v>0</v>
      </c>
      <c r="R8092" s="2" t="inlineStr"/>
    </row>
    <row r="8093" ht="15" customHeight="1">
      <c r="A8093" t="inlineStr">
        <is>
          <t>A 25901-2023</t>
        </is>
      </c>
      <c r="B8093" s="1" t="n">
        <v>45090</v>
      </c>
      <c r="C8093" s="1" t="n">
        <v>45715</v>
      </c>
      <c r="D8093" t="inlineStr">
        <is>
          <t>KALMAR LÄN</t>
        </is>
      </c>
      <c r="E8093" t="inlineStr">
        <is>
          <t>OSKARSHAMN</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25912-2023</t>
        </is>
      </c>
      <c r="B8094" s="1" t="n">
        <v>45090</v>
      </c>
      <c r="C8094" s="1" t="n">
        <v>45715</v>
      </c>
      <c r="D8094" t="inlineStr">
        <is>
          <t>KALMAR LÄN</t>
        </is>
      </c>
      <c r="E8094" t="inlineStr">
        <is>
          <t>OSKARSHAMN</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25699-2023</t>
        </is>
      </c>
      <c r="B8095" s="1" t="n">
        <v>45090</v>
      </c>
      <c r="C8095" s="1" t="n">
        <v>45715</v>
      </c>
      <c r="D8095" t="inlineStr">
        <is>
          <t>KALMAR LÄN</t>
        </is>
      </c>
      <c r="E8095" t="inlineStr">
        <is>
          <t>KALMAR</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25732-2023</t>
        </is>
      </c>
      <c r="B8096" s="1" t="n">
        <v>45090</v>
      </c>
      <c r="C8096" s="1" t="n">
        <v>45715</v>
      </c>
      <c r="D8096" t="inlineStr">
        <is>
          <t>KALMAR LÄN</t>
        </is>
      </c>
      <c r="E8096" t="inlineStr">
        <is>
          <t>KALMAR</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25741-2023</t>
        </is>
      </c>
      <c r="B8097" s="1" t="n">
        <v>45090</v>
      </c>
      <c r="C8097" s="1" t="n">
        <v>45715</v>
      </c>
      <c r="D8097" t="inlineStr">
        <is>
          <t>KALMAR LÄN</t>
        </is>
      </c>
      <c r="E8097" t="inlineStr">
        <is>
          <t>TORSÅS</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25750-2023</t>
        </is>
      </c>
      <c r="B8098" s="1" t="n">
        <v>45090</v>
      </c>
      <c r="C8098" s="1" t="n">
        <v>45715</v>
      </c>
      <c r="D8098" t="inlineStr">
        <is>
          <t>KALMAR LÄN</t>
        </is>
      </c>
      <c r="E8098" t="inlineStr">
        <is>
          <t>TORSÅS</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25758-2023</t>
        </is>
      </c>
      <c r="B8099" s="1" t="n">
        <v>45090</v>
      </c>
      <c r="C8099" s="1" t="n">
        <v>45715</v>
      </c>
      <c r="D8099" t="inlineStr">
        <is>
          <t>KALMAR LÄN</t>
        </is>
      </c>
      <c r="E8099" t="inlineStr">
        <is>
          <t>TORSÅS</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25799-2023</t>
        </is>
      </c>
      <c r="B8100" s="1" t="n">
        <v>45090</v>
      </c>
      <c r="C8100" s="1" t="n">
        <v>45715</v>
      </c>
      <c r="D8100" t="inlineStr">
        <is>
          <t>KALMAR LÄN</t>
        </is>
      </c>
      <c r="E8100" t="inlineStr">
        <is>
          <t>VIMMERBY</t>
        </is>
      </c>
      <c r="G8100" t="n">
        <v>7.7</v>
      </c>
      <c r="H8100" t="n">
        <v>0</v>
      </c>
      <c r="I8100" t="n">
        <v>0</v>
      </c>
      <c r="J8100" t="n">
        <v>0</v>
      </c>
      <c r="K8100" t="n">
        <v>0</v>
      </c>
      <c r="L8100" t="n">
        <v>0</v>
      </c>
      <c r="M8100" t="n">
        <v>0</v>
      </c>
      <c r="N8100" t="n">
        <v>0</v>
      </c>
      <c r="O8100" t="n">
        <v>0</v>
      </c>
      <c r="P8100" t="n">
        <v>0</v>
      </c>
      <c r="Q8100" t="n">
        <v>0</v>
      </c>
      <c r="R8100" s="2" t="inlineStr"/>
    </row>
    <row r="8101" ht="15" customHeight="1">
      <c r="A8101" t="inlineStr">
        <is>
          <t>A 25801-2023</t>
        </is>
      </c>
      <c r="B8101" s="1" t="n">
        <v>45090</v>
      </c>
      <c r="C8101" s="1" t="n">
        <v>45715</v>
      </c>
      <c r="D8101" t="inlineStr">
        <is>
          <t>KALMAR LÄN</t>
        </is>
      </c>
      <c r="E8101" t="inlineStr">
        <is>
          <t>VÄSTERVIK</t>
        </is>
      </c>
      <c r="F8101" t="inlineStr">
        <is>
          <t>Holmen skog AB</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25818-2023</t>
        </is>
      </c>
      <c r="B8102" s="1" t="n">
        <v>45090</v>
      </c>
      <c r="C8102" s="1" t="n">
        <v>45715</v>
      </c>
      <c r="D8102" t="inlineStr">
        <is>
          <t>KALMAR LÄN</t>
        </is>
      </c>
      <c r="E8102" t="inlineStr">
        <is>
          <t>NYBRO</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25936-2023</t>
        </is>
      </c>
      <c r="B8103" s="1" t="n">
        <v>45090</v>
      </c>
      <c r="C8103" s="1" t="n">
        <v>45715</v>
      </c>
      <c r="D8103" t="inlineStr">
        <is>
          <t>KALMAR LÄN</t>
        </is>
      </c>
      <c r="E8103" t="inlineStr">
        <is>
          <t>OSKARSHAMN</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25838-2023</t>
        </is>
      </c>
      <c r="B8104" s="1" t="n">
        <v>45090</v>
      </c>
      <c r="C8104" s="1" t="n">
        <v>45715</v>
      </c>
      <c r="D8104" t="inlineStr">
        <is>
          <t>KALMAR LÄN</t>
        </is>
      </c>
      <c r="E8104" t="inlineStr">
        <is>
          <t>NYBRO</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25876-2023</t>
        </is>
      </c>
      <c r="B8105" s="1" t="n">
        <v>45090</v>
      </c>
      <c r="C8105" s="1" t="n">
        <v>45715</v>
      </c>
      <c r="D8105" t="inlineStr">
        <is>
          <t>KALMAR LÄN</t>
        </is>
      </c>
      <c r="E8105" t="inlineStr">
        <is>
          <t>HÖGSBY</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25910-2023</t>
        </is>
      </c>
      <c r="B8106" s="1" t="n">
        <v>45090</v>
      </c>
      <c r="C8106" s="1" t="n">
        <v>45715</v>
      </c>
      <c r="D8106" t="inlineStr">
        <is>
          <t>KALMAR LÄN</t>
        </is>
      </c>
      <c r="E8106" t="inlineStr">
        <is>
          <t>OSKARSHAMN</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25979-2023</t>
        </is>
      </c>
      <c r="B8107" s="1" t="n">
        <v>45090</v>
      </c>
      <c r="C8107" s="1" t="n">
        <v>45715</v>
      </c>
      <c r="D8107" t="inlineStr">
        <is>
          <t>KALMAR LÄN</t>
        </is>
      </c>
      <c r="E8107" t="inlineStr">
        <is>
          <t>VIMMERBY</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25976-2023</t>
        </is>
      </c>
      <c r="B8108" s="1" t="n">
        <v>45090</v>
      </c>
      <c r="C8108" s="1" t="n">
        <v>45715</v>
      </c>
      <c r="D8108" t="inlineStr">
        <is>
          <t>KALMAR LÄN</t>
        </is>
      </c>
      <c r="E8108" t="inlineStr">
        <is>
          <t>VIMMERBY</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25980-2023</t>
        </is>
      </c>
      <c r="B8109" s="1" t="n">
        <v>45090</v>
      </c>
      <c r="C8109" s="1" t="n">
        <v>45715</v>
      </c>
      <c r="D8109" t="inlineStr">
        <is>
          <t>KALMAR LÄN</t>
        </is>
      </c>
      <c r="E8109" t="inlineStr">
        <is>
          <t>VIMMERBY</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25752-2023</t>
        </is>
      </c>
      <c r="B8110" s="1" t="n">
        <v>45090</v>
      </c>
      <c r="C8110" s="1" t="n">
        <v>45715</v>
      </c>
      <c r="D8110" t="inlineStr">
        <is>
          <t>KALMAR LÄN</t>
        </is>
      </c>
      <c r="E8110" t="inlineStr">
        <is>
          <t>TORSÅS</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25798-2023</t>
        </is>
      </c>
      <c r="B8111" s="1" t="n">
        <v>45090</v>
      </c>
      <c r="C8111" s="1" t="n">
        <v>45715</v>
      </c>
      <c r="D8111" t="inlineStr">
        <is>
          <t>KALMAR LÄN</t>
        </is>
      </c>
      <c r="E8111" t="inlineStr">
        <is>
          <t>NYBRO</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25820-2023</t>
        </is>
      </c>
      <c r="B8112" s="1" t="n">
        <v>45090</v>
      </c>
      <c r="C8112" s="1" t="n">
        <v>45715</v>
      </c>
      <c r="D8112" t="inlineStr">
        <is>
          <t>KALMAR LÄN</t>
        </is>
      </c>
      <c r="E8112" t="inlineStr">
        <is>
          <t>EMMABODA</t>
        </is>
      </c>
      <c r="G8112" t="n">
        <v>5.8</v>
      </c>
      <c r="H8112" t="n">
        <v>0</v>
      </c>
      <c r="I8112" t="n">
        <v>0</v>
      </c>
      <c r="J8112" t="n">
        <v>0</v>
      </c>
      <c r="K8112" t="n">
        <v>0</v>
      </c>
      <c r="L8112" t="n">
        <v>0</v>
      </c>
      <c r="M8112" t="n">
        <v>0</v>
      </c>
      <c r="N8112" t="n">
        <v>0</v>
      </c>
      <c r="O8112" t="n">
        <v>0</v>
      </c>
      <c r="P8112" t="n">
        <v>0</v>
      </c>
      <c r="Q8112" t="n">
        <v>0</v>
      </c>
      <c r="R8112" s="2" t="inlineStr"/>
    </row>
    <row r="8113" ht="15" customHeight="1">
      <c r="A8113" t="inlineStr">
        <is>
          <t>A 25847-2023</t>
        </is>
      </c>
      <c r="B8113" s="1" t="n">
        <v>45090</v>
      </c>
      <c r="C8113" s="1" t="n">
        <v>45715</v>
      </c>
      <c r="D8113" t="inlineStr">
        <is>
          <t>KALMAR LÄN</t>
        </is>
      </c>
      <c r="E8113" t="inlineStr">
        <is>
          <t>HÖGSBY</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25977-2023</t>
        </is>
      </c>
      <c r="B8114" s="1" t="n">
        <v>45090</v>
      </c>
      <c r="C8114" s="1" t="n">
        <v>45715</v>
      </c>
      <c r="D8114" t="inlineStr">
        <is>
          <t>KALMAR LÄN</t>
        </is>
      </c>
      <c r="E8114" t="inlineStr">
        <is>
          <t>VIMMERBY</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26244-2023</t>
        </is>
      </c>
      <c r="B8115" s="1" t="n">
        <v>45091</v>
      </c>
      <c r="C8115" s="1" t="n">
        <v>45715</v>
      </c>
      <c r="D8115" t="inlineStr">
        <is>
          <t>KALMAR LÄN</t>
        </is>
      </c>
      <c r="E8115" t="inlineStr">
        <is>
          <t>VÄSTERVIK</t>
        </is>
      </c>
      <c r="F8115" t="inlineStr">
        <is>
          <t>Holmen skog AB</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26254-2023</t>
        </is>
      </c>
      <c r="B8116" s="1" t="n">
        <v>45091</v>
      </c>
      <c r="C8116" s="1" t="n">
        <v>45715</v>
      </c>
      <c r="D8116" t="inlineStr">
        <is>
          <t>KALMAR LÄN</t>
        </is>
      </c>
      <c r="E8116" t="inlineStr">
        <is>
          <t>EMMABODA</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26209-2023</t>
        </is>
      </c>
      <c r="B8117" s="1" t="n">
        <v>45091</v>
      </c>
      <c r="C8117" s="1" t="n">
        <v>45715</v>
      </c>
      <c r="D8117" t="inlineStr">
        <is>
          <t>KALMAR LÄN</t>
        </is>
      </c>
      <c r="E8117" t="inlineStr">
        <is>
          <t>EMMABODA</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26236-2023</t>
        </is>
      </c>
      <c r="B8118" s="1" t="n">
        <v>45091</v>
      </c>
      <c r="C8118" s="1" t="n">
        <v>45715</v>
      </c>
      <c r="D8118" t="inlineStr">
        <is>
          <t>KALMAR LÄN</t>
        </is>
      </c>
      <c r="E8118" t="inlineStr">
        <is>
          <t>EMMABODA</t>
        </is>
      </c>
      <c r="G8118" t="n">
        <v>5.5</v>
      </c>
      <c r="H8118" t="n">
        <v>0</v>
      </c>
      <c r="I8118" t="n">
        <v>0</v>
      </c>
      <c r="J8118" t="n">
        <v>0</v>
      </c>
      <c r="K8118" t="n">
        <v>0</v>
      </c>
      <c r="L8118" t="n">
        <v>0</v>
      </c>
      <c r="M8118" t="n">
        <v>0</v>
      </c>
      <c r="N8118" t="n">
        <v>0</v>
      </c>
      <c r="O8118" t="n">
        <v>0</v>
      </c>
      <c r="P8118" t="n">
        <v>0</v>
      </c>
      <c r="Q8118" t="n">
        <v>0</v>
      </c>
      <c r="R8118" s="2" t="inlineStr"/>
    </row>
    <row r="8119" ht="15" customHeight="1">
      <c r="A8119" t="inlineStr">
        <is>
          <t>A 26018-2023</t>
        </is>
      </c>
      <c r="B8119" s="1" t="n">
        <v>45091</v>
      </c>
      <c r="C8119" s="1" t="n">
        <v>45715</v>
      </c>
      <c r="D8119" t="inlineStr">
        <is>
          <t>KALMAR LÄN</t>
        </is>
      </c>
      <c r="E8119" t="inlineStr">
        <is>
          <t>EMMABODA</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26061-2023</t>
        </is>
      </c>
      <c r="B8120" s="1" t="n">
        <v>45091</v>
      </c>
      <c r="C8120" s="1" t="n">
        <v>45715</v>
      </c>
      <c r="D8120" t="inlineStr">
        <is>
          <t>KALMAR LÄN</t>
        </is>
      </c>
      <c r="E8120" t="inlineStr">
        <is>
          <t>MÖNSTERÅS</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26073-2023</t>
        </is>
      </c>
      <c r="B8121" s="1" t="n">
        <v>45091</v>
      </c>
      <c r="C8121" s="1" t="n">
        <v>45715</v>
      </c>
      <c r="D8121" t="inlineStr">
        <is>
          <t>KALMAR LÄN</t>
        </is>
      </c>
      <c r="E8121" t="inlineStr">
        <is>
          <t>VÄSTERVIK</t>
        </is>
      </c>
      <c r="F8121" t="inlineStr">
        <is>
          <t>Sveaskog</t>
        </is>
      </c>
      <c r="G8121" t="n">
        <v>21.2</v>
      </c>
      <c r="H8121" t="n">
        <v>0</v>
      </c>
      <c r="I8121" t="n">
        <v>0</v>
      </c>
      <c r="J8121" t="n">
        <v>0</v>
      </c>
      <c r="K8121" t="n">
        <v>0</v>
      </c>
      <c r="L8121" t="n">
        <v>0</v>
      </c>
      <c r="M8121" t="n">
        <v>0</v>
      </c>
      <c r="N8121" t="n">
        <v>0</v>
      </c>
      <c r="O8121" t="n">
        <v>0</v>
      </c>
      <c r="P8121" t="n">
        <v>0</v>
      </c>
      <c r="Q8121" t="n">
        <v>0</v>
      </c>
      <c r="R8121" s="2" t="inlineStr"/>
    </row>
    <row r="8122" ht="15" customHeight="1">
      <c r="A8122" t="inlineStr">
        <is>
          <t>A 26265-2023</t>
        </is>
      </c>
      <c r="B8122" s="1" t="n">
        <v>45091</v>
      </c>
      <c r="C8122" s="1" t="n">
        <v>45715</v>
      </c>
      <c r="D8122" t="inlineStr">
        <is>
          <t>KALMAR LÄN</t>
        </is>
      </c>
      <c r="E8122" t="inlineStr">
        <is>
          <t>EMMABODA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26279-2023</t>
        </is>
      </c>
      <c r="B8123" s="1" t="n">
        <v>45091</v>
      </c>
      <c r="C8123" s="1" t="n">
        <v>45715</v>
      </c>
      <c r="D8123" t="inlineStr">
        <is>
          <t>KALMAR LÄN</t>
        </is>
      </c>
      <c r="E8123" t="inlineStr">
        <is>
          <t>MÖNSTERÅS</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26283-2023</t>
        </is>
      </c>
      <c r="B8124" s="1" t="n">
        <v>45091</v>
      </c>
      <c r="C8124" s="1" t="n">
        <v>45715</v>
      </c>
      <c r="D8124" t="inlineStr">
        <is>
          <t>KALMAR LÄN</t>
        </is>
      </c>
      <c r="E8124" t="inlineStr">
        <is>
          <t>OSKARSHAMN</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26291-2023</t>
        </is>
      </c>
      <c r="B8125" s="1" t="n">
        <v>45091</v>
      </c>
      <c r="C8125" s="1" t="n">
        <v>45715</v>
      </c>
      <c r="D8125" t="inlineStr">
        <is>
          <t>KALMAR LÄN</t>
        </is>
      </c>
      <c r="E8125" t="inlineStr">
        <is>
          <t>OSKARSHAMN</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26308-2023</t>
        </is>
      </c>
      <c r="B8126" s="1" t="n">
        <v>45091</v>
      </c>
      <c r="C8126" s="1" t="n">
        <v>45715</v>
      </c>
      <c r="D8126" t="inlineStr">
        <is>
          <t>KALMAR LÄN</t>
        </is>
      </c>
      <c r="E8126" t="inlineStr">
        <is>
          <t>HULTSFRED</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26320-2023</t>
        </is>
      </c>
      <c r="B8127" s="1" t="n">
        <v>45091</v>
      </c>
      <c r="C8127" s="1" t="n">
        <v>45715</v>
      </c>
      <c r="D8127" t="inlineStr">
        <is>
          <t>KALMAR LÄN</t>
        </is>
      </c>
      <c r="E8127" t="inlineStr">
        <is>
          <t>HÖGSBY</t>
        </is>
      </c>
      <c r="F8127" t="inlineStr">
        <is>
          <t>Sveaskog</t>
        </is>
      </c>
      <c r="G8127" t="n">
        <v>6.5</v>
      </c>
      <c r="H8127" t="n">
        <v>0</v>
      </c>
      <c r="I8127" t="n">
        <v>0</v>
      </c>
      <c r="J8127" t="n">
        <v>0</v>
      </c>
      <c r="K8127" t="n">
        <v>0</v>
      </c>
      <c r="L8127" t="n">
        <v>0</v>
      </c>
      <c r="M8127" t="n">
        <v>0</v>
      </c>
      <c r="N8127" t="n">
        <v>0</v>
      </c>
      <c r="O8127" t="n">
        <v>0</v>
      </c>
      <c r="P8127" t="n">
        <v>0</v>
      </c>
      <c r="Q8127" t="n">
        <v>0</v>
      </c>
      <c r="R8127" s="2" t="inlineStr"/>
    </row>
    <row r="8128" ht="15" customHeight="1">
      <c r="A8128" t="inlineStr">
        <is>
          <t>A 26314-2023</t>
        </is>
      </c>
      <c r="B8128" s="1" t="n">
        <v>45091</v>
      </c>
      <c r="C8128" s="1" t="n">
        <v>45715</v>
      </c>
      <c r="D8128" t="inlineStr">
        <is>
          <t>KALMAR LÄN</t>
        </is>
      </c>
      <c r="E8128" t="inlineStr">
        <is>
          <t>EMMABODA</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26318-2023</t>
        </is>
      </c>
      <c r="B8129" s="1" t="n">
        <v>45091</v>
      </c>
      <c r="C8129" s="1" t="n">
        <v>45715</v>
      </c>
      <c r="D8129" t="inlineStr">
        <is>
          <t>KALMAR LÄN</t>
        </is>
      </c>
      <c r="E8129" t="inlineStr">
        <is>
          <t>VIMMERBY</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26097-2023</t>
        </is>
      </c>
      <c r="B8130" s="1" t="n">
        <v>45091</v>
      </c>
      <c r="C8130" s="1" t="n">
        <v>45715</v>
      </c>
      <c r="D8130" t="inlineStr">
        <is>
          <t>KALMAR LÄN</t>
        </is>
      </c>
      <c r="E8130" t="inlineStr">
        <is>
          <t>KALMAR</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26094-2023</t>
        </is>
      </c>
      <c r="B8131" s="1" t="n">
        <v>45091</v>
      </c>
      <c r="C8131" s="1" t="n">
        <v>45715</v>
      </c>
      <c r="D8131" t="inlineStr">
        <is>
          <t>KALMAR LÄN</t>
        </is>
      </c>
      <c r="E8131" t="inlineStr">
        <is>
          <t>KALMAR</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26132-2023</t>
        </is>
      </c>
      <c r="B8132" s="1" t="n">
        <v>45091</v>
      </c>
      <c r="C8132" s="1" t="n">
        <v>45715</v>
      </c>
      <c r="D8132" t="inlineStr">
        <is>
          <t>KALMAR LÄN</t>
        </is>
      </c>
      <c r="E8132" t="inlineStr">
        <is>
          <t>OSKARSHAMN</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26078-2023</t>
        </is>
      </c>
      <c r="B8133" s="1" t="n">
        <v>45091</v>
      </c>
      <c r="C8133" s="1" t="n">
        <v>45715</v>
      </c>
      <c r="D8133" t="inlineStr">
        <is>
          <t>KALMAR LÄN</t>
        </is>
      </c>
      <c r="E8133" t="inlineStr">
        <is>
          <t>KALMAR</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26087-2023</t>
        </is>
      </c>
      <c r="B8134" s="1" t="n">
        <v>45091</v>
      </c>
      <c r="C8134" s="1" t="n">
        <v>45715</v>
      </c>
      <c r="D8134" t="inlineStr">
        <is>
          <t>KALMAR LÄN</t>
        </is>
      </c>
      <c r="E8134" t="inlineStr">
        <is>
          <t>KALMAR</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26125-2023</t>
        </is>
      </c>
      <c r="B8135" s="1" t="n">
        <v>45091</v>
      </c>
      <c r="C8135" s="1" t="n">
        <v>45715</v>
      </c>
      <c r="D8135" t="inlineStr">
        <is>
          <t>KALMAR LÄN</t>
        </is>
      </c>
      <c r="E8135" t="inlineStr">
        <is>
          <t>NYBRO</t>
        </is>
      </c>
      <c r="G8135" t="n">
        <v>0.4</v>
      </c>
      <c r="H8135" t="n">
        <v>0</v>
      </c>
      <c r="I8135" t="n">
        <v>0</v>
      </c>
      <c r="J8135" t="n">
        <v>0</v>
      </c>
      <c r="K8135" t="n">
        <v>0</v>
      </c>
      <c r="L8135" t="n">
        <v>0</v>
      </c>
      <c r="M8135" t="n">
        <v>0</v>
      </c>
      <c r="N8135" t="n">
        <v>0</v>
      </c>
      <c r="O8135" t="n">
        <v>0</v>
      </c>
      <c r="P8135" t="n">
        <v>0</v>
      </c>
      <c r="Q8135" t="n">
        <v>0</v>
      </c>
      <c r="R8135" s="2" t="inlineStr"/>
    </row>
    <row r="8136" ht="15" customHeight="1">
      <c r="A8136" t="inlineStr">
        <is>
          <t>A 26139-2023</t>
        </is>
      </c>
      <c r="B8136" s="1" t="n">
        <v>45091</v>
      </c>
      <c r="C8136" s="1" t="n">
        <v>45715</v>
      </c>
      <c r="D8136" t="inlineStr">
        <is>
          <t>KALMAR LÄN</t>
        </is>
      </c>
      <c r="E8136" t="inlineStr">
        <is>
          <t>NYBRO</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26130-2023</t>
        </is>
      </c>
      <c r="B8137" s="1" t="n">
        <v>45091</v>
      </c>
      <c r="C8137" s="1" t="n">
        <v>45715</v>
      </c>
      <c r="D8137" t="inlineStr">
        <is>
          <t>KALMAR LÄN</t>
        </is>
      </c>
      <c r="E8137" t="inlineStr">
        <is>
          <t>HÖGSBY</t>
        </is>
      </c>
      <c r="F8137" t="inlineStr">
        <is>
          <t>Sveaskog</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26135-2023</t>
        </is>
      </c>
      <c r="B8138" s="1" t="n">
        <v>45091</v>
      </c>
      <c r="C8138" s="1" t="n">
        <v>45715</v>
      </c>
      <c r="D8138" t="inlineStr">
        <is>
          <t>KALMAR LÄN</t>
        </is>
      </c>
      <c r="E8138" t="inlineStr">
        <is>
          <t>NYBRO</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26971-2023</t>
        </is>
      </c>
      <c r="B8139" s="1" t="n">
        <v>45091</v>
      </c>
      <c r="C8139" s="1" t="n">
        <v>45715</v>
      </c>
      <c r="D8139" t="inlineStr">
        <is>
          <t>KALMAR LÄN</t>
        </is>
      </c>
      <c r="E8139" t="inlineStr">
        <is>
          <t>EMMABODA</t>
        </is>
      </c>
      <c r="G8139" t="n">
        <v>5.5</v>
      </c>
      <c r="H8139" t="n">
        <v>0</v>
      </c>
      <c r="I8139" t="n">
        <v>0</v>
      </c>
      <c r="J8139" t="n">
        <v>0</v>
      </c>
      <c r="K8139" t="n">
        <v>0</v>
      </c>
      <c r="L8139" t="n">
        <v>0</v>
      </c>
      <c r="M8139" t="n">
        <v>0</v>
      </c>
      <c r="N8139" t="n">
        <v>0</v>
      </c>
      <c r="O8139" t="n">
        <v>0</v>
      </c>
      <c r="P8139" t="n">
        <v>0</v>
      </c>
      <c r="Q8139" t="n">
        <v>0</v>
      </c>
      <c r="R8139" s="2" t="inlineStr"/>
    </row>
    <row r="8140" ht="15" customHeight="1">
      <c r="A8140" t="inlineStr">
        <is>
          <t>A 26120-2023</t>
        </is>
      </c>
      <c r="B8140" s="1" t="n">
        <v>45091</v>
      </c>
      <c r="C8140" s="1" t="n">
        <v>45715</v>
      </c>
      <c r="D8140" t="inlineStr">
        <is>
          <t>KALMAR LÄN</t>
        </is>
      </c>
      <c r="E8140" t="inlineStr">
        <is>
          <t>NYBRO</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26129-2023</t>
        </is>
      </c>
      <c r="B8141" s="1" t="n">
        <v>45091</v>
      </c>
      <c r="C8141" s="1" t="n">
        <v>45715</v>
      </c>
      <c r="D8141" t="inlineStr">
        <is>
          <t>KALMAR LÄN</t>
        </is>
      </c>
      <c r="E8141" t="inlineStr">
        <is>
          <t>NYBRO</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26437-2023</t>
        </is>
      </c>
      <c r="B8142" s="1" t="n">
        <v>45092</v>
      </c>
      <c r="C8142" s="1" t="n">
        <v>45715</v>
      </c>
      <c r="D8142" t="inlineStr">
        <is>
          <t>KALMAR LÄN</t>
        </is>
      </c>
      <c r="E8142" t="inlineStr">
        <is>
          <t>HULTSFRED</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26492-2023</t>
        </is>
      </c>
      <c r="B8143" s="1" t="n">
        <v>45092</v>
      </c>
      <c r="C8143" s="1" t="n">
        <v>45715</v>
      </c>
      <c r="D8143" t="inlineStr">
        <is>
          <t>KALMAR LÄN</t>
        </is>
      </c>
      <c r="E8143" t="inlineStr">
        <is>
          <t>NYBRO</t>
        </is>
      </c>
      <c r="F8143" t="inlineStr">
        <is>
          <t>Sveaskog</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26422-2023</t>
        </is>
      </c>
      <c r="B8144" s="1" t="n">
        <v>45092</v>
      </c>
      <c r="C8144" s="1" t="n">
        <v>45715</v>
      </c>
      <c r="D8144" t="inlineStr">
        <is>
          <t>KALMAR LÄN</t>
        </is>
      </c>
      <c r="E8144" t="inlineStr">
        <is>
          <t>NYBRO</t>
        </is>
      </c>
      <c r="F8144" t="inlineStr">
        <is>
          <t>Kommuner</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26426-2023</t>
        </is>
      </c>
      <c r="B8145" s="1" t="n">
        <v>45092</v>
      </c>
      <c r="C8145" s="1" t="n">
        <v>45715</v>
      </c>
      <c r="D8145" t="inlineStr">
        <is>
          <t>KALMAR LÄN</t>
        </is>
      </c>
      <c r="E8145" t="inlineStr">
        <is>
          <t>NYBRO</t>
        </is>
      </c>
      <c r="F8145" t="inlineStr">
        <is>
          <t>Kommuner</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26481-2023</t>
        </is>
      </c>
      <c r="B8146" s="1" t="n">
        <v>45092</v>
      </c>
      <c r="C8146" s="1" t="n">
        <v>45715</v>
      </c>
      <c r="D8146" t="inlineStr">
        <is>
          <t>KALMAR LÄN</t>
        </is>
      </c>
      <c r="E8146" t="inlineStr">
        <is>
          <t>MÖNSTERÅS</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26433-2023</t>
        </is>
      </c>
      <c r="B8147" s="1" t="n">
        <v>45092</v>
      </c>
      <c r="C8147" s="1" t="n">
        <v>45715</v>
      </c>
      <c r="D8147" t="inlineStr">
        <is>
          <t>KALMAR LÄN</t>
        </is>
      </c>
      <c r="E8147" t="inlineStr">
        <is>
          <t>OSKARSHAMN</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26494-2023</t>
        </is>
      </c>
      <c r="B8148" s="1" t="n">
        <v>45092</v>
      </c>
      <c r="C8148" s="1" t="n">
        <v>45715</v>
      </c>
      <c r="D8148" t="inlineStr">
        <is>
          <t>KALMAR LÄN</t>
        </is>
      </c>
      <c r="E8148" t="inlineStr">
        <is>
          <t>MÖNSTERÅS</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26560-2023</t>
        </is>
      </c>
      <c r="B8149" s="1" t="n">
        <v>45092</v>
      </c>
      <c r="C8149" s="1" t="n">
        <v>45715</v>
      </c>
      <c r="D8149" t="inlineStr">
        <is>
          <t>KALMAR LÄN</t>
        </is>
      </c>
      <c r="E8149" t="inlineStr">
        <is>
          <t>OSKARSHAMN</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26593-2023</t>
        </is>
      </c>
      <c r="B8150" s="1" t="n">
        <v>45092</v>
      </c>
      <c r="C8150" s="1" t="n">
        <v>45715</v>
      </c>
      <c r="D8150" t="inlineStr">
        <is>
          <t>KALMAR LÄN</t>
        </is>
      </c>
      <c r="E8150" t="inlineStr">
        <is>
          <t>KALMAR</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26626-2023</t>
        </is>
      </c>
      <c r="B8151" s="1" t="n">
        <v>45092</v>
      </c>
      <c r="C8151" s="1" t="n">
        <v>45715</v>
      </c>
      <c r="D8151" t="inlineStr">
        <is>
          <t>KALMAR LÄN</t>
        </is>
      </c>
      <c r="E8151" t="inlineStr">
        <is>
          <t>VIMMERBY</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27416-2023</t>
        </is>
      </c>
      <c r="B8152" s="1" t="n">
        <v>45092</v>
      </c>
      <c r="C8152" s="1" t="n">
        <v>45715</v>
      </c>
      <c r="D8152" t="inlineStr">
        <is>
          <t>KALMAR LÄN</t>
        </is>
      </c>
      <c r="E8152" t="inlineStr">
        <is>
          <t>EMMABODA</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27414-2023</t>
        </is>
      </c>
      <c r="B8153" s="1" t="n">
        <v>45092</v>
      </c>
      <c r="C8153" s="1" t="n">
        <v>45715</v>
      </c>
      <c r="D8153" t="inlineStr">
        <is>
          <t>KALMAR LÄN</t>
        </is>
      </c>
      <c r="E8153" t="inlineStr">
        <is>
          <t>EMMABODA</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26687-2023</t>
        </is>
      </c>
      <c r="B8154" s="1" t="n">
        <v>45093</v>
      </c>
      <c r="C8154" s="1" t="n">
        <v>45715</v>
      </c>
      <c r="D8154" t="inlineStr">
        <is>
          <t>KALMAR LÄN</t>
        </is>
      </c>
      <c r="E8154" t="inlineStr">
        <is>
          <t>HULTSFRED</t>
        </is>
      </c>
      <c r="G8154" t="n">
        <v>1.4</v>
      </c>
      <c r="H8154" t="n">
        <v>0</v>
      </c>
      <c r="I8154" t="n">
        <v>0</v>
      </c>
      <c r="J8154" t="n">
        <v>0</v>
      </c>
      <c r="K8154" t="n">
        <v>0</v>
      </c>
      <c r="L8154" t="n">
        <v>0</v>
      </c>
      <c r="M8154" t="n">
        <v>0</v>
      </c>
      <c r="N8154" t="n">
        <v>0</v>
      </c>
      <c r="O8154" t="n">
        <v>0</v>
      </c>
      <c r="P8154" t="n">
        <v>0</v>
      </c>
      <c r="Q8154" t="n">
        <v>0</v>
      </c>
      <c r="R8154" s="2" t="inlineStr"/>
      <c r="U8154">
        <f>HYPERLINK("https://klasma.github.io/Logging_0860/knärot/A 26687-2023 karta knärot.png", "A 26687-2023")</f>
        <v/>
      </c>
      <c r="V8154">
        <f>HYPERLINK("https://klasma.github.io/Logging_0860/klagomål/A 26687-2023 FSC-klagomål.docx", "A 26687-2023")</f>
        <v/>
      </c>
      <c r="W8154">
        <f>HYPERLINK("https://klasma.github.io/Logging_0860/klagomålsmail/A 26687-2023 FSC-klagomål mail.docx", "A 26687-2023")</f>
        <v/>
      </c>
      <c r="X8154">
        <f>HYPERLINK("https://klasma.github.io/Logging_0860/tillsyn/A 26687-2023 tillsynsbegäran.docx", "A 26687-2023")</f>
        <v/>
      </c>
      <c r="Y8154">
        <f>HYPERLINK("https://klasma.github.io/Logging_0860/tillsynsmail/A 26687-2023 tillsynsbegäran mail.docx", "A 26687-2023")</f>
        <v/>
      </c>
    </row>
    <row r="8155" ht="15" customHeight="1">
      <c r="A8155" t="inlineStr">
        <is>
          <t>A 26696-2023</t>
        </is>
      </c>
      <c r="B8155" s="1" t="n">
        <v>45093</v>
      </c>
      <c r="C8155" s="1" t="n">
        <v>45715</v>
      </c>
      <c r="D8155" t="inlineStr">
        <is>
          <t>KALMAR LÄN</t>
        </is>
      </c>
      <c r="E8155" t="inlineStr">
        <is>
          <t>TORSÅS</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26700-2023</t>
        </is>
      </c>
      <c r="B8156" s="1" t="n">
        <v>45093</v>
      </c>
      <c r="C8156" s="1" t="n">
        <v>45715</v>
      </c>
      <c r="D8156" t="inlineStr">
        <is>
          <t>KALMAR LÄN</t>
        </is>
      </c>
      <c r="E8156" t="inlineStr">
        <is>
          <t>TORSÅS</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26709-2023</t>
        </is>
      </c>
      <c r="B8157" s="1" t="n">
        <v>45093</v>
      </c>
      <c r="C8157" s="1" t="n">
        <v>45715</v>
      </c>
      <c r="D8157" t="inlineStr">
        <is>
          <t>KALMAR LÄN</t>
        </is>
      </c>
      <c r="E8157" t="inlineStr">
        <is>
          <t>KALMAR</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26714-2023</t>
        </is>
      </c>
      <c r="B8158" s="1" t="n">
        <v>45093</v>
      </c>
      <c r="C8158" s="1" t="n">
        <v>45715</v>
      </c>
      <c r="D8158" t="inlineStr">
        <is>
          <t>KALMAR LÄN</t>
        </is>
      </c>
      <c r="E8158" t="inlineStr">
        <is>
          <t>TORSÅS</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26773-2023</t>
        </is>
      </c>
      <c r="B8159" s="1" t="n">
        <v>45093</v>
      </c>
      <c r="C8159" s="1" t="n">
        <v>45715</v>
      </c>
      <c r="D8159" t="inlineStr">
        <is>
          <t>KALMAR LÄN</t>
        </is>
      </c>
      <c r="E8159" t="inlineStr">
        <is>
          <t>VÄSTERVIK</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26688-2023</t>
        </is>
      </c>
      <c r="B8160" s="1" t="n">
        <v>45093</v>
      </c>
      <c r="C8160" s="1" t="n">
        <v>45715</v>
      </c>
      <c r="D8160" t="inlineStr">
        <is>
          <t>KALMAR LÄN</t>
        </is>
      </c>
      <c r="E8160" t="inlineStr">
        <is>
          <t>NYBRO</t>
        </is>
      </c>
      <c r="G8160" t="n">
        <v>4.5</v>
      </c>
      <c r="H8160" t="n">
        <v>0</v>
      </c>
      <c r="I8160" t="n">
        <v>0</v>
      </c>
      <c r="J8160" t="n">
        <v>0</v>
      </c>
      <c r="K8160" t="n">
        <v>0</v>
      </c>
      <c r="L8160" t="n">
        <v>0</v>
      </c>
      <c r="M8160" t="n">
        <v>0</v>
      </c>
      <c r="N8160" t="n">
        <v>0</v>
      </c>
      <c r="O8160" t="n">
        <v>0</v>
      </c>
      <c r="P8160" t="n">
        <v>0</v>
      </c>
      <c r="Q8160" t="n">
        <v>0</v>
      </c>
      <c r="R8160" s="2" t="inlineStr"/>
    </row>
    <row r="8161" ht="15" customHeight="1">
      <c r="A8161" t="inlineStr">
        <is>
          <t>A 26772-2023</t>
        </is>
      </c>
      <c r="B8161" s="1" t="n">
        <v>45093</v>
      </c>
      <c r="C8161" s="1" t="n">
        <v>45715</v>
      </c>
      <c r="D8161" t="inlineStr">
        <is>
          <t>KALMAR LÄN</t>
        </is>
      </c>
      <c r="E8161" t="inlineStr">
        <is>
          <t>VÄSTERVIK</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26776-2023</t>
        </is>
      </c>
      <c r="B8162" s="1" t="n">
        <v>45093</v>
      </c>
      <c r="C8162" s="1" t="n">
        <v>45715</v>
      </c>
      <c r="D8162" t="inlineStr">
        <is>
          <t>KALMAR LÄN</t>
        </is>
      </c>
      <c r="E8162" t="inlineStr">
        <is>
          <t>VÄSTERVIK</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26707-2023</t>
        </is>
      </c>
      <c r="B8163" s="1" t="n">
        <v>45093</v>
      </c>
      <c r="C8163" s="1" t="n">
        <v>45715</v>
      </c>
      <c r="D8163" t="inlineStr">
        <is>
          <t>KALMAR LÄN</t>
        </is>
      </c>
      <c r="E8163" t="inlineStr">
        <is>
          <t>TORSÅS</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26711-2023</t>
        </is>
      </c>
      <c r="B8164" s="1" t="n">
        <v>45093</v>
      </c>
      <c r="C8164" s="1" t="n">
        <v>45715</v>
      </c>
      <c r="D8164" t="inlineStr">
        <is>
          <t>KALMAR LÄN</t>
        </is>
      </c>
      <c r="E8164" t="inlineStr">
        <is>
          <t>TORSÅS</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26729-2023</t>
        </is>
      </c>
      <c r="B8165" s="1" t="n">
        <v>45093</v>
      </c>
      <c r="C8165" s="1" t="n">
        <v>45715</v>
      </c>
      <c r="D8165" t="inlineStr">
        <is>
          <t>KALMAR LÄN</t>
        </is>
      </c>
      <c r="E8165" t="inlineStr">
        <is>
          <t>NYBRO</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26770-2023</t>
        </is>
      </c>
      <c r="B8166" s="1" t="n">
        <v>45093</v>
      </c>
      <c r="C8166" s="1" t="n">
        <v>45715</v>
      </c>
      <c r="D8166" t="inlineStr">
        <is>
          <t>KALMAR LÄN</t>
        </is>
      </c>
      <c r="E8166" t="inlineStr">
        <is>
          <t>VÄSTERVIK</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26775-2023</t>
        </is>
      </c>
      <c r="B8167" s="1" t="n">
        <v>45093</v>
      </c>
      <c r="C8167" s="1" t="n">
        <v>45715</v>
      </c>
      <c r="D8167" t="inlineStr">
        <is>
          <t>KALMAR LÄN</t>
        </is>
      </c>
      <c r="E8167" t="inlineStr">
        <is>
          <t>VÄSTERVIK</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26859-2023</t>
        </is>
      </c>
      <c r="B8168" s="1" t="n">
        <v>45093</v>
      </c>
      <c r="C8168" s="1" t="n">
        <v>45715</v>
      </c>
      <c r="D8168" t="inlineStr">
        <is>
          <t>KALMAR LÄN</t>
        </is>
      </c>
      <c r="E8168" t="inlineStr">
        <is>
          <t>NYBRO</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26863-2023</t>
        </is>
      </c>
      <c r="B8169" s="1" t="n">
        <v>45093</v>
      </c>
      <c r="C8169" s="1" t="n">
        <v>45715</v>
      </c>
      <c r="D8169" t="inlineStr">
        <is>
          <t>KALMAR LÄN</t>
        </is>
      </c>
      <c r="E8169" t="inlineStr">
        <is>
          <t>NYBRO</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26907-2023</t>
        </is>
      </c>
      <c r="B8170" s="1" t="n">
        <v>45093</v>
      </c>
      <c r="C8170" s="1" t="n">
        <v>45715</v>
      </c>
      <c r="D8170" t="inlineStr">
        <is>
          <t>KALMAR LÄN</t>
        </is>
      </c>
      <c r="E8170" t="inlineStr">
        <is>
          <t>HÖGSBY</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26922-2023</t>
        </is>
      </c>
      <c r="B8171" s="1" t="n">
        <v>45093</v>
      </c>
      <c r="C8171" s="1" t="n">
        <v>45715</v>
      </c>
      <c r="D8171" t="inlineStr">
        <is>
          <t>KALMAR LÄN</t>
        </is>
      </c>
      <c r="E8171" t="inlineStr">
        <is>
          <t>HULTSFRED</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26925-2023</t>
        </is>
      </c>
      <c r="B8172" s="1" t="n">
        <v>45093</v>
      </c>
      <c r="C8172" s="1" t="n">
        <v>45715</v>
      </c>
      <c r="D8172" t="inlineStr">
        <is>
          <t>KALMAR LÄN</t>
        </is>
      </c>
      <c r="E8172" t="inlineStr">
        <is>
          <t>HÖGSBY</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26923-2023</t>
        </is>
      </c>
      <c r="B8173" s="1" t="n">
        <v>45093</v>
      </c>
      <c r="C8173" s="1" t="n">
        <v>45715</v>
      </c>
      <c r="D8173" t="inlineStr">
        <is>
          <t>KALMAR LÄN</t>
        </is>
      </c>
      <c r="E8173" t="inlineStr">
        <is>
          <t>EMMABODA</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26927-2023</t>
        </is>
      </c>
      <c r="B8174" s="1" t="n">
        <v>45093</v>
      </c>
      <c r="C8174" s="1" t="n">
        <v>45715</v>
      </c>
      <c r="D8174" t="inlineStr">
        <is>
          <t>KALMAR LÄN</t>
        </is>
      </c>
      <c r="E8174" t="inlineStr">
        <is>
          <t>HÖGSBY</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26937-2023</t>
        </is>
      </c>
      <c r="B8175" s="1" t="n">
        <v>45093</v>
      </c>
      <c r="C8175" s="1" t="n">
        <v>45715</v>
      </c>
      <c r="D8175" t="inlineStr">
        <is>
          <t>KALMAR LÄN</t>
        </is>
      </c>
      <c r="E8175" t="inlineStr">
        <is>
          <t>VIMMERBY</t>
        </is>
      </c>
      <c r="F8175" t="inlineStr">
        <is>
          <t>Sveaskog</t>
        </is>
      </c>
      <c r="G8175" t="n">
        <v>14.5</v>
      </c>
      <c r="H8175" t="n">
        <v>0</v>
      </c>
      <c r="I8175" t="n">
        <v>0</v>
      </c>
      <c r="J8175" t="n">
        <v>0</v>
      </c>
      <c r="K8175" t="n">
        <v>0</v>
      </c>
      <c r="L8175" t="n">
        <v>0</v>
      </c>
      <c r="M8175" t="n">
        <v>0</v>
      </c>
      <c r="N8175" t="n">
        <v>0</v>
      </c>
      <c r="O8175" t="n">
        <v>0</v>
      </c>
      <c r="P8175" t="n">
        <v>0</v>
      </c>
      <c r="Q8175" t="n">
        <v>0</v>
      </c>
      <c r="R8175" s="2" t="inlineStr"/>
    </row>
    <row r="8176" ht="15" customHeight="1">
      <c r="A8176" t="inlineStr">
        <is>
          <t>A 26984-2023</t>
        </is>
      </c>
      <c r="B8176" s="1" t="n">
        <v>45093</v>
      </c>
      <c r="C8176" s="1" t="n">
        <v>45715</v>
      </c>
      <c r="D8176" t="inlineStr">
        <is>
          <t>KALMAR LÄN</t>
        </is>
      </c>
      <c r="E8176" t="inlineStr">
        <is>
          <t>KALMAR</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27621-2023</t>
        </is>
      </c>
      <c r="B8177" s="1" t="n">
        <v>45093</v>
      </c>
      <c r="C8177" s="1" t="n">
        <v>45715</v>
      </c>
      <c r="D8177" t="inlineStr">
        <is>
          <t>KALMAR LÄN</t>
        </is>
      </c>
      <c r="E8177" t="inlineStr">
        <is>
          <t>HÖGSBY</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27830-2023</t>
        </is>
      </c>
      <c r="B8178" s="1" t="n">
        <v>45093</v>
      </c>
      <c r="C8178" s="1" t="n">
        <v>45715</v>
      </c>
      <c r="D8178" t="inlineStr">
        <is>
          <t>KALMAR LÄN</t>
        </is>
      </c>
      <c r="E8178" t="inlineStr">
        <is>
          <t>HÖGSBY</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27916-2023</t>
        </is>
      </c>
      <c r="B8179" s="1" t="n">
        <v>45093</v>
      </c>
      <c r="C8179" s="1" t="n">
        <v>45715</v>
      </c>
      <c r="D8179" t="inlineStr">
        <is>
          <t>KALMAR LÄN</t>
        </is>
      </c>
      <c r="E8179" t="inlineStr">
        <is>
          <t>HÖGSBY</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27028-2023</t>
        </is>
      </c>
      <c r="B8180" s="1" t="n">
        <v>45095</v>
      </c>
      <c r="C8180" s="1" t="n">
        <v>45715</v>
      </c>
      <c r="D8180" t="inlineStr">
        <is>
          <t>KALMAR LÄN</t>
        </is>
      </c>
      <c r="E8180" t="inlineStr">
        <is>
          <t>EMMABODA</t>
        </is>
      </c>
      <c r="G8180" t="n">
        <v>11.3</v>
      </c>
      <c r="H8180" t="n">
        <v>0</v>
      </c>
      <c r="I8180" t="n">
        <v>0</v>
      </c>
      <c r="J8180" t="n">
        <v>0</v>
      </c>
      <c r="K8180" t="n">
        <v>0</v>
      </c>
      <c r="L8180" t="n">
        <v>0</v>
      </c>
      <c r="M8180" t="n">
        <v>0</v>
      </c>
      <c r="N8180" t="n">
        <v>0</v>
      </c>
      <c r="O8180" t="n">
        <v>0</v>
      </c>
      <c r="P8180" t="n">
        <v>0</v>
      </c>
      <c r="Q8180" t="n">
        <v>0</v>
      </c>
      <c r="R8180" s="2" t="inlineStr"/>
    </row>
    <row r="8181" ht="15" customHeight="1">
      <c r="A8181" t="inlineStr">
        <is>
          <t>A 27027-2023</t>
        </is>
      </c>
      <c r="B8181" s="1" t="n">
        <v>45095</v>
      </c>
      <c r="C8181" s="1" t="n">
        <v>45715</v>
      </c>
      <c r="D8181" t="inlineStr">
        <is>
          <t>KALMAR LÄN</t>
        </is>
      </c>
      <c r="E8181" t="inlineStr">
        <is>
          <t>NYBRO</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27098-2023</t>
        </is>
      </c>
      <c r="B8182" s="1" t="n">
        <v>45096</v>
      </c>
      <c r="C8182" s="1" t="n">
        <v>45715</v>
      </c>
      <c r="D8182" t="inlineStr">
        <is>
          <t>KALMAR LÄN</t>
        </is>
      </c>
      <c r="E8182" t="inlineStr">
        <is>
          <t>OSKARSHAMN</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27101-2023</t>
        </is>
      </c>
      <c r="B8183" s="1" t="n">
        <v>45096</v>
      </c>
      <c r="C8183" s="1" t="n">
        <v>45715</v>
      </c>
      <c r="D8183" t="inlineStr">
        <is>
          <t>KALMAR LÄN</t>
        </is>
      </c>
      <c r="E8183" t="inlineStr">
        <is>
          <t>NYBRO</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27109-2023</t>
        </is>
      </c>
      <c r="B8184" s="1" t="n">
        <v>45096</v>
      </c>
      <c r="C8184" s="1" t="n">
        <v>45715</v>
      </c>
      <c r="D8184" t="inlineStr">
        <is>
          <t>KALMAR LÄN</t>
        </is>
      </c>
      <c r="E8184" t="inlineStr">
        <is>
          <t>KALMAR</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27122-2023</t>
        </is>
      </c>
      <c r="B8185" s="1" t="n">
        <v>45096</v>
      </c>
      <c r="C8185" s="1" t="n">
        <v>45715</v>
      </c>
      <c r="D8185" t="inlineStr">
        <is>
          <t>KALMAR LÄN</t>
        </is>
      </c>
      <c r="E8185" t="inlineStr">
        <is>
          <t>VIMMERBY</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27138-2023</t>
        </is>
      </c>
      <c r="B8186" s="1" t="n">
        <v>45096</v>
      </c>
      <c r="C8186" s="1" t="n">
        <v>45715</v>
      </c>
      <c r="D8186" t="inlineStr">
        <is>
          <t>KALMAR LÄN</t>
        </is>
      </c>
      <c r="E8186" t="inlineStr">
        <is>
          <t>VIMMERBY</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27143-2023</t>
        </is>
      </c>
      <c r="B8187" s="1" t="n">
        <v>45096</v>
      </c>
      <c r="C8187" s="1" t="n">
        <v>45715</v>
      </c>
      <c r="D8187" t="inlineStr">
        <is>
          <t>KALMAR LÄN</t>
        </is>
      </c>
      <c r="E8187" t="inlineStr">
        <is>
          <t>OSKARSHAMN</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27253-2023</t>
        </is>
      </c>
      <c r="B8188" s="1" t="n">
        <v>45096</v>
      </c>
      <c r="C8188" s="1" t="n">
        <v>45715</v>
      </c>
      <c r="D8188" t="inlineStr">
        <is>
          <t>KALMAR LÄN</t>
        </is>
      </c>
      <c r="E8188" t="inlineStr">
        <is>
          <t>NYBRO</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27275-2023</t>
        </is>
      </c>
      <c r="B8189" s="1" t="n">
        <v>45096</v>
      </c>
      <c r="C8189" s="1" t="n">
        <v>45715</v>
      </c>
      <c r="D8189" t="inlineStr">
        <is>
          <t>KALMAR LÄN</t>
        </is>
      </c>
      <c r="E8189" t="inlineStr">
        <is>
          <t>TORSÅS</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27268-2023</t>
        </is>
      </c>
      <c r="B8190" s="1" t="n">
        <v>45096</v>
      </c>
      <c r="C8190" s="1" t="n">
        <v>45715</v>
      </c>
      <c r="D8190" t="inlineStr">
        <is>
          <t>KALMAR LÄN</t>
        </is>
      </c>
      <c r="E8190" t="inlineStr">
        <is>
          <t>TORSÅS</t>
        </is>
      </c>
      <c r="G8190" t="n">
        <v>7.4</v>
      </c>
      <c r="H8190" t="n">
        <v>0</v>
      </c>
      <c r="I8190" t="n">
        <v>0</v>
      </c>
      <c r="J8190" t="n">
        <v>0</v>
      </c>
      <c r="K8190" t="n">
        <v>0</v>
      </c>
      <c r="L8190" t="n">
        <v>0</v>
      </c>
      <c r="M8190" t="n">
        <v>0</v>
      </c>
      <c r="N8190" t="n">
        <v>0</v>
      </c>
      <c r="O8190" t="n">
        <v>0</v>
      </c>
      <c r="P8190" t="n">
        <v>0</v>
      </c>
      <c r="Q8190" t="n">
        <v>0</v>
      </c>
      <c r="R8190" s="2" t="inlineStr"/>
    </row>
    <row r="8191" ht="15" customHeight="1">
      <c r="A8191" t="inlineStr">
        <is>
          <t>A 27145-2023</t>
        </is>
      </c>
      <c r="B8191" s="1" t="n">
        <v>45096</v>
      </c>
      <c r="C8191" s="1" t="n">
        <v>45715</v>
      </c>
      <c r="D8191" t="inlineStr">
        <is>
          <t>KALMAR LÄN</t>
        </is>
      </c>
      <c r="E8191" t="inlineStr">
        <is>
          <t>NYBRO</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27292-2023</t>
        </is>
      </c>
      <c r="B8192" s="1" t="n">
        <v>45096</v>
      </c>
      <c r="C8192" s="1" t="n">
        <v>45715</v>
      </c>
      <c r="D8192" t="inlineStr">
        <is>
          <t>KALMAR LÄN</t>
        </is>
      </c>
      <c r="E8192" t="inlineStr">
        <is>
          <t>KALMAR</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27330-2023</t>
        </is>
      </c>
      <c r="B8193" s="1" t="n">
        <v>45096</v>
      </c>
      <c r="C8193" s="1" t="n">
        <v>45715</v>
      </c>
      <c r="D8193" t="inlineStr">
        <is>
          <t>KALMAR LÄN</t>
        </is>
      </c>
      <c r="E8193" t="inlineStr">
        <is>
          <t>NYBRO</t>
        </is>
      </c>
      <c r="G8193" t="n">
        <v>7.7</v>
      </c>
      <c r="H8193" t="n">
        <v>0</v>
      </c>
      <c r="I8193" t="n">
        <v>0</v>
      </c>
      <c r="J8193" t="n">
        <v>0</v>
      </c>
      <c r="K8193" t="n">
        <v>0</v>
      </c>
      <c r="L8193" t="n">
        <v>0</v>
      </c>
      <c r="M8193" t="n">
        <v>0</v>
      </c>
      <c r="N8193" t="n">
        <v>0</v>
      </c>
      <c r="O8193" t="n">
        <v>0</v>
      </c>
      <c r="P8193" t="n">
        <v>0</v>
      </c>
      <c r="Q8193" t="n">
        <v>0</v>
      </c>
      <c r="R8193" s="2" t="inlineStr"/>
    </row>
    <row r="8194" ht="15" customHeight="1">
      <c r="A8194" t="inlineStr">
        <is>
          <t>A 27305-2023</t>
        </is>
      </c>
      <c r="B8194" s="1" t="n">
        <v>45096</v>
      </c>
      <c r="C8194" s="1" t="n">
        <v>45715</v>
      </c>
      <c r="D8194" t="inlineStr">
        <is>
          <t>KALMAR LÄN</t>
        </is>
      </c>
      <c r="E8194" t="inlineStr">
        <is>
          <t>MÖNSTERÅS</t>
        </is>
      </c>
      <c r="G8194" t="n">
        <v>6.5</v>
      </c>
      <c r="H8194" t="n">
        <v>0</v>
      </c>
      <c r="I8194" t="n">
        <v>0</v>
      </c>
      <c r="J8194" t="n">
        <v>0</v>
      </c>
      <c r="K8194" t="n">
        <v>0</v>
      </c>
      <c r="L8194" t="n">
        <v>0</v>
      </c>
      <c r="M8194" t="n">
        <v>0</v>
      </c>
      <c r="N8194" t="n">
        <v>0</v>
      </c>
      <c r="O8194" t="n">
        <v>0</v>
      </c>
      <c r="P8194" t="n">
        <v>0</v>
      </c>
      <c r="Q8194" t="n">
        <v>0</v>
      </c>
      <c r="R8194" s="2" t="inlineStr"/>
    </row>
    <row r="8195" ht="15" customHeight="1">
      <c r="A8195" t="inlineStr">
        <is>
          <t>A 27321-2023</t>
        </is>
      </c>
      <c r="B8195" s="1" t="n">
        <v>45096</v>
      </c>
      <c r="C8195" s="1" t="n">
        <v>45715</v>
      </c>
      <c r="D8195" t="inlineStr">
        <is>
          <t>KALMAR LÄN</t>
        </is>
      </c>
      <c r="E8195" t="inlineStr">
        <is>
          <t>HÖGSBY</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27340-2023</t>
        </is>
      </c>
      <c r="B8196" s="1" t="n">
        <v>45096</v>
      </c>
      <c r="C8196" s="1" t="n">
        <v>45715</v>
      </c>
      <c r="D8196" t="inlineStr">
        <is>
          <t>KALMAR LÄN</t>
        </is>
      </c>
      <c r="E8196" t="inlineStr">
        <is>
          <t>NYBRO</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28674-2023</t>
        </is>
      </c>
      <c r="B8197" s="1" t="n">
        <v>45096</v>
      </c>
      <c r="C8197" s="1" t="n">
        <v>45715</v>
      </c>
      <c r="D8197" t="inlineStr">
        <is>
          <t>KALMAR LÄN</t>
        </is>
      </c>
      <c r="E8197" t="inlineStr">
        <is>
          <t>MÖNSTERÅS</t>
        </is>
      </c>
      <c r="G8197" t="n">
        <v>4.9</v>
      </c>
      <c r="H8197" t="n">
        <v>0</v>
      </c>
      <c r="I8197" t="n">
        <v>0</v>
      </c>
      <c r="J8197" t="n">
        <v>0</v>
      </c>
      <c r="K8197" t="n">
        <v>0</v>
      </c>
      <c r="L8197" t="n">
        <v>0</v>
      </c>
      <c r="M8197" t="n">
        <v>0</v>
      </c>
      <c r="N8197" t="n">
        <v>0</v>
      </c>
      <c r="O8197" t="n">
        <v>0</v>
      </c>
      <c r="P8197" t="n">
        <v>0</v>
      </c>
      <c r="Q8197" t="n">
        <v>0</v>
      </c>
      <c r="R8197" s="2" t="inlineStr"/>
    </row>
    <row r="8198" ht="15" customHeight="1">
      <c r="A8198" t="inlineStr">
        <is>
          <t>A 27282-2023</t>
        </is>
      </c>
      <c r="B8198" s="1" t="n">
        <v>45096</v>
      </c>
      <c r="C8198" s="1" t="n">
        <v>45715</v>
      </c>
      <c r="D8198" t="inlineStr">
        <is>
          <t>KALMAR LÄN</t>
        </is>
      </c>
      <c r="E8198" t="inlineStr">
        <is>
          <t>KALMAR</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27331-2023</t>
        </is>
      </c>
      <c r="B8199" s="1" t="n">
        <v>45096</v>
      </c>
      <c r="C8199" s="1" t="n">
        <v>45715</v>
      </c>
      <c r="D8199" t="inlineStr">
        <is>
          <t>KALMAR LÄN</t>
        </is>
      </c>
      <c r="E8199" t="inlineStr">
        <is>
          <t>HÖGSBY</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27347-2023</t>
        </is>
      </c>
      <c r="B8200" s="1" t="n">
        <v>45096</v>
      </c>
      <c r="C8200" s="1" t="n">
        <v>45715</v>
      </c>
      <c r="D8200" t="inlineStr">
        <is>
          <t>KALMAR LÄN</t>
        </is>
      </c>
      <c r="E8200" t="inlineStr">
        <is>
          <t>MÖNSTERÅS</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27351-2023</t>
        </is>
      </c>
      <c r="B8201" s="1" t="n">
        <v>45096</v>
      </c>
      <c r="C8201" s="1" t="n">
        <v>45715</v>
      </c>
      <c r="D8201" t="inlineStr">
        <is>
          <t>KALMAR LÄN</t>
        </is>
      </c>
      <c r="E8201" t="inlineStr">
        <is>
          <t>HULTSFRED</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27339-2023</t>
        </is>
      </c>
      <c r="B8202" s="1" t="n">
        <v>45096</v>
      </c>
      <c r="C8202" s="1" t="n">
        <v>45715</v>
      </c>
      <c r="D8202" t="inlineStr">
        <is>
          <t>KALMAR LÄN</t>
        </is>
      </c>
      <c r="E8202" t="inlineStr">
        <is>
          <t>NYBRO</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28149-2023</t>
        </is>
      </c>
      <c r="B8203" s="1" t="n">
        <v>45096</v>
      </c>
      <c r="C8203" s="1" t="n">
        <v>45715</v>
      </c>
      <c r="D8203" t="inlineStr">
        <is>
          <t>KALMAR LÄN</t>
        </is>
      </c>
      <c r="E8203" t="inlineStr">
        <is>
          <t>NYBRO</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28988-2023</t>
        </is>
      </c>
      <c r="B8204" s="1" t="n">
        <v>45096</v>
      </c>
      <c r="C8204" s="1" t="n">
        <v>45715</v>
      </c>
      <c r="D8204" t="inlineStr">
        <is>
          <t>KALMAR LÄN</t>
        </is>
      </c>
      <c r="E8204" t="inlineStr">
        <is>
          <t>VIMMERBY</t>
        </is>
      </c>
      <c r="G8204" t="n">
        <v>6</v>
      </c>
      <c r="H8204" t="n">
        <v>0</v>
      </c>
      <c r="I8204" t="n">
        <v>0</v>
      </c>
      <c r="J8204" t="n">
        <v>0</v>
      </c>
      <c r="K8204" t="n">
        <v>0</v>
      </c>
      <c r="L8204" t="n">
        <v>0</v>
      </c>
      <c r="M8204" t="n">
        <v>0</v>
      </c>
      <c r="N8204" t="n">
        <v>0</v>
      </c>
      <c r="O8204" t="n">
        <v>0</v>
      </c>
      <c r="P8204" t="n">
        <v>0</v>
      </c>
      <c r="Q8204" t="n">
        <v>0</v>
      </c>
      <c r="R8204" s="2" t="inlineStr"/>
    </row>
    <row r="8205" ht="15" customHeight="1">
      <c r="A8205" t="inlineStr">
        <is>
          <t>A 28162-2023</t>
        </is>
      </c>
      <c r="B8205" s="1" t="n">
        <v>45096</v>
      </c>
      <c r="C8205" s="1" t="n">
        <v>45715</v>
      </c>
      <c r="D8205" t="inlineStr">
        <is>
          <t>KALMAR LÄN</t>
        </is>
      </c>
      <c r="E8205" t="inlineStr">
        <is>
          <t>NYBRO</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27486-2023</t>
        </is>
      </c>
      <c r="B8206" s="1" t="n">
        <v>45097</v>
      </c>
      <c r="C8206" s="1" t="n">
        <v>45715</v>
      </c>
      <c r="D8206" t="inlineStr">
        <is>
          <t>KALMAR LÄN</t>
        </is>
      </c>
      <c r="E8206" t="inlineStr">
        <is>
          <t>OSKARSHAMN</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27519-2023</t>
        </is>
      </c>
      <c r="B8207" s="1" t="n">
        <v>45097</v>
      </c>
      <c r="C8207" s="1" t="n">
        <v>45715</v>
      </c>
      <c r="D8207" t="inlineStr">
        <is>
          <t>KALMAR LÄN</t>
        </is>
      </c>
      <c r="E8207" t="inlineStr">
        <is>
          <t>EMMABODA</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27565-2023</t>
        </is>
      </c>
      <c r="B8208" s="1" t="n">
        <v>45097</v>
      </c>
      <c r="C8208" s="1" t="n">
        <v>45715</v>
      </c>
      <c r="D8208" t="inlineStr">
        <is>
          <t>KALMAR LÄN</t>
        </is>
      </c>
      <c r="E8208" t="inlineStr">
        <is>
          <t>KALMAR</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27471-2023</t>
        </is>
      </c>
      <c r="B8209" s="1" t="n">
        <v>45097</v>
      </c>
      <c r="C8209" s="1" t="n">
        <v>45715</v>
      </c>
      <c r="D8209" t="inlineStr">
        <is>
          <t>KALMAR LÄN</t>
        </is>
      </c>
      <c r="E8209" t="inlineStr">
        <is>
          <t>KALMAR</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27479-2023</t>
        </is>
      </c>
      <c r="B8210" s="1" t="n">
        <v>45097</v>
      </c>
      <c r="C8210" s="1" t="n">
        <v>45715</v>
      </c>
      <c r="D8210" t="inlineStr">
        <is>
          <t>KALMAR LÄN</t>
        </is>
      </c>
      <c r="E8210" t="inlineStr">
        <is>
          <t>OSKARSHAMN</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27485-2023</t>
        </is>
      </c>
      <c r="B8211" s="1" t="n">
        <v>45097</v>
      </c>
      <c r="C8211" s="1" t="n">
        <v>45715</v>
      </c>
      <c r="D8211" t="inlineStr">
        <is>
          <t>KALMAR LÄN</t>
        </is>
      </c>
      <c r="E8211" t="inlineStr">
        <is>
          <t>VÄSTERVIK</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27491-2023</t>
        </is>
      </c>
      <c r="B8212" s="1" t="n">
        <v>45097</v>
      </c>
      <c r="C8212" s="1" t="n">
        <v>45715</v>
      </c>
      <c r="D8212" t="inlineStr">
        <is>
          <t>KALMAR LÄN</t>
        </is>
      </c>
      <c r="E8212" t="inlineStr">
        <is>
          <t>VÄSTERVIK</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27556-2023</t>
        </is>
      </c>
      <c r="B8213" s="1" t="n">
        <v>45097</v>
      </c>
      <c r="C8213" s="1" t="n">
        <v>45715</v>
      </c>
      <c r="D8213" t="inlineStr">
        <is>
          <t>KALMAR LÄN</t>
        </is>
      </c>
      <c r="E8213" t="inlineStr">
        <is>
          <t>KALMAR</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27560-2023</t>
        </is>
      </c>
      <c r="B8214" s="1" t="n">
        <v>45097</v>
      </c>
      <c r="C8214" s="1" t="n">
        <v>45715</v>
      </c>
      <c r="D8214" t="inlineStr">
        <is>
          <t>KALMAR LÄN</t>
        </is>
      </c>
      <c r="E8214" t="inlineStr">
        <is>
          <t>EMMABODA</t>
        </is>
      </c>
      <c r="G8214" t="n">
        <v>7.1</v>
      </c>
      <c r="H8214" t="n">
        <v>0</v>
      </c>
      <c r="I8214" t="n">
        <v>0</v>
      </c>
      <c r="J8214" t="n">
        <v>0</v>
      </c>
      <c r="K8214" t="n">
        <v>0</v>
      </c>
      <c r="L8214" t="n">
        <v>0</v>
      </c>
      <c r="M8214" t="n">
        <v>0</v>
      </c>
      <c r="N8214" t="n">
        <v>0</v>
      </c>
      <c r="O8214" t="n">
        <v>0</v>
      </c>
      <c r="P8214" t="n">
        <v>0</v>
      </c>
      <c r="Q8214" t="n">
        <v>0</v>
      </c>
      <c r="R8214" s="2" t="inlineStr"/>
    </row>
    <row r="8215" ht="15" customHeight="1">
      <c r="A8215" t="inlineStr">
        <is>
          <t>A 27443-2023</t>
        </is>
      </c>
      <c r="B8215" s="1" t="n">
        <v>45097</v>
      </c>
      <c r="C8215" s="1" t="n">
        <v>45715</v>
      </c>
      <c r="D8215" t="inlineStr">
        <is>
          <t>KALMAR LÄN</t>
        </is>
      </c>
      <c r="E8215" t="inlineStr">
        <is>
          <t>VIMMERBY</t>
        </is>
      </c>
      <c r="F8215" t="inlineStr">
        <is>
          <t>Övriga Aktiebolag</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27521-2023</t>
        </is>
      </c>
      <c r="B8216" s="1" t="n">
        <v>45097</v>
      </c>
      <c r="C8216" s="1" t="n">
        <v>45715</v>
      </c>
      <c r="D8216" t="inlineStr">
        <is>
          <t>KALMAR LÄN</t>
        </is>
      </c>
      <c r="E8216" t="inlineStr">
        <is>
          <t>EMMABODA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27610-2023</t>
        </is>
      </c>
      <c r="B8217" s="1" t="n">
        <v>45097</v>
      </c>
      <c r="C8217" s="1" t="n">
        <v>45715</v>
      </c>
      <c r="D8217" t="inlineStr">
        <is>
          <t>KALMAR LÄN</t>
        </is>
      </c>
      <c r="E8217" t="inlineStr">
        <is>
          <t>MÖNSTERÅS</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27618-2023</t>
        </is>
      </c>
      <c r="B8218" s="1" t="n">
        <v>45097</v>
      </c>
      <c r="C8218" s="1" t="n">
        <v>45715</v>
      </c>
      <c r="D8218" t="inlineStr">
        <is>
          <t>KALMAR LÄN</t>
        </is>
      </c>
      <c r="E8218" t="inlineStr">
        <is>
          <t>MÖNSTERÅS</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27600-2023</t>
        </is>
      </c>
      <c r="B8219" s="1" t="n">
        <v>45097</v>
      </c>
      <c r="C8219" s="1" t="n">
        <v>45715</v>
      </c>
      <c r="D8219" t="inlineStr">
        <is>
          <t>KALMAR LÄN</t>
        </is>
      </c>
      <c r="E8219" t="inlineStr">
        <is>
          <t>KALMAR</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27482-2023</t>
        </is>
      </c>
      <c r="B8220" s="1" t="n">
        <v>45097</v>
      </c>
      <c r="C8220" s="1" t="n">
        <v>45715</v>
      </c>
      <c r="D8220" t="inlineStr">
        <is>
          <t>KALMAR LÄN</t>
        </is>
      </c>
      <c r="E8220" t="inlineStr">
        <is>
          <t>VÄSTERVIK</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27629-2023</t>
        </is>
      </c>
      <c r="B8221" s="1" t="n">
        <v>45097</v>
      </c>
      <c r="C8221" s="1" t="n">
        <v>45715</v>
      </c>
      <c r="D8221" t="inlineStr">
        <is>
          <t>KALMAR LÄN</t>
        </is>
      </c>
      <c r="E8221" t="inlineStr">
        <is>
          <t>MÖNSTERÅS</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27633-2023</t>
        </is>
      </c>
      <c r="B8222" s="1" t="n">
        <v>45097</v>
      </c>
      <c r="C8222" s="1" t="n">
        <v>45715</v>
      </c>
      <c r="D8222" t="inlineStr">
        <is>
          <t>KALMAR LÄN</t>
        </is>
      </c>
      <c r="E8222" t="inlineStr">
        <is>
          <t>NYBRO</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27662-2023</t>
        </is>
      </c>
      <c r="B8223" s="1" t="n">
        <v>45097</v>
      </c>
      <c r="C8223" s="1" t="n">
        <v>45715</v>
      </c>
      <c r="D8223" t="inlineStr">
        <is>
          <t>KALMAR LÄN</t>
        </is>
      </c>
      <c r="E8223" t="inlineStr">
        <is>
          <t>VÄSTERVIK</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27705-2023</t>
        </is>
      </c>
      <c r="B8224" s="1" t="n">
        <v>45098</v>
      </c>
      <c r="C8224" s="1" t="n">
        <v>45715</v>
      </c>
      <c r="D8224" t="inlineStr">
        <is>
          <t>KALMAR LÄN</t>
        </is>
      </c>
      <c r="E8224" t="inlineStr">
        <is>
          <t>VIMMERBY</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27776-2023</t>
        </is>
      </c>
      <c r="B8225" s="1" t="n">
        <v>45098</v>
      </c>
      <c r="C8225" s="1" t="n">
        <v>45715</v>
      </c>
      <c r="D8225" t="inlineStr">
        <is>
          <t>KALMAR LÄN</t>
        </is>
      </c>
      <c r="E8225" t="inlineStr">
        <is>
          <t>TORSÅS</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27882-2023</t>
        </is>
      </c>
      <c r="B8226" s="1" t="n">
        <v>45098</v>
      </c>
      <c r="C8226" s="1" t="n">
        <v>45715</v>
      </c>
      <c r="D8226" t="inlineStr">
        <is>
          <t>KALMAR LÄN</t>
        </is>
      </c>
      <c r="E8226" t="inlineStr">
        <is>
          <t>OSKARSHAMN</t>
        </is>
      </c>
      <c r="G8226" t="n">
        <v>8.1</v>
      </c>
      <c r="H8226" t="n">
        <v>0</v>
      </c>
      <c r="I8226" t="n">
        <v>0</v>
      </c>
      <c r="J8226" t="n">
        <v>0</v>
      </c>
      <c r="K8226" t="n">
        <v>0</v>
      </c>
      <c r="L8226" t="n">
        <v>0</v>
      </c>
      <c r="M8226" t="n">
        <v>0</v>
      </c>
      <c r="N8226" t="n">
        <v>0</v>
      </c>
      <c r="O8226" t="n">
        <v>0</v>
      </c>
      <c r="P8226" t="n">
        <v>0</v>
      </c>
      <c r="Q8226" t="n">
        <v>0</v>
      </c>
      <c r="R8226" s="2" t="inlineStr"/>
    </row>
    <row r="8227" ht="15" customHeight="1">
      <c r="A8227" t="inlineStr">
        <is>
          <t>A 27907-2023</t>
        </is>
      </c>
      <c r="B8227" s="1" t="n">
        <v>45098</v>
      </c>
      <c r="C8227" s="1" t="n">
        <v>45715</v>
      </c>
      <c r="D8227" t="inlineStr">
        <is>
          <t>KALMAR LÄN</t>
        </is>
      </c>
      <c r="E8227" t="inlineStr">
        <is>
          <t>HÖGSBY</t>
        </is>
      </c>
      <c r="G8227" t="n">
        <v>6.5</v>
      </c>
      <c r="H8227" t="n">
        <v>0</v>
      </c>
      <c r="I8227" t="n">
        <v>0</v>
      </c>
      <c r="J8227" t="n">
        <v>0</v>
      </c>
      <c r="K8227" t="n">
        <v>0</v>
      </c>
      <c r="L8227" t="n">
        <v>0</v>
      </c>
      <c r="M8227" t="n">
        <v>0</v>
      </c>
      <c r="N8227" t="n">
        <v>0</v>
      </c>
      <c r="O8227" t="n">
        <v>0</v>
      </c>
      <c r="P8227" t="n">
        <v>0</v>
      </c>
      <c r="Q8227" t="n">
        <v>0</v>
      </c>
      <c r="R8227" s="2" t="inlineStr"/>
    </row>
    <row r="8228" ht="15" customHeight="1">
      <c r="A8228" t="inlineStr">
        <is>
          <t>A 27771-2023</t>
        </is>
      </c>
      <c r="B8228" s="1" t="n">
        <v>45098</v>
      </c>
      <c r="C8228" s="1" t="n">
        <v>45715</v>
      </c>
      <c r="D8228" t="inlineStr">
        <is>
          <t>KALMAR LÄN</t>
        </is>
      </c>
      <c r="E8228" t="inlineStr">
        <is>
          <t>TORSÅS</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27781-2023</t>
        </is>
      </c>
      <c r="B8229" s="1" t="n">
        <v>45098</v>
      </c>
      <c r="C8229" s="1" t="n">
        <v>45715</v>
      </c>
      <c r="D8229" t="inlineStr">
        <is>
          <t>KALMAR LÄN</t>
        </is>
      </c>
      <c r="E8229" t="inlineStr">
        <is>
          <t>OSKARSHAMN</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27827-2023</t>
        </is>
      </c>
      <c r="B8230" s="1" t="n">
        <v>45098</v>
      </c>
      <c r="C8230" s="1" t="n">
        <v>45715</v>
      </c>
      <c r="D8230" t="inlineStr">
        <is>
          <t>KALMAR LÄN</t>
        </is>
      </c>
      <c r="E8230" t="inlineStr">
        <is>
          <t>OSKARSHAMN</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27906-2023</t>
        </is>
      </c>
      <c r="B8231" s="1" t="n">
        <v>45098</v>
      </c>
      <c r="C8231" s="1" t="n">
        <v>45715</v>
      </c>
      <c r="D8231" t="inlineStr">
        <is>
          <t>KALMAR LÄN</t>
        </is>
      </c>
      <c r="E8231" t="inlineStr">
        <is>
          <t>OSKARSHAMN</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27909-2023</t>
        </is>
      </c>
      <c r="B8232" s="1" t="n">
        <v>45098</v>
      </c>
      <c r="C8232" s="1" t="n">
        <v>45715</v>
      </c>
      <c r="D8232" t="inlineStr">
        <is>
          <t>KALMAR LÄN</t>
        </is>
      </c>
      <c r="E8232" t="inlineStr">
        <is>
          <t>HÖGSBY</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27919-2023</t>
        </is>
      </c>
      <c r="B8233" s="1" t="n">
        <v>45098</v>
      </c>
      <c r="C8233" s="1" t="n">
        <v>45715</v>
      </c>
      <c r="D8233" t="inlineStr">
        <is>
          <t>KALMAR LÄN</t>
        </is>
      </c>
      <c r="E8233" t="inlineStr">
        <is>
          <t>OSKARSHAMN</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27997-2023</t>
        </is>
      </c>
      <c r="B8234" s="1" t="n">
        <v>45098</v>
      </c>
      <c r="C8234" s="1" t="n">
        <v>45715</v>
      </c>
      <c r="D8234" t="inlineStr">
        <is>
          <t>KALMAR LÄN</t>
        </is>
      </c>
      <c r="E8234" t="inlineStr">
        <is>
          <t>NYBRO</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27950-2023</t>
        </is>
      </c>
      <c r="B8235" s="1" t="n">
        <v>45098</v>
      </c>
      <c r="C8235" s="1" t="n">
        <v>45715</v>
      </c>
      <c r="D8235" t="inlineStr">
        <is>
          <t>KALMAR LÄN</t>
        </is>
      </c>
      <c r="E8235" t="inlineStr">
        <is>
          <t>MÖNSTERÅS</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27996-2023</t>
        </is>
      </c>
      <c r="B8236" s="1" t="n">
        <v>45098</v>
      </c>
      <c r="C8236" s="1" t="n">
        <v>45715</v>
      </c>
      <c r="D8236" t="inlineStr">
        <is>
          <t>KALMAR LÄN</t>
        </is>
      </c>
      <c r="E8236" t="inlineStr">
        <is>
          <t>EMMABODA</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29290-2023</t>
        </is>
      </c>
      <c r="B8237" s="1" t="n">
        <v>45098</v>
      </c>
      <c r="C8237" s="1" t="n">
        <v>45715</v>
      </c>
      <c r="D8237" t="inlineStr">
        <is>
          <t>KALMAR LÄN</t>
        </is>
      </c>
      <c r="E8237" t="inlineStr">
        <is>
          <t>NYBRO</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29289-2023</t>
        </is>
      </c>
      <c r="B8238" s="1" t="n">
        <v>45098</v>
      </c>
      <c r="C8238" s="1" t="n">
        <v>45715</v>
      </c>
      <c r="D8238" t="inlineStr">
        <is>
          <t>KALMAR LÄN</t>
        </is>
      </c>
      <c r="E8238" t="inlineStr">
        <is>
          <t>NYBRO</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28076-2023</t>
        </is>
      </c>
      <c r="B8239" s="1" t="n">
        <v>45099</v>
      </c>
      <c r="C8239" s="1" t="n">
        <v>45715</v>
      </c>
      <c r="D8239" t="inlineStr">
        <is>
          <t>KALMAR LÄN</t>
        </is>
      </c>
      <c r="E8239" t="inlineStr">
        <is>
          <t>NYBRO</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28116-2023</t>
        </is>
      </c>
      <c r="B8240" s="1" t="n">
        <v>45099</v>
      </c>
      <c r="C8240" s="1" t="n">
        <v>45715</v>
      </c>
      <c r="D8240" t="inlineStr">
        <is>
          <t>KALMAR LÄN</t>
        </is>
      </c>
      <c r="E8240" t="inlineStr">
        <is>
          <t>OSKARSHAMN</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28123-2023</t>
        </is>
      </c>
      <c r="B8241" s="1" t="n">
        <v>45099</v>
      </c>
      <c r="C8241" s="1" t="n">
        <v>45715</v>
      </c>
      <c r="D8241" t="inlineStr">
        <is>
          <t>KALMAR LÄN</t>
        </is>
      </c>
      <c r="E8241" t="inlineStr">
        <is>
          <t>VIMMERBY</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28159-2023</t>
        </is>
      </c>
      <c r="B8242" s="1" t="n">
        <v>45099</v>
      </c>
      <c r="C8242" s="1" t="n">
        <v>45715</v>
      </c>
      <c r="D8242" t="inlineStr">
        <is>
          <t>KALMAR LÄN</t>
        </is>
      </c>
      <c r="E8242" t="inlineStr">
        <is>
          <t>EMMABODA</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28112-2023</t>
        </is>
      </c>
      <c r="B8243" s="1" t="n">
        <v>45099</v>
      </c>
      <c r="C8243" s="1" t="n">
        <v>45715</v>
      </c>
      <c r="D8243" t="inlineStr">
        <is>
          <t>KALMAR LÄN</t>
        </is>
      </c>
      <c r="E8243" t="inlineStr">
        <is>
          <t>EMMABODA</t>
        </is>
      </c>
      <c r="F8243" t="inlineStr">
        <is>
          <t>Sveaskog</t>
        </is>
      </c>
      <c r="G8243" t="n">
        <v>6.6</v>
      </c>
      <c r="H8243" t="n">
        <v>0</v>
      </c>
      <c r="I8243" t="n">
        <v>0</v>
      </c>
      <c r="J8243" t="n">
        <v>0</v>
      </c>
      <c r="K8243" t="n">
        <v>0</v>
      </c>
      <c r="L8243" t="n">
        <v>0</v>
      </c>
      <c r="M8243" t="n">
        <v>0</v>
      </c>
      <c r="N8243" t="n">
        <v>0</v>
      </c>
      <c r="O8243" t="n">
        <v>0</v>
      </c>
      <c r="P8243" t="n">
        <v>0</v>
      </c>
      <c r="Q8243" t="n">
        <v>0</v>
      </c>
      <c r="R8243" s="2" t="inlineStr"/>
    </row>
    <row r="8244" ht="15" customHeight="1">
      <c r="A8244" t="inlineStr">
        <is>
          <t>A 28129-2023</t>
        </is>
      </c>
      <c r="B8244" s="1" t="n">
        <v>45099</v>
      </c>
      <c r="C8244" s="1" t="n">
        <v>45715</v>
      </c>
      <c r="D8244" t="inlineStr">
        <is>
          <t>KALMAR LÄN</t>
        </is>
      </c>
      <c r="E8244" t="inlineStr">
        <is>
          <t>VIMMERBY</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28182-2023</t>
        </is>
      </c>
      <c r="B8245" s="1" t="n">
        <v>45099</v>
      </c>
      <c r="C8245" s="1" t="n">
        <v>45715</v>
      </c>
      <c r="D8245" t="inlineStr">
        <is>
          <t>KALMAR LÄN</t>
        </is>
      </c>
      <c r="E8245" t="inlineStr">
        <is>
          <t>EMMABODA</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28206-2023</t>
        </is>
      </c>
      <c r="B8246" s="1" t="n">
        <v>45099</v>
      </c>
      <c r="C8246" s="1" t="n">
        <v>45715</v>
      </c>
      <c r="D8246" t="inlineStr">
        <is>
          <t>KALMAR LÄN</t>
        </is>
      </c>
      <c r="E8246" t="inlineStr">
        <is>
          <t>KALMAR</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28120-2023</t>
        </is>
      </c>
      <c r="B8247" s="1" t="n">
        <v>45099</v>
      </c>
      <c r="C8247" s="1" t="n">
        <v>45715</v>
      </c>
      <c r="D8247" t="inlineStr">
        <is>
          <t>KALMAR LÄN</t>
        </is>
      </c>
      <c r="E8247" t="inlineStr">
        <is>
          <t>OSKARSHAMN</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28215-2023</t>
        </is>
      </c>
      <c r="B8248" s="1" t="n">
        <v>45099</v>
      </c>
      <c r="C8248" s="1" t="n">
        <v>45715</v>
      </c>
      <c r="D8248" t="inlineStr">
        <is>
          <t>KALMAR LÄN</t>
        </is>
      </c>
      <c r="E8248" t="inlineStr">
        <is>
          <t>KALMAR</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28218-2023</t>
        </is>
      </c>
      <c r="B8249" s="1" t="n">
        <v>45099</v>
      </c>
      <c r="C8249" s="1" t="n">
        <v>45715</v>
      </c>
      <c r="D8249" t="inlineStr">
        <is>
          <t>KALMAR LÄN</t>
        </is>
      </c>
      <c r="E8249" t="inlineStr">
        <is>
          <t>KALMAR</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28188-2023</t>
        </is>
      </c>
      <c r="B8250" s="1" t="n">
        <v>45099</v>
      </c>
      <c r="C8250" s="1" t="n">
        <v>45715</v>
      </c>
      <c r="D8250" t="inlineStr">
        <is>
          <t>KALMAR LÄN</t>
        </is>
      </c>
      <c r="E8250" t="inlineStr">
        <is>
          <t>NYBRO</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28244-2023</t>
        </is>
      </c>
      <c r="B8251" s="1" t="n">
        <v>45099</v>
      </c>
      <c r="C8251" s="1" t="n">
        <v>45715</v>
      </c>
      <c r="D8251" t="inlineStr">
        <is>
          <t>KALMAR LÄN</t>
        </is>
      </c>
      <c r="E8251" t="inlineStr">
        <is>
          <t>HULTSFRED</t>
        </is>
      </c>
      <c r="G8251" t="n">
        <v>7.8</v>
      </c>
      <c r="H8251" t="n">
        <v>0</v>
      </c>
      <c r="I8251" t="n">
        <v>0</v>
      </c>
      <c r="J8251" t="n">
        <v>0</v>
      </c>
      <c r="K8251" t="n">
        <v>0</v>
      </c>
      <c r="L8251" t="n">
        <v>0</v>
      </c>
      <c r="M8251" t="n">
        <v>0</v>
      </c>
      <c r="N8251" t="n">
        <v>0</v>
      </c>
      <c r="O8251" t="n">
        <v>0</v>
      </c>
      <c r="P8251" t="n">
        <v>0</v>
      </c>
      <c r="Q8251" t="n">
        <v>0</v>
      </c>
      <c r="R8251" s="2" t="inlineStr"/>
    </row>
    <row r="8252" ht="15" customHeight="1">
      <c r="A8252" t="inlineStr">
        <is>
          <t>A 28299-2023</t>
        </is>
      </c>
      <c r="B8252" s="1" t="n">
        <v>45099</v>
      </c>
      <c r="C8252" s="1" t="n">
        <v>45715</v>
      </c>
      <c r="D8252" t="inlineStr">
        <is>
          <t>KALMAR LÄN</t>
        </is>
      </c>
      <c r="E8252" t="inlineStr">
        <is>
          <t>KALMAR</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28292-2023</t>
        </is>
      </c>
      <c r="B8253" s="1" t="n">
        <v>45099</v>
      </c>
      <c r="C8253" s="1" t="n">
        <v>45715</v>
      </c>
      <c r="D8253" t="inlineStr">
        <is>
          <t>KALMAR LÄN</t>
        </is>
      </c>
      <c r="E8253" t="inlineStr">
        <is>
          <t>KALMAR</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30265-2023</t>
        </is>
      </c>
      <c r="B8254" s="1" t="n">
        <v>45099</v>
      </c>
      <c r="C8254" s="1" t="n">
        <v>45715</v>
      </c>
      <c r="D8254" t="inlineStr">
        <is>
          <t>KALMAR LÄN</t>
        </is>
      </c>
      <c r="E8254" t="inlineStr">
        <is>
          <t>HÖGSBY</t>
        </is>
      </c>
      <c r="G8254" t="n">
        <v>13.5</v>
      </c>
      <c r="H8254" t="n">
        <v>0</v>
      </c>
      <c r="I8254" t="n">
        <v>0</v>
      </c>
      <c r="J8254" t="n">
        <v>0</v>
      </c>
      <c r="K8254" t="n">
        <v>0</v>
      </c>
      <c r="L8254" t="n">
        <v>0</v>
      </c>
      <c r="M8254" t="n">
        <v>0</v>
      </c>
      <c r="N8254" t="n">
        <v>0</v>
      </c>
      <c r="O8254" t="n">
        <v>0</v>
      </c>
      <c r="P8254" t="n">
        <v>0</v>
      </c>
      <c r="Q8254" t="n">
        <v>0</v>
      </c>
      <c r="R8254" s="2" t="inlineStr"/>
    </row>
    <row r="8255" ht="15" customHeight="1">
      <c r="A8255" t="inlineStr">
        <is>
          <t>A 30491-2023</t>
        </is>
      </c>
      <c r="B8255" s="1" t="n">
        <v>45099</v>
      </c>
      <c r="C8255" s="1" t="n">
        <v>45715</v>
      </c>
      <c r="D8255" t="inlineStr">
        <is>
          <t>KALMAR LÄN</t>
        </is>
      </c>
      <c r="E8255" t="inlineStr">
        <is>
          <t>HULTSFRED</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30574-2023</t>
        </is>
      </c>
      <c r="B8256" s="1" t="n">
        <v>45099</v>
      </c>
      <c r="C8256" s="1" t="n">
        <v>45715</v>
      </c>
      <c r="D8256" t="inlineStr">
        <is>
          <t>KALMAR LÄN</t>
        </is>
      </c>
      <c r="E8256" t="inlineStr">
        <is>
          <t>HULTSFRED</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30475-2023</t>
        </is>
      </c>
      <c r="B8257" s="1" t="n">
        <v>45099</v>
      </c>
      <c r="C8257" s="1" t="n">
        <v>45715</v>
      </c>
      <c r="D8257" t="inlineStr">
        <is>
          <t>KALMAR LÄN</t>
        </is>
      </c>
      <c r="E8257" t="inlineStr">
        <is>
          <t>HULTSFRED</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30521-2023</t>
        </is>
      </c>
      <c r="B8258" s="1" t="n">
        <v>45099</v>
      </c>
      <c r="C8258" s="1" t="n">
        <v>45715</v>
      </c>
      <c r="D8258" t="inlineStr">
        <is>
          <t>KALMAR LÄN</t>
        </is>
      </c>
      <c r="E8258" t="inlineStr">
        <is>
          <t>HULTSFRED</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30514-2023</t>
        </is>
      </c>
      <c r="B8259" s="1" t="n">
        <v>45099</v>
      </c>
      <c r="C8259" s="1" t="n">
        <v>45715</v>
      </c>
      <c r="D8259" t="inlineStr">
        <is>
          <t>KALMAR LÄN</t>
        </is>
      </c>
      <c r="E8259" t="inlineStr">
        <is>
          <t>HULTSFRED</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30575-2023</t>
        </is>
      </c>
      <c r="B8260" s="1" t="n">
        <v>45099</v>
      </c>
      <c r="C8260" s="1" t="n">
        <v>45715</v>
      </c>
      <c r="D8260" t="inlineStr">
        <is>
          <t>KALMAR LÄN</t>
        </is>
      </c>
      <c r="E8260" t="inlineStr">
        <is>
          <t>HULTSFRED</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30466-2023</t>
        </is>
      </c>
      <c r="B8261" s="1" t="n">
        <v>45099</v>
      </c>
      <c r="C8261" s="1" t="n">
        <v>45715</v>
      </c>
      <c r="D8261" t="inlineStr">
        <is>
          <t>KALMAR LÄN</t>
        </is>
      </c>
      <c r="E8261" t="inlineStr">
        <is>
          <t>HULTSFRED</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30274-2023</t>
        </is>
      </c>
      <c r="B8262" s="1" t="n">
        <v>45099</v>
      </c>
      <c r="C8262" s="1" t="n">
        <v>45715</v>
      </c>
      <c r="D8262" t="inlineStr">
        <is>
          <t>KALMAR LÄN</t>
        </is>
      </c>
      <c r="E8262" t="inlineStr">
        <is>
          <t>HULTSFRED</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30390-2023</t>
        </is>
      </c>
      <c r="B8263" s="1" t="n">
        <v>45099</v>
      </c>
      <c r="C8263" s="1" t="n">
        <v>45715</v>
      </c>
      <c r="D8263" t="inlineStr">
        <is>
          <t>KALMAR LÄN</t>
        </is>
      </c>
      <c r="E8263" t="inlineStr">
        <is>
          <t>HULTSFRED</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30572-2023</t>
        </is>
      </c>
      <c r="B8264" s="1" t="n">
        <v>45099</v>
      </c>
      <c r="C8264" s="1" t="n">
        <v>45715</v>
      </c>
      <c r="D8264" t="inlineStr">
        <is>
          <t>KALMAR LÄN</t>
        </is>
      </c>
      <c r="E8264" t="inlineStr">
        <is>
          <t>HULTSFRED</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30386-2023</t>
        </is>
      </c>
      <c r="B8265" s="1" t="n">
        <v>45099</v>
      </c>
      <c r="C8265" s="1" t="n">
        <v>45715</v>
      </c>
      <c r="D8265" t="inlineStr">
        <is>
          <t>KALMAR LÄN</t>
        </is>
      </c>
      <c r="E8265" t="inlineStr">
        <is>
          <t>HULTSFRED</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28295-2023</t>
        </is>
      </c>
      <c r="B8266" s="1" t="n">
        <v>45099</v>
      </c>
      <c r="C8266" s="1" t="n">
        <v>45715</v>
      </c>
      <c r="D8266" t="inlineStr">
        <is>
          <t>KALMAR LÄN</t>
        </is>
      </c>
      <c r="E8266" t="inlineStr">
        <is>
          <t>EMMABODA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28395-2023</t>
        </is>
      </c>
      <c r="B8267" s="1" t="n">
        <v>45100</v>
      </c>
      <c r="C8267" s="1" t="n">
        <v>45715</v>
      </c>
      <c r="D8267" t="inlineStr">
        <is>
          <t>KALMAR LÄN</t>
        </is>
      </c>
      <c r="E8267" t="inlineStr">
        <is>
          <t>VIMMERBY</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28403-2023</t>
        </is>
      </c>
      <c r="B8268" s="1" t="n">
        <v>45100</v>
      </c>
      <c r="C8268" s="1" t="n">
        <v>45715</v>
      </c>
      <c r="D8268" t="inlineStr">
        <is>
          <t>KALMAR LÄN</t>
        </is>
      </c>
      <c r="E8268" t="inlineStr">
        <is>
          <t>VIMMERBY</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28440-2023</t>
        </is>
      </c>
      <c r="B8269" s="1" t="n">
        <v>45102</v>
      </c>
      <c r="C8269" s="1" t="n">
        <v>45715</v>
      </c>
      <c r="D8269" t="inlineStr">
        <is>
          <t>KALMAR LÄN</t>
        </is>
      </c>
      <c r="E8269" t="inlineStr">
        <is>
          <t>EMMABODA</t>
        </is>
      </c>
      <c r="G8269" t="n">
        <v>4.7</v>
      </c>
      <c r="H8269" t="n">
        <v>0</v>
      </c>
      <c r="I8269" t="n">
        <v>0</v>
      </c>
      <c r="J8269" t="n">
        <v>0</v>
      </c>
      <c r="K8269" t="n">
        <v>0</v>
      </c>
      <c r="L8269" t="n">
        <v>0</v>
      </c>
      <c r="M8269" t="n">
        <v>0</v>
      </c>
      <c r="N8269" t="n">
        <v>0</v>
      </c>
      <c r="O8269" t="n">
        <v>0</v>
      </c>
      <c r="P8269" t="n">
        <v>0</v>
      </c>
      <c r="Q8269" t="n">
        <v>0</v>
      </c>
      <c r="R8269" s="2" t="inlineStr"/>
    </row>
    <row r="8270" ht="15" customHeight="1">
      <c r="A8270" t="inlineStr">
        <is>
          <t>A 28439-2023</t>
        </is>
      </c>
      <c r="B8270" s="1" t="n">
        <v>45102</v>
      </c>
      <c r="C8270" s="1" t="n">
        <v>45715</v>
      </c>
      <c r="D8270" t="inlineStr">
        <is>
          <t>KALMAR LÄN</t>
        </is>
      </c>
      <c r="E8270" t="inlineStr">
        <is>
          <t>EMMABODA</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28441-2023</t>
        </is>
      </c>
      <c r="B8271" s="1" t="n">
        <v>45102</v>
      </c>
      <c r="C8271" s="1" t="n">
        <v>45715</v>
      </c>
      <c r="D8271" t="inlineStr">
        <is>
          <t>KALMAR LÄN</t>
        </is>
      </c>
      <c r="E8271" t="inlineStr">
        <is>
          <t>EMMABODA</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28454-2023</t>
        </is>
      </c>
      <c r="B8272" s="1" t="n">
        <v>45103</v>
      </c>
      <c r="C8272" s="1" t="n">
        <v>45715</v>
      </c>
      <c r="D8272" t="inlineStr">
        <is>
          <t>KALMAR LÄN</t>
        </is>
      </c>
      <c r="E8272" t="inlineStr">
        <is>
          <t>TORSÅS</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28479-2023</t>
        </is>
      </c>
      <c r="B8273" s="1" t="n">
        <v>45103</v>
      </c>
      <c r="C8273" s="1" t="n">
        <v>45715</v>
      </c>
      <c r="D8273" t="inlineStr">
        <is>
          <t>KALMAR LÄN</t>
        </is>
      </c>
      <c r="E8273" t="inlineStr">
        <is>
          <t>NYBRO</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28503-2023</t>
        </is>
      </c>
      <c r="B8274" s="1" t="n">
        <v>45103</v>
      </c>
      <c r="C8274" s="1" t="n">
        <v>45715</v>
      </c>
      <c r="D8274" t="inlineStr">
        <is>
          <t>KALMAR LÄN</t>
        </is>
      </c>
      <c r="E8274" t="inlineStr">
        <is>
          <t>NYBRO</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28522-2023</t>
        </is>
      </c>
      <c r="B8275" s="1" t="n">
        <v>45103</v>
      </c>
      <c r="C8275" s="1" t="n">
        <v>45715</v>
      </c>
      <c r="D8275" t="inlineStr">
        <is>
          <t>KALMAR LÄN</t>
        </is>
      </c>
      <c r="E8275" t="inlineStr">
        <is>
          <t>NYBRO</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28535-2023</t>
        </is>
      </c>
      <c r="B8276" s="1" t="n">
        <v>45103</v>
      </c>
      <c r="C8276" s="1" t="n">
        <v>45715</v>
      </c>
      <c r="D8276" t="inlineStr">
        <is>
          <t>KALMAR LÄN</t>
        </is>
      </c>
      <c r="E8276" t="inlineStr">
        <is>
          <t>OSKARSHAMN</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28544-2023</t>
        </is>
      </c>
      <c r="B8277" s="1" t="n">
        <v>45103</v>
      </c>
      <c r="C8277" s="1" t="n">
        <v>45715</v>
      </c>
      <c r="D8277" t="inlineStr">
        <is>
          <t>KALMAR LÄN</t>
        </is>
      </c>
      <c r="E8277" t="inlineStr">
        <is>
          <t>OSKARSHAMN</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28548-2023</t>
        </is>
      </c>
      <c r="B8278" s="1" t="n">
        <v>45103</v>
      </c>
      <c r="C8278" s="1" t="n">
        <v>45715</v>
      </c>
      <c r="D8278" t="inlineStr">
        <is>
          <t>KALMAR LÄN</t>
        </is>
      </c>
      <c r="E8278" t="inlineStr">
        <is>
          <t>TORSÅS</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28538-2023</t>
        </is>
      </c>
      <c r="B8279" s="1" t="n">
        <v>45103</v>
      </c>
      <c r="C8279" s="1" t="n">
        <v>45715</v>
      </c>
      <c r="D8279" t="inlineStr">
        <is>
          <t>KALMAR LÄN</t>
        </is>
      </c>
      <c r="E8279" t="inlineStr">
        <is>
          <t>OSKARSHAMN</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28524-2023</t>
        </is>
      </c>
      <c r="B8280" s="1" t="n">
        <v>45103</v>
      </c>
      <c r="C8280" s="1" t="n">
        <v>45715</v>
      </c>
      <c r="D8280" t="inlineStr">
        <is>
          <t>KALMAR LÄN</t>
        </is>
      </c>
      <c r="E8280" t="inlineStr">
        <is>
          <t>OSKARSHAMN</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28532-2023</t>
        </is>
      </c>
      <c r="B8281" s="1" t="n">
        <v>45103</v>
      </c>
      <c r="C8281" s="1" t="n">
        <v>45715</v>
      </c>
      <c r="D8281" t="inlineStr">
        <is>
          <t>KALMAR LÄN</t>
        </is>
      </c>
      <c r="E8281" t="inlineStr">
        <is>
          <t>OSKARSHAMN</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28541-2023</t>
        </is>
      </c>
      <c r="B8282" s="1" t="n">
        <v>45103</v>
      </c>
      <c r="C8282" s="1" t="n">
        <v>45715</v>
      </c>
      <c r="D8282" t="inlineStr">
        <is>
          <t>KALMAR LÄN</t>
        </is>
      </c>
      <c r="E8282" t="inlineStr">
        <is>
          <t>OSKARSHAMN</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28648-2023</t>
        </is>
      </c>
      <c r="B8283" s="1" t="n">
        <v>45103</v>
      </c>
      <c r="C8283" s="1" t="n">
        <v>45715</v>
      </c>
      <c r="D8283" t="inlineStr">
        <is>
          <t>KALMAR LÄN</t>
        </is>
      </c>
      <c r="E8283" t="inlineStr">
        <is>
          <t>HÖGSBY</t>
        </is>
      </c>
      <c r="F8283" t="inlineStr">
        <is>
          <t>Sveaskog</t>
        </is>
      </c>
      <c r="G8283" t="n">
        <v>5.6</v>
      </c>
      <c r="H8283" t="n">
        <v>0</v>
      </c>
      <c r="I8283" t="n">
        <v>0</v>
      </c>
      <c r="J8283" t="n">
        <v>0</v>
      </c>
      <c r="K8283" t="n">
        <v>0</v>
      </c>
      <c r="L8283" t="n">
        <v>0</v>
      </c>
      <c r="M8283" t="n">
        <v>0</v>
      </c>
      <c r="N8283" t="n">
        <v>0</v>
      </c>
      <c r="O8283" t="n">
        <v>0</v>
      </c>
      <c r="P8283" t="n">
        <v>0</v>
      </c>
      <c r="Q8283" t="n">
        <v>0</v>
      </c>
      <c r="R8283" s="2" t="inlineStr"/>
    </row>
    <row r="8284" ht="15" customHeight="1">
      <c r="A8284" t="inlineStr">
        <is>
          <t>A 28670-2023</t>
        </is>
      </c>
      <c r="B8284" s="1" t="n">
        <v>45103</v>
      </c>
      <c r="C8284" s="1" t="n">
        <v>45715</v>
      </c>
      <c r="D8284" t="inlineStr">
        <is>
          <t>KALMAR LÄN</t>
        </is>
      </c>
      <c r="E8284" t="inlineStr">
        <is>
          <t>NYBRO</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28681-2023</t>
        </is>
      </c>
      <c r="B8285" s="1" t="n">
        <v>45103</v>
      </c>
      <c r="C8285" s="1" t="n">
        <v>45715</v>
      </c>
      <c r="D8285" t="inlineStr">
        <is>
          <t>KALMAR LÄN</t>
        </is>
      </c>
      <c r="E8285" t="inlineStr">
        <is>
          <t>EMMABODA</t>
        </is>
      </c>
      <c r="G8285" t="n">
        <v>4.6</v>
      </c>
      <c r="H8285" t="n">
        <v>0</v>
      </c>
      <c r="I8285" t="n">
        <v>0</v>
      </c>
      <c r="J8285" t="n">
        <v>0</v>
      </c>
      <c r="K8285" t="n">
        <v>0</v>
      </c>
      <c r="L8285" t="n">
        <v>0</v>
      </c>
      <c r="M8285" t="n">
        <v>0</v>
      </c>
      <c r="N8285" t="n">
        <v>0</v>
      </c>
      <c r="O8285" t="n">
        <v>0</v>
      </c>
      <c r="P8285" t="n">
        <v>0</v>
      </c>
      <c r="Q8285" t="n">
        <v>0</v>
      </c>
      <c r="R8285" s="2" t="inlineStr"/>
    </row>
    <row r="8286" ht="15" customHeight="1">
      <c r="A8286" t="inlineStr">
        <is>
          <t>A 28636-2023</t>
        </is>
      </c>
      <c r="B8286" s="1" t="n">
        <v>45103</v>
      </c>
      <c r="C8286" s="1" t="n">
        <v>45715</v>
      </c>
      <c r="D8286" t="inlineStr">
        <is>
          <t>KALMAR LÄN</t>
        </is>
      </c>
      <c r="E8286" t="inlineStr">
        <is>
          <t>NYBRO</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28644-2023</t>
        </is>
      </c>
      <c r="B8287" s="1" t="n">
        <v>45103</v>
      </c>
      <c r="C8287" s="1" t="n">
        <v>45715</v>
      </c>
      <c r="D8287" t="inlineStr">
        <is>
          <t>KALMAR LÄN</t>
        </is>
      </c>
      <c r="E8287" t="inlineStr">
        <is>
          <t>HULTSFRED</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28645-2023</t>
        </is>
      </c>
      <c r="B8288" s="1" t="n">
        <v>45103</v>
      </c>
      <c r="C8288" s="1" t="n">
        <v>45715</v>
      </c>
      <c r="D8288" t="inlineStr">
        <is>
          <t>KALMAR LÄN</t>
        </is>
      </c>
      <c r="E8288" t="inlineStr">
        <is>
          <t>HÖGSBY</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28650-2023</t>
        </is>
      </c>
      <c r="B8289" s="1" t="n">
        <v>45103</v>
      </c>
      <c r="C8289" s="1" t="n">
        <v>45715</v>
      </c>
      <c r="D8289" t="inlineStr">
        <is>
          <t>KALMAR LÄN</t>
        </is>
      </c>
      <c r="E8289" t="inlineStr">
        <is>
          <t>HÖGSBY</t>
        </is>
      </c>
      <c r="F8289" t="inlineStr">
        <is>
          <t>Sveaskog</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28656-2023</t>
        </is>
      </c>
      <c r="B8290" s="1" t="n">
        <v>45103</v>
      </c>
      <c r="C8290" s="1" t="n">
        <v>45715</v>
      </c>
      <c r="D8290" t="inlineStr">
        <is>
          <t>KALMAR LÄN</t>
        </is>
      </c>
      <c r="E8290" t="inlineStr">
        <is>
          <t>HÖGSBY</t>
        </is>
      </c>
      <c r="F8290" t="inlineStr">
        <is>
          <t>Sveaskog</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28668-2023</t>
        </is>
      </c>
      <c r="B8291" s="1" t="n">
        <v>45103</v>
      </c>
      <c r="C8291" s="1" t="n">
        <v>45715</v>
      </c>
      <c r="D8291" t="inlineStr">
        <is>
          <t>KALMAR LÄN</t>
        </is>
      </c>
      <c r="E8291" t="inlineStr">
        <is>
          <t>HULTSFRED</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28655-2023</t>
        </is>
      </c>
      <c r="B8292" s="1" t="n">
        <v>45103</v>
      </c>
      <c r="C8292" s="1" t="n">
        <v>45715</v>
      </c>
      <c r="D8292" t="inlineStr">
        <is>
          <t>KALMAR LÄN</t>
        </is>
      </c>
      <c r="E8292" t="inlineStr">
        <is>
          <t>HÖGSBY</t>
        </is>
      </c>
      <c r="F8292" t="inlineStr">
        <is>
          <t>Sveaskog</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28666-2023</t>
        </is>
      </c>
      <c r="B8293" s="1" t="n">
        <v>45103</v>
      </c>
      <c r="C8293" s="1" t="n">
        <v>45715</v>
      </c>
      <c r="D8293" t="inlineStr">
        <is>
          <t>KALMAR LÄN</t>
        </is>
      </c>
      <c r="E8293" t="inlineStr">
        <is>
          <t>HULTSFRED</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30694-2023</t>
        </is>
      </c>
      <c r="B8294" s="1" t="n">
        <v>45103</v>
      </c>
      <c r="C8294" s="1" t="n">
        <v>45715</v>
      </c>
      <c r="D8294" t="inlineStr">
        <is>
          <t>KALMAR LÄN</t>
        </is>
      </c>
      <c r="E8294" t="inlineStr">
        <is>
          <t>KALMAR</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30702-2023</t>
        </is>
      </c>
      <c r="B8295" s="1" t="n">
        <v>45103</v>
      </c>
      <c r="C8295" s="1" t="n">
        <v>45715</v>
      </c>
      <c r="D8295" t="inlineStr">
        <is>
          <t>KALMAR LÄN</t>
        </is>
      </c>
      <c r="E8295" t="inlineStr">
        <is>
          <t>KALMAR</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28533-2023</t>
        </is>
      </c>
      <c r="B8296" s="1" t="n">
        <v>45103</v>
      </c>
      <c r="C8296" s="1" t="n">
        <v>45715</v>
      </c>
      <c r="D8296" t="inlineStr">
        <is>
          <t>KALMAR LÄN</t>
        </is>
      </c>
      <c r="E8296" t="inlineStr">
        <is>
          <t>OSKARSHAMN</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28815-2023</t>
        </is>
      </c>
      <c r="B8297" s="1" t="n">
        <v>45104</v>
      </c>
      <c r="C8297" s="1" t="n">
        <v>45715</v>
      </c>
      <c r="D8297" t="inlineStr">
        <is>
          <t>KALMAR LÄN</t>
        </is>
      </c>
      <c r="E8297" t="inlineStr">
        <is>
          <t>OSKARSHAMN</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28808-2023</t>
        </is>
      </c>
      <c r="B8298" s="1" t="n">
        <v>45104</v>
      </c>
      <c r="C8298" s="1" t="n">
        <v>45715</v>
      </c>
      <c r="D8298" t="inlineStr">
        <is>
          <t>KALMAR LÄN</t>
        </is>
      </c>
      <c r="E8298" t="inlineStr">
        <is>
          <t>OSKARSHAMN</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28895-2023</t>
        </is>
      </c>
      <c r="B8299" s="1" t="n">
        <v>45104</v>
      </c>
      <c r="C8299" s="1" t="n">
        <v>45715</v>
      </c>
      <c r="D8299" t="inlineStr">
        <is>
          <t>KALMAR LÄN</t>
        </is>
      </c>
      <c r="E8299" t="inlineStr">
        <is>
          <t>VÄSTERVIK</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28932-2023</t>
        </is>
      </c>
      <c r="B8300" s="1" t="n">
        <v>45104</v>
      </c>
      <c r="C8300" s="1" t="n">
        <v>45715</v>
      </c>
      <c r="D8300" t="inlineStr">
        <is>
          <t>KALMAR LÄN</t>
        </is>
      </c>
      <c r="E8300" t="inlineStr">
        <is>
          <t>KALMAR</t>
        </is>
      </c>
      <c r="F8300" t="inlineStr">
        <is>
          <t>Sveaskog</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28953-2023</t>
        </is>
      </c>
      <c r="B8301" s="1" t="n">
        <v>45104</v>
      </c>
      <c r="C8301" s="1" t="n">
        <v>45715</v>
      </c>
      <c r="D8301" t="inlineStr">
        <is>
          <t>KALMAR LÄN</t>
        </is>
      </c>
      <c r="E8301" t="inlineStr">
        <is>
          <t>NYBRO</t>
        </is>
      </c>
      <c r="F8301" t="inlineStr">
        <is>
          <t>Sveaskog</t>
        </is>
      </c>
      <c r="G8301" t="n">
        <v>10.5</v>
      </c>
      <c r="H8301" t="n">
        <v>0</v>
      </c>
      <c r="I8301" t="n">
        <v>0</v>
      </c>
      <c r="J8301" t="n">
        <v>0</v>
      </c>
      <c r="K8301" t="n">
        <v>0</v>
      </c>
      <c r="L8301" t="n">
        <v>0</v>
      </c>
      <c r="M8301" t="n">
        <v>0</v>
      </c>
      <c r="N8301" t="n">
        <v>0</v>
      </c>
      <c r="O8301" t="n">
        <v>0</v>
      </c>
      <c r="P8301" t="n">
        <v>0</v>
      </c>
      <c r="Q8301" t="n">
        <v>0</v>
      </c>
      <c r="R8301" s="2" t="inlineStr"/>
    </row>
    <row r="8302" ht="15" customHeight="1">
      <c r="A8302" t="inlineStr">
        <is>
          <t>A 28863-2023</t>
        </is>
      </c>
      <c r="B8302" s="1" t="n">
        <v>45104</v>
      </c>
      <c r="C8302" s="1" t="n">
        <v>45715</v>
      </c>
      <c r="D8302" t="inlineStr">
        <is>
          <t>KALMAR LÄN</t>
        </is>
      </c>
      <c r="E8302" t="inlineStr">
        <is>
          <t>HULTSFRED</t>
        </is>
      </c>
      <c r="G8302" t="n">
        <v>6.4</v>
      </c>
      <c r="H8302" t="n">
        <v>0</v>
      </c>
      <c r="I8302" t="n">
        <v>0</v>
      </c>
      <c r="J8302" t="n">
        <v>0</v>
      </c>
      <c r="K8302" t="n">
        <v>0</v>
      </c>
      <c r="L8302" t="n">
        <v>0</v>
      </c>
      <c r="M8302" t="n">
        <v>0</v>
      </c>
      <c r="N8302" t="n">
        <v>0</v>
      </c>
      <c r="O8302" t="n">
        <v>0</v>
      </c>
      <c r="P8302" t="n">
        <v>0</v>
      </c>
      <c r="Q8302" t="n">
        <v>0</v>
      </c>
      <c r="R8302" s="2" t="inlineStr"/>
    </row>
    <row r="8303" ht="15" customHeight="1">
      <c r="A8303" t="inlineStr">
        <is>
          <t>A 28867-2023</t>
        </is>
      </c>
      <c r="B8303" s="1" t="n">
        <v>45104</v>
      </c>
      <c r="C8303" s="1" t="n">
        <v>45715</v>
      </c>
      <c r="D8303" t="inlineStr">
        <is>
          <t>KALMAR LÄN</t>
        </is>
      </c>
      <c r="E8303" t="inlineStr">
        <is>
          <t>EMMABODA</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28871-2023</t>
        </is>
      </c>
      <c r="B8304" s="1" t="n">
        <v>45104</v>
      </c>
      <c r="C8304" s="1" t="n">
        <v>45715</v>
      </c>
      <c r="D8304" t="inlineStr">
        <is>
          <t>KALMAR LÄN</t>
        </is>
      </c>
      <c r="E8304" t="inlineStr">
        <is>
          <t>EMMABODA</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28910-2023</t>
        </is>
      </c>
      <c r="B8305" s="1" t="n">
        <v>45104</v>
      </c>
      <c r="C8305" s="1" t="n">
        <v>45715</v>
      </c>
      <c r="D8305" t="inlineStr">
        <is>
          <t>KALMAR LÄN</t>
        </is>
      </c>
      <c r="E8305" t="inlineStr">
        <is>
          <t>HULTSFRED</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28930-2023</t>
        </is>
      </c>
      <c r="B8306" s="1" t="n">
        <v>45104</v>
      </c>
      <c r="C8306" s="1" t="n">
        <v>45715</v>
      </c>
      <c r="D8306" t="inlineStr">
        <is>
          <t>KALMAR LÄN</t>
        </is>
      </c>
      <c r="E8306" t="inlineStr">
        <is>
          <t>KALMAR</t>
        </is>
      </c>
      <c r="F8306" t="inlineStr">
        <is>
          <t>Sveaskog</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28979-2023</t>
        </is>
      </c>
      <c r="B8307" s="1" t="n">
        <v>45104</v>
      </c>
      <c r="C8307" s="1" t="n">
        <v>45715</v>
      </c>
      <c r="D8307" t="inlineStr">
        <is>
          <t>KALMAR LÄN</t>
        </is>
      </c>
      <c r="E8307" t="inlineStr">
        <is>
          <t>KALMAR</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28799-2023</t>
        </is>
      </c>
      <c r="B8308" s="1" t="n">
        <v>45104</v>
      </c>
      <c r="C8308" s="1" t="n">
        <v>45715</v>
      </c>
      <c r="D8308" t="inlineStr">
        <is>
          <t>KALMAR LÄN</t>
        </is>
      </c>
      <c r="E8308" t="inlineStr">
        <is>
          <t>OSKARSHAMN</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28894-2023</t>
        </is>
      </c>
      <c r="B8309" s="1" t="n">
        <v>45104</v>
      </c>
      <c r="C8309" s="1" t="n">
        <v>45715</v>
      </c>
      <c r="D8309" t="inlineStr">
        <is>
          <t>KALMAR LÄN</t>
        </is>
      </c>
      <c r="E8309" t="inlineStr">
        <is>
          <t>VÄSTERVIK</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28911-2023</t>
        </is>
      </c>
      <c r="B8310" s="1" t="n">
        <v>45104</v>
      </c>
      <c r="C8310" s="1" t="n">
        <v>45715</v>
      </c>
      <c r="D8310" t="inlineStr">
        <is>
          <t>KALMAR LÄN</t>
        </is>
      </c>
      <c r="E8310" t="inlineStr">
        <is>
          <t>HÖGSBY</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28939-2023</t>
        </is>
      </c>
      <c r="B8311" s="1" t="n">
        <v>45104</v>
      </c>
      <c r="C8311" s="1" t="n">
        <v>45715</v>
      </c>
      <c r="D8311" t="inlineStr">
        <is>
          <t>KALMAR LÄN</t>
        </is>
      </c>
      <c r="E8311" t="inlineStr">
        <is>
          <t>VÄSTERVIK</t>
        </is>
      </c>
      <c r="F8311" t="inlineStr">
        <is>
          <t>Holmen skog AB</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28952-2023</t>
        </is>
      </c>
      <c r="B8312" s="1" t="n">
        <v>45104</v>
      </c>
      <c r="C8312" s="1" t="n">
        <v>45715</v>
      </c>
      <c r="D8312" t="inlineStr">
        <is>
          <t>KALMAR LÄN</t>
        </is>
      </c>
      <c r="E8312" t="inlineStr">
        <is>
          <t>VÄSTERVIK</t>
        </is>
      </c>
      <c r="F8312" t="inlineStr">
        <is>
          <t>Holmen skog AB</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28985-2023</t>
        </is>
      </c>
      <c r="B8313" s="1" t="n">
        <v>45104</v>
      </c>
      <c r="C8313" s="1" t="n">
        <v>45715</v>
      </c>
      <c r="D8313" t="inlineStr">
        <is>
          <t>KALMAR LÄN</t>
        </is>
      </c>
      <c r="E8313" t="inlineStr">
        <is>
          <t>KALMAR</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28990-2023</t>
        </is>
      </c>
      <c r="B8314" s="1" t="n">
        <v>45104</v>
      </c>
      <c r="C8314" s="1" t="n">
        <v>45715</v>
      </c>
      <c r="D8314" t="inlineStr">
        <is>
          <t>KALMAR LÄN</t>
        </is>
      </c>
      <c r="E8314" t="inlineStr">
        <is>
          <t>TORSÅS</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28866-2023</t>
        </is>
      </c>
      <c r="B8315" s="1" t="n">
        <v>45104</v>
      </c>
      <c r="C8315" s="1" t="n">
        <v>45715</v>
      </c>
      <c r="D8315" t="inlineStr">
        <is>
          <t>KALMAR LÄN</t>
        </is>
      </c>
      <c r="E8315" t="inlineStr">
        <is>
          <t>HULTSFRED</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28880-2023</t>
        </is>
      </c>
      <c r="B8316" s="1" t="n">
        <v>45104</v>
      </c>
      <c r="C8316" s="1" t="n">
        <v>45715</v>
      </c>
      <c r="D8316" t="inlineStr">
        <is>
          <t>KALMAR LÄN</t>
        </is>
      </c>
      <c r="E8316" t="inlineStr">
        <is>
          <t>NYBRO</t>
        </is>
      </c>
      <c r="F8316" t="inlineStr">
        <is>
          <t>Sveaskog</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28937-2023</t>
        </is>
      </c>
      <c r="B8317" s="1" t="n">
        <v>45104</v>
      </c>
      <c r="C8317" s="1" t="n">
        <v>45715</v>
      </c>
      <c r="D8317" t="inlineStr">
        <is>
          <t>KALMAR LÄN</t>
        </is>
      </c>
      <c r="E8317" t="inlineStr">
        <is>
          <t>NYBRO</t>
        </is>
      </c>
      <c r="F8317" t="inlineStr">
        <is>
          <t>Sveaskog</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28941-2023</t>
        </is>
      </c>
      <c r="B8318" s="1" t="n">
        <v>45104</v>
      </c>
      <c r="C8318" s="1" t="n">
        <v>45715</v>
      </c>
      <c r="D8318" t="inlineStr">
        <is>
          <t>KALMAR LÄN</t>
        </is>
      </c>
      <c r="E8318" t="inlineStr">
        <is>
          <t>NYBRO</t>
        </is>
      </c>
      <c r="F8318" t="inlineStr">
        <is>
          <t>Sveaskog</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28974-2023</t>
        </is>
      </c>
      <c r="B8319" s="1" t="n">
        <v>45104</v>
      </c>
      <c r="C8319" s="1" t="n">
        <v>45715</v>
      </c>
      <c r="D8319" t="inlineStr">
        <is>
          <t>KALMAR LÄN</t>
        </is>
      </c>
      <c r="E8319" t="inlineStr">
        <is>
          <t>KALMAR</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28978-2023</t>
        </is>
      </c>
      <c r="B8320" s="1" t="n">
        <v>45104</v>
      </c>
      <c r="C8320" s="1" t="n">
        <v>45715</v>
      </c>
      <c r="D8320" t="inlineStr">
        <is>
          <t>KALMAR LÄN</t>
        </is>
      </c>
      <c r="E8320" t="inlineStr">
        <is>
          <t>KALMAR</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28987-2023</t>
        </is>
      </c>
      <c r="B8321" s="1" t="n">
        <v>45104</v>
      </c>
      <c r="C8321" s="1" t="n">
        <v>45715</v>
      </c>
      <c r="D8321" t="inlineStr">
        <is>
          <t>KALMAR LÄN</t>
        </is>
      </c>
      <c r="E8321" t="inlineStr">
        <is>
          <t>KALMAR</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29046-2023</t>
        </is>
      </c>
      <c r="B8322" s="1" t="n">
        <v>45104</v>
      </c>
      <c r="C8322" s="1" t="n">
        <v>45715</v>
      </c>
      <c r="D8322" t="inlineStr">
        <is>
          <t>KALMAR LÄN</t>
        </is>
      </c>
      <c r="E8322" t="inlineStr">
        <is>
          <t>HULTSFRED</t>
        </is>
      </c>
      <c r="G8322" t="n">
        <v>9.199999999999999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29170-2023</t>
        </is>
      </c>
      <c r="B8323" s="1" t="n">
        <v>45105</v>
      </c>
      <c r="C8323" s="1" t="n">
        <v>45715</v>
      </c>
      <c r="D8323" t="inlineStr">
        <is>
          <t>KALMAR LÄN</t>
        </is>
      </c>
      <c r="E8323" t="inlineStr">
        <is>
          <t>OSKARSHAMN</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29181-2023</t>
        </is>
      </c>
      <c r="B8324" s="1" t="n">
        <v>45105</v>
      </c>
      <c r="C8324" s="1" t="n">
        <v>45715</v>
      </c>
      <c r="D8324" t="inlineStr">
        <is>
          <t>KALMAR LÄN</t>
        </is>
      </c>
      <c r="E8324" t="inlineStr">
        <is>
          <t>OSKARSHAMN</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29190-2023</t>
        </is>
      </c>
      <c r="B8325" s="1" t="n">
        <v>45105</v>
      </c>
      <c r="C8325" s="1" t="n">
        <v>45715</v>
      </c>
      <c r="D8325" t="inlineStr">
        <is>
          <t>KALMAR LÄN</t>
        </is>
      </c>
      <c r="E8325" t="inlineStr">
        <is>
          <t>OSKARSHAMN</t>
        </is>
      </c>
      <c r="G8325" t="n">
        <v>3</v>
      </c>
      <c r="H8325" t="n">
        <v>0</v>
      </c>
      <c r="I8325" t="n">
        <v>0</v>
      </c>
      <c r="J8325" t="n">
        <v>0</v>
      </c>
      <c r="K8325" t="n">
        <v>0</v>
      </c>
      <c r="L8325" t="n">
        <v>0</v>
      </c>
      <c r="M8325" t="n">
        <v>0</v>
      </c>
      <c r="N8325" t="n">
        <v>0</v>
      </c>
      <c r="O8325" t="n">
        <v>0</v>
      </c>
      <c r="P8325" t="n">
        <v>0</v>
      </c>
      <c r="Q8325" t="n">
        <v>0</v>
      </c>
      <c r="R8325" s="2" t="inlineStr"/>
      <c r="U8325">
        <f>HYPERLINK("https://klasma.github.io/Logging_0882/knärot/A 29190-2023 karta knärot.png", "A 29190-2023")</f>
        <v/>
      </c>
      <c r="V8325">
        <f>HYPERLINK("https://klasma.github.io/Logging_0882/klagomål/A 29190-2023 FSC-klagomål.docx", "A 29190-2023")</f>
        <v/>
      </c>
      <c r="W8325">
        <f>HYPERLINK("https://klasma.github.io/Logging_0882/klagomålsmail/A 29190-2023 FSC-klagomål mail.docx", "A 29190-2023")</f>
        <v/>
      </c>
      <c r="X8325">
        <f>HYPERLINK("https://klasma.github.io/Logging_0882/tillsyn/A 29190-2023 tillsynsbegäran.docx", "A 29190-2023")</f>
        <v/>
      </c>
      <c r="Y8325">
        <f>HYPERLINK("https://klasma.github.io/Logging_0882/tillsynsmail/A 29190-2023 tillsynsbegäran mail.docx", "A 29190-2023")</f>
        <v/>
      </c>
    </row>
    <row r="8326" ht="15" customHeight="1">
      <c r="A8326" t="inlineStr">
        <is>
          <t>A 29142-2023</t>
        </is>
      </c>
      <c r="B8326" s="1" t="n">
        <v>45105</v>
      </c>
      <c r="C8326" s="1" t="n">
        <v>45715</v>
      </c>
      <c r="D8326" t="inlineStr">
        <is>
          <t>KALMAR LÄN</t>
        </is>
      </c>
      <c r="E8326" t="inlineStr">
        <is>
          <t>OSKARSHAMN</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29182-2023</t>
        </is>
      </c>
      <c r="B8327" s="1" t="n">
        <v>45105</v>
      </c>
      <c r="C8327" s="1" t="n">
        <v>45715</v>
      </c>
      <c r="D8327" t="inlineStr">
        <is>
          <t>KALMAR LÄN</t>
        </is>
      </c>
      <c r="E8327" t="inlineStr">
        <is>
          <t>EMMABODA</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29093-2023</t>
        </is>
      </c>
      <c r="B8328" s="1" t="n">
        <v>45105</v>
      </c>
      <c r="C8328" s="1" t="n">
        <v>45715</v>
      </c>
      <c r="D8328" t="inlineStr">
        <is>
          <t>KALMAR LÄN</t>
        </is>
      </c>
      <c r="E8328" t="inlineStr">
        <is>
          <t>VIMMERBY</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29145-2023</t>
        </is>
      </c>
      <c r="B8329" s="1" t="n">
        <v>45105</v>
      </c>
      <c r="C8329" s="1" t="n">
        <v>45715</v>
      </c>
      <c r="D8329" t="inlineStr">
        <is>
          <t>KALMAR LÄN</t>
        </is>
      </c>
      <c r="E8329" t="inlineStr">
        <is>
          <t>OSKARSHAMN</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29180-2023</t>
        </is>
      </c>
      <c r="B8330" s="1" t="n">
        <v>45105</v>
      </c>
      <c r="C8330" s="1" t="n">
        <v>45715</v>
      </c>
      <c r="D8330" t="inlineStr">
        <is>
          <t>KALMAR LÄN</t>
        </is>
      </c>
      <c r="E8330" t="inlineStr">
        <is>
          <t>OSKARSHAMN</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29196-2023</t>
        </is>
      </c>
      <c r="B8331" s="1" t="n">
        <v>45105</v>
      </c>
      <c r="C8331" s="1" t="n">
        <v>45715</v>
      </c>
      <c r="D8331" t="inlineStr">
        <is>
          <t>KALMAR LÄN</t>
        </is>
      </c>
      <c r="E8331" t="inlineStr">
        <is>
          <t>VIMMERBY</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29267-2023</t>
        </is>
      </c>
      <c r="B8332" s="1" t="n">
        <v>45105</v>
      </c>
      <c r="C8332" s="1" t="n">
        <v>45715</v>
      </c>
      <c r="D8332" t="inlineStr">
        <is>
          <t>KALMAR LÄN</t>
        </is>
      </c>
      <c r="E8332" t="inlineStr">
        <is>
          <t>HULTSFRED</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31684-2023</t>
        </is>
      </c>
      <c r="B8333" s="1" t="n">
        <v>45105</v>
      </c>
      <c r="C8333" s="1" t="n">
        <v>45715</v>
      </c>
      <c r="D8333" t="inlineStr">
        <is>
          <t>KALMAR LÄN</t>
        </is>
      </c>
      <c r="E8333" t="inlineStr">
        <is>
          <t>MÖNSTERÅS</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31707-2023</t>
        </is>
      </c>
      <c r="B8334" s="1" t="n">
        <v>45105</v>
      </c>
      <c r="C8334" s="1" t="n">
        <v>45715</v>
      </c>
      <c r="D8334" t="inlineStr">
        <is>
          <t>KALMAR LÄN</t>
        </is>
      </c>
      <c r="E8334" t="inlineStr">
        <is>
          <t>HÖGSBY</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29351-2023</t>
        </is>
      </c>
      <c r="B8335" s="1" t="n">
        <v>45106</v>
      </c>
      <c r="C8335" s="1" t="n">
        <v>45715</v>
      </c>
      <c r="D8335" t="inlineStr">
        <is>
          <t>KALMAR LÄN</t>
        </is>
      </c>
      <c r="E8335" t="inlineStr">
        <is>
          <t>VIMMERBY</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29363-2023</t>
        </is>
      </c>
      <c r="B8336" s="1" t="n">
        <v>45106</v>
      </c>
      <c r="C8336" s="1" t="n">
        <v>45715</v>
      </c>
      <c r="D8336" t="inlineStr">
        <is>
          <t>KALMAR LÄN</t>
        </is>
      </c>
      <c r="E8336" t="inlineStr">
        <is>
          <t>HULTSFRED</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29350-2023</t>
        </is>
      </c>
      <c r="B8337" s="1" t="n">
        <v>45106</v>
      </c>
      <c r="C8337" s="1" t="n">
        <v>45715</v>
      </c>
      <c r="D8337" t="inlineStr">
        <is>
          <t>KALMAR LÄN</t>
        </is>
      </c>
      <c r="E8337" t="inlineStr">
        <is>
          <t>VIMMERBY</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29348-2023</t>
        </is>
      </c>
      <c r="B8338" s="1" t="n">
        <v>45106</v>
      </c>
      <c r="C8338" s="1" t="n">
        <v>45715</v>
      </c>
      <c r="D8338" t="inlineStr">
        <is>
          <t>KALMAR LÄN</t>
        </is>
      </c>
      <c r="E8338" t="inlineStr">
        <is>
          <t>VIMMERBY</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29349-2023</t>
        </is>
      </c>
      <c r="B8339" s="1" t="n">
        <v>45106</v>
      </c>
      <c r="C8339" s="1" t="n">
        <v>45715</v>
      </c>
      <c r="D8339" t="inlineStr">
        <is>
          <t>KALMAR LÄN</t>
        </is>
      </c>
      <c r="E8339" t="inlineStr">
        <is>
          <t>VIMMERBY</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29585-2023</t>
        </is>
      </c>
      <c r="B8340" s="1" t="n">
        <v>45106</v>
      </c>
      <c r="C8340" s="1" t="n">
        <v>45715</v>
      </c>
      <c r="D8340" t="inlineStr">
        <is>
          <t>KALMAR LÄN</t>
        </is>
      </c>
      <c r="E8340" t="inlineStr">
        <is>
          <t>OSKARSHAMN</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29557-2023</t>
        </is>
      </c>
      <c r="B8341" s="1" t="n">
        <v>45106</v>
      </c>
      <c r="C8341" s="1" t="n">
        <v>45715</v>
      </c>
      <c r="D8341" t="inlineStr">
        <is>
          <t>KALMAR LÄN</t>
        </is>
      </c>
      <c r="E8341" t="inlineStr">
        <is>
          <t>NYBRO</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29539-2023</t>
        </is>
      </c>
      <c r="B8342" s="1" t="n">
        <v>45106</v>
      </c>
      <c r="C8342" s="1" t="n">
        <v>45715</v>
      </c>
      <c r="D8342" t="inlineStr">
        <is>
          <t>KALMAR LÄN</t>
        </is>
      </c>
      <c r="E8342" t="inlineStr">
        <is>
          <t>MÖNSTERÅS</t>
        </is>
      </c>
      <c r="G8342" t="n">
        <v>7.4</v>
      </c>
      <c r="H8342" t="n">
        <v>0</v>
      </c>
      <c r="I8342" t="n">
        <v>0</v>
      </c>
      <c r="J8342" t="n">
        <v>0</v>
      </c>
      <c r="K8342" t="n">
        <v>0</v>
      </c>
      <c r="L8342" t="n">
        <v>0</v>
      </c>
      <c r="M8342" t="n">
        <v>0</v>
      </c>
      <c r="N8342" t="n">
        <v>0</v>
      </c>
      <c r="O8342" t="n">
        <v>0</v>
      </c>
      <c r="P8342" t="n">
        <v>0</v>
      </c>
      <c r="Q8342" t="n">
        <v>0</v>
      </c>
      <c r="R8342" s="2" t="inlineStr"/>
    </row>
    <row r="8343" ht="15" customHeight="1">
      <c r="A8343" t="inlineStr">
        <is>
          <t>A 29587-2023</t>
        </is>
      </c>
      <c r="B8343" s="1" t="n">
        <v>45106</v>
      </c>
      <c r="C8343" s="1" t="n">
        <v>45715</v>
      </c>
      <c r="D8343" t="inlineStr">
        <is>
          <t>KALMAR LÄN</t>
        </is>
      </c>
      <c r="E8343" t="inlineStr">
        <is>
          <t>OSKARSHAMN</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29549-2023</t>
        </is>
      </c>
      <c r="B8344" s="1" t="n">
        <v>45106</v>
      </c>
      <c r="C8344" s="1" t="n">
        <v>45715</v>
      </c>
      <c r="D8344" t="inlineStr">
        <is>
          <t>KALMAR LÄN</t>
        </is>
      </c>
      <c r="E8344" t="inlineStr">
        <is>
          <t>MÖNSTERÅS</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31661-2023</t>
        </is>
      </c>
      <c r="B8345" s="1" t="n">
        <v>45106</v>
      </c>
      <c r="C8345" s="1" t="n">
        <v>45715</v>
      </c>
      <c r="D8345" t="inlineStr">
        <is>
          <t>KALMAR LÄN</t>
        </is>
      </c>
      <c r="E8345" t="inlineStr">
        <is>
          <t>MÖNSTERÅS</t>
        </is>
      </c>
      <c r="F8345" t="inlineStr">
        <is>
          <t>Kyrkan</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31754-2023</t>
        </is>
      </c>
      <c r="B8346" s="1" t="n">
        <v>45106</v>
      </c>
      <c r="C8346" s="1" t="n">
        <v>45715</v>
      </c>
      <c r="D8346" t="inlineStr">
        <is>
          <t>KALMAR LÄN</t>
        </is>
      </c>
      <c r="E8346" t="inlineStr">
        <is>
          <t>MÖNSTERÅS</t>
        </is>
      </c>
      <c r="F8346" t="inlineStr">
        <is>
          <t>Kyrkan</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31753-2023</t>
        </is>
      </c>
      <c r="B8347" s="1" t="n">
        <v>45106</v>
      </c>
      <c r="C8347" s="1" t="n">
        <v>45715</v>
      </c>
      <c r="D8347" t="inlineStr">
        <is>
          <t>KALMAR LÄN</t>
        </is>
      </c>
      <c r="E8347" t="inlineStr">
        <is>
          <t>MÖNSTERÅS</t>
        </is>
      </c>
      <c r="F8347" t="inlineStr">
        <is>
          <t>Kyrkan</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31752-2023</t>
        </is>
      </c>
      <c r="B8348" s="1" t="n">
        <v>45106</v>
      </c>
      <c r="C8348" s="1" t="n">
        <v>45715</v>
      </c>
      <c r="D8348" t="inlineStr">
        <is>
          <t>KALMAR LÄN</t>
        </is>
      </c>
      <c r="E8348" t="inlineStr">
        <is>
          <t>MÖNSTERÅS</t>
        </is>
      </c>
      <c r="F8348" t="inlineStr">
        <is>
          <t>Kyrkan</t>
        </is>
      </c>
      <c r="G8348" t="n">
        <v>5.1</v>
      </c>
      <c r="H8348" t="n">
        <v>0</v>
      </c>
      <c r="I8348" t="n">
        <v>0</v>
      </c>
      <c r="J8348" t="n">
        <v>0</v>
      </c>
      <c r="K8348" t="n">
        <v>0</v>
      </c>
      <c r="L8348" t="n">
        <v>0</v>
      </c>
      <c r="M8348" t="n">
        <v>0</v>
      </c>
      <c r="N8348" t="n">
        <v>0</v>
      </c>
      <c r="O8348" t="n">
        <v>0</v>
      </c>
      <c r="P8348" t="n">
        <v>0</v>
      </c>
      <c r="Q8348" t="n">
        <v>0</v>
      </c>
      <c r="R8348" s="2" t="inlineStr"/>
    </row>
    <row r="8349" ht="15" customHeight="1">
      <c r="A8349" t="inlineStr">
        <is>
          <t>A 31757-2023</t>
        </is>
      </c>
      <c r="B8349" s="1" t="n">
        <v>45106</v>
      </c>
      <c r="C8349" s="1" t="n">
        <v>45715</v>
      </c>
      <c r="D8349" t="inlineStr">
        <is>
          <t>KALMAR LÄN</t>
        </is>
      </c>
      <c r="E8349" t="inlineStr">
        <is>
          <t>MÖNSTERÅS</t>
        </is>
      </c>
      <c r="F8349" t="inlineStr">
        <is>
          <t>Kyrkan</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31878-2023</t>
        </is>
      </c>
      <c r="B8350" s="1" t="n">
        <v>45106</v>
      </c>
      <c r="C8350" s="1" t="n">
        <v>45715</v>
      </c>
      <c r="D8350" t="inlineStr">
        <is>
          <t>KALMAR LÄN</t>
        </is>
      </c>
      <c r="E8350" t="inlineStr">
        <is>
          <t>MÖNSTERÅS</t>
        </is>
      </c>
      <c r="G8350" t="n">
        <v>5</v>
      </c>
      <c r="H8350" t="n">
        <v>0</v>
      </c>
      <c r="I8350" t="n">
        <v>0</v>
      </c>
      <c r="J8350" t="n">
        <v>0</v>
      </c>
      <c r="K8350" t="n">
        <v>0</v>
      </c>
      <c r="L8350" t="n">
        <v>0</v>
      </c>
      <c r="M8350" t="n">
        <v>0</v>
      </c>
      <c r="N8350" t="n">
        <v>0</v>
      </c>
      <c r="O8350" t="n">
        <v>0</v>
      </c>
      <c r="P8350" t="n">
        <v>0</v>
      </c>
      <c r="Q8350" t="n">
        <v>0</v>
      </c>
      <c r="R8350" s="2" t="inlineStr"/>
    </row>
    <row r="8351" ht="15" customHeight="1">
      <c r="A8351" t="inlineStr">
        <is>
          <t>A 31881-2023</t>
        </is>
      </c>
      <c r="B8351" s="1" t="n">
        <v>45106</v>
      </c>
      <c r="C8351" s="1" t="n">
        <v>45715</v>
      </c>
      <c r="D8351" t="inlineStr">
        <is>
          <t>KALMAR LÄN</t>
        </is>
      </c>
      <c r="E8351" t="inlineStr">
        <is>
          <t>MÖNSTERÅS</t>
        </is>
      </c>
      <c r="G8351" t="n">
        <v>5.9</v>
      </c>
      <c r="H8351" t="n">
        <v>0</v>
      </c>
      <c r="I8351" t="n">
        <v>0</v>
      </c>
      <c r="J8351" t="n">
        <v>0</v>
      </c>
      <c r="K8351" t="n">
        <v>0</v>
      </c>
      <c r="L8351" t="n">
        <v>0</v>
      </c>
      <c r="M8351" t="n">
        <v>0</v>
      </c>
      <c r="N8351" t="n">
        <v>0</v>
      </c>
      <c r="O8351" t="n">
        <v>0</v>
      </c>
      <c r="P8351" t="n">
        <v>0</v>
      </c>
      <c r="Q8351" t="n">
        <v>0</v>
      </c>
      <c r="R8351" s="2" t="inlineStr"/>
    </row>
    <row r="8352" ht="15" customHeight="1">
      <c r="A8352" t="inlineStr">
        <is>
          <t>A 31755-2023</t>
        </is>
      </c>
      <c r="B8352" s="1" t="n">
        <v>45106</v>
      </c>
      <c r="C8352" s="1" t="n">
        <v>45715</v>
      </c>
      <c r="D8352" t="inlineStr">
        <is>
          <t>KALMAR LÄN</t>
        </is>
      </c>
      <c r="E8352" t="inlineStr">
        <is>
          <t>MÖNSTERÅS</t>
        </is>
      </c>
      <c r="F8352" t="inlineStr">
        <is>
          <t>Kyrkan</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29859-2023</t>
        </is>
      </c>
      <c r="B8353" s="1" t="n">
        <v>45107</v>
      </c>
      <c r="C8353" s="1" t="n">
        <v>45715</v>
      </c>
      <c r="D8353" t="inlineStr">
        <is>
          <t>KALMAR LÄN</t>
        </is>
      </c>
      <c r="E8353" t="inlineStr">
        <is>
          <t>EMMABODA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29674-2023</t>
        </is>
      </c>
      <c r="B8354" s="1" t="n">
        <v>45107</v>
      </c>
      <c r="C8354" s="1" t="n">
        <v>45715</v>
      </c>
      <c r="D8354" t="inlineStr">
        <is>
          <t>KALMAR LÄN</t>
        </is>
      </c>
      <c r="E8354" t="inlineStr">
        <is>
          <t>KALMAR</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29719-2023</t>
        </is>
      </c>
      <c r="B8355" s="1" t="n">
        <v>45107</v>
      </c>
      <c r="C8355" s="1" t="n">
        <v>45715</v>
      </c>
      <c r="D8355" t="inlineStr">
        <is>
          <t>KALMAR LÄN</t>
        </is>
      </c>
      <c r="E8355" t="inlineStr">
        <is>
          <t>NYBRO</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29782-2023</t>
        </is>
      </c>
      <c r="B8356" s="1" t="n">
        <v>45107</v>
      </c>
      <c r="C8356" s="1" t="n">
        <v>45715</v>
      </c>
      <c r="D8356" t="inlineStr">
        <is>
          <t>KALMAR LÄN</t>
        </is>
      </c>
      <c r="E8356" t="inlineStr">
        <is>
          <t>EMMABODA</t>
        </is>
      </c>
      <c r="G8356" t="n">
        <v>7.4</v>
      </c>
      <c r="H8356" t="n">
        <v>0</v>
      </c>
      <c r="I8356" t="n">
        <v>0</v>
      </c>
      <c r="J8356" t="n">
        <v>0</v>
      </c>
      <c r="K8356" t="n">
        <v>0</v>
      </c>
      <c r="L8356" t="n">
        <v>0</v>
      </c>
      <c r="M8356" t="n">
        <v>0</v>
      </c>
      <c r="N8356" t="n">
        <v>0</v>
      </c>
      <c r="O8356" t="n">
        <v>0</v>
      </c>
      <c r="P8356" t="n">
        <v>0</v>
      </c>
      <c r="Q8356" t="n">
        <v>0</v>
      </c>
      <c r="R8356" s="2" t="inlineStr"/>
    </row>
    <row r="8357" ht="15" customHeight="1">
      <c r="A8357" t="inlineStr">
        <is>
          <t>A 29907-2023</t>
        </is>
      </c>
      <c r="B8357" s="1" t="n">
        <v>45107</v>
      </c>
      <c r="C8357" s="1" t="n">
        <v>45715</v>
      </c>
      <c r="D8357" t="inlineStr">
        <is>
          <t>KALMAR LÄN</t>
        </is>
      </c>
      <c r="E8357" t="inlineStr">
        <is>
          <t>VÄSTERVIK</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29905-2023</t>
        </is>
      </c>
      <c r="B8358" s="1" t="n">
        <v>45107</v>
      </c>
      <c r="C8358" s="1" t="n">
        <v>45715</v>
      </c>
      <c r="D8358" t="inlineStr">
        <is>
          <t>KALMAR LÄN</t>
        </is>
      </c>
      <c r="E8358" t="inlineStr">
        <is>
          <t>VÄSTERVIK</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29656-2023</t>
        </is>
      </c>
      <c r="B8359" s="1" t="n">
        <v>45107</v>
      </c>
      <c r="C8359" s="1" t="n">
        <v>45715</v>
      </c>
      <c r="D8359" t="inlineStr">
        <is>
          <t>KALMAR LÄN</t>
        </is>
      </c>
      <c r="E8359" t="inlineStr">
        <is>
          <t>BORGHOLM</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29757-2023</t>
        </is>
      </c>
      <c r="B8360" s="1" t="n">
        <v>45107</v>
      </c>
      <c r="C8360" s="1" t="n">
        <v>45715</v>
      </c>
      <c r="D8360" t="inlineStr">
        <is>
          <t>KALMAR LÄN</t>
        </is>
      </c>
      <c r="E8360" t="inlineStr">
        <is>
          <t>EMMABODA</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29904-2023</t>
        </is>
      </c>
      <c r="B8361" s="1" t="n">
        <v>45107</v>
      </c>
      <c r="C8361" s="1" t="n">
        <v>45715</v>
      </c>
      <c r="D8361" t="inlineStr">
        <is>
          <t>KALMAR LÄN</t>
        </is>
      </c>
      <c r="E8361" t="inlineStr">
        <is>
          <t>VÄSTERVIK</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29924-2023</t>
        </is>
      </c>
      <c r="B8362" s="1" t="n">
        <v>45107</v>
      </c>
      <c r="C8362" s="1" t="n">
        <v>45715</v>
      </c>
      <c r="D8362" t="inlineStr">
        <is>
          <t>KALMAR LÄN</t>
        </is>
      </c>
      <c r="E8362" t="inlineStr">
        <is>
          <t>NYBRO</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29755-2023</t>
        </is>
      </c>
      <c r="B8363" s="1" t="n">
        <v>45107</v>
      </c>
      <c r="C8363" s="1" t="n">
        <v>45715</v>
      </c>
      <c r="D8363" t="inlineStr">
        <is>
          <t>KALMAR LÄN</t>
        </is>
      </c>
      <c r="E8363" t="inlineStr">
        <is>
          <t>EMMABODA</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29973-2023</t>
        </is>
      </c>
      <c r="B8364" s="1" t="n">
        <v>45108</v>
      </c>
      <c r="C8364" s="1" t="n">
        <v>45715</v>
      </c>
      <c r="D8364" t="inlineStr">
        <is>
          <t>KALMAR LÄN</t>
        </is>
      </c>
      <c r="E8364" t="inlineStr">
        <is>
          <t>VIMMERBY</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30070-2023</t>
        </is>
      </c>
      <c r="B8365" s="1" t="n">
        <v>45110</v>
      </c>
      <c r="C8365" s="1" t="n">
        <v>45715</v>
      </c>
      <c r="D8365" t="inlineStr">
        <is>
          <t>KALMAR LÄN</t>
        </is>
      </c>
      <c r="E8365" t="inlineStr">
        <is>
          <t>VIMMERBY</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30107-2023</t>
        </is>
      </c>
      <c r="B8366" s="1" t="n">
        <v>45110</v>
      </c>
      <c r="C8366" s="1" t="n">
        <v>45715</v>
      </c>
      <c r="D8366" t="inlineStr">
        <is>
          <t>KALMAR LÄN</t>
        </is>
      </c>
      <c r="E8366" t="inlineStr">
        <is>
          <t>OSKARSHAMN</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30029-2023</t>
        </is>
      </c>
      <c r="B8367" s="1" t="n">
        <v>45110</v>
      </c>
      <c r="C8367" s="1" t="n">
        <v>45715</v>
      </c>
      <c r="D8367" t="inlineStr">
        <is>
          <t>KALMAR LÄN</t>
        </is>
      </c>
      <c r="E8367" t="inlineStr">
        <is>
          <t>VÄSTERVIK</t>
        </is>
      </c>
      <c r="F8367" t="inlineStr">
        <is>
          <t>Holmen skog AB</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30227-2023</t>
        </is>
      </c>
      <c r="B8368" s="1" t="n">
        <v>45110</v>
      </c>
      <c r="C8368" s="1" t="n">
        <v>45715</v>
      </c>
      <c r="D8368" t="inlineStr">
        <is>
          <t>KALMAR LÄN</t>
        </is>
      </c>
      <c r="E8368" t="inlineStr">
        <is>
          <t>OSKARSHAMN</t>
        </is>
      </c>
      <c r="G8368" t="n">
        <v>4.8</v>
      </c>
      <c r="H8368" t="n">
        <v>0</v>
      </c>
      <c r="I8368" t="n">
        <v>0</v>
      </c>
      <c r="J8368" t="n">
        <v>0</v>
      </c>
      <c r="K8368" t="n">
        <v>0</v>
      </c>
      <c r="L8368" t="n">
        <v>0</v>
      </c>
      <c r="M8368" t="n">
        <v>0</v>
      </c>
      <c r="N8368" t="n">
        <v>0</v>
      </c>
      <c r="O8368" t="n">
        <v>0</v>
      </c>
      <c r="P8368" t="n">
        <v>0</v>
      </c>
      <c r="Q8368" t="n">
        <v>0</v>
      </c>
      <c r="R8368" s="2" t="inlineStr"/>
    </row>
    <row r="8369" ht="15" customHeight="1">
      <c r="A8369" t="inlineStr">
        <is>
          <t>A 30063-2023</t>
        </is>
      </c>
      <c r="B8369" s="1" t="n">
        <v>45110</v>
      </c>
      <c r="C8369" s="1" t="n">
        <v>45715</v>
      </c>
      <c r="D8369" t="inlineStr">
        <is>
          <t>KALMAR LÄN</t>
        </is>
      </c>
      <c r="E8369" t="inlineStr">
        <is>
          <t>VIMMERBY</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30035-2023</t>
        </is>
      </c>
      <c r="B8370" s="1" t="n">
        <v>45110</v>
      </c>
      <c r="C8370" s="1" t="n">
        <v>45715</v>
      </c>
      <c r="D8370" t="inlineStr">
        <is>
          <t>KALMAR LÄN</t>
        </is>
      </c>
      <c r="E8370" t="inlineStr">
        <is>
          <t>VÄSTERVIK</t>
        </is>
      </c>
      <c r="F8370" t="inlineStr">
        <is>
          <t>Holmen skog AB</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30057-2023</t>
        </is>
      </c>
      <c r="B8371" s="1" t="n">
        <v>45110</v>
      </c>
      <c r="C8371" s="1" t="n">
        <v>45715</v>
      </c>
      <c r="D8371" t="inlineStr">
        <is>
          <t>KALMAR LÄN</t>
        </is>
      </c>
      <c r="E8371" t="inlineStr">
        <is>
          <t>OSKARSHAMN</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30090-2023</t>
        </is>
      </c>
      <c r="B8372" s="1" t="n">
        <v>45110</v>
      </c>
      <c r="C8372" s="1" t="n">
        <v>45715</v>
      </c>
      <c r="D8372" t="inlineStr">
        <is>
          <t>KALMAR LÄN</t>
        </is>
      </c>
      <c r="E8372" t="inlineStr">
        <is>
          <t>VIMMERBY</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30139-2023</t>
        </is>
      </c>
      <c r="B8373" s="1" t="n">
        <v>45110</v>
      </c>
      <c r="C8373" s="1" t="n">
        <v>45715</v>
      </c>
      <c r="D8373" t="inlineStr">
        <is>
          <t>KALMAR LÄN</t>
        </is>
      </c>
      <c r="E8373" t="inlineStr">
        <is>
          <t>KALMAR</t>
        </is>
      </c>
      <c r="F8373" t="inlineStr">
        <is>
          <t>Sveaskog</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30218-2023</t>
        </is>
      </c>
      <c r="B8374" s="1" t="n">
        <v>45110</v>
      </c>
      <c r="C8374" s="1" t="n">
        <v>45715</v>
      </c>
      <c r="D8374" t="inlineStr">
        <is>
          <t>KALMAR LÄN</t>
        </is>
      </c>
      <c r="E8374" t="inlineStr">
        <is>
          <t>OSKARSHAMN</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30072-2023</t>
        </is>
      </c>
      <c r="B8375" s="1" t="n">
        <v>45110</v>
      </c>
      <c r="C8375" s="1" t="n">
        <v>45715</v>
      </c>
      <c r="D8375" t="inlineStr">
        <is>
          <t>KALMAR LÄN</t>
        </is>
      </c>
      <c r="E8375" t="inlineStr">
        <is>
          <t>KALMAR</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30109-2023</t>
        </is>
      </c>
      <c r="B8376" s="1" t="n">
        <v>45110</v>
      </c>
      <c r="C8376" s="1" t="n">
        <v>45715</v>
      </c>
      <c r="D8376" t="inlineStr">
        <is>
          <t>KALMAR LÄN</t>
        </is>
      </c>
      <c r="E8376" t="inlineStr">
        <is>
          <t>OSKARSHAMN</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30118-2023</t>
        </is>
      </c>
      <c r="B8377" s="1" t="n">
        <v>45110</v>
      </c>
      <c r="C8377" s="1" t="n">
        <v>45715</v>
      </c>
      <c r="D8377" t="inlineStr">
        <is>
          <t>KALMAR LÄN</t>
        </is>
      </c>
      <c r="E8377" t="inlineStr">
        <is>
          <t>OSKARSHAMN</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30140-2023</t>
        </is>
      </c>
      <c r="B8378" s="1" t="n">
        <v>45110</v>
      </c>
      <c r="C8378" s="1" t="n">
        <v>45715</v>
      </c>
      <c r="D8378" t="inlineStr">
        <is>
          <t>KALMAR LÄN</t>
        </is>
      </c>
      <c r="E8378" t="inlineStr">
        <is>
          <t>KALMAR</t>
        </is>
      </c>
      <c r="F8378" t="inlineStr">
        <is>
          <t>Sveaskog</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30215-2023</t>
        </is>
      </c>
      <c r="B8379" s="1" t="n">
        <v>45110</v>
      </c>
      <c r="C8379" s="1" t="n">
        <v>45715</v>
      </c>
      <c r="D8379" t="inlineStr">
        <is>
          <t>KALMAR LÄN</t>
        </is>
      </c>
      <c r="E8379" t="inlineStr">
        <is>
          <t>OSKARSHAMN</t>
        </is>
      </c>
      <c r="G8379" t="n">
        <v>12.9</v>
      </c>
      <c r="H8379" t="n">
        <v>0</v>
      </c>
      <c r="I8379" t="n">
        <v>0</v>
      </c>
      <c r="J8379" t="n">
        <v>0</v>
      </c>
      <c r="K8379" t="n">
        <v>0</v>
      </c>
      <c r="L8379" t="n">
        <v>0</v>
      </c>
      <c r="M8379" t="n">
        <v>0</v>
      </c>
      <c r="N8379" t="n">
        <v>0</v>
      </c>
      <c r="O8379" t="n">
        <v>0</v>
      </c>
      <c r="P8379" t="n">
        <v>0</v>
      </c>
      <c r="Q8379" t="n">
        <v>0</v>
      </c>
      <c r="R8379" s="2" t="inlineStr"/>
    </row>
    <row r="8380" ht="15" customHeight="1">
      <c r="A8380" t="inlineStr">
        <is>
          <t>A 30230-2023</t>
        </is>
      </c>
      <c r="B8380" s="1" t="n">
        <v>45110</v>
      </c>
      <c r="C8380" s="1" t="n">
        <v>45715</v>
      </c>
      <c r="D8380" t="inlineStr">
        <is>
          <t>KALMAR LÄN</t>
        </is>
      </c>
      <c r="E8380" t="inlineStr">
        <is>
          <t>OSKARSHAMN</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30106-2023</t>
        </is>
      </c>
      <c r="B8381" s="1" t="n">
        <v>45110</v>
      </c>
      <c r="C8381" s="1" t="n">
        <v>45715</v>
      </c>
      <c r="D8381" t="inlineStr">
        <is>
          <t>KALMAR LÄN</t>
        </is>
      </c>
      <c r="E8381" t="inlineStr">
        <is>
          <t>OSKARSHAMN</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30143-2023</t>
        </is>
      </c>
      <c r="B8382" s="1" t="n">
        <v>45110</v>
      </c>
      <c r="C8382" s="1" t="n">
        <v>45715</v>
      </c>
      <c r="D8382" t="inlineStr">
        <is>
          <t>KALMAR LÄN</t>
        </is>
      </c>
      <c r="E8382" t="inlineStr">
        <is>
          <t>NYBRO</t>
        </is>
      </c>
      <c r="F8382" t="inlineStr">
        <is>
          <t>Sveaskog</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32418-2023</t>
        </is>
      </c>
      <c r="B8383" s="1" t="n">
        <v>45110</v>
      </c>
      <c r="C8383" s="1" t="n">
        <v>45715</v>
      </c>
      <c r="D8383" t="inlineStr">
        <is>
          <t>KALMAR LÄN</t>
        </is>
      </c>
      <c r="E8383" t="inlineStr">
        <is>
          <t>VÄSTERVIK</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32542-2023</t>
        </is>
      </c>
      <c r="B8384" s="1" t="n">
        <v>45110</v>
      </c>
      <c r="C8384" s="1" t="n">
        <v>45715</v>
      </c>
      <c r="D8384" t="inlineStr">
        <is>
          <t>KALMAR LÄN</t>
        </is>
      </c>
      <c r="E8384" t="inlineStr">
        <is>
          <t>NYBRO</t>
        </is>
      </c>
      <c r="F8384" t="inlineStr">
        <is>
          <t>Kyrkan</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30510-2023</t>
        </is>
      </c>
      <c r="B8385" s="1" t="n">
        <v>45111</v>
      </c>
      <c r="C8385" s="1" t="n">
        <v>45715</v>
      </c>
      <c r="D8385" t="inlineStr">
        <is>
          <t>KALMAR LÄN</t>
        </is>
      </c>
      <c r="E8385" t="inlineStr">
        <is>
          <t>NYBRO</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30515-2023</t>
        </is>
      </c>
      <c r="B8386" s="1" t="n">
        <v>45111</v>
      </c>
      <c r="C8386" s="1" t="n">
        <v>45715</v>
      </c>
      <c r="D8386" t="inlineStr">
        <is>
          <t>KALMAR LÄN</t>
        </is>
      </c>
      <c r="E8386" t="inlineStr">
        <is>
          <t>EMMABODA</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30490-2023</t>
        </is>
      </c>
      <c r="B8387" s="1" t="n">
        <v>45111</v>
      </c>
      <c r="C8387" s="1" t="n">
        <v>45715</v>
      </c>
      <c r="D8387" t="inlineStr">
        <is>
          <t>KALMAR LÄN</t>
        </is>
      </c>
      <c r="E8387" t="inlineStr">
        <is>
          <t>HÖGSBY</t>
        </is>
      </c>
      <c r="G8387" t="n">
        <v>12.1</v>
      </c>
      <c r="H8387" t="n">
        <v>0</v>
      </c>
      <c r="I8387" t="n">
        <v>0</v>
      </c>
      <c r="J8387" t="n">
        <v>0</v>
      </c>
      <c r="K8387" t="n">
        <v>0</v>
      </c>
      <c r="L8387" t="n">
        <v>0</v>
      </c>
      <c r="M8387" t="n">
        <v>0</v>
      </c>
      <c r="N8387" t="n">
        <v>0</v>
      </c>
      <c r="O8387" t="n">
        <v>0</v>
      </c>
      <c r="P8387" t="n">
        <v>0</v>
      </c>
      <c r="Q8387" t="n">
        <v>0</v>
      </c>
      <c r="R8387" s="2" t="inlineStr"/>
    </row>
    <row r="8388" ht="15" customHeight="1">
      <c r="A8388" t="inlineStr">
        <is>
          <t>A 30543-2023</t>
        </is>
      </c>
      <c r="B8388" s="1" t="n">
        <v>45111</v>
      </c>
      <c r="C8388" s="1" t="n">
        <v>45715</v>
      </c>
      <c r="D8388" t="inlineStr">
        <is>
          <t>KALMAR LÄN</t>
        </is>
      </c>
      <c r="E8388" t="inlineStr">
        <is>
          <t>NYBRO</t>
        </is>
      </c>
      <c r="G8388" t="n">
        <v>13.1</v>
      </c>
      <c r="H8388" t="n">
        <v>0</v>
      </c>
      <c r="I8388" t="n">
        <v>0</v>
      </c>
      <c r="J8388" t="n">
        <v>0</v>
      </c>
      <c r="K8388" t="n">
        <v>0</v>
      </c>
      <c r="L8388" t="n">
        <v>0</v>
      </c>
      <c r="M8388" t="n">
        <v>0</v>
      </c>
      <c r="N8388" t="n">
        <v>0</v>
      </c>
      <c r="O8388" t="n">
        <v>0</v>
      </c>
      <c r="P8388" t="n">
        <v>0</v>
      </c>
      <c r="Q8388" t="n">
        <v>0</v>
      </c>
      <c r="R8388" s="2" t="inlineStr"/>
    </row>
    <row r="8389" ht="15" customHeight="1">
      <c r="A8389" t="inlineStr">
        <is>
          <t>A 30503-2023</t>
        </is>
      </c>
      <c r="B8389" s="1" t="n">
        <v>45111</v>
      </c>
      <c r="C8389" s="1" t="n">
        <v>45715</v>
      </c>
      <c r="D8389" t="inlineStr">
        <is>
          <t>KALMAR LÄN</t>
        </is>
      </c>
      <c r="E8389" t="inlineStr">
        <is>
          <t>VIMMERBY</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30518-2023</t>
        </is>
      </c>
      <c r="B8390" s="1" t="n">
        <v>45111</v>
      </c>
      <c r="C8390" s="1" t="n">
        <v>45715</v>
      </c>
      <c r="D8390" t="inlineStr">
        <is>
          <t>KALMAR LÄN</t>
        </is>
      </c>
      <c r="E8390" t="inlineStr">
        <is>
          <t>NYBRO</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30380-2023</t>
        </is>
      </c>
      <c r="B8391" s="1" t="n">
        <v>45111</v>
      </c>
      <c r="C8391" s="1" t="n">
        <v>45715</v>
      </c>
      <c r="D8391" t="inlineStr">
        <is>
          <t>KALMAR LÄN</t>
        </is>
      </c>
      <c r="E8391" t="inlineStr">
        <is>
          <t>VIMMERBY</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30321-2023</t>
        </is>
      </c>
      <c r="B8392" s="1" t="n">
        <v>45111</v>
      </c>
      <c r="C8392" s="1" t="n">
        <v>45715</v>
      </c>
      <c r="D8392" t="inlineStr">
        <is>
          <t>KALMAR LÄN</t>
        </is>
      </c>
      <c r="E8392" t="inlineStr">
        <is>
          <t>NYBRO</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30400-2023</t>
        </is>
      </c>
      <c r="B8393" s="1" t="n">
        <v>45111</v>
      </c>
      <c r="C8393" s="1" t="n">
        <v>45715</v>
      </c>
      <c r="D8393" t="inlineStr">
        <is>
          <t>KALMAR LÄN</t>
        </is>
      </c>
      <c r="E8393" t="inlineStr">
        <is>
          <t>VIMMERBY</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30426-2023</t>
        </is>
      </c>
      <c r="B8394" s="1" t="n">
        <v>45111</v>
      </c>
      <c r="C8394" s="1" t="n">
        <v>45715</v>
      </c>
      <c r="D8394" t="inlineStr">
        <is>
          <t>KALMAR LÄN</t>
        </is>
      </c>
      <c r="E8394" t="inlineStr">
        <is>
          <t>MÖNSTERÅS</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30318-2023</t>
        </is>
      </c>
      <c r="B8395" s="1" t="n">
        <v>45111</v>
      </c>
      <c r="C8395" s="1" t="n">
        <v>45715</v>
      </c>
      <c r="D8395" t="inlineStr">
        <is>
          <t>KALMAR LÄN</t>
        </is>
      </c>
      <c r="E8395" t="inlineStr">
        <is>
          <t>VIMMERBY</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30322-2023</t>
        </is>
      </c>
      <c r="B8396" s="1" t="n">
        <v>45111</v>
      </c>
      <c r="C8396" s="1" t="n">
        <v>45715</v>
      </c>
      <c r="D8396" t="inlineStr">
        <is>
          <t>KALMAR LÄN</t>
        </is>
      </c>
      <c r="E8396" t="inlineStr">
        <is>
          <t>NYBRO</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30320-2023</t>
        </is>
      </c>
      <c r="B8397" s="1" t="n">
        <v>45111</v>
      </c>
      <c r="C8397" s="1" t="n">
        <v>45715</v>
      </c>
      <c r="D8397" t="inlineStr">
        <is>
          <t>KALMAR LÄN</t>
        </is>
      </c>
      <c r="E8397" t="inlineStr">
        <is>
          <t>NYBRO</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30402-2023</t>
        </is>
      </c>
      <c r="B8398" s="1" t="n">
        <v>45111</v>
      </c>
      <c r="C8398" s="1" t="n">
        <v>45715</v>
      </c>
      <c r="D8398" t="inlineStr">
        <is>
          <t>KALMAR LÄN</t>
        </is>
      </c>
      <c r="E8398" t="inlineStr">
        <is>
          <t>VIMMERBY</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30406-2023</t>
        </is>
      </c>
      <c r="B8399" s="1" t="n">
        <v>45111</v>
      </c>
      <c r="C8399" s="1" t="n">
        <v>45715</v>
      </c>
      <c r="D8399" t="inlineStr">
        <is>
          <t>KALMAR LÄN</t>
        </is>
      </c>
      <c r="E8399" t="inlineStr">
        <is>
          <t>VIMMERBY</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30404-2023</t>
        </is>
      </c>
      <c r="B8400" s="1" t="n">
        <v>45111</v>
      </c>
      <c r="C8400" s="1" t="n">
        <v>45715</v>
      </c>
      <c r="D8400" t="inlineStr">
        <is>
          <t>KALMAR LÄN</t>
        </is>
      </c>
      <c r="E8400" t="inlineStr">
        <is>
          <t>VIMMERBY</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30408-2023</t>
        </is>
      </c>
      <c r="B8401" s="1" t="n">
        <v>45111</v>
      </c>
      <c r="C8401" s="1" t="n">
        <v>45715</v>
      </c>
      <c r="D8401" t="inlineStr">
        <is>
          <t>KALMAR LÄN</t>
        </is>
      </c>
      <c r="E8401" t="inlineStr">
        <is>
          <t>VIMMERBY</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30423-2023</t>
        </is>
      </c>
      <c r="B8402" s="1" t="n">
        <v>45111</v>
      </c>
      <c r="C8402" s="1" t="n">
        <v>45715</v>
      </c>
      <c r="D8402" t="inlineStr">
        <is>
          <t>KALMAR LÄN</t>
        </is>
      </c>
      <c r="E8402" t="inlineStr">
        <is>
          <t>MÖNSTERÅS</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30431-2023</t>
        </is>
      </c>
      <c r="B8403" s="1" t="n">
        <v>45111</v>
      </c>
      <c r="C8403" s="1" t="n">
        <v>45715</v>
      </c>
      <c r="D8403" t="inlineStr">
        <is>
          <t>KALMAR LÄN</t>
        </is>
      </c>
      <c r="E8403" t="inlineStr">
        <is>
          <t>VÄSTERVIK</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30442-2023</t>
        </is>
      </c>
      <c r="B8404" s="1" t="n">
        <v>45111</v>
      </c>
      <c r="C8404" s="1" t="n">
        <v>45715</v>
      </c>
      <c r="D8404" t="inlineStr">
        <is>
          <t>KALMAR LÄN</t>
        </is>
      </c>
      <c r="E8404" t="inlineStr">
        <is>
          <t>NYBRO</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30586-2023</t>
        </is>
      </c>
      <c r="B8405" s="1" t="n">
        <v>45112</v>
      </c>
      <c r="C8405" s="1" t="n">
        <v>45715</v>
      </c>
      <c r="D8405" t="inlineStr">
        <is>
          <t>KALMAR LÄN</t>
        </is>
      </c>
      <c r="E8405" t="inlineStr">
        <is>
          <t>VIMMERBY</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30682-2023</t>
        </is>
      </c>
      <c r="B8406" s="1" t="n">
        <v>45112</v>
      </c>
      <c r="C8406" s="1" t="n">
        <v>45715</v>
      </c>
      <c r="D8406" t="inlineStr">
        <is>
          <t>KALMAR LÄN</t>
        </is>
      </c>
      <c r="E8406" t="inlineStr">
        <is>
          <t>OSKARSHAMN</t>
        </is>
      </c>
      <c r="F8406" t="inlineStr">
        <is>
          <t>Kommuner</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30588-2023</t>
        </is>
      </c>
      <c r="B8407" s="1" t="n">
        <v>45112</v>
      </c>
      <c r="C8407" s="1" t="n">
        <v>45715</v>
      </c>
      <c r="D8407" t="inlineStr">
        <is>
          <t>KALMAR LÄN</t>
        </is>
      </c>
      <c r="E8407" t="inlineStr">
        <is>
          <t>VIMMERBY</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30675-2023</t>
        </is>
      </c>
      <c r="B8408" s="1" t="n">
        <v>45112</v>
      </c>
      <c r="C8408" s="1" t="n">
        <v>45715</v>
      </c>
      <c r="D8408" t="inlineStr">
        <is>
          <t>KALMAR LÄN</t>
        </is>
      </c>
      <c r="E8408" t="inlineStr">
        <is>
          <t>OSKARSHAMN</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30713-2023</t>
        </is>
      </c>
      <c r="B8409" s="1" t="n">
        <v>45112</v>
      </c>
      <c r="C8409" s="1" t="n">
        <v>45715</v>
      </c>
      <c r="D8409" t="inlineStr">
        <is>
          <t>KALMAR LÄN</t>
        </is>
      </c>
      <c r="E8409" t="inlineStr">
        <is>
          <t>HÖGSBY</t>
        </is>
      </c>
      <c r="F8409" t="inlineStr">
        <is>
          <t>Sveaskog</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30720-2023</t>
        </is>
      </c>
      <c r="B8410" s="1" t="n">
        <v>45112</v>
      </c>
      <c r="C8410" s="1" t="n">
        <v>45715</v>
      </c>
      <c r="D8410" t="inlineStr">
        <is>
          <t>KALMAR LÄN</t>
        </is>
      </c>
      <c r="E8410" t="inlineStr">
        <is>
          <t>HÖGSBY</t>
        </is>
      </c>
      <c r="F8410" t="inlineStr">
        <is>
          <t>Sveaskog</t>
        </is>
      </c>
      <c r="G8410" t="n">
        <v>8.1</v>
      </c>
      <c r="H8410" t="n">
        <v>0</v>
      </c>
      <c r="I8410" t="n">
        <v>0</v>
      </c>
      <c r="J8410" t="n">
        <v>0</v>
      </c>
      <c r="K8410" t="n">
        <v>0</v>
      </c>
      <c r="L8410" t="n">
        <v>0</v>
      </c>
      <c r="M8410" t="n">
        <v>0</v>
      </c>
      <c r="N8410" t="n">
        <v>0</v>
      </c>
      <c r="O8410" t="n">
        <v>0</v>
      </c>
      <c r="P8410" t="n">
        <v>0</v>
      </c>
      <c r="Q8410" t="n">
        <v>0</v>
      </c>
      <c r="R8410" s="2" t="inlineStr"/>
    </row>
    <row r="8411" ht="15" customHeight="1">
      <c r="A8411" t="inlineStr">
        <is>
          <t>A 30736-2023</t>
        </is>
      </c>
      <c r="B8411" s="1" t="n">
        <v>45112</v>
      </c>
      <c r="C8411" s="1" t="n">
        <v>45715</v>
      </c>
      <c r="D8411" t="inlineStr">
        <is>
          <t>KALMAR LÄN</t>
        </is>
      </c>
      <c r="E8411" t="inlineStr">
        <is>
          <t>HÖGSBY</t>
        </is>
      </c>
      <c r="F8411" t="inlineStr">
        <is>
          <t>Sveaskog</t>
        </is>
      </c>
      <c r="G8411" t="n">
        <v>5.7</v>
      </c>
      <c r="H8411" t="n">
        <v>0</v>
      </c>
      <c r="I8411" t="n">
        <v>0</v>
      </c>
      <c r="J8411" t="n">
        <v>0</v>
      </c>
      <c r="K8411" t="n">
        <v>0</v>
      </c>
      <c r="L8411" t="n">
        <v>0</v>
      </c>
      <c r="M8411" t="n">
        <v>0</v>
      </c>
      <c r="N8411" t="n">
        <v>0</v>
      </c>
      <c r="O8411" t="n">
        <v>0</v>
      </c>
      <c r="P8411" t="n">
        <v>0</v>
      </c>
      <c r="Q8411" t="n">
        <v>0</v>
      </c>
      <c r="R8411" s="2" t="inlineStr"/>
    </row>
    <row r="8412" ht="15" customHeight="1">
      <c r="A8412" t="inlineStr">
        <is>
          <t>A 30692-2023</t>
        </is>
      </c>
      <c r="B8412" s="1" t="n">
        <v>45112</v>
      </c>
      <c r="C8412" s="1" t="n">
        <v>45715</v>
      </c>
      <c r="D8412" t="inlineStr">
        <is>
          <t>KALMAR LÄN</t>
        </is>
      </c>
      <c r="E8412" t="inlineStr">
        <is>
          <t>VÄSTERVIK</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30864-2023</t>
        </is>
      </c>
      <c r="B8413" s="1" t="n">
        <v>45113</v>
      </c>
      <c r="C8413" s="1" t="n">
        <v>45715</v>
      </c>
      <c r="D8413" t="inlineStr">
        <is>
          <t>KALMAR LÄN</t>
        </is>
      </c>
      <c r="E8413" t="inlineStr">
        <is>
          <t>TORSÅS</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30876-2023</t>
        </is>
      </c>
      <c r="B8414" s="1" t="n">
        <v>45113</v>
      </c>
      <c r="C8414" s="1" t="n">
        <v>45715</v>
      </c>
      <c r="D8414" t="inlineStr">
        <is>
          <t>KALMAR LÄN</t>
        </is>
      </c>
      <c r="E8414" t="inlineStr">
        <is>
          <t>HULTSFRED</t>
        </is>
      </c>
      <c r="G8414" t="n">
        <v>7.1</v>
      </c>
      <c r="H8414" t="n">
        <v>0</v>
      </c>
      <c r="I8414" t="n">
        <v>0</v>
      </c>
      <c r="J8414" t="n">
        <v>0</v>
      </c>
      <c r="K8414" t="n">
        <v>0</v>
      </c>
      <c r="L8414" t="n">
        <v>0</v>
      </c>
      <c r="M8414" t="n">
        <v>0</v>
      </c>
      <c r="N8414" t="n">
        <v>0</v>
      </c>
      <c r="O8414" t="n">
        <v>0</v>
      </c>
      <c r="P8414" t="n">
        <v>0</v>
      </c>
      <c r="Q8414" t="n">
        <v>0</v>
      </c>
      <c r="R8414" s="2" t="inlineStr"/>
    </row>
    <row r="8415" ht="15" customHeight="1">
      <c r="A8415" t="inlineStr">
        <is>
          <t>A 30867-2023</t>
        </is>
      </c>
      <c r="B8415" s="1" t="n">
        <v>45113</v>
      </c>
      <c r="C8415" s="1" t="n">
        <v>45715</v>
      </c>
      <c r="D8415" t="inlineStr">
        <is>
          <t>KALMAR LÄN</t>
        </is>
      </c>
      <c r="E8415" t="inlineStr">
        <is>
          <t>TORSÅS</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30871-2023</t>
        </is>
      </c>
      <c r="B8416" s="1" t="n">
        <v>45113</v>
      </c>
      <c r="C8416" s="1" t="n">
        <v>45715</v>
      </c>
      <c r="D8416" t="inlineStr">
        <is>
          <t>KALMAR LÄN</t>
        </is>
      </c>
      <c r="E8416" t="inlineStr">
        <is>
          <t>TORSÅS</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30875-2023</t>
        </is>
      </c>
      <c r="B8417" s="1" t="n">
        <v>45113</v>
      </c>
      <c r="C8417" s="1" t="n">
        <v>45715</v>
      </c>
      <c r="D8417" t="inlineStr">
        <is>
          <t>KALMAR LÄN</t>
        </is>
      </c>
      <c r="E8417" t="inlineStr">
        <is>
          <t>TORSÅS</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30887-2023</t>
        </is>
      </c>
      <c r="B8418" s="1" t="n">
        <v>45113</v>
      </c>
      <c r="C8418" s="1" t="n">
        <v>45715</v>
      </c>
      <c r="D8418" t="inlineStr">
        <is>
          <t>KALMAR LÄN</t>
        </is>
      </c>
      <c r="E8418" t="inlineStr">
        <is>
          <t>MÖNSTERÅS</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30896-2023</t>
        </is>
      </c>
      <c r="B8419" s="1" t="n">
        <v>45113</v>
      </c>
      <c r="C8419" s="1" t="n">
        <v>45715</v>
      </c>
      <c r="D8419" t="inlineStr">
        <is>
          <t>KALMAR LÄN</t>
        </is>
      </c>
      <c r="E8419" t="inlineStr">
        <is>
          <t>VIMMERBY</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30900-2023</t>
        </is>
      </c>
      <c r="B8420" s="1" t="n">
        <v>45113</v>
      </c>
      <c r="C8420" s="1" t="n">
        <v>45715</v>
      </c>
      <c r="D8420" t="inlineStr">
        <is>
          <t>KALMAR LÄN</t>
        </is>
      </c>
      <c r="E8420" t="inlineStr">
        <is>
          <t>NYBRO</t>
        </is>
      </c>
      <c r="G8420" t="n">
        <v>4.6</v>
      </c>
      <c r="H8420" t="n">
        <v>0</v>
      </c>
      <c r="I8420" t="n">
        <v>0</v>
      </c>
      <c r="J8420" t="n">
        <v>0</v>
      </c>
      <c r="K8420" t="n">
        <v>0</v>
      </c>
      <c r="L8420" t="n">
        <v>0</v>
      </c>
      <c r="M8420" t="n">
        <v>0</v>
      </c>
      <c r="N8420" t="n">
        <v>0</v>
      </c>
      <c r="O8420" t="n">
        <v>0</v>
      </c>
      <c r="P8420" t="n">
        <v>0</v>
      </c>
      <c r="Q8420" t="n">
        <v>0</v>
      </c>
      <c r="R8420" s="2" t="inlineStr"/>
    </row>
    <row r="8421" ht="15" customHeight="1">
      <c r="A8421" t="inlineStr">
        <is>
          <t>A 30904-2023</t>
        </is>
      </c>
      <c r="B8421" s="1" t="n">
        <v>45113</v>
      </c>
      <c r="C8421" s="1" t="n">
        <v>45715</v>
      </c>
      <c r="D8421" t="inlineStr">
        <is>
          <t>KALMAR LÄN</t>
        </is>
      </c>
      <c r="E8421" t="inlineStr">
        <is>
          <t>NYBRO</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30895-2023</t>
        </is>
      </c>
      <c r="B8422" s="1" t="n">
        <v>45113</v>
      </c>
      <c r="C8422" s="1" t="n">
        <v>45715</v>
      </c>
      <c r="D8422" t="inlineStr">
        <is>
          <t>KALMAR LÄN</t>
        </is>
      </c>
      <c r="E8422" t="inlineStr">
        <is>
          <t>OSKARSHAMN</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30899-2023</t>
        </is>
      </c>
      <c r="B8423" s="1" t="n">
        <v>45113</v>
      </c>
      <c r="C8423" s="1" t="n">
        <v>45715</v>
      </c>
      <c r="D8423" t="inlineStr">
        <is>
          <t>KALMAR LÄN</t>
        </is>
      </c>
      <c r="E8423" t="inlineStr">
        <is>
          <t>VIMMERBY</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30912-2023</t>
        </is>
      </c>
      <c r="B8424" s="1" t="n">
        <v>45113</v>
      </c>
      <c r="C8424" s="1" t="n">
        <v>45715</v>
      </c>
      <c r="D8424" t="inlineStr">
        <is>
          <t>KALMAR LÄN</t>
        </is>
      </c>
      <c r="E8424" t="inlineStr">
        <is>
          <t>VIMMERBY</t>
        </is>
      </c>
      <c r="G8424" t="n">
        <v>5</v>
      </c>
      <c r="H8424" t="n">
        <v>0</v>
      </c>
      <c r="I8424" t="n">
        <v>0</v>
      </c>
      <c r="J8424" t="n">
        <v>0</v>
      </c>
      <c r="K8424" t="n">
        <v>0</v>
      </c>
      <c r="L8424" t="n">
        <v>0</v>
      </c>
      <c r="M8424" t="n">
        <v>0</v>
      </c>
      <c r="N8424" t="n">
        <v>0</v>
      </c>
      <c r="O8424" t="n">
        <v>0</v>
      </c>
      <c r="P8424" t="n">
        <v>0</v>
      </c>
      <c r="Q8424" t="n">
        <v>0</v>
      </c>
      <c r="R8424" s="2" t="inlineStr"/>
    </row>
    <row r="8425" ht="15" customHeight="1">
      <c r="A8425" t="inlineStr">
        <is>
          <t>A 30916-2023</t>
        </is>
      </c>
      <c r="B8425" s="1" t="n">
        <v>45113</v>
      </c>
      <c r="C8425" s="1" t="n">
        <v>45715</v>
      </c>
      <c r="D8425" t="inlineStr">
        <is>
          <t>KALMAR LÄN</t>
        </is>
      </c>
      <c r="E8425" t="inlineStr">
        <is>
          <t>MÖNSTERÅS</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30920-2023</t>
        </is>
      </c>
      <c r="B8426" s="1" t="n">
        <v>45113</v>
      </c>
      <c r="C8426" s="1" t="n">
        <v>45715</v>
      </c>
      <c r="D8426" t="inlineStr">
        <is>
          <t>KALMAR LÄN</t>
        </is>
      </c>
      <c r="E8426" t="inlineStr">
        <is>
          <t>VIMMERBY</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30942-2023</t>
        </is>
      </c>
      <c r="B8427" s="1" t="n">
        <v>45113</v>
      </c>
      <c r="C8427" s="1" t="n">
        <v>45715</v>
      </c>
      <c r="D8427" t="inlineStr">
        <is>
          <t>KALMAR LÄN</t>
        </is>
      </c>
      <c r="E8427" t="inlineStr">
        <is>
          <t>OSKARSHAMN</t>
        </is>
      </c>
      <c r="G8427" t="n">
        <v>11.8</v>
      </c>
      <c r="H8427" t="n">
        <v>0</v>
      </c>
      <c r="I8427" t="n">
        <v>0</v>
      </c>
      <c r="J8427" t="n">
        <v>0</v>
      </c>
      <c r="K8427" t="n">
        <v>0</v>
      </c>
      <c r="L8427" t="n">
        <v>0</v>
      </c>
      <c r="M8427" t="n">
        <v>0</v>
      </c>
      <c r="N8427" t="n">
        <v>0</v>
      </c>
      <c r="O8427" t="n">
        <v>0</v>
      </c>
      <c r="P8427" t="n">
        <v>0</v>
      </c>
      <c r="Q8427" t="n">
        <v>0</v>
      </c>
      <c r="R8427" s="2" t="inlineStr"/>
    </row>
    <row r="8428" ht="15" customHeight="1">
      <c r="A8428" t="inlineStr">
        <is>
          <t>A 31015-2023</t>
        </is>
      </c>
      <c r="B8428" s="1" t="n">
        <v>45113</v>
      </c>
      <c r="C8428" s="1" t="n">
        <v>45715</v>
      </c>
      <c r="D8428" t="inlineStr">
        <is>
          <t>KALMAR LÄN</t>
        </is>
      </c>
      <c r="E8428" t="inlineStr">
        <is>
          <t>MÖNSTERÅS</t>
        </is>
      </c>
      <c r="G8428" t="n">
        <v>11.4</v>
      </c>
      <c r="H8428" t="n">
        <v>0</v>
      </c>
      <c r="I8428" t="n">
        <v>0</v>
      </c>
      <c r="J8428" t="n">
        <v>0</v>
      </c>
      <c r="K8428" t="n">
        <v>0</v>
      </c>
      <c r="L8428" t="n">
        <v>0</v>
      </c>
      <c r="M8428" t="n">
        <v>0</v>
      </c>
      <c r="N8428" t="n">
        <v>0</v>
      </c>
      <c r="O8428" t="n">
        <v>0</v>
      </c>
      <c r="P8428" t="n">
        <v>0</v>
      </c>
      <c r="Q8428" t="n">
        <v>0</v>
      </c>
      <c r="R8428" s="2" t="inlineStr"/>
    </row>
    <row r="8429" ht="15" customHeight="1">
      <c r="A8429" t="inlineStr">
        <is>
          <t>A 30874-2023</t>
        </is>
      </c>
      <c r="B8429" s="1" t="n">
        <v>45113</v>
      </c>
      <c r="C8429" s="1" t="n">
        <v>45715</v>
      </c>
      <c r="D8429" t="inlineStr">
        <is>
          <t>KALMAR LÄN</t>
        </is>
      </c>
      <c r="E8429" t="inlineStr">
        <is>
          <t>TORSÅS</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30890-2023</t>
        </is>
      </c>
      <c r="B8430" s="1" t="n">
        <v>45113</v>
      </c>
      <c r="C8430" s="1" t="n">
        <v>45715</v>
      </c>
      <c r="D8430" t="inlineStr">
        <is>
          <t>KALMAR LÄN</t>
        </is>
      </c>
      <c r="E8430" t="inlineStr">
        <is>
          <t>HÖGSBY</t>
        </is>
      </c>
      <c r="G8430" t="n">
        <v>11.6</v>
      </c>
      <c r="H8430" t="n">
        <v>0</v>
      </c>
      <c r="I8430" t="n">
        <v>0</v>
      </c>
      <c r="J8430" t="n">
        <v>0</v>
      </c>
      <c r="K8430" t="n">
        <v>0</v>
      </c>
      <c r="L8430" t="n">
        <v>0</v>
      </c>
      <c r="M8430" t="n">
        <v>0</v>
      </c>
      <c r="N8430" t="n">
        <v>0</v>
      </c>
      <c r="O8430" t="n">
        <v>0</v>
      </c>
      <c r="P8430" t="n">
        <v>0</v>
      </c>
      <c r="Q8430" t="n">
        <v>0</v>
      </c>
      <c r="R8430" s="2" t="inlineStr"/>
    </row>
    <row r="8431" ht="15" customHeight="1">
      <c r="A8431" t="inlineStr">
        <is>
          <t>A 30894-2023</t>
        </is>
      </c>
      <c r="B8431" s="1" t="n">
        <v>45113</v>
      </c>
      <c r="C8431" s="1" t="n">
        <v>45715</v>
      </c>
      <c r="D8431" t="inlineStr">
        <is>
          <t>KALMAR LÄN</t>
        </is>
      </c>
      <c r="E8431" t="inlineStr">
        <is>
          <t>VIMMERBY</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30898-2023</t>
        </is>
      </c>
      <c r="B8432" s="1" t="n">
        <v>45113</v>
      </c>
      <c r="C8432" s="1" t="n">
        <v>45715</v>
      </c>
      <c r="D8432" t="inlineStr">
        <is>
          <t>KALMAR LÄN</t>
        </is>
      </c>
      <c r="E8432" t="inlineStr">
        <is>
          <t>VIMMERBY</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30949-2023</t>
        </is>
      </c>
      <c r="B8433" s="1" t="n">
        <v>45113</v>
      </c>
      <c r="C8433" s="1" t="n">
        <v>45715</v>
      </c>
      <c r="D8433" t="inlineStr">
        <is>
          <t>KALMAR LÄN</t>
        </is>
      </c>
      <c r="E8433" t="inlineStr">
        <is>
          <t>NYBRO</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31060-2023</t>
        </is>
      </c>
      <c r="B8434" s="1" t="n">
        <v>45113</v>
      </c>
      <c r="C8434" s="1" t="n">
        <v>45715</v>
      </c>
      <c r="D8434" t="inlineStr">
        <is>
          <t>KALMAR LÄN</t>
        </is>
      </c>
      <c r="E8434" t="inlineStr">
        <is>
          <t>NYBRO</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30869-2023</t>
        </is>
      </c>
      <c r="B8435" s="1" t="n">
        <v>45113</v>
      </c>
      <c r="C8435" s="1" t="n">
        <v>45715</v>
      </c>
      <c r="D8435" t="inlineStr">
        <is>
          <t>KALMAR LÄN</t>
        </is>
      </c>
      <c r="E8435" t="inlineStr">
        <is>
          <t>TORSÅS</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30873-2023</t>
        </is>
      </c>
      <c r="B8436" s="1" t="n">
        <v>45113</v>
      </c>
      <c r="C8436" s="1" t="n">
        <v>45715</v>
      </c>
      <c r="D8436" t="inlineStr">
        <is>
          <t>KALMAR LÄN</t>
        </is>
      </c>
      <c r="E8436" t="inlineStr">
        <is>
          <t>TORSÅS</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30909-2023</t>
        </is>
      </c>
      <c r="B8437" s="1" t="n">
        <v>45113</v>
      </c>
      <c r="C8437" s="1" t="n">
        <v>45715</v>
      </c>
      <c r="D8437" t="inlineStr">
        <is>
          <t>KALMAR LÄN</t>
        </is>
      </c>
      <c r="E8437" t="inlineStr">
        <is>
          <t>NYBRO</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30952-2023</t>
        </is>
      </c>
      <c r="B8438" s="1" t="n">
        <v>45113</v>
      </c>
      <c r="C8438" s="1" t="n">
        <v>45715</v>
      </c>
      <c r="D8438" t="inlineStr">
        <is>
          <t>KALMAR LÄN</t>
        </is>
      </c>
      <c r="E8438" t="inlineStr">
        <is>
          <t>OSKARSHAMN</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31013-2023</t>
        </is>
      </c>
      <c r="B8439" s="1" t="n">
        <v>45113</v>
      </c>
      <c r="C8439" s="1" t="n">
        <v>45715</v>
      </c>
      <c r="D8439" t="inlineStr">
        <is>
          <t>KALMAR LÄN</t>
        </is>
      </c>
      <c r="E8439" t="inlineStr">
        <is>
          <t>VIMMERBY</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31017-2023</t>
        </is>
      </c>
      <c r="B8440" s="1" t="n">
        <v>45113</v>
      </c>
      <c r="C8440" s="1" t="n">
        <v>45715</v>
      </c>
      <c r="D8440" t="inlineStr">
        <is>
          <t>KALMAR LÄN</t>
        </is>
      </c>
      <c r="E8440" t="inlineStr">
        <is>
          <t>VIMMERBY</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31054-2023</t>
        </is>
      </c>
      <c r="B8441" s="1" t="n">
        <v>45113</v>
      </c>
      <c r="C8441" s="1" t="n">
        <v>45715</v>
      </c>
      <c r="D8441" t="inlineStr">
        <is>
          <t>KALMAR LÄN</t>
        </is>
      </c>
      <c r="E8441" t="inlineStr">
        <is>
          <t>OSKARSHAMN</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30965-2023</t>
        </is>
      </c>
      <c r="B8442" s="1" t="n">
        <v>45113</v>
      </c>
      <c r="C8442" s="1" t="n">
        <v>45715</v>
      </c>
      <c r="D8442" t="inlineStr">
        <is>
          <t>KALMAR LÄN</t>
        </is>
      </c>
      <c r="E8442" t="inlineStr">
        <is>
          <t>TORSÅS</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30969-2023</t>
        </is>
      </c>
      <c r="B8443" s="1" t="n">
        <v>45113</v>
      </c>
      <c r="C8443" s="1" t="n">
        <v>45715</v>
      </c>
      <c r="D8443" t="inlineStr">
        <is>
          <t>KALMAR LÄN</t>
        </is>
      </c>
      <c r="E8443" t="inlineStr">
        <is>
          <t>TORSÅS</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31070-2023</t>
        </is>
      </c>
      <c r="B8444" s="1" t="n">
        <v>45113</v>
      </c>
      <c r="C8444" s="1" t="n">
        <v>45715</v>
      </c>
      <c r="D8444" t="inlineStr">
        <is>
          <t>KALMAR LÄN</t>
        </is>
      </c>
      <c r="E8444" t="inlineStr">
        <is>
          <t>EMMABODA</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31075-2023</t>
        </is>
      </c>
      <c r="B8445" s="1" t="n">
        <v>45113</v>
      </c>
      <c r="C8445" s="1" t="n">
        <v>45715</v>
      </c>
      <c r="D8445" t="inlineStr">
        <is>
          <t>KALMAR LÄN</t>
        </is>
      </c>
      <c r="E8445" t="inlineStr">
        <is>
          <t>EMMABODA</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31079-2023</t>
        </is>
      </c>
      <c r="B8446" s="1" t="n">
        <v>45113</v>
      </c>
      <c r="C8446" s="1" t="n">
        <v>45715</v>
      </c>
      <c r="D8446" t="inlineStr">
        <is>
          <t>KALMAR LÄN</t>
        </is>
      </c>
      <c r="E8446" t="inlineStr">
        <is>
          <t>OSKARSHAMN</t>
        </is>
      </c>
      <c r="G8446" t="n">
        <v>5.4</v>
      </c>
      <c r="H8446" t="n">
        <v>0</v>
      </c>
      <c r="I8446" t="n">
        <v>0</v>
      </c>
      <c r="J8446" t="n">
        <v>0</v>
      </c>
      <c r="K8446" t="n">
        <v>0</v>
      </c>
      <c r="L8446" t="n">
        <v>0</v>
      </c>
      <c r="M8446" t="n">
        <v>0</v>
      </c>
      <c r="N8446" t="n">
        <v>0</v>
      </c>
      <c r="O8446" t="n">
        <v>0</v>
      </c>
      <c r="P8446" t="n">
        <v>0</v>
      </c>
      <c r="Q8446" t="n">
        <v>0</v>
      </c>
      <c r="R8446" s="2" t="inlineStr"/>
    </row>
    <row r="8447" ht="15" customHeight="1">
      <c r="A8447" t="inlineStr">
        <is>
          <t>A 31043-2023</t>
        </is>
      </c>
      <c r="B8447" s="1" t="n">
        <v>45113</v>
      </c>
      <c r="C8447" s="1" t="n">
        <v>45715</v>
      </c>
      <c r="D8447" t="inlineStr">
        <is>
          <t>KALMAR LÄN</t>
        </is>
      </c>
      <c r="E8447" t="inlineStr">
        <is>
          <t>KALMAR</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31093-2023</t>
        </is>
      </c>
      <c r="B8448" s="1" t="n">
        <v>45113</v>
      </c>
      <c r="C8448" s="1" t="n">
        <v>45715</v>
      </c>
      <c r="D8448" t="inlineStr">
        <is>
          <t>KALMAR LÄN</t>
        </is>
      </c>
      <c r="E8448" t="inlineStr">
        <is>
          <t>EMMABODA</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31032-2023</t>
        </is>
      </c>
      <c r="B8449" s="1" t="n">
        <v>45113</v>
      </c>
      <c r="C8449" s="1" t="n">
        <v>45715</v>
      </c>
      <c r="D8449" t="inlineStr">
        <is>
          <t>KALMAR LÄN</t>
        </is>
      </c>
      <c r="E8449" t="inlineStr">
        <is>
          <t>TORSÅS</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31045-2023</t>
        </is>
      </c>
      <c r="B8450" s="1" t="n">
        <v>45113</v>
      </c>
      <c r="C8450" s="1" t="n">
        <v>45715</v>
      </c>
      <c r="D8450" t="inlineStr">
        <is>
          <t>KALMAR LÄN</t>
        </is>
      </c>
      <c r="E8450" t="inlineStr">
        <is>
          <t>KALMAR</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31071-2023</t>
        </is>
      </c>
      <c r="B8451" s="1" t="n">
        <v>45113</v>
      </c>
      <c r="C8451" s="1" t="n">
        <v>45715</v>
      </c>
      <c r="D8451" t="inlineStr">
        <is>
          <t>KALMAR LÄN</t>
        </is>
      </c>
      <c r="E8451" t="inlineStr">
        <is>
          <t>OSKARSHAMN</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31078-2023</t>
        </is>
      </c>
      <c r="B8452" s="1" t="n">
        <v>45113</v>
      </c>
      <c r="C8452" s="1" t="n">
        <v>45715</v>
      </c>
      <c r="D8452" t="inlineStr">
        <is>
          <t>KALMAR LÄN</t>
        </is>
      </c>
      <c r="E8452" t="inlineStr">
        <is>
          <t>EMMABODA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31144-2023</t>
        </is>
      </c>
      <c r="B8453" s="1" t="n">
        <v>45113</v>
      </c>
      <c r="C8453" s="1" t="n">
        <v>45715</v>
      </c>
      <c r="D8453" t="inlineStr">
        <is>
          <t>KALMAR LÄN</t>
        </is>
      </c>
      <c r="E8453" t="inlineStr">
        <is>
          <t>OSKARSHAMN</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31146-2023</t>
        </is>
      </c>
      <c r="B8454" s="1" t="n">
        <v>45113</v>
      </c>
      <c r="C8454" s="1" t="n">
        <v>45715</v>
      </c>
      <c r="D8454" t="inlineStr">
        <is>
          <t>KALMAR LÄN</t>
        </is>
      </c>
      <c r="E8454" t="inlineStr">
        <is>
          <t>OSKARSHAMN</t>
        </is>
      </c>
      <c r="G8454" t="n">
        <v>0.4</v>
      </c>
      <c r="H8454" t="n">
        <v>0</v>
      </c>
      <c r="I8454" t="n">
        <v>0</v>
      </c>
      <c r="J8454" t="n">
        <v>0</v>
      </c>
      <c r="K8454" t="n">
        <v>0</v>
      </c>
      <c r="L8454" t="n">
        <v>0</v>
      </c>
      <c r="M8454" t="n">
        <v>0</v>
      </c>
      <c r="N8454" t="n">
        <v>0</v>
      </c>
      <c r="O8454" t="n">
        <v>0</v>
      </c>
      <c r="P8454" t="n">
        <v>0</v>
      </c>
      <c r="Q8454" t="n">
        <v>0</v>
      </c>
      <c r="R8454" s="2" t="inlineStr"/>
    </row>
    <row r="8455" ht="15" customHeight="1">
      <c r="A8455" t="inlineStr">
        <is>
          <t>A 31147-2023</t>
        </is>
      </c>
      <c r="B8455" s="1" t="n">
        <v>45113</v>
      </c>
      <c r="C8455" s="1" t="n">
        <v>45715</v>
      </c>
      <c r="D8455" t="inlineStr">
        <is>
          <t>KALMAR LÄN</t>
        </is>
      </c>
      <c r="E8455" t="inlineStr">
        <is>
          <t>OSKARSHAMN</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32940-2023</t>
        </is>
      </c>
      <c r="B8456" s="1" t="n">
        <v>45113</v>
      </c>
      <c r="C8456" s="1" t="n">
        <v>45715</v>
      </c>
      <c r="D8456" t="inlineStr">
        <is>
          <t>KALMAR LÄN</t>
        </is>
      </c>
      <c r="E8456" t="inlineStr">
        <is>
          <t>OSKARSHAMN</t>
        </is>
      </c>
      <c r="G8456" t="n">
        <v>7</v>
      </c>
      <c r="H8456" t="n">
        <v>0</v>
      </c>
      <c r="I8456" t="n">
        <v>0</v>
      </c>
      <c r="J8456" t="n">
        <v>0</v>
      </c>
      <c r="K8456" t="n">
        <v>0</v>
      </c>
      <c r="L8456" t="n">
        <v>0</v>
      </c>
      <c r="M8456" t="n">
        <v>0</v>
      </c>
      <c r="N8456" t="n">
        <v>0</v>
      </c>
      <c r="O8456" t="n">
        <v>0</v>
      </c>
      <c r="P8456" t="n">
        <v>0</v>
      </c>
      <c r="Q8456" t="n">
        <v>0</v>
      </c>
      <c r="R8456" s="2" t="inlineStr"/>
    </row>
    <row r="8457" ht="15" customHeight="1">
      <c r="A8457" t="inlineStr">
        <is>
          <t>A 32937-2023</t>
        </is>
      </c>
      <c r="B8457" s="1" t="n">
        <v>45113</v>
      </c>
      <c r="C8457" s="1" t="n">
        <v>45715</v>
      </c>
      <c r="D8457" t="inlineStr">
        <is>
          <t>KALMAR LÄN</t>
        </is>
      </c>
      <c r="E8457" t="inlineStr">
        <is>
          <t>OSKARSHAMN</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32933-2023</t>
        </is>
      </c>
      <c r="B8458" s="1" t="n">
        <v>45113</v>
      </c>
      <c r="C8458" s="1" t="n">
        <v>45715</v>
      </c>
      <c r="D8458" t="inlineStr">
        <is>
          <t>KALMAR LÄN</t>
        </is>
      </c>
      <c r="E8458" t="inlineStr">
        <is>
          <t>HULTSFRED</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32932-2023</t>
        </is>
      </c>
      <c r="B8459" s="1" t="n">
        <v>45113</v>
      </c>
      <c r="C8459" s="1" t="n">
        <v>45715</v>
      </c>
      <c r="D8459" t="inlineStr">
        <is>
          <t>KALMAR LÄN</t>
        </is>
      </c>
      <c r="E8459" t="inlineStr">
        <is>
          <t>HULTSFRED</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31314-2023</t>
        </is>
      </c>
      <c r="B8460" s="1" t="n">
        <v>45114</v>
      </c>
      <c r="C8460" s="1" t="n">
        <v>45715</v>
      </c>
      <c r="D8460" t="inlineStr">
        <is>
          <t>KALMAR LÄN</t>
        </is>
      </c>
      <c r="E8460" t="inlineStr">
        <is>
          <t>KALMAR</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31335-2023</t>
        </is>
      </c>
      <c r="B8461" s="1" t="n">
        <v>45114</v>
      </c>
      <c r="C8461" s="1" t="n">
        <v>45715</v>
      </c>
      <c r="D8461" t="inlineStr">
        <is>
          <t>KALMAR LÄN</t>
        </is>
      </c>
      <c r="E8461" t="inlineStr">
        <is>
          <t>KALMAR</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31221-2023</t>
        </is>
      </c>
      <c r="B8462" s="1" t="n">
        <v>45114</v>
      </c>
      <c r="C8462" s="1" t="n">
        <v>45715</v>
      </c>
      <c r="D8462" t="inlineStr">
        <is>
          <t>KALMAR LÄN</t>
        </is>
      </c>
      <c r="E8462" t="inlineStr">
        <is>
          <t>NYBRO</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31340-2023</t>
        </is>
      </c>
      <c r="B8463" s="1" t="n">
        <v>45114</v>
      </c>
      <c r="C8463" s="1" t="n">
        <v>45715</v>
      </c>
      <c r="D8463" t="inlineStr">
        <is>
          <t>KALMAR LÄN</t>
        </is>
      </c>
      <c r="E8463" t="inlineStr">
        <is>
          <t>VIMMERBY</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31384-2023</t>
        </is>
      </c>
      <c r="B8464" s="1" t="n">
        <v>45114</v>
      </c>
      <c r="C8464" s="1" t="n">
        <v>45715</v>
      </c>
      <c r="D8464" t="inlineStr">
        <is>
          <t>KALMAR LÄN</t>
        </is>
      </c>
      <c r="E8464" t="inlineStr">
        <is>
          <t>MÖNSTERÅS</t>
        </is>
      </c>
      <c r="F8464" t="inlineStr">
        <is>
          <t>Kommuner</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31388-2023</t>
        </is>
      </c>
      <c r="B8465" s="1" t="n">
        <v>45114</v>
      </c>
      <c r="C8465" s="1" t="n">
        <v>45715</v>
      </c>
      <c r="D8465" t="inlineStr">
        <is>
          <t>KALMAR LÄN</t>
        </is>
      </c>
      <c r="E8465" t="inlineStr">
        <is>
          <t>MÖNSTERÅS</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31334-2023</t>
        </is>
      </c>
      <c r="B8466" s="1" t="n">
        <v>45114</v>
      </c>
      <c r="C8466" s="1" t="n">
        <v>45715</v>
      </c>
      <c r="D8466" t="inlineStr">
        <is>
          <t>KALMAR LÄN</t>
        </is>
      </c>
      <c r="E8466" t="inlineStr">
        <is>
          <t>KALMAR</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31429-2023</t>
        </is>
      </c>
      <c r="B8467" s="1" t="n">
        <v>45114</v>
      </c>
      <c r="C8467" s="1" t="n">
        <v>45715</v>
      </c>
      <c r="D8467" t="inlineStr">
        <is>
          <t>KALMAR LÄN</t>
        </is>
      </c>
      <c r="E8467" t="inlineStr">
        <is>
          <t>HÖGSBY</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31369-2023</t>
        </is>
      </c>
      <c r="B8468" s="1" t="n">
        <v>45114</v>
      </c>
      <c r="C8468" s="1" t="n">
        <v>45715</v>
      </c>
      <c r="D8468" t="inlineStr">
        <is>
          <t>KALMAR LÄN</t>
        </is>
      </c>
      <c r="E8468" t="inlineStr">
        <is>
          <t>VIMMERBY</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31377-2023</t>
        </is>
      </c>
      <c r="B8469" s="1" t="n">
        <v>45114</v>
      </c>
      <c r="C8469" s="1" t="n">
        <v>45715</v>
      </c>
      <c r="D8469" t="inlineStr">
        <is>
          <t>KALMAR LÄN</t>
        </is>
      </c>
      <c r="E8469" t="inlineStr">
        <is>
          <t>VIMMERBY</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31437-2023</t>
        </is>
      </c>
      <c r="B8470" s="1" t="n">
        <v>45114</v>
      </c>
      <c r="C8470" s="1" t="n">
        <v>45715</v>
      </c>
      <c r="D8470" t="inlineStr">
        <is>
          <t>KALMAR LÄN</t>
        </is>
      </c>
      <c r="E8470" t="inlineStr">
        <is>
          <t>VÄSTERVIK</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31368-2023</t>
        </is>
      </c>
      <c r="B8471" s="1" t="n">
        <v>45114</v>
      </c>
      <c r="C8471" s="1" t="n">
        <v>45715</v>
      </c>
      <c r="D8471" t="inlineStr">
        <is>
          <t>KALMAR LÄN</t>
        </is>
      </c>
      <c r="E8471" t="inlineStr">
        <is>
          <t>KALMAR</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31382-2023</t>
        </is>
      </c>
      <c r="B8472" s="1" t="n">
        <v>45114</v>
      </c>
      <c r="C8472" s="1" t="n">
        <v>45715</v>
      </c>
      <c r="D8472" t="inlineStr">
        <is>
          <t>KALMAR LÄN</t>
        </is>
      </c>
      <c r="E8472" t="inlineStr">
        <is>
          <t>VIMMERBY</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31405-2023</t>
        </is>
      </c>
      <c r="B8473" s="1" t="n">
        <v>45114</v>
      </c>
      <c r="C8473" s="1" t="n">
        <v>45715</v>
      </c>
      <c r="D8473" t="inlineStr">
        <is>
          <t>KALMAR LÄN</t>
        </is>
      </c>
      <c r="E8473" t="inlineStr">
        <is>
          <t>VIMMERBY</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31336-2023</t>
        </is>
      </c>
      <c r="B8474" s="1" t="n">
        <v>45114</v>
      </c>
      <c r="C8474" s="1" t="n">
        <v>45715</v>
      </c>
      <c r="D8474" t="inlineStr">
        <is>
          <t>KALMAR LÄN</t>
        </is>
      </c>
      <c r="E8474" t="inlineStr">
        <is>
          <t>VIMMERBY</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31355-2023</t>
        </is>
      </c>
      <c r="B8475" s="1" t="n">
        <v>45114</v>
      </c>
      <c r="C8475" s="1" t="n">
        <v>45715</v>
      </c>
      <c r="D8475" t="inlineStr">
        <is>
          <t>KALMAR LÄN</t>
        </is>
      </c>
      <c r="E8475" t="inlineStr">
        <is>
          <t>VIMMERBY</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31367-2023</t>
        </is>
      </c>
      <c r="B8476" s="1" t="n">
        <v>45114</v>
      </c>
      <c r="C8476" s="1" t="n">
        <v>45715</v>
      </c>
      <c r="D8476" t="inlineStr">
        <is>
          <t>KALMAR LÄN</t>
        </is>
      </c>
      <c r="E8476" t="inlineStr">
        <is>
          <t>KALMAR</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31371-2023</t>
        </is>
      </c>
      <c r="B8477" s="1" t="n">
        <v>45114</v>
      </c>
      <c r="C8477" s="1" t="n">
        <v>45715</v>
      </c>
      <c r="D8477" t="inlineStr">
        <is>
          <t>KALMAR LÄN</t>
        </is>
      </c>
      <c r="E8477" t="inlineStr">
        <is>
          <t>KALMAR</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31390-2023</t>
        </is>
      </c>
      <c r="B8478" s="1" t="n">
        <v>45114</v>
      </c>
      <c r="C8478" s="1" t="n">
        <v>45715</v>
      </c>
      <c r="D8478" t="inlineStr">
        <is>
          <t>KALMAR LÄN</t>
        </is>
      </c>
      <c r="E8478" t="inlineStr">
        <is>
          <t>VIMMERBY</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31408-2023</t>
        </is>
      </c>
      <c r="B8479" s="1" t="n">
        <v>45114</v>
      </c>
      <c r="C8479" s="1" t="n">
        <v>45715</v>
      </c>
      <c r="D8479" t="inlineStr">
        <is>
          <t>KALMAR LÄN</t>
        </is>
      </c>
      <c r="E8479" t="inlineStr">
        <is>
          <t>VIMMERBY</t>
        </is>
      </c>
      <c r="G8479" t="n">
        <v>4.4</v>
      </c>
      <c r="H8479" t="n">
        <v>0</v>
      </c>
      <c r="I8479" t="n">
        <v>0</v>
      </c>
      <c r="J8479" t="n">
        <v>0</v>
      </c>
      <c r="K8479" t="n">
        <v>0</v>
      </c>
      <c r="L8479" t="n">
        <v>0</v>
      </c>
      <c r="M8479" t="n">
        <v>0</v>
      </c>
      <c r="N8479" t="n">
        <v>0</v>
      </c>
      <c r="O8479" t="n">
        <v>0</v>
      </c>
      <c r="P8479" t="n">
        <v>0</v>
      </c>
      <c r="Q8479" t="n">
        <v>0</v>
      </c>
      <c r="R8479" s="2" t="inlineStr"/>
    </row>
    <row r="8480" ht="15" customHeight="1">
      <c r="A8480" t="inlineStr">
        <is>
          <t>A 33277-2023</t>
        </is>
      </c>
      <c r="B8480" s="1" t="n">
        <v>45114</v>
      </c>
      <c r="C8480" s="1" t="n">
        <v>45715</v>
      </c>
      <c r="D8480" t="inlineStr">
        <is>
          <t>KALMAR LÄN</t>
        </is>
      </c>
      <c r="E8480" t="inlineStr">
        <is>
          <t>VÄSTERVIK</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31608-2023</t>
        </is>
      </c>
      <c r="B8481" s="1" t="n">
        <v>45117</v>
      </c>
      <c r="C8481" s="1" t="n">
        <v>45715</v>
      </c>
      <c r="D8481" t="inlineStr">
        <is>
          <t>KALMAR LÄN</t>
        </is>
      </c>
      <c r="E8481" t="inlineStr">
        <is>
          <t>EMMABODA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31612-2023</t>
        </is>
      </c>
      <c r="B8482" s="1" t="n">
        <v>45117</v>
      </c>
      <c r="C8482" s="1" t="n">
        <v>45715</v>
      </c>
      <c r="D8482" t="inlineStr">
        <is>
          <t>KALMAR LÄN</t>
        </is>
      </c>
      <c r="E8482" t="inlineStr">
        <is>
          <t>NYBRO</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31686-2023</t>
        </is>
      </c>
      <c r="B8483" s="1" t="n">
        <v>45117</v>
      </c>
      <c r="C8483" s="1" t="n">
        <v>45715</v>
      </c>
      <c r="D8483" t="inlineStr">
        <is>
          <t>KALMAR LÄN</t>
        </is>
      </c>
      <c r="E8483" t="inlineStr">
        <is>
          <t>VÄSTERVIK</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31681-2023</t>
        </is>
      </c>
      <c r="B8484" s="1" t="n">
        <v>45117</v>
      </c>
      <c r="C8484" s="1" t="n">
        <v>45715</v>
      </c>
      <c r="D8484" t="inlineStr">
        <is>
          <t>KALMAR LÄN</t>
        </is>
      </c>
      <c r="E8484" t="inlineStr">
        <is>
          <t>NYBRO</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31691-2023</t>
        </is>
      </c>
      <c r="B8485" s="1" t="n">
        <v>45117</v>
      </c>
      <c r="C8485" s="1" t="n">
        <v>45715</v>
      </c>
      <c r="D8485" t="inlineStr">
        <is>
          <t>KALMAR LÄN</t>
        </is>
      </c>
      <c r="E8485" t="inlineStr">
        <is>
          <t>VÄSTERVIK</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31610-2023</t>
        </is>
      </c>
      <c r="B8486" s="1" t="n">
        <v>45117</v>
      </c>
      <c r="C8486" s="1" t="n">
        <v>45715</v>
      </c>
      <c r="D8486" t="inlineStr">
        <is>
          <t>KALMAR LÄN</t>
        </is>
      </c>
      <c r="E8486" t="inlineStr">
        <is>
          <t>EMMABODA</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31614-2023</t>
        </is>
      </c>
      <c r="B8487" s="1" t="n">
        <v>45117</v>
      </c>
      <c r="C8487" s="1" t="n">
        <v>45715</v>
      </c>
      <c r="D8487" t="inlineStr">
        <is>
          <t>KALMAR LÄN</t>
        </is>
      </c>
      <c r="E8487" t="inlineStr">
        <is>
          <t>NYBRO</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31682-2023</t>
        </is>
      </c>
      <c r="B8488" s="1" t="n">
        <v>45117</v>
      </c>
      <c r="C8488" s="1" t="n">
        <v>45715</v>
      </c>
      <c r="D8488" t="inlineStr">
        <is>
          <t>KALMAR LÄN</t>
        </is>
      </c>
      <c r="E8488" t="inlineStr">
        <is>
          <t>VIMMERBY</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31713-2023</t>
        </is>
      </c>
      <c r="B8489" s="1" t="n">
        <v>45117</v>
      </c>
      <c r="C8489" s="1" t="n">
        <v>45715</v>
      </c>
      <c r="D8489" t="inlineStr">
        <is>
          <t>KALMAR LÄN</t>
        </is>
      </c>
      <c r="E8489" t="inlineStr">
        <is>
          <t>EMMABODA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31786-2023</t>
        </is>
      </c>
      <c r="B8490" s="1" t="n">
        <v>45118</v>
      </c>
      <c r="C8490" s="1" t="n">
        <v>45715</v>
      </c>
      <c r="D8490" t="inlineStr">
        <is>
          <t>KALMAR LÄN</t>
        </is>
      </c>
      <c r="E8490" t="inlineStr">
        <is>
          <t>KALMAR</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31791-2023</t>
        </is>
      </c>
      <c r="B8491" s="1" t="n">
        <v>45118</v>
      </c>
      <c r="C8491" s="1" t="n">
        <v>45715</v>
      </c>
      <c r="D8491" t="inlineStr">
        <is>
          <t>KALMAR LÄN</t>
        </is>
      </c>
      <c r="E8491" t="inlineStr">
        <is>
          <t>NYBRO</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31800-2023</t>
        </is>
      </c>
      <c r="B8492" s="1" t="n">
        <v>45118</v>
      </c>
      <c r="C8492" s="1" t="n">
        <v>45715</v>
      </c>
      <c r="D8492" t="inlineStr">
        <is>
          <t>KALMAR LÄN</t>
        </is>
      </c>
      <c r="E8492" t="inlineStr">
        <is>
          <t>KALMAR</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31817-2023</t>
        </is>
      </c>
      <c r="B8493" s="1" t="n">
        <v>45118</v>
      </c>
      <c r="C8493" s="1" t="n">
        <v>45715</v>
      </c>
      <c r="D8493" t="inlineStr">
        <is>
          <t>KALMAR LÄN</t>
        </is>
      </c>
      <c r="E8493" t="inlineStr">
        <is>
          <t>KALMAR</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31853-2023</t>
        </is>
      </c>
      <c r="B8494" s="1" t="n">
        <v>45118</v>
      </c>
      <c r="C8494" s="1" t="n">
        <v>45715</v>
      </c>
      <c r="D8494" t="inlineStr">
        <is>
          <t>KALMAR LÄN</t>
        </is>
      </c>
      <c r="E8494" t="inlineStr">
        <is>
          <t>KALMAR</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31861-2023</t>
        </is>
      </c>
      <c r="B8495" s="1" t="n">
        <v>45118</v>
      </c>
      <c r="C8495" s="1" t="n">
        <v>45715</v>
      </c>
      <c r="D8495" t="inlineStr">
        <is>
          <t>KALMAR LÄN</t>
        </is>
      </c>
      <c r="E8495" t="inlineStr">
        <is>
          <t>NYBRO</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31799-2023</t>
        </is>
      </c>
      <c r="B8496" s="1" t="n">
        <v>45118</v>
      </c>
      <c r="C8496" s="1" t="n">
        <v>45715</v>
      </c>
      <c r="D8496" t="inlineStr">
        <is>
          <t>KALMAR LÄN</t>
        </is>
      </c>
      <c r="E8496" t="inlineStr">
        <is>
          <t>NYBRO</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31806-2023</t>
        </is>
      </c>
      <c r="B8497" s="1" t="n">
        <v>45118</v>
      </c>
      <c r="C8497" s="1" t="n">
        <v>45715</v>
      </c>
      <c r="D8497" t="inlineStr">
        <is>
          <t>KALMAR LÄN</t>
        </is>
      </c>
      <c r="E8497" t="inlineStr">
        <is>
          <t>KALMAR</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31815-2023</t>
        </is>
      </c>
      <c r="B8498" s="1" t="n">
        <v>45118</v>
      </c>
      <c r="C8498" s="1" t="n">
        <v>45715</v>
      </c>
      <c r="D8498" t="inlineStr">
        <is>
          <t>KALMAR LÄN</t>
        </is>
      </c>
      <c r="E8498" t="inlineStr">
        <is>
          <t>KALMAR</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31841-2023</t>
        </is>
      </c>
      <c r="B8499" s="1" t="n">
        <v>45118</v>
      </c>
      <c r="C8499" s="1" t="n">
        <v>45715</v>
      </c>
      <c r="D8499" t="inlineStr">
        <is>
          <t>KALMAR LÄN</t>
        </is>
      </c>
      <c r="E8499" t="inlineStr">
        <is>
          <t>KALMAR</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31935-2023</t>
        </is>
      </c>
      <c r="B8500" s="1" t="n">
        <v>45119</v>
      </c>
      <c r="C8500" s="1" t="n">
        <v>45715</v>
      </c>
      <c r="D8500" t="inlineStr">
        <is>
          <t>KALMAR LÄN</t>
        </is>
      </c>
      <c r="E8500" t="inlineStr">
        <is>
          <t>NYBRO</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31957-2023</t>
        </is>
      </c>
      <c r="B8501" s="1" t="n">
        <v>45119</v>
      </c>
      <c r="C8501" s="1" t="n">
        <v>45715</v>
      </c>
      <c r="D8501" t="inlineStr">
        <is>
          <t>KALMAR LÄN</t>
        </is>
      </c>
      <c r="E8501" t="inlineStr">
        <is>
          <t>OSKARSHAMN</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32190-2023</t>
        </is>
      </c>
      <c r="B8502" s="1" t="n">
        <v>45119</v>
      </c>
      <c r="C8502" s="1" t="n">
        <v>45715</v>
      </c>
      <c r="D8502" t="inlineStr">
        <is>
          <t>KALMAR LÄN</t>
        </is>
      </c>
      <c r="E8502" t="inlineStr">
        <is>
          <t>KALMAR</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32049-2023</t>
        </is>
      </c>
      <c r="B8503" s="1" t="n">
        <v>45119</v>
      </c>
      <c r="C8503" s="1" t="n">
        <v>45715</v>
      </c>
      <c r="D8503" t="inlineStr">
        <is>
          <t>KALMAR LÄN</t>
        </is>
      </c>
      <c r="E8503" t="inlineStr">
        <is>
          <t>HÖGSBY</t>
        </is>
      </c>
      <c r="F8503" t="inlineStr">
        <is>
          <t>Sveaskog</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32066-2023</t>
        </is>
      </c>
      <c r="B8504" s="1" t="n">
        <v>45119</v>
      </c>
      <c r="C8504" s="1" t="n">
        <v>45715</v>
      </c>
      <c r="D8504" t="inlineStr">
        <is>
          <t>KALMAR LÄN</t>
        </is>
      </c>
      <c r="E8504" t="inlineStr">
        <is>
          <t>OSKARSHAMN</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32187-2023</t>
        </is>
      </c>
      <c r="B8505" s="1" t="n">
        <v>45119</v>
      </c>
      <c r="C8505" s="1" t="n">
        <v>45715</v>
      </c>
      <c r="D8505" t="inlineStr">
        <is>
          <t>KALMAR LÄN</t>
        </is>
      </c>
      <c r="E8505" t="inlineStr">
        <is>
          <t>KALMAR</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31948-2023</t>
        </is>
      </c>
      <c r="B8506" s="1" t="n">
        <v>45119</v>
      </c>
      <c r="C8506" s="1" t="n">
        <v>45715</v>
      </c>
      <c r="D8506" t="inlineStr">
        <is>
          <t>KALMAR LÄN</t>
        </is>
      </c>
      <c r="E8506" t="inlineStr">
        <is>
          <t>NYBRO</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31949-2023</t>
        </is>
      </c>
      <c r="B8507" s="1" t="n">
        <v>45119</v>
      </c>
      <c r="C8507" s="1" t="n">
        <v>45715</v>
      </c>
      <c r="D8507" t="inlineStr">
        <is>
          <t>KALMAR LÄN</t>
        </is>
      </c>
      <c r="E8507" t="inlineStr">
        <is>
          <t>NYBRO</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32042-2023</t>
        </is>
      </c>
      <c r="B8508" s="1" t="n">
        <v>45119</v>
      </c>
      <c r="C8508" s="1" t="n">
        <v>45715</v>
      </c>
      <c r="D8508" t="inlineStr">
        <is>
          <t>KALMAR LÄN</t>
        </is>
      </c>
      <c r="E8508" t="inlineStr">
        <is>
          <t>HÖGSBY</t>
        </is>
      </c>
      <c r="F8508" t="inlineStr">
        <is>
          <t>Sveaskog</t>
        </is>
      </c>
      <c r="G8508" t="n">
        <v>8.699999999999999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32112-2023</t>
        </is>
      </c>
      <c r="B8509" s="1" t="n">
        <v>45119</v>
      </c>
      <c r="C8509" s="1" t="n">
        <v>45715</v>
      </c>
      <c r="D8509" t="inlineStr">
        <is>
          <t>KALMAR LÄN</t>
        </is>
      </c>
      <c r="E8509" t="inlineStr">
        <is>
          <t>KALMAR</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32633-2023</t>
        </is>
      </c>
      <c r="B8510" s="1" t="n">
        <v>45121</v>
      </c>
      <c r="C8510" s="1" t="n">
        <v>45715</v>
      </c>
      <c r="D8510" t="inlineStr">
        <is>
          <t>KALMAR LÄN</t>
        </is>
      </c>
      <c r="E8510" t="inlineStr">
        <is>
          <t>VIMMERBY</t>
        </is>
      </c>
      <c r="F8510" t="inlineStr">
        <is>
          <t>Sveaskog</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32646-2023</t>
        </is>
      </c>
      <c r="B8511" s="1" t="n">
        <v>45121</v>
      </c>
      <c r="C8511" s="1" t="n">
        <v>45715</v>
      </c>
      <c r="D8511" t="inlineStr">
        <is>
          <t>KALMAR LÄN</t>
        </is>
      </c>
      <c r="E8511" t="inlineStr">
        <is>
          <t>HULTSFRED</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32651-2023</t>
        </is>
      </c>
      <c r="B8512" s="1" t="n">
        <v>45121</v>
      </c>
      <c r="C8512" s="1" t="n">
        <v>45715</v>
      </c>
      <c r="D8512" t="inlineStr">
        <is>
          <t>KALMAR LÄN</t>
        </is>
      </c>
      <c r="E8512" t="inlineStr">
        <is>
          <t>VIMMERBY</t>
        </is>
      </c>
      <c r="F8512" t="inlineStr">
        <is>
          <t>Sveaskog</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32655-2023</t>
        </is>
      </c>
      <c r="B8513" s="1" t="n">
        <v>45121</v>
      </c>
      <c r="C8513" s="1" t="n">
        <v>45715</v>
      </c>
      <c r="D8513" t="inlineStr">
        <is>
          <t>KALMAR LÄN</t>
        </is>
      </c>
      <c r="E8513" t="inlineStr">
        <is>
          <t>VIMMERBY</t>
        </is>
      </c>
      <c r="F8513" t="inlineStr">
        <is>
          <t>Sveaskog</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32669-2023</t>
        </is>
      </c>
      <c r="B8514" s="1" t="n">
        <v>45121</v>
      </c>
      <c r="C8514" s="1" t="n">
        <v>45715</v>
      </c>
      <c r="D8514" t="inlineStr">
        <is>
          <t>KALMAR LÄN</t>
        </is>
      </c>
      <c r="E8514" t="inlineStr">
        <is>
          <t>VIMMERBY</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32673-2023</t>
        </is>
      </c>
      <c r="B8515" s="1" t="n">
        <v>45121</v>
      </c>
      <c r="C8515" s="1" t="n">
        <v>45715</v>
      </c>
      <c r="D8515" t="inlineStr">
        <is>
          <t>KALMAR LÄN</t>
        </is>
      </c>
      <c r="E8515" t="inlineStr">
        <is>
          <t>NYBRO</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32574-2023</t>
        </is>
      </c>
      <c r="B8516" s="1" t="n">
        <v>45121</v>
      </c>
      <c r="C8516" s="1" t="n">
        <v>45715</v>
      </c>
      <c r="D8516" t="inlineStr">
        <is>
          <t>KALMAR LÄN</t>
        </is>
      </c>
      <c r="E8516" t="inlineStr">
        <is>
          <t>TORSÅS</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32573-2023</t>
        </is>
      </c>
      <c r="B8517" s="1" t="n">
        <v>45121</v>
      </c>
      <c r="C8517" s="1" t="n">
        <v>45715</v>
      </c>
      <c r="D8517" t="inlineStr">
        <is>
          <t>KALMAR LÄN</t>
        </is>
      </c>
      <c r="E8517" t="inlineStr">
        <is>
          <t>TORSÅS</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32614-2023</t>
        </is>
      </c>
      <c r="B8518" s="1" t="n">
        <v>45121</v>
      </c>
      <c r="C8518" s="1" t="n">
        <v>45715</v>
      </c>
      <c r="D8518" t="inlineStr">
        <is>
          <t>KALMAR LÄN</t>
        </is>
      </c>
      <c r="E8518" t="inlineStr">
        <is>
          <t>VIMMERBY</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32642-2023</t>
        </is>
      </c>
      <c r="B8519" s="1" t="n">
        <v>45121</v>
      </c>
      <c r="C8519" s="1" t="n">
        <v>45715</v>
      </c>
      <c r="D8519" t="inlineStr">
        <is>
          <t>KALMAR LÄN</t>
        </is>
      </c>
      <c r="E8519" t="inlineStr">
        <is>
          <t>VIMMERBY</t>
        </is>
      </c>
      <c r="F8519" t="inlineStr">
        <is>
          <t>Sveaskog</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32647-2023</t>
        </is>
      </c>
      <c r="B8520" s="1" t="n">
        <v>45121</v>
      </c>
      <c r="C8520" s="1" t="n">
        <v>45715</v>
      </c>
      <c r="D8520" t="inlineStr">
        <is>
          <t>KALMAR LÄN</t>
        </is>
      </c>
      <c r="E8520" t="inlineStr">
        <is>
          <t>VÄSTERVIK</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32656-2023</t>
        </is>
      </c>
      <c r="B8521" s="1" t="n">
        <v>45121</v>
      </c>
      <c r="C8521" s="1" t="n">
        <v>45715</v>
      </c>
      <c r="D8521" t="inlineStr">
        <is>
          <t>KALMAR LÄN</t>
        </is>
      </c>
      <c r="E8521" t="inlineStr">
        <is>
          <t>EMMABODA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32660-2023</t>
        </is>
      </c>
      <c r="B8522" s="1" t="n">
        <v>45121</v>
      </c>
      <c r="C8522" s="1" t="n">
        <v>45715</v>
      </c>
      <c r="D8522" t="inlineStr">
        <is>
          <t>KALMAR LÄN</t>
        </is>
      </c>
      <c r="E8522" t="inlineStr">
        <is>
          <t>NYBRO</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32639-2023</t>
        </is>
      </c>
      <c r="B8523" s="1" t="n">
        <v>45121</v>
      </c>
      <c r="C8523" s="1" t="n">
        <v>45715</v>
      </c>
      <c r="D8523" t="inlineStr">
        <is>
          <t>KALMAR LÄN</t>
        </is>
      </c>
      <c r="E8523" t="inlineStr">
        <is>
          <t>VIMMERBY</t>
        </is>
      </c>
      <c r="F8523" t="inlineStr">
        <is>
          <t>Sveaskog</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32681-2023</t>
        </is>
      </c>
      <c r="B8524" s="1" t="n">
        <v>45121</v>
      </c>
      <c r="C8524" s="1" t="n">
        <v>45715</v>
      </c>
      <c r="D8524" t="inlineStr">
        <is>
          <t>KALMAR LÄN</t>
        </is>
      </c>
      <c r="E8524" t="inlineStr">
        <is>
          <t>NYBRO</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32757-2023</t>
        </is>
      </c>
      <c r="B8525" s="1" t="n">
        <v>45123</v>
      </c>
      <c r="C8525" s="1" t="n">
        <v>45715</v>
      </c>
      <c r="D8525" t="inlineStr">
        <is>
          <t>KALMAR LÄN</t>
        </is>
      </c>
      <c r="E8525" t="inlineStr">
        <is>
          <t>NYBRO</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32813-2023</t>
        </is>
      </c>
      <c r="B8526" s="1" t="n">
        <v>45124</v>
      </c>
      <c r="C8526" s="1" t="n">
        <v>45715</v>
      </c>
      <c r="D8526" t="inlineStr">
        <is>
          <t>KALMAR LÄN</t>
        </is>
      </c>
      <c r="E8526" t="inlineStr">
        <is>
          <t>VÄSTERVIK</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32866-2023</t>
        </is>
      </c>
      <c r="B8527" s="1" t="n">
        <v>45124</v>
      </c>
      <c r="C8527" s="1" t="n">
        <v>45715</v>
      </c>
      <c r="D8527" t="inlineStr">
        <is>
          <t>KALMAR LÄN</t>
        </is>
      </c>
      <c r="E8527" t="inlineStr">
        <is>
          <t>NYBRO</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32812-2023</t>
        </is>
      </c>
      <c r="B8528" s="1" t="n">
        <v>45124</v>
      </c>
      <c r="C8528" s="1" t="n">
        <v>45715</v>
      </c>
      <c r="D8528" t="inlineStr">
        <is>
          <t>KALMAR LÄN</t>
        </is>
      </c>
      <c r="E8528" t="inlineStr">
        <is>
          <t>VÄSTERVIK</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32811-2023</t>
        </is>
      </c>
      <c r="B8529" s="1" t="n">
        <v>45124</v>
      </c>
      <c r="C8529" s="1" t="n">
        <v>45715</v>
      </c>
      <c r="D8529" t="inlineStr">
        <is>
          <t>KALMAR LÄN</t>
        </is>
      </c>
      <c r="E8529" t="inlineStr">
        <is>
          <t>VÄSTERVIK</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32860-2023</t>
        </is>
      </c>
      <c r="B8530" s="1" t="n">
        <v>45124</v>
      </c>
      <c r="C8530" s="1" t="n">
        <v>45715</v>
      </c>
      <c r="D8530" t="inlineStr">
        <is>
          <t>KALMAR LÄN</t>
        </is>
      </c>
      <c r="E8530" t="inlineStr">
        <is>
          <t>NYBRO</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32865-2023</t>
        </is>
      </c>
      <c r="B8531" s="1" t="n">
        <v>45124</v>
      </c>
      <c r="C8531" s="1" t="n">
        <v>45715</v>
      </c>
      <c r="D8531" t="inlineStr">
        <is>
          <t>KALMAR LÄN</t>
        </is>
      </c>
      <c r="E8531" t="inlineStr">
        <is>
          <t>VIMMERBY</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32919-2023</t>
        </is>
      </c>
      <c r="B8532" s="1" t="n">
        <v>45125</v>
      </c>
      <c r="C8532" s="1" t="n">
        <v>45715</v>
      </c>
      <c r="D8532" t="inlineStr">
        <is>
          <t>KALMAR LÄN</t>
        </is>
      </c>
      <c r="E8532" t="inlineStr">
        <is>
          <t>BORGHOLM</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32955-2023</t>
        </is>
      </c>
      <c r="B8533" s="1" t="n">
        <v>45125</v>
      </c>
      <c r="C8533" s="1" t="n">
        <v>45715</v>
      </c>
      <c r="D8533" t="inlineStr">
        <is>
          <t>KALMAR LÄN</t>
        </is>
      </c>
      <c r="E8533" t="inlineStr">
        <is>
          <t>KALMAR</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32959-2023</t>
        </is>
      </c>
      <c r="B8534" s="1" t="n">
        <v>45125</v>
      </c>
      <c r="C8534" s="1" t="n">
        <v>45715</v>
      </c>
      <c r="D8534" t="inlineStr">
        <is>
          <t>KALMAR LÄN</t>
        </is>
      </c>
      <c r="E8534" t="inlineStr">
        <is>
          <t>KALMAR</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32921-2023</t>
        </is>
      </c>
      <c r="B8535" s="1" t="n">
        <v>45125</v>
      </c>
      <c r="C8535" s="1" t="n">
        <v>45715</v>
      </c>
      <c r="D8535" t="inlineStr">
        <is>
          <t>KALMAR LÄN</t>
        </is>
      </c>
      <c r="E8535" t="inlineStr">
        <is>
          <t>BORGHOLM</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32961-2023</t>
        </is>
      </c>
      <c r="B8536" s="1" t="n">
        <v>45125</v>
      </c>
      <c r="C8536" s="1" t="n">
        <v>45715</v>
      </c>
      <c r="D8536" t="inlineStr">
        <is>
          <t>KALMAR LÄN</t>
        </is>
      </c>
      <c r="E8536" t="inlineStr">
        <is>
          <t>KALMAR</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32965-2023</t>
        </is>
      </c>
      <c r="B8537" s="1" t="n">
        <v>45125</v>
      </c>
      <c r="C8537" s="1" t="n">
        <v>45715</v>
      </c>
      <c r="D8537" t="inlineStr">
        <is>
          <t>KALMAR LÄN</t>
        </is>
      </c>
      <c r="E8537" t="inlineStr">
        <is>
          <t>KALMAR</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32984-2023</t>
        </is>
      </c>
      <c r="B8538" s="1" t="n">
        <v>45125</v>
      </c>
      <c r="C8538" s="1" t="n">
        <v>45715</v>
      </c>
      <c r="D8538" t="inlineStr">
        <is>
          <t>KALMAR LÄN</t>
        </is>
      </c>
      <c r="E8538" t="inlineStr">
        <is>
          <t>VIMMERBY</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33059-2023</t>
        </is>
      </c>
      <c r="B8539" s="1" t="n">
        <v>45126</v>
      </c>
      <c r="C8539" s="1" t="n">
        <v>45715</v>
      </c>
      <c r="D8539" t="inlineStr">
        <is>
          <t>KALMAR LÄN</t>
        </is>
      </c>
      <c r="E8539" t="inlineStr">
        <is>
          <t>KALMAR</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33070-2023</t>
        </is>
      </c>
      <c r="B8540" s="1" t="n">
        <v>45126</v>
      </c>
      <c r="C8540" s="1" t="n">
        <v>45715</v>
      </c>
      <c r="D8540" t="inlineStr">
        <is>
          <t>KALMAR LÄN</t>
        </is>
      </c>
      <c r="E8540" t="inlineStr">
        <is>
          <t>EMMABODA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33082-2023</t>
        </is>
      </c>
      <c r="B8541" s="1" t="n">
        <v>45126</v>
      </c>
      <c r="C8541" s="1" t="n">
        <v>45715</v>
      </c>
      <c r="D8541" t="inlineStr">
        <is>
          <t>KALMAR LÄN</t>
        </is>
      </c>
      <c r="E8541" t="inlineStr">
        <is>
          <t>EMMABODA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33091-2023</t>
        </is>
      </c>
      <c r="B8542" s="1" t="n">
        <v>45126</v>
      </c>
      <c r="C8542" s="1" t="n">
        <v>45715</v>
      </c>
      <c r="D8542" t="inlineStr">
        <is>
          <t>KALMAR LÄN</t>
        </is>
      </c>
      <c r="E8542" t="inlineStr">
        <is>
          <t>HULTSFRED</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33112-2023</t>
        </is>
      </c>
      <c r="B8543" s="1" t="n">
        <v>45126</v>
      </c>
      <c r="C8543" s="1" t="n">
        <v>45715</v>
      </c>
      <c r="D8543" t="inlineStr">
        <is>
          <t>KALMAR LÄN</t>
        </is>
      </c>
      <c r="E8543" t="inlineStr">
        <is>
          <t>HÖGSBY</t>
        </is>
      </c>
      <c r="G8543" t="n">
        <v>4.5</v>
      </c>
      <c r="H8543" t="n">
        <v>0</v>
      </c>
      <c r="I8543" t="n">
        <v>0</v>
      </c>
      <c r="J8543" t="n">
        <v>0</v>
      </c>
      <c r="K8543" t="n">
        <v>0</v>
      </c>
      <c r="L8543" t="n">
        <v>0</v>
      </c>
      <c r="M8543" t="n">
        <v>0</v>
      </c>
      <c r="N8543" t="n">
        <v>0</v>
      </c>
      <c r="O8543" t="n">
        <v>0</v>
      </c>
      <c r="P8543" t="n">
        <v>0</v>
      </c>
      <c r="Q8543" t="n">
        <v>0</v>
      </c>
      <c r="R8543" s="2" t="inlineStr"/>
    </row>
    <row r="8544" ht="15" customHeight="1">
      <c r="A8544" t="inlineStr">
        <is>
          <t>A 33057-2023</t>
        </is>
      </c>
      <c r="B8544" s="1" t="n">
        <v>45126</v>
      </c>
      <c r="C8544" s="1" t="n">
        <v>45715</v>
      </c>
      <c r="D8544" t="inlineStr">
        <is>
          <t>KALMAR LÄN</t>
        </is>
      </c>
      <c r="E8544" t="inlineStr">
        <is>
          <t>TORSÅS</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33061-2023</t>
        </is>
      </c>
      <c r="B8545" s="1" t="n">
        <v>45126</v>
      </c>
      <c r="C8545" s="1" t="n">
        <v>45715</v>
      </c>
      <c r="D8545" t="inlineStr">
        <is>
          <t>KALMAR LÄN</t>
        </is>
      </c>
      <c r="E8545" t="inlineStr">
        <is>
          <t>EMMABODA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33067-2023</t>
        </is>
      </c>
      <c r="B8546" s="1" t="n">
        <v>45126</v>
      </c>
      <c r="C8546" s="1" t="n">
        <v>45715</v>
      </c>
      <c r="D8546" t="inlineStr">
        <is>
          <t>KALMAR LÄN</t>
        </is>
      </c>
      <c r="E8546" t="inlineStr">
        <is>
          <t>EMMABODA</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33084-2023</t>
        </is>
      </c>
      <c r="B8547" s="1" t="n">
        <v>45126</v>
      </c>
      <c r="C8547" s="1" t="n">
        <v>45715</v>
      </c>
      <c r="D8547" t="inlineStr">
        <is>
          <t>KALMAR LÄN</t>
        </is>
      </c>
      <c r="E8547" t="inlineStr">
        <is>
          <t>EMMABODA</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33052-2023</t>
        </is>
      </c>
      <c r="B8548" s="1" t="n">
        <v>45126</v>
      </c>
      <c r="C8548" s="1" t="n">
        <v>45715</v>
      </c>
      <c r="D8548" t="inlineStr">
        <is>
          <t>KALMAR LÄN</t>
        </is>
      </c>
      <c r="E8548" t="inlineStr">
        <is>
          <t>EMMABODA</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33060-2023</t>
        </is>
      </c>
      <c r="B8549" s="1" t="n">
        <v>45126</v>
      </c>
      <c r="C8549" s="1" t="n">
        <v>45715</v>
      </c>
      <c r="D8549" t="inlineStr">
        <is>
          <t>KALMAR LÄN</t>
        </is>
      </c>
      <c r="E8549" t="inlineStr">
        <is>
          <t>EMMABODA</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33065-2023</t>
        </is>
      </c>
      <c r="B8550" s="1" t="n">
        <v>45126</v>
      </c>
      <c r="C8550" s="1" t="n">
        <v>45715</v>
      </c>
      <c r="D8550" t="inlineStr">
        <is>
          <t>KALMAR LÄN</t>
        </is>
      </c>
      <c r="E8550" t="inlineStr">
        <is>
          <t>EMMABODA</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33083-2023</t>
        </is>
      </c>
      <c r="B8551" s="1" t="n">
        <v>45126</v>
      </c>
      <c r="C8551" s="1" t="n">
        <v>45715</v>
      </c>
      <c r="D8551" t="inlineStr">
        <is>
          <t>KALMAR LÄN</t>
        </is>
      </c>
      <c r="E8551" t="inlineStr">
        <is>
          <t>EMMABODA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33142-2023</t>
        </is>
      </c>
      <c r="B8552" s="1" t="n">
        <v>45126</v>
      </c>
      <c r="C8552" s="1" t="n">
        <v>45715</v>
      </c>
      <c r="D8552" t="inlineStr">
        <is>
          <t>KALMAR LÄN</t>
        </is>
      </c>
      <c r="E8552" t="inlineStr">
        <is>
          <t>HULTSFRED</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33050-2023</t>
        </is>
      </c>
      <c r="B8553" s="1" t="n">
        <v>45126</v>
      </c>
      <c r="C8553" s="1" t="n">
        <v>45715</v>
      </c>
      <c r="D8553" t="inlineStr">
        <is>
          <t>KALMAR LÄN</t>
        </is>
      </c>
      <c r="E8553" t="inlineStr">
        <is>
          <t>EMMABODA</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33054-2023</t>
        </is>
      </c>
      <c r="B8554" s="1" t="n">
        <v>45126</v>
      </c>
      <c r="C8554" s="1" t="n">
        <v>45715</v>
      </c>
      <c r="D8554" t="inlineStr">
        <is>
          <t>KALMAR LÄN</t>
        </is>
      </c>
      <c r="E8554" t="inlineStr">
        <is>
          <t>TORSÅS</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33058-2023</t>
        </is>
      </c>
      <c r="B8555" s="1" t="n">
        <v>45126</v>
      </c>
      <c r="C8555" s="1" t="n">
        <v>45715</v>
      </c>
      <c r="D8555" t="inlineStr">
        <is>
          <t>KALMAR LÄN</t>
        </is>
      </c>
      <c r="E8555" t="inlineStr">
        <is>
          <t>KALMAR</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33081-2023</t>
        </is>
      </c>
      <c r="B8556" s="1" t="n">
        <v>45126</v>
      </c>
      <c r="C8556" s="1" t="n">
        <v>45715</v>
      </c>
      <c r="D8556" t="inlineStr">
        <is>
          <t>KALMAR LÄN</t>
        </is>
      </c>
      <c r="E8556" t="inlineStr">
        <is>
          <t>EMMABODA</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33106-2023</t>
        </is>
      </c>
      <c r="B8557" s="1" t="n">
        <v>45126</v>
      </c>
      <c r="C8557" s="1" t="n">
        <v>45715</v>
      </c>
      <c r="D8557" t="inlineStr">
        <is>
          <t>KALMAR LÄN</t>
        </is>
      </c>
      <c r="E8557" t="inlineStr">
        <is>
          <t>EMMABODA</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33235-2023</t>
        </is>
      </c>
      <c r="B8558" s="1" t="n">
        <v>45127</v>
      </c>
      <c r="C8558" s="1" t="n">
        <v>45715</v>
      </c>
      <c r="D8558" t="inlineStr">
        <is>
          <t>KALMAR LÄN</t>
        </is>
      </c>
      <c r="E8558" t="inlineStr">
        <is>
          <t>HULTSFRED</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33271-2023</t>
        </is>
      </c>
      <c r="B8559" s="1" t="n">
        <v>45127</v>
      </c>
      <c r="C8559" s="1" t="n">
        <v>45715</v>
      </c>
      <c r="D8559" t="inlineStr">
        <is>
          <t>KALMAR LÄN</t>
        </is>
      </c>
      <c r="E8559" t="inlineStr">
        <is>
          <t>VÄSTERVIK</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33236-2023</t>
        </is>
      </c>
      <c r="B8560" s="1" t="n">
        <v>45127</v>
      </c>
      <c r="C8560" s="1" t="n">
        <v>45715</v>
      </c>
      <c r="D8560" t="inlineStr">
        <is>
          <t>KALMAR LÄN</t>
        </is>
      </c>
      <c r="E8560" t="inlineStr">
        <is>
          <t>VIMMERBY</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33272-2023</t>
        </is>
      </c>
      <c r="B8561" s="1" t="n">
        <v>45127</v>
      </c>
      <c r="C8561" s="1" t="n">
        <v>45715</v>
      </c>
      <c r="D8561" t="inlineStr">
        <is>
          <t>KALMAR LÄN</t>
        </is>
      </c>
      <c r="E8561" t="inlineStr">
        <is>
          <t>VÄSTERVIK</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33326-2023</t>
        </is>
      </c>
      <c r="B8562" s="1" t="n">
        <v>45127</v>
      </c>
      <c r="C8562" s="1" t="n">
        <v>45715</v>
      </c>
      <c r="D8562" t="inlineStr">
        <is>
          <t>KALMAR LÄN</t>
        </is>
      </c>
      <c r="E8562" t="inlineStr">
        <is>
          <t>HULTSFRED</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33335-2023</t>
        </is>
      </c>
      <c r="B8563" s="1" t="n">
        <v>45128</v>
      </c>
      <c r="C8563" s="1" t="n">
        <v>45715</v>
      </c>
      <c r="D8563" t="inlineStr">
        <is>
          <t>KALMAR LÄN</t>
        </is>
      </c>
      <c r="E8563" t="inlineStr">
        <is>
          <t>NYBRO</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33340-2023</t>
        </is>
      </c>
      <c r="B8564" s="1" t="n">
        <v>45128</v>
      </c>
      <c r="C8564" s="1" t="n">
        <v>45715</v>
      </c>
      <c r="D8564" t="inlineStr">
        <is>
          <t>KALMAR LÄN</t>
        </is>
      </c>
      <c r="E8564" t="inlineStr">
        <is>
          <t>VIMMERBY</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33383-2023</t>
        </is>
      </c>
      <c r="B8565" s="1" t="n">
        <v>45128</v>
      </c>
      <c r="C8565" s="1" t="n">
        <v>45715</v>
      </c>
      <c r="D8565" t="inlineStr">
        <is>
          <t>KALMAR LÄN</t>
        </is>
      </c>
      <c r="E8565" t="inlineStr">
        <is>
          <t>VIMMERBY</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33380-2023</t>
        </is>
      </c>
      <c r="B8566" s="1" t="n">
        <v>45128</v>
      </c>
      <c r="C8566" s="1" t="n">
        <v>45715</v>
      </c>
      <c r="D8566" t="inlineStr">
        <is>
          <t>KALMAR LÄN</t>
        </is>
      </c>
      <c r="E8566" t="inlineStr">
        <is>
          <t>VIMMERBY</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33417-2023</t>
        </is>
      </c>
      <c r="B8567" s="1" t="n">
        <v>45128</v>
      </c>
      <c r="C8567" s="1" t="n">
        <v>45715</v>
      </c>
      <c r="D8567" t="inlineStr">
        <is>
          <t>KALMAR LÄN</t>
        </is>
      </c>
      <c r="E8567" t="inlineStr">
        <is>
          <t>VIMMERBY</t>
        </is>
      </c>
      <c r="G8567" t="n">
        <v>4.8</v>
      </c>
      <c r="H8567" t="n">
        <v>0</v>
      </c>
      <c r="I8567" t="n">
        <v>0</v>
      </c>
      <c r="J8567" t="n">
        <v>0</v>
      </c>
      <c r="K8567" t="n">
        <v>0</v>
      </c>
      <c r="L8567" t="n">
        <v>0</v>
      </c>
      <c r="M8567" t="n">
        <v>0</v>
      </c>
      <c r="N8567" t="n">
        <v>0</v>
      </c>
      <c r="O8567" t="n">
        <v>0</v>
      </c>
      <c r="P8567" t="n">
        <v>0</v>
      </c>
      <c r="Q8567" t="n">
        <v>0</v>
      </c>
      <c r="R8567" s="2" t="inlineStr"/>
    </row>
    <row r="8568" ht="15" customHeight="1">
      <c r="A8568" t="inlineStr">
        <is>
          <t>A 33425-2023</t>
        </is>
      </c>
      <c r="B8568" s="1" t="n">
        <v>45129</v>
      </c>
      <c r="C8568" s="1" t="n">
        <v>45715</v>
      </c>
      <c r="D8568" t="inlineStr">
        <is>
          <t>KALMAR LÄN</t>
        </is>
      </c>
      <c r="E8568" t="inlineStr">
        <is>
          <t>VIMMERBY</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33424-2023</t>
        </is>
      </c>
      <c r="B8569" s="1" t="n">
        <v>45129</v>
      </c>
      <c r="C8569" s="1" t="n">
        <v>45715</v>
      </c>
      <c r="D8569" t="inlineStr">
        <is>
          <t>KALMAR LÄN</t>
        </is>
      </c>
      <c r="E8569" t="inlineStr">
        <is>
          <t>VIMMERBY</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33443-2023</t>
        </is>
      </c>
      <c r="B8570" s="1" t="n">
        <v>45129</v>
      </c>
      <c r="C8570" s="1" t="n">
        <v>45715</v>
      </c>
      <c r="D8570" t="inlineStr">
        <is>
          <t>KALMAR LÄN</t>
        </is>
      </c>
      <c r="E8570" t="inlineStr">
        <is>
          <t>HULTSFRED</t>
        </is>
      </c>
      <c r="G8570" t="n">
        <v>7.5</v>
      </c>
      <c r="H8570" t="n">
        <v>0</v>
      </c>
      <c r="I8570" t="n">
        <v>0</v>
      </c>
      <c r="J8570" t="n">
        <v>0</v>
      </c>
      <c r="K8570" t="n">
        <v>0</v>
      </c>
      <c r="L8570" t="n">
        <v>0</v>
      </c>
      <c r="M8570" t="n">
        <v>0</v>
      </c>
      <c r="N8570" t="n">
        <v>0</v>
      </c>
      <c r="O8570" t="n">
        <v>0</v>
      </c>
      <c r="P8570" t="n">
        <v>0</v>
      </c>
      <c r="Q8570" t="n">
        <v>0</v>
      </c>
      <c r="R8570" s="2" t="inlineStr"/>
    </row>
    <row r="8571" ht="15" customHeight="1">
      <c r="A8571" t="inlineStr">
        <is>
          <t>A 33440-2023</t>
        </is>
      </c>
      <c r="B8571" s="1" t="n">
        <v>45129</v>
      </c>
      <c r="C8571" s="1" t="n">
        <v>45715</v>
      </c>
      <c r="D8571" t="inlineStr">
        <is>
          <t>KALMAR LÄN</t>
        </is>
      </c>
      <c r="E8571" t="inlineStr">
        <is>
          <t>HULTSFRED</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33441-2023</t>
        </is>
      </c>
      <c r="B8572" s="1" t="n">
        <v>45129</v>
      </c>
      <c r="C8572" s="1" t="n">
        <v>45715</v>
      </c>
      <c r="D8572" t="inlineStr">
        <is>
          <t>KALMAR LÄN</t>
        </is>
      </c>
      <c r="E8572" t="inlineStr">
        <is>
          <t>HULTSFRED</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33442-2023</t>
        </is>
      </c>
      <c r="B8573" s="1" t="n">
        <v>45129</v>
      </c>
      <c r="C8573" s="1" t="n">
        <v>45715</v>
      </c>
      <c r="D8573" t="inlineStr">
        <is>
          <t>KALMAR LÄN</t>
        </is>
      </c>
      <c r="E8573" t="inlineStr">
        <is>
          <t>HULTSFRED</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33472-2023</t>
        </is>
      </c>
      <c r="B8574" s="1" t="n">
        <v>45131</v>
      </c>
      <c r="C8574" s="1" t="n">
        <v>45715</v>
      </c>
      <c r="D8574" t="inlineStr">
        <is>
          <t>KALMAR LÄN</t>
        </is>
      </c>
      <c r="E8574" t="inlineStr">
        <is>
          <t>NYBRO</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33489-2023</t>
        </is>
      </c>
      <c r="B8575" s="1" t="n">
        <v>45131</v>
      </c>
      <c r="C8575" s="1" t="n">
        <v>45715</v>
      </c>
      <c r="D8575" t="inlineStr">
        <is>
          <t>KALMAR LÄN</t>
        </is>
      </c>
      <c r="E8575" t="inlineStr">
        <is>
          <t>VÄSTERVIK</t>
        </is>
      </c>
      <c r="G8575" t="n">
        <v>7.3</v>
      </c>
      <c r="H8575" t="n">
        <v>0</v>
      </c>
      <c r="I8575" t="n">
        <v>0</v>
      </c>
      <c r="J8575" t="n">
        <v>0</v>
      </c>
      <c r="K8575" t="n">
        <v>0</v>
      </c>
      <c r="L8575" t="n">
        <v>0</v>
      </c>
      <c r="M8575" t="n">
        <v>0</v>
      </c>
      <c r="N8575" t="n">
        <v>0</v>
      </c>
      <c r="O8575" t="n">
        <v>0</v>
      </c>
      <c r="P8575" t="n">
        <v>0</v>
      </c>
      <c r="Q8575" t="n">
        <v>0</v>
      </c>
      <c r="R8575" s="2" t="inlineStr"/>
    </row>
    <row r="8576" ht="15" customHeight="1">
      <c r="A8576" t="inlineStr">
        <is>
          <t>A 34335-2023</t>
        </is>
      </c>
      <c r="B8576" s="1" t="n">
        <v>45131</v>
      </c>
      <c r="C8576" s="1" t="n">
        <v>45715</v>
      </c>
      <c r="D8576" t="inlineStr">
        <is>
          <t>KALMAR LÄN</t>
        </is>
      </c>
      <c r="E8576" t="inlineStr">
        <is>
          <t>KALMAR</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33601-2023</t>
        </is>
      </c>
      <c r="B8577" s="1" t="n">
        <v>45132</v>
      </c>
      <c r="C8577" s="1" t="n">
        <v>45715</v>
      </c>
      <c r="D8577" t="inlineStr">
        <is>
          <t>KALMAR LÄN</t>
        </is>
      </c>
      <c r="E8577" t="inlineStr">
        <is>
          <t>HULTSFRED</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33594-2023</t>
        </is>
      </c>
      <c r="B8578" s="1" t="n">
        <v>45132</v>
      </c>
      <c r="C8578" s="1" t="n">
        <v>45715</v>
      </c>
      <c r="D8578" t="inlineStr">
        <is>
          <t>KALMAR LÄN</t>
        </is>
      </c>
      <c r="E8578" t="inlineStr">
        <is>
          <t>TORSÅS</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33602-2023</t>
        </is>
      </c>
      <c r="B8579" s="1" t="n">
        <v>45132</v>
      </c>
      <c r="C8579" s="1" t="n">
        <v>45715</v>
      </c>
      <c r="D8579" t="inlineStr">
        <is>
          <t>KALMAR LÄN</t>
        </is>
      </c>
      <c r="E8579" t="inlineStr">
        <is>
          <t>TORSÅS</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33606-2023</t>
        </is>
      </c>
      <c r="B8580" s="1" t="n">
        <v>45132</v>
      </c>
      <c r="C8580" s="1" t="n">
        <v>45715</v>
      </c>
      <c r="D8580" t="inlineStr">
        <is>
          <t>KALMAR LÄN</t>
        </is>
      </c>
      <c r="E8580" t="inlineStr">
        <is>
          <t>EMMABODA</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33618-2023</t>
        </is>
      </c>
      <c r="B8581" s="1" t="n">
        <v>45132</v>
      </c>
      <c r="C8581" s="1" t="n">
        <v>45715</v>
      </c>
      <c r="D8581" t="inlineStr">
        <is>
          <t>KALMAR LÄN</t>
        </is>
      </c>
      <c r="E8581" t="inlineStr">
        <is>
          <t>MÖNSTERÅS</t>
        </is>
      </c>
      <c r="F8581" t="inlineStr">
        <is>
          <t>Övriga Aktiebolag</t>
        </is>
      </c>
      <c r="G8581" t="n">
        <v>8.1</v>
      </c>
      <c r="H8581" t="n">
        <v>0</v>
      </c>
      <c r="I8581" t="n">
        <v>0</v>
      </c>
      <c r="J8581" t="n">
        <v>0</v>
      </c>
      <c r="K8581" t="n">
        <v>0</v>
      </c>
      <c r="L8581" t="n">
        <v>0</v>
      </c>
      <c r="M8581" t="n">
        <v>0</v>
      </c>
      <c r="N8581" t="n">
        <v>0</v>
      </c>
      <c r="O8581" t="n">
        <v>0</v>
      </c>
      <c r="P8581" t="n">
        <v>0</v>
      </c>
      <c r="Q8581" t="n">
        <v>0</v>
      </c>
      <c r="R8581" s="2" t="inlineStr"/>
    </row>
    <row r="8582" ht="15" customHeight="1">
      <c r="A8582" t="inlineStr">
        <is>
          <t>A 33604-2023</t>
        </is>
      </c>
      <c r="B8582" s="1" t="n">
        <v>45132</v>
      </c>
      <c r="C8582" s="1" t="n">
        <v>45715</v>
      </c>
      <c r="D8582" t="inlineStr">
        <is>
          <t>KALMAR LÄN</t>
        </is>
      </c>
      <c r="E8582" t="inlineStr">
        <is>
          <t>HULTSFRED</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33649-2023</t>
        </is>
      </c>
      <c r="B8583" s="1" t="n">
        <v>45132</v>
      </c>
      <c r="C8583" s="1" t="n">
        <v>45715</v>
      </c>
      <c r="D8583" t="inlineStr">
        <is>
          <t>KALMAR LÄN</t>
        </is>
      </c>
      <c r="E8583" t="inlineStr">
        <is>
          <t>VIMMERBY</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33648-2023</t>
        </is>
      </c>
      <c r="B8584" s="1" t="n">
        <v>45132</v>
      </c>
      <c r="C8584" s="1" t="n">
        <v>45715</v>
      </c>
      <c r="D8584" t="inlineStr">
        <is>
          <t>KALMAR LÄN</t>
        </is>
      </c>
      <c r="E8584" t="inlineStr">
        <is>
          <t>VÄSTERVIK</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33603-2023</t>
        </is>
      </c>
      <c r="B8585" s="1" t="n">
        <v>45132</v>
      </c>
      <c r="C8585" s="1" t="n">
        <v>45715</v>
      </c>
      <c r="D8585" t="inlineStr">
        <is>
          <t>KALMAR LÄN</t>
        </is>
      </c>
      <c r="E8585" t="inlineStr">
        <is>
          <t>TORSÅS</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33647-2023</t>
        </is>
      </c>
      <c r="B8586" s="1" t="n">
        <v>45132</v>
      </c>
      <c r="C8586" s="1" t="n">
        <v>45715</v>
      </c>
      <c r="D8586" t="inlineStr">
        <is>
          <t>KALMAR LÄN</t>
        </is>
      </c>
      <c r="E8586" t="inlineStr">
        <is>
          <t>VÄSTERVIK</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33658-2023</t>
        </is>
      </c>
      <c r="B8587" s="1" t="n">
        <v>45132</v>
      </c>
      <c r="C8587" s="1" t="n">
        <v>45715</v>
      </c>
      <c r="D8587" t="inlineStr">
        <is>
          <t>KALMAR LÄN</t>
        </is>
      </c>
      <c r="E8587" t="inlineStr">
        <is>
          <t>MÖNSTERÅS</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33722-2023</t>
        </is>
      </c>
      <c r="B8588" s="1" t="n">
        <v>45133</v>
      </c>
      <c r="C8588" s="1" t="n">
        <v>45715</v>
      </c>
      <c r="D8588" t="inlineStr">
        <is>
          <t>KALMAR LÄN</t>
        </is>
      </c>
      <c r="E8588" t="inlineStr">
        <is>
          <t>VÄSTERVIK</t>
        </is>
      </c>
      <c r="F8588" t="inlineStr">
        <is>
          <t>Holmen skog AB</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33828-2023</t>
        </is>
      </c>
      <c r="B8589" s="1" t="n">
        <v>45133</v>
      </c>
      <c r="C8589" s="1" t="n">
        <v>45715</v>
      </c>
      <c r="D8589" t="inlineStr">
        <is>
          <t>KALMAR LÄN</t>
        </is>
      </c>
      <c r="E8589" t="inlineStr">
        <is>
          <t>VÄSTERVIK</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33814-2023</t>
        </is>
      </c>
      <c r="B8590" s="1" t="n">
        <v>45133</v>
      </c>
      <c r="C8590" s="1" t="n">
        <v>45715</v>
      </c>
      <c r="D8590" t="inlineStr">
        <is>
          <t>KALMAR LÄN</t>
        </is>
      </c>
      <c r="E8590" t="inlineStr">
        <is>
          <t>VÄSTERVIK</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33893-2023</t>
        </is>
      </c>
      <c r="B8591" s="1" t="n">
        <v>45134</v>
      </c>
      <c r="C8591" s="1" t="n">
        <v>45715</v>
      </c>
      <c r="D8591" t="inlineStr">
        <is>
          <t>KALMAR LÄN</t>
        </is>
      </c>
      <c r="E8591" t="inlineStr">
        <is>
          <t>KALMAR</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33884-2023</t>
        </is>
      </c>
      <c r="B8592" s="1" t="n">
        <v>45134</v>
      </c>
      <c r="C8592" s="1" t="n">
        <v>45715</v>
      </c>
      <c r="D8592" t="inlineStr">
        <is>
          <t>KALMAR LÄN</t>
        </is>
      </c>
      <c r="E8592" t="inlineStr">
        <is>
          <t>HULTSFRED</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33886-2023</t>
        </is>
      </c>
      <c r="B8593" s="1" t="n">
        <v>45134</v>
      </c>
      <c r="C8593" s="1" t="n">
        <v>45715</v>
      </c>
      <c r="D8593" t="inlineStr">
        <is>
          <t>KALMAR LÄN</t>
        </is>
      </c>
      <c r="E8593" t="inlineStr">
        <is>
          <t>HULTSFRED</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33990-2023</t>
        </is>
      </c>
      <c r="B8594" s="1" t="n">
        <v>45134</v>
      </c>
      <c r="C8594" s="1" t="n">
        <v>45715</v>
      </c>
      <c r="D8594" t="inlineStr">
        <is>
          <t>KALMAR LÄN</t>
        </is>
      </c>
      <c r="E8594" t="inlineStr">
        <is>
          <t>VÄSTERVIK</t>
        </is>
      </c>
      <c r="F8594" t="inlineStr">
        <is>
          <t>Holmen skog AB</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34034-2023</t>
        </is>
      </c>
      <c r="B8595" s="1" t="n">
        <v>45135</v>
      </c>
      <c r="C8595" s="1" t="n">
        <v>45715</v>
      </c>
      <c r="D8595" t="inlineStr">
        <is>
          <t>KALMAR LÄN</t>
        </is>
      </c>
      <c r="E8595" t="inlineStr">
        <is>
          <t>OSKARSHAMN</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34038-2023</t>
        </is>
      </c>
      <c r="B8596" s="1" t="n">
        <v>45135</v>
      </c>
      <c r="C8596" s="1" t="n">
        <v>45715</v>
      </c>
      <c r="D8596" t="inlineStr">
        <is>
          <t>KALMAR LÄN</t>
        </is>
      </c>
      <c r="E8596" t="inlineStr">
        <is>
          <t>HULTSFRED</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34021-2023</t>
        </is>
      </c>
      <c r="B8597" s="1" t="n">
        <v>45135</v>
      </c>
      <c r="C8597" s="1" t="n">
        <v>45715</v>
      </c>
      <c r="D8597" t="inlineStr">
        <is>
          <t>KALMAR LÄN</t>
        </is>
      </c>
      <c r="E8597" t="inlineStr">
        <is>
          <t>NYBRO</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34032-2023</t>
        </is>
      </c>
      <c r="B8598" s="1" t="n">
        <v>45135</v>
      </c>
      <c r="C8598" s="1" t="n">
        <v>45715</v>
      </c>
      <c r="D8598" t="inlineStr">
        <is>
          <t>KALMAR LÄN</t>
        </is>
      </c>
      <c r="E8598" t="inlineStr">
        <is>
          <t>OSKARSHAMN</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34121-2023</t>
        </is>
      </c>
      <c r="B8599" s="1" t="n">
        <v>45135</v>
      </c>
      <c r="C8599" s="1" t="n">
        <v>45715</v>
      </c>
      <c r="D8599" t="inlineStr">
        <is>
          <t>KALMAR LÄN</t>
        </is>
      </c>
      <c r="E8599" t="inlineStr">
        <is>
          <t>VÄSTERVIK</t>
        </is>
      </c>
      <c r="G8599" t="n">
        <v>4</v>
      </c>
      <c r="H8599" t="n">
        <v>0</v>
      </c>
      <c r="I8599" t="n">
        <v>0</v>
      </c>
      <c r="J8599" t="n">
        <v>0</v>
      </c>
      <c r="K8599" t="n">
        <v>0</v>
      </c>
      <c r="L8599" t="n">
        <v>0</v>
      </c>
      <c r="M8599" t="n">
        <v>0</v>
      </c>
      <c r="N8599" t="n">
        <v>0</v>
      </c>
      <c r="O8599" t="n">
        <v>0</v>
      </c>
      <c r="P8599" t="n">
        <v>0</v>
      </c>
      <c r="Q8599" t="n">
        <v>0</v>
      </c>
      <c r="R8599" s="2" t="inlineStr"/>
      <c r="U8599">
        <f>HYPERLINK("https://klasma.github.io/Logging_0883/knärot/A 34121-2023 karta knärot.png", "A 34121-2023")</f>
        <v/>
      </c>
      <c r="V8599">
        <f>HYPERLINK("https://klasma.github.io/Logging_0883/klagomål/A 34121-2023 FSC-klagomål.docx", "A 34121-2023")</f>
        <v/>
      </c>
      <c r="W8599">
        <f>HYPERLINK("https://klasma.github.io/Logging_0883/klagomålsmail/A 34121-2023 FSC-klagomål mail.docx", "A 34121-2023")</f>
        <v/>
      </c>
      <c r="X8599">
        <f>HYPERLINK("https://klasma.github.io/Logging_0883/tillsyn/A 34121-2023 tillsynsbegäran.docx", "A 34121-2023")</f>
        <v/>
      </c>
      <c r="Y8599">
        <f>HYPERLINK("https://klasma.github.io/Logging_0883/tillsynsmail/A 34121-2023 tillsynsbegäran mail.docx", "A 34121-2023")</f>
        <v/>
      </c>
    </row>
    <row r="8600" ht="15" customHeight="1">
      <c r="A8600" t="inlineStr">
        <is>
          <t>A 34205-2023</t>
        </is>
      </c>
      <c r="B8600" s="1" t="n">
        <v>45138</v>
      </c>
      <c r="C8600" s="1" t="n">
        <v>45715</v>
      </c>
      <c r="D8600" t="inlineStr">
        <is>
          <t>KALMAR LÄN</t>
        </is>
      </c>
      <c r="E8600" t="inlineStr">
        <is>
          <t>VIMMERBY</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34300-2023</t>
        </is>
      </c>
      <c r="B8601" s="1" t="n">
        <v>45138</v>
      </c>
      <c r="C8601" s="1" t="n">
        <v>45715</v>
      </c>
      <c r="D8601" t="inlineStr">
        <is>
          <t>KALMAR LÄN</t>
        </is>
      </c>
      <c r="E8601" t="inlineStr">
        <is>
          <t>VIMMERBY</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34344-2023</t>
        </is>
      </c>
      <c r="B8602" s="1" t="n">
        <v>45139</v>
      </c>
      <c r="C8602" s="1" t="n">
        <v>45715</v>
      </c>
      <c r="D8602" t="inlineStr">
        <is>
          <t>KALMAR LÄN</t>
        </is>
      </c>
      <c r="E8602" t="inlineStr">
        <is>
          <t>MÖNSTERÅS</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34378-2023</t>
        </is>
      </c>
      <c r="B8603" s="1" t="n">
        <v>45139</v>
      </c>
      <c r="C8603" s="1" t="n">
        <v>45715</v>
      </c>
      <c r="D8603" t="inlineStr">
        <is>
          <t>KALMAR LÄN</t>
        </is>
      </c>
      <c r="E8603" t="inlineStr">
        <is>
          <t>EMMABODA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34346-2023</t>
        </is>
      </c>
      <c r="B8604" s="1" t="n">
        <v>45139</v>
      </c>
      <c r="C8604" s="1" t="n">
        <v>45715</v>
      </c>
      <c r="D8604" t="inlineStr">
        <is>
          <t>KALMAR LÄN</t>
        </is>
      </c>
      <c r="E8604" t="inlineStr">
        <is>
          <t>TORSÅS</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34382-2023</t>
        </is>
      </c>
      <c r="B8605" s="1" t="n">
        <v>45139</v>
      </c>
      <c r="C8605" s="1" t="n">
        <v>45715</v>
      </c>
      <c r="D8605" t="inlineStr">
        <is>
          <t>KALMAR LÄN</t>
        </is>
      </c>
      <c r="E8605" t="inlineStr">
        <is>
          <t>TORSÅS</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34432-2023</t>
        </is>
      </c>
      <c r="B8606" s="1" t="n">
        <v>45139</v>
      </c>
      <c r="C8606" s="1" t="n">
        <v>45715</v>
      </c>
      <c r="D8606" t="inlineStr">
        <is>
          <t>KALMAR LÄN</t>
        </is>
      </c>
      <c r="E8606" t="inlineStr">
        <is>
          <t>TORSÅS</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34472-2023</t>
        </is>
      </c>
      <c r="B8607" s="1" t="n">
        <v>45139</v>
      </c>
      <c r="C8607" s="1" t="n">
        <v>45715</v>
      </c>
      <c r="D8607" t="inlineStr">
        <is>
          <t>KALMAR LÄN</t>
        </is>
      </c>
      <c r="E8607" t="inlineStr">
        <is>
          <t>NYBRO</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34493-2023</t>
        </is>
      </c>
      <c r="B8608" s="1" t="n">
        <v>45140</v>
      </c>
      <c r="C8608" s="1" t="n">
        <v>45715</v>
      </c>
      <c r="D8608" t="inlineStr">
        <is>
          <t>KALMAR LÄN</t>
        </is>
      </c>
      <c r="E8608" t="inlineStr">
        <is>
          <t>EMMABODA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34643-2023</t>
        </is>
      </c>
      <c r="B8609" s="1" t="n">
        <v>45140</v>
      </c>
      <c r="C8609" s="1" t="n">
        <v>45715</v>
      </c>
      <c r="D8609" t="inlineStr">
        <is>
          <t>KALMAR LÄN</t>
        </is>
      </c>
      <c r="E8609" t="inlineStr">
        <is>
          <t>VÄSTERVIK</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34648-2023</t>
        </is>
      </c>
      <c r="B8610" s="1" t="n">
        <v>45140</v>
      </c>
      <c r="C8610" s="1" t="n">
        <v>45715</v>
      </c>
      <c r="D8610" t="inlineStr">
        <is>
          <t>KALMAR LÄN</t>
        </is>
      </c>
      <c r="E8610" t="inlineStr">
        <is>
          <t>VÄSTERVIK</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34641-2023</t>
        </is>
      </c>
      <c r="B8611" s="1" t="n">
        <v>45140</v>
      </c>
      <c r="C8611" s="1" t="n">
        <v>45715</v>
      </c>
      <c r="D8611" t="inlineStr">
        <is>
          <t>KALMAR LÄN</t>
        </is>
      </c>
      <c r="E8611" t="inlineStr">
        <is>
          <t>VÄSTERVIK</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34646-2023</t>
        </is>
      </c>
      <c r="B8612" s="1" t="n">
        <v>45140</v>
      </c>
      <c r="C8612" s="1" t="n">
        <v>45715</v>
      </c>
      <c r="D8612" t="inlineStr">
        <is>
          <t>KALMAR LÄN</t>
        </is>
      </c>
      <c r="E8612" t="inlineStr">
        <is>
          <t>VÄSTERVIK</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34655-2023</t>
        </is>
      </c>
      <c r="B8613" s="1" t="n">
        <v>45140</v>
      </c>
      <c r="C8613" s="1" t="n">
        <v>45715</v>
      </c>
      <c r="D8613" t="inlineStr">
        <is>
          <t>KALMAR LÄN</t>
        </is>
      </c>
      <c r="E8613" t="inlineStr">
        <is>
          <t>VÄSTERVIK</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34650-2023</t>
        </is>
      </c>
      <c r="B8614" s="1" t="n">
        <v>45140</v>
      </c>
      <c r="C8614" s="1" t="n">
        <v>45715</v>
      </c>
      <c r="D8614" t="inlineStr">
        <is>
          <t>KALMAR LÄN</t>
        </is>
      </c>
      <c r="E8614" t="inlineStr">
        <is>
          <t>VÄSTERVIK</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34733-2023</t>
        </is>
      </c>
      <c r="B8615" s="1" t="n">
        <v>45141</v>
      </c>
      <c r="C8615" s="1" t="n">
        <v>45715</v>
      </c>
      <c r="D8615" t="inlineStr">
        <is>
          <t>KALMAR LÄN</t>
        </is>
      </c>
      <c r="E8615" t="inlineStr">
        <is>
          <t>NYBRO</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34765-2023</t>
        </is>
      </c>
      <c r="B8616" s="1" t="n">
        <v>45141</v>
      </c>
      <c r="C8616" s="1" t="n">
        <v>45715</v>
      </c>
      <c r="D8616" t="inlineStr">
        <is>
          <t>KALMAR LÄN</t>
        </is>
      </c>
      <c r="E8616" t="inlineStr">
        <is>
          <t>HULTSFRED</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34736-2023</t>
        </is>
      </c>
      <c r="B8617" s="1" t="n">
        <v>45141</v>
      </c>
      <c r="C8617" s="1" t="n">
        <v>45715</v>
      </c>
      <c r="D8617" t="inlineStr">
        <is>
          <t>KALMAR LÄN</t>
        </is>
      </c>
      <c r="E8617" t="inlineStr">
        <is>
          <t>KALMAR</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34748-2023</t>
        </is>
      </c>
      <c r="B8618" s="1" t="n">
        <v>45141</v>
      </c>
      <c r="C8618" s="1" t="n">
        <v>45715</v>
      </c>
      <c r="D8618" t="inlineStr">
        <is>
          <t>KALMAR LÄN</t>
        </is>
      </c>
      <c r="E8618" t="inlineStr">
        <is>
          <t>MÖNSTERÅS</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34953-2023</t>
        </is>
      </c>
      <c r="B8619" s="1" t="n">
        <v>45142</v>
      </c>
      <c r="C8619" s="1" t="n">
        <v>45715</v>
      </c>
      <c r="D8619" t="inlineStr">
        <is>
          <t>KALMAR LÄN</t>
        </is>
      </c>
      <c r="E8619" t="inlineStr">
        <is>
          <t>VÄSTERVIK</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34956-2023</t>
        </is>
      </c>
      <c r="B8620" s="1" t="n">
        <v>45142</v>
      </c>
      <c r="C8620" s="1" t="n">
        <v>45715</v>
      </c>
      <c r="D8620" t="inlineStr">
        <is>
          <t>KALMAR LÄN</t>
        </is>
      </c>
      <c r="E8620" t="inlineStr">
        <is>
          <t>VIMMERBY</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35027-2023</t>
        </is>
      </c>
      <c r="B8621" s="1" t="n">
        <v>45144</v>
      </c>
      <c r="C8621" s="1" t="n">
        <v>45715</v>
      </c>
      <c r="D8621" t="inlineStr">
        <is>
          <t>KALMAR LÄN</t>
        </is>
      </c>
      <c r="E8621" t="inlineStr">
        <is>
          <t>NYBRO</t>
        </is>
      </c>
      <c r="G8621" t="n">
        <v>5.4</v>
      </c>
      <c r="H8621" t="n">
        <v>0</v>
      </c>
      <c r="I8621" t="n">
        <v>0</v>
      </c>
      <c r="J8621" t="n">
        <v>0</v>
      </c>
      <c r="K8621" t="n">
        <v>0</v>
      </c>
      <c r="L8621" t="n">
        <v>0</v>
      </c>
      <c r="M8621" t="n">
        <v>0</v>
      </c>
      <c r="N8621" t="n">
        <v>0</v>
      </c>
      <c r="O8621" t="n">
        <v>0</v>
      </c>
      <c r="P8621" t="n">
        <v>0</v>
      </c>
      <c r="Q8621" t="n">
        <v>0</v>
      </c>
      <c r="R8621" s="2" t="inlineStr"/>
    </row>
    <row r="8622" ht="15" customHeight="1">
      <c r="A8622" t="inlineStr">
        <is>
          <t>A 35049-2023</t>
        </is>
      </c>
      <c r="B8622" s="1" t="n">
        <v>45145</v>
      </c>
      <c r="C8622" s="1" t="n">
        <v>45715</v>
      </c>
      <c r="D8622" t="inlineStr">
        <is>
          <t>KALMAR LÄN</t>
        </is>
      </c>
      <c r="E8622" t="inlineStr">
        <is>
          <t>TORSÅS</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35129-2023</t>
        </is>
      </c>
      <c r="B8623" s="1" t="n">
        <v>45145</v>
      </c>
      <c r="C8623" s="1" t="n">
        <v>45715</v>
      </c>
      <c r="D8623" t="inlineStr">
        <is>
          <t>KALMAR LÄN</t>
        </is>
      </c>
      <c r="E8623" t="inlineStr">
        <is>
          <t>NYBRO</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35046-2023</t>
        </is>
      </c>
      <c r="B8624" s="1" t="n">
        <v>45145</v>
      </c>
      <c r="C8624" s="1" t="n">
        <v>45715</v>
      </c>
      <c r="D8624" t="inlineStr">
        <is>
          <t>KALMAR LÄN</t>
        </is>
      </c>
      <c r="E8624" t="inlineStr">
        <is>
          <t>TORSÅS</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35062-2023</t>
        </is>
      </c>
      <c r="B8625" s="1" t="n">
        <v>45145</v>
      </c>
      <c r="C8625" s="1" t="n">
        <v>45715</v>
      </c>
      <c r="D8625" t="inlineStr">
        <is>
          <t>KALMAR LÄN</t>
        </is>
      </c>
      <c r="E8625" t="inlineStr">
        <is>
          <t>HULTSFRED</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35087-2023</t>
        </is>
      </c>
      <c r="B8626" s="1" t="n">
        <v>45145</v>
      </c>
      <c r="C8626" s="1" t="n">
        <v>45715</v>
      </c>
      <c r="D8626" t="inlineStr">
        <is>
          <t>KALMAR LÄN</t>
        </is>
      </c>
      <c r="E8626" t="inlineStr">
        <is>
          <t>HÖGSBY</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35190-2023</t>
        </is>
      </c>
      <c r="B8627" s="1" t="n">
        <v>45145</v>
      </c>
      <c r="C8627" s="1" t="n">
        <v>45715</v>
      </c>
      <c r="D8627" t="inlineStr">
        <is>
          <t>KALMAR LÄN</t>
        </is>
      </c>
      <c r="E8627" t="inlineStr">
        <is>
          <t>VIMMERBY</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35198-2023</t>
        </is>
      </c>
      <c r="B8628" s="1" t="n">
        <v>45145</v>
      </c>
      <c r="C8628" s="1" t="n">
        <v>45715</v>
      </c>
      <c r="D8628" t="inlineStr">
        <is>
          <t>KALMAR LÄN</t>
        </is>
      </c>
      <c r="E8628" t="inlineStr">
        <is>
          <t>VIMMERBY</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35171-2023</t>
        </is>
      </c>
      <c r="B8629" s="1" t="n">
        <v>45145</v>
      </c>
      <c r="C8629" s="1" t="n">
        <v>45715</v>
      </c>
      <c r="D8629" t="inlineStr">
        <is>
          <t>KALMAR LÄN</t>
        </is>
      </c>
      <c r="E8629" t="inlineStr">
        <is>
          <t>VÄSTERVIK</t>
        </is>
      </c>
      <c r="F8629" t="inlineStr">
        <is>
          <t>Holmen skog AB</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35043-2023</t>
        </is>
      </c>
      <c r="B8630" s="1" t="n">
        <v>45145</v>
      </c>
      <c r="C8630" s="1" t="n">
        <v>45715</v>
      </c>
      <c r="D8630" t="inlineStr">
        <is>
          <t>KALMAR LÄN</t>
        </is>
      </c>
      <c r="E8630" t="inlineStr">
        <is>
          <t>KALMAR</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35047-2023</t>
        </is>
      </c>
      <c r="B8631" s="1" t="n">
        <v>45145</v>
      </c>
      <c r="C8631" s="1" t="n">
        <v>45715</v>
      </c>
      <c r="D8631" t="inlineStr">
        <is>
          <t>KALMAR LÄN</t>
        </is>
      </c>
      <c r="E8631" t="inlineStr">
        <is>
          <t>HÖGSBY</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35052-2023</t>
        </is>
      </c>
      <c r="B8632" s="1" t="n">
        <v>45145</v>
      </c>
      <c r="C8632" s="1" t="n">
        <v>45715</v>
      </c>
      <c r="D8632" t="inlineStr">
        <is>
          <t>KALMAR LÄN</t>
        </is>
      </c>
      <c r="E8632" t="inlineStr">
        <is>
          <t>NYBRO</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35044-2023</t>
        </is>
      </c>
      <c r="B8633" s="1" t="n">
        <v>45145</v>
      </c>
      <c r="C8633" s="1" t="n">
        <v>45715</v>
      </c>
      <c r="D8633" t="inlineStr">
        <is>
          <t>KALMAR LÄN</t>
        </is>
      </c>
      <c r="E8633" t="inlineStr">
        <is>
          <t>HÖGSBY</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35135-2023</t>
        </is>
      </c>
      <c r="B8634" s="1" t="n">
        <v>45145</v>
      </c>
      <c r="C8634" s="1" t="n">
        <v>45715</v>
      </c>
      <c r="D8634" t="inlineStr">
        <is>
          <t>KALMAR LÄN</t>
        </is>
      </c>
      <c r="E8634" t="inlineStr">
        <is>
          <t>MÖNSTERÅS</t>
        </is>
      </c>
      <c r="G8634" t="n">
        <v>5.3</v>
      </c>
      <c r="H8634" t="n">
        <v>0</v>
      </c>
      <c r="I8634" t="n">
        <v>0</v>
      </c>
      <c r="J8634" t="n">
        <v>0</v>
      </c>
      <c r="K8634" t="n">
        <v>0</v>
      </c>
      <c r="L8634" t="n">
        <v>0</v>
      </c>
      <c r="M8634" t="n">
        <v>0</v>
      </c>
      <c r="N8634" t="n">
        <v>0</v>
      </c>
      <c r="O8634" t="n">
        <v>0</v>
      </c>
      <c r="P8634" t="n">
        <v>0</v>
      </c>
      <c r="Q8634" t="n">
        <v>0</v>
      </c>
      <c r="R8634" s="2" t="inlineStr"/>
    </row>
    <row r="8635" ht="15" customHeight="1">
      <c r="A8635" t="inlineStr">
        <is>
          <t>A 35160-2023</t>
        </is>
      </c>
      <c r="B8635" s="1" t="n">
        <v>45145</v>
      </c>
      <c r="C8635" s="1" t="n">
        <v>45715</v>
      </c>
      <c r="D8635" t="inlineStr">
        <is>
          <t>KALMAR LÄN</t>
        </is>
      </c>
      <c r="E8635" t="inlineStr">
        <is>
          <t>VÄSTERVIK</t>
        </is>
      </c>
      <c r="F8635" t="inlineStr">
        <is>
          <t>Holmen skog AB</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35168-2023</t>
        </is>
      </c>
      <c r="B8636" s="1" t="n">
        <v>45145</v>
      </c>
      <c r="C8636" s="1" t="n">
        <v>45715</v>
      </c>
      <c r="D8636" t="inlineStr">
        <is>
          <t>KALMAR LÄN</t>
        </is>
      </c>
      <c r="E8636" t="inlineStr">
        <is>
          <t>NYBRO</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35180-2023</t>
        </is>
      </c>
      <c r="B8637" s="1" t="n">
        <v>45145</v>
      </c>
      <c r="C8637" s="1" t="n">
        <v>45715</v>
      </c>
      <c r="D8637" t="inlineStr">
        <is>
          <t>KALMAR LÄN</t>
        </is>
      </c>
      <c r="E8637" t="inlineStr">
        <is>
          <t>VÄSTERVIK</t>
        </is>
      </c>
      <c r="F8637" t="inlineStr">
        <is>
          <t>Holmen skog AB</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35048-2023</t>
        </is>
      </c>
      <c r="B8638" s="1" t="n">
        <v>45145</v>
      </c>
      <c r="C8638" s="1" t="n">
        <v>45715</v>
      </c>
      <c r="D8638" t="inlineStr">
        <is>
          <t>KALMAR LÄN</t>
        </is>
      </c>
      <c r="E8638" t="inlineStr">
        <is>
          <t>TORSÅS</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35116-2023</t>
        </is>
      </c>
      <c r="B8639" s="1" t="n">
        <v>45145</v>
      </c>
      <c r="C8639" s="1" t="n">
        <v>45715</v>
      </c>
      <c r="D8639" t="inlineStr">
        <is>
          <t>KALMAR LÄN</t>
        </is>
      </c>
      <c r="E8639" t="inlineStr">
        <is>
          <t>TORSÅS</t>
        </is>
      </c>
      <c r="G8639" t="n">
        <v>6.5</v>
      </c>
      <c r="H8639" t="n">
        <v>0</v>
      </c>
      <c r="I8639" t="n">
        <v>0</v>
      </c>
      <c r="J8639" t="n">
        <v>0</v>
      </c>
      <c r="K8639" t="n">
        <v>0</v>
      </c>
      <c r="L8639" t="n">
        <v>0</v>
      </c>
      <c r="M8639" t="n">
        <v>0</v>
      </c>
      <c r="N8639" t="n">
        <v>0</v>
      </c>
      <c r="O8639" t="n">
        <v>0</v>
      </c>
      <c r="P8639" t="n">
        <v>0</v>
      </c>
      <c r="Q8639" t="n">
        <v>0</v>
      </c>
      <c r="R8639" s="2" t="inlineStr"/>
    </row>
    <row r="8640" ht="15" customHeight="1">
      <c r="A8640" t="inlineStr">
        <is>
          <t>A 35165-2023</t>
        </is>
      </c>
      <c r="B8640" s="1" t="n">
        <v>45145</v>
      </c>
      <c r="C8640" s="1" t="n">
        <v>45715</v>
      </c>
      <c r="D8640" t="inlineStr">
        <is>
          <t>KALMAR LÄN</t>
        </is>
      </c>
      <c r="E8640" t="inlineStr">
        <is>
          <t>NYBRO</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35308-2023</t>
        </is>
      </c>
      <c r="B8641" s="1" t="n">
        <v>45146</v>
      </c>
      <c r="C8641" s="1" t="n">
        <v>45715</v>
      </c>
      <c r="D8641" t="inlineStr">
        <is>
          <t>KALMAR LÄN</t>
        </is>
      </c>
      <c r="E8641" t="inlineStr">
        <is>
          <t>EMMABODA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35374-2023</t>
        </is>
      </c>
      <c r="B8642" s="1" t="n">
        <v>45146</v>
      </c>
      <c r="C8642" s="1" t="n">
        <v>45715</v>
      </c>
      <c r="D8642" t="inlineStr">
        <is>
          <t>KALMAR LÄN</t>
        </is>
      </c>
      <c r="E8642" t="inlineStr">
        <is>
          <t>HULTSFRED</t>
        </is>
      </c>
      <c r="G8642" t="n">
        <v>17.5</v>
      </c>
      <c r="H8642" t="n">
        <v>0</v>
      </c>
      <c r="I8642" t="n">
        <v>0</v>
      </c>
      <c r="J8642" t="n">
        <v>0</v>
      </c>
      <c r="K8642" t="n">
        <v>0</v>
      </c>
      <c r="L8642" t="n">
        <v>0</v>
      </c>
      <c r="M8642" t="n">
        <v>0</v>
      </c>
      <c r="N8642" t="n">
        <v>0</v>
      </c>
      <c r="O8642" t="n">
        <v>0</v>
      </c>
      <c r="P8642" t="n">
        <v>0</v>
      </c>
      <c r="Q8642" t="n">
        <v>0</v>
      </c>
      <c r="R8642" s="2" t="inlineStr"/>
    </row>
    <row r="8643" ht="15" customHeight="1">
      <c r="A8643" t="inlineStr">
        <is>
          <t>A 35305-2023</t>
        </is>
      </c>
      <c r="B8643" s="1" t="n">
        <v>45146</v>
      </c>
      <c r="C8643" s="1" t="n">
        <v>45715</v>
      </c>
      <c r="D8643" t="inlineStr">
        <is>
          <t>KALMAR LÄN</t>
        </is>
      </c>
      <c r="E8643" t="inlineStr">
        <is>
          <t>HULTSFRED</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35341-2023</t>
        </is>
      </c>
      <c r="B8644" s="1" t="n">
        <v>45146</v>
      </c>
      <c r="C8644" s="1" t="n">
        <v>45715</v>
      </c>
      <c r="D8644" t="inlineStr">
        <is>
          <t>KALMAR LÄN</t>
        </is>
      </c>
      <c r="E8644" t="inlineStr">
        <is>
          <t>KALMAR</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35376-2023</t>
        </is>
      </c>
      <c r="B8645" s="1" t="n">
        <v>45146</v>
      </c>
      <c r="C8645" s="1" t="n">
        <v>45715</v>
      </c>
      <c r="D8645" t="inlineStr">
        <is>
          <t>KALMAR LÄN</t>
        </is>
      </c>
      <c r="E8645" t="inlineStr">
        <is>
          <t>KALMAR</t>
        </is>
      </c>
      <c r="G8645" t="n">
        <v>5.9</v>
      </c>
      <c r="H8645" t="n">
        <v>0</v>
      </c>
      <c r="I8645" t="n">
        <v>0</v>
      </c>
      <c r="J8645" t="n">
        <v>0</v>
      </c>
      <c r="K8645" t="n">
        <v>0</v>
      </c>
      <c r="L8645" t="n">
        <v>0</v>
      </c>
      <c r="M8645" t="n">
        <v>0</v>
      </c>
      <c r="N8645" t="n">
        <v>0</v>
      </c>
      <c r="O8645" t="n">
        <v>0</v>
      </c>
      <c r="P8645" t="n">
        <v>0</v>
      </c>
      <c r="Q8645" t="n">
        <v>0</v>
      </c>
      <c r="R8645" s="2" t="inlineStr"/>
    </row>
    <row r="8646" ht="15" customHeight="1">
      <c r="A8646" t="inlineStr">
        <is>
          <t>A 35306-2023</t>
        </is>
      </c>
      <c r="B8646" s="1" t="n">
        <v>45146</v>
      </c>
      <c r="C8646" s="1" t="n">
        <v>45715</v>
      </c>
      <c r="D8646" t="inlineStr">
        <is>
          <t>KALMAR LÄN</t>
        </is>
      </c>
      <c r="E8646" t="inlineStr">
        <is>
          <t>EMMABODA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35372-2023</t>
        </is>
      </c>
      <c r="B8647" s="1" t="n">
        <v>45146</v>
      </c>
      <c r="C8647" s="1" t="n">
        <v>45715</v>
      </c>
      <c r="D8647" t="inlineStr">
        <is>
          <t>KALMAR LÄN</t>
        </is>
      </c>
      <c r="E8647" t="inlineStr">
        <is>
          <t>VIMMERBY</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35490-2023</t>
        </is>
      </c>
      <c r="B8648" s="1" t="n">
        <v>45146</v>
      </c>
      <c r="C8648" s="1" t="n">
        <v>45715</v>
      </c>
      <c r="D8648" t="inlineStr">
        <is>
          <t>KALMAR LÄN</t>
        </is>
      </c>
      <c r="E8648" t="inlineStr">
        <is>
          <t>NYBRO</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35502-2023</t>
        </is>
      </c>
      <c r="B8649" s="1" t="n">
        <v>45146</v>
      </c>
      <c r="C8649" s="1" t="n">
        <v>45715</v>
      </c>
      <c r="D8649" t="inlineStr">
        <is>
          <t>KALMAR LÄN</t>
        </is>
      </c>
      <c r="E8649" t="inlineStr">
        <is>
          <t>VÄSTERVIK</t>
        </is>
      </c>
      <c r="F8649" t="inlineStr">
        <is>
          <t>Holmen skog AB</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35484-2023</t>
        </is>
      </c>
      <c r="B8650" s="1" t="n">
        <v>45146</v>
      </c>
      <c r="C8650" s="1" t="n">
        <v>45715</v>
      </c>
      <c r="D8650" t="inlineStr">
        <is>
          <t>KALMAR LÄN</t>
        </is>
      </c>
      <c r="E8650" t="inlineStr">
        <is>
          <t>VÄSTERVIK</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35485-2023</t>
        </is>
      </c>
      <c r="B8651" s="1" t="n">
        <v>45146</v>
      </c>
      <c r="C8651" s="1" t="n">
        <v>45715</v>
      </c>
      <c r="D8651" t="inlineStr">
        <is>
          <t>KALMAR LÄN</t>
        </is>
      </c>
      <c r="E8651" t="inlineStr">
        <is>
          <t>VÄSTERVIK</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35518-2023</t>
        </is>
      </c>
      <c r="B8652" s="1" t="n">
        <v>45147</v>
      </c>
      <c r="C8652" s="1" t="n">
        <v>45715</v>
      </c>
      <c r="D8652" t="inlineStr">
        <is>
          <t>KALMAR LÄN</t>
        </is>
      </c>
      <c r="E8652" t="inlineStr">
        <is>
          <t>HULTSFRED</t>
        </is>
      </c>
      <c r="G8652" t="n">
        <v>6.2</v>
      </c>
      <c r="H8652" t="n">
        <v>0</v>
      </c>
      <c r="I8652" t="n">
        <v>0</v>
      </c>
      <c r="J8652" t="n">
        <v>0</v>
      </c>
      <c r="K8652" t="n">
        <v>0</v>
      </c>
      <c r="L8652" t="n">
        <v>0</v>
      </c>
      <c r="M8652" t="n">
        <v>0</v>
      </c>
      <c r="N8652" t="n">
        <v>0</v>
      </c>
      <c r="O8652" t="n">
        <v>0</v>
      </c>
      <c r="P8652" t="n">
        <v>0</v>
      </c>
      <c r="Q8652" t="n">
        <v>0</v>
      </c>
      <c r="R8652" s="2" t="inlineStr"/>
    </row>
    <row r="8653" ht="15" customHeight="1">
      <c r="A8653" t="inlineStr">
        <is>
          <t>A 35658-2023</t>
        </is>
      </c>
      <c r="B8653" s="1" t="n">
        <v>45147</v>
      </c>
      <c r="C8653" s="1" t="n">
        <v>45715</v>
      </c>
      <c r="D8653" t="inlineStr">
        <is>
          <t>KALMAR LÄN</t>
        </is>
      </c>
      <c r="E8653" t="inlineStr">
        <is>
          <t>VÄSTERVIK</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35662-2023</t>
        </is>
      </c>
      <c r="B8654" s="1" t="n">
        <v>45147</v>
      </c>
      <c r="C8654" s="1" t="n">
        <v>45715</v>
      </c>
      <c r="D8654" t="inlineStr">
        <is>
          <t>KALMAR LÄN</t>
        </is>
      </c>
      <c r="E8654" t="inlineStr">
        <is>
          <t>VÄSTERVIK</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35666-2023</t>
        </is>
      </c>
      <c r="B8655" s="1" t="n">
        <v>45147</v>
      </c>
      <c r="C8655" s="1" t="n">
        <v>45715</v>
      </c>
      <c r="D8655" t="inlineStr">
        <is>
          <t>KALMAR LÄN</t>
        </is>
      </c>
      <c r="E8655" t="inlineStr">
        <is>
          <t>VÄSTERVIK</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35670-2023</t>
        </is>
      </c>
      <c r="B8656" s="1" t="n">
        <v>45147</v>
      </c>
      <c r="C8656" s="1" t="n">
        <v>45715</v>
      </c>
      <c r="D8656" t="inlineStr">
        <is>
          <t>KALMAR LÄN</t>
        </is>
      </c>
      <c r="E8656" t="inlineStr">
        <is>
          <t>VIMMERBY</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35516-2023</t>
        </is>
      </c>
      <c r="B8657" s="1" t="n">
        <v>45147</v>
      </c>
      <c r="C8657" s="1" t="n">
        <v>45715</v>
      </c>
      <c r="D8657" t="inlineStr">
        <is>
          <t>KALMAR LÄN</t>
        </is>
      </c>
      <c r="E8657" t="inlineStr">
        <is>
          <t>HULTSFRED</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35678-2023</t>
        </is>
      </c>
      <c r="B8658" s="1" t="n">
        <v>45147</v>
      </c>
      <c r="C8658" s="1" t="n">
        <v>45715</v>
      </c>
      <c r="D8658" t="inlineStr">
        <is>
          <t>KALMAR LÄN</t>
        </is>
      </c>
      <c r="E8658" t="inlineStr">
        <is>
          <t>VIMMERBY</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35710-2023</t>
        </is>
      </c>
      <c r="B8659" s="1" t="n">
        <v>45147</v>
      </c>
      <c r="C8659" s="1" t="n">
        <v>45715</v>
      </c>
      <c r="D8659" t="inlineStr">
        <is>
          <t>KALMAR LÄN</t>
        </is>
      </c>
      <c r="E8659" t="inlineStr">
        <is>
          <t>VIMMERBY</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35584-2023</t>
        </is>
      </c>
      <c r="B8660" s="1" t="n">
        <v>45147</v>
      </c>
      <c r="C8660" s="1" t="n">
        <v>45715</v>
      </c>
      <c r="D8660" t="inlineStr">
        <is>
          <t>KALMAR LÄN</t>
        </is>
      </c>
      <c r="E8660" t="inlineStr">
        <is>
          <t>OSKARSHAMN</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35606-2023</t>
        </is>
      </c>
      <c r="B8661" s="1" t="n">
        <v>45147</v>
      </c>
      <c r="C8661" s="1" t="n">
        <v>45715</v>
      </c>
      <c r="D8661" t="inlineStr">
        <is>
          <t>KALMAR LÄN</t>
        </is>
      </c>
      <c r="E8661" t="inlineStr">
        <is>
          <t>VÄSTERVIK</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35770-2023</t>
        </is>
      </c>
      <c r="B8662" s="1" t="n">
        <v>45147</v>
      </c>
      <c r="C8662" s="1" t="n">
        <v>45715</v>
      </c>
      <c r="D8662" t="inlineStr">
        <is>
          <t>KALMAR LÄN</t>
        </is>
      </c>
      <c r="E8662" t="inlineStr">
        <is>
          <t>VÄSTERVIK</t>
        </is>
      </c>
      <c r="F8662" t="inlineStr">
        <is>
          <t>Holmen skog AB</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35566-2023</t>
        </is>
      </c>
      <c r="B8663" s="1" t="n">
        <v>45147</v>
      </c>
      <c r="C8663" s="1" t="n">
        <v>45715</v>
      </c>
      <c r="D8663" t="inlineStr">
        <is>
          <t>KALMAR LÄN</t>
        </is>
      </c>
      <c r="E8663" t="inlineStr">
        <is>
          <t>OSKARSHAMN</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35655-2023</t>
        </is>
      </c>
      <c r="B8664" s="1" t="n">
        <v>45147</v>
      </c>
      <c r="C8664" s="1" t="n">
        <v>45715</v>
      </c>
      <c r="D8664" t="inlineStr">
        <is>
          <t>KALMAR LÄN</t>
        </is>
      </c>
      <c r="E8664" t="inlineStr">
        <is>
          <t>VÄSTERVIK</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35667-2023</t>
        </is>
      </c>
      <c r="B8665" s="1" t="n">
        <v>45147</v>
      </c>
      <c r="C8665" s="1" t="n">
        <v>45715</v>
      </c>
      <c r="D8665" t="inlineStr">
        <is>
          <t>KALMAR LÄN</t>
        </is>
      </c>
      <c r="E8665" t="inlineStr">
        <is>
          <t>VÄSTERVIK</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35671-2023</t>
        </is>
      </c>
      <c r="B8666" s="1" t="n">
        <v>45147</v>
      </c>
      <c r="C8666" s="1" t="n">
        <v>45715</v>
      </c>
      <c r="D8666" t="inlineStr">
        <is>
          <t>KALMAR LÄN</t>
        </is>
      </c>
      <c r="E8666" t="inlineStr">
        <is>
          <t>VIMMERBY</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35703-2023</t>
        </is>
      </c>
      <c r="B8667" s="1" t="n">
        <v>45147</v>
      </c>
      <c r="C8667" s="1" t="n">
        <v>45715</v>
      </c>
      <c r="D8667" t="inlineStr">
        <is>
          <t>KALMAR LÄN</t>
        </is>
      </c>
      <c r="E8667" t="inlineStr">
        <is>
          <t>NYBRO</t>
        </is>
      </c>
      <c r="G8667" t="n">
        <v>8</v>
      </c>
      <c r="H8667" t="n">
        <v>0</v>
      </c>
      <c r="I8667" t="n">
        <v>0</v>
      </c>
      <c r="J8667" t="n">
        <v>0</v>
      </c>
      <c r="K8667" t="n">
        <v>0</v>
      </c>
      <c r="L8667" t="n">
        <v>0</v>
      </c>
      <c r="M8667" t="n">
        <v>0</v>
      </c>
      <c r="N8667" t="n">
        <v>0</v>
      </c>
      <c r="O8667" t="n">
        <v>0</v>
      </c>
      <c r="P8667" t="n">
        <v>0</v>
      </c>
      <c r="Q8667" t="n">
        <v>0</v>
      </c>
      <c r="R8667" s="2" t="inlineStr"/>
    </row>
    <row r="8668" ht="15" customHeight="1">
      <c r="A8668" t="inlineStr">
        <is>
          <t>A 35711-2023</t>
        </is>
      </c>
      <c r="B8668" s="1" t="n">
        <v>45147</v>
      </c>
      <c r="C8668" s="1" t="n">
        <v>45715</v>
      </c>
      <c r="D8668" t="inlineStr">
        <is>
          <t>KALMAR LÄN</t>
        </is>
      </c>
      <c r="E8668" t="inlineStr">
        <is>
          <t>VIMMERBY</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35652-2023</t>
        </is>
      </c>
      <c r="B8669" s="1" t="n">
        <v>45147</v>
      </c>
      <c r="C8669" s="1" t="n">
        <v>45715</v>
      </c>
      <c r="D8669" t="inlineStr">
        <is>
          <t>KALMAR LÄN</t>
        </is>
      </c>
      <c r="E8669" t="inlineStr">
        <is>
          <t>VÄSTERVIK</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35660-2023</t>
        </is>
      </c>
      <c r="B8670" s="1" t="n">
        <v>45147</v>
      </c>
      <c r="C8670" s="1" t="n">
        <v>45715</v>
      </c>
      <c r="D8670" t="inlineStr">
        <is>
          <t>KALMAR LÄN</t>
        </is>
      </c>
      <c r="E8670" t="inlineStr">
        <is>
          <t>VÄSTERVIK</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35672-2023</t>
        </is>
      </c>
      <c r="B8671" s="1" t="n">
        <v>45147</v>
      </c>
      <c r="C8671" s="1" t="n">
        <v>45715</v>
      </c>
      <c r="D8671" t="inlineStr">
        <is>
          <t>KALMAR LÄN</t>
        </is>
      </c>
      <c r="E8671" t="inlineStr">
        <is>
          <t>VIMMERBY</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35708-2023</t>
        </is>
      </c>
      <c r="B8672" s="1" t="n">
        <v>45147</v>
      </c>
      <c r="C8672" s="1" t="n">
        <v>45715</v>
      </c>
      <c r="D8672" t="inlineStr">
        <is>
          <t>KALMAR LÄN</t>
        </is>
      </c>
      <c r="E8672" t="inlineStr">
        <is>
          <t>NYBRO</t>
        </is>
      </c>
      <c r="F8672" t="inlineStr">
        <is>
          <t>Sveaskog</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35712-2023</t>
        </is>
      </c>
      <c r="B8673" s="1" t="n">
        <v>45147</v>
      </c>
      <c r="C8673" s="1" t="n">
        <v>45715</v>
      </c>
      <c r="D8673" t="inlineStr">
        <is>
          <t>KALMAR LÄN</t>
        </is>
      </c>
      <c r="E8673" t="inlineStr">
        <is>
          <t>NYBRO</t>
        </is>
      </c>
      <c r="F8673" t="inlineStr">
        <is>
          <t>Sveaskog</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35619-2023</t>
        </is>
      </c>
      <c r="B8674" s="1" t="n">
        <v>45147</v>
      </c>
      <c r="C8674" s="1" t="n">
        <v>45715</v>
      </c>
      <c r="D8674" t="inlineStr">
        <is>
          <t>KALMAR LÄN</t>
        </is>
      </c>
      <c r="E8674" t="inlineStr">
        <is>
          <t>VÄSTERVIK</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35653-2023</t>
        </is>
      </c>
      <c r="B8675" s="1" t="n">
        <v>45147</v>
      </c>
      <c r="C8675" s="1" t="n">
        <v>45715</v>
      </c>
      <c r="D8675" t="inlineStr">
        <is>
          <t>KALMAR LÄN</t>
        </is>
      </c>
      <c r="E8675" t="inlineStr">
        <is>
          <t>VÄSTERVIK</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35665-2023</t>
        </is>
      </c>
      <c r="B8676" s="1" t="n">
        <v>45147</v>
      </c>
      <c r="C8676" s="1" t="n">
        <v>45715</v>
      </c>
      <c r="D8676" t="inlineStr">
        <is>
          <t>KALMAR LÄN</t>
        </is>
      </c>
      <c r="E8676" t="inlineStr">
        <is>
          <t>VÄSTERVIK</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35689-2023</t>
        </is>
      </c>
      <c r="B8677" s="1" t="n">
        <v>45147</v>
      </c>
      <c r="C8677" s="1" t="n">
        <v>45715</v>
      </c>
      <c r="D8677" t="inlineStr">
        <is>
          <t>KALMAR LÄN</t>
        </is>
      </c>
      <c r="E8677" t="inlineStr">
        <is>
          <t>NYBRO</t>
        </is>
      </c>
      <c r="F8677" t="inlineStr">
        <is>
          <t>Sveaskog</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35713-2023</t>
        </is>
      </c>
      <c r="B8678" s="1" t="n">
        <v>45147</v>
      </c>
      <c r="C8678" s="1" t="n">
        <v>45715</v>
      </c>
      <c r="D8678" t="inlineStr">
        <is>
          <t>KALMAR LÄN</t>
        </is>
      </c>
      <c r="E8678" t="inlineStr">
        <is>
          <t>VIMMERBY</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35721-2023</t>
        </is>
      </c>
      <c r="B8679" s="1" t="n">
        <v>45147</v>
      </c>
      <c r="C8679" s="1" t="n">
        <v>45715</v>
      </c>
      <c r="D8679" t="inlineStr">
        <is>
          <t>KALMAR LÄN</t>
        </is>
      </c>
      <c r="E8679" t="inlineStr">
        <is>
          <t>HULTSFRED</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35816-2023</t>
        </is>
      </c>
      <c r="B8680" s="1" t="n">
        <v>45147</v>
      </c>
      <c r="C8680" s="1" t="n">
        <v>45715</v>
      </c>
      <c r="D8680" t="inlineStr">
        <is>
          <t>KALMAR LÄN</t>
        </is>
      </c>
      <c r="E8680" t="inlineStr">
        <is>
          <t>HÖGSBY</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35839-2023</t>
        </is>
      </c>
      <c r="B8681" s="1" t="n">
        <v>45148</v>
      </c>
      <c r="C8681" s="1" t="n">
        <v>45715</v>
      </c>
      <c r="D8681" t="inlineStr">
        <is>
          <t>KALMAR LÄN</t>
        </is>
      </c>
      <c r="E8681" t="inlineStr">
        <is>
          <t>VIMMERBY</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35848-2023</t>
        </is>
      </c>
      <c r="B8682" s="1" t="n">
        <v>45148</v>
      </c>
      <c r="C8682" s="1" t="n">
        <v>45715</v>
      </c>
      <c r="D8682" t="inlineStr">
        <is>
          <t>KALMAR LÄN</t>
        </is>
      </c>
      <c r="E8682" t="inlineStr">
        <is>
          <t>EMMABODA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35852-2023</t>
        </is>
      </c>
      <c r="B8683" s="1" t="n">
        <v>45148</v>
      </c>
      <c r="C8683" s="1" t="n">
        <v>45715</v>
      </c>
      <c r="D8683" t="inlineStr">
        <is>
          <t>KALMAR LÄN</t>
        </is>
      </c>
      <c r="E8683" t="inlineStr">
        <is>
          <t>HULTSFRED</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35857-2023</t>
        </is>
      </c>
      <c r="B8684" s="1" t="n">
        <v>45148</v>
      </c>
      <c r="C8684" s="1" t="n">
        <v>45715</v>
      </c>
      <c r="D8684" t="inlineStr">
        <is>
          <t>KALMAR LÄN</t>
        </is>
      </c>
      <c r="E8684" t="inlineStr">
        <is>
          <t>KALMAR</t>
        </is>
      </c>
      <c r="G8684" t="n">
        <v>8.199999999999999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35865-2023</t>
        </is>
      </c>
      <c r="B8685" s="1" t="n">
        <v>45148</v>
      </c>
      <c r="C8685" s="1" t="n">
        <v>45715</v>
      </c>
      <c r="D8685" t="inlineStr">
        <is>
          <t>KALMAR LÄN</t>
        </is>
      </c>
      <c r="E8685" t="inlineStr">
        <is>
          <t>KALMAR</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35849-2023</t>
        </is>
      </c>
      <c r="B8686" s="1" t="n">
        <v>45148</v>
      </c>
      <c r="C8686" s="1" t="n">
        <v>45715</v>
      </c>
      <c r="D8686" t="inlineStr">
        <is>
          <t>KALMAR LÄN</t>
        </is>
      </c>
      <c r="E8686" t="inlineStr">
        <is>
          <t>EMMABODA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35859-2023</t>
        </is>
      </c>
      <c r="B8687" s="1" t="n">
        <v>45148</v>
      </c>
      <c r="C8687" s="1" t="n">
        <v>45715</v>
      </c>
      <c r="D8687" t="inlineStr">
        <is>
          <t>KALMAR LÄN</t>
        </is>
      </c>
      <c r="E8687" t="inlineStr">
        <is>
          <t>KALMAR</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35846-2023</t>
        </is>
      </c>
      <c r="B8688" s="1" t="n">
        <v>45148</v>
      </c>
      <c r="C8688" s="1" t="n">
        <v>45715</v>
      </c>
      <c r="D8688" t="inlineStr">
        <is>
          <t>KALMAR LÄN</t>
        </is>
      </c>
      <c r="E8688" t="inlineStr">
        <is>
          <t>VIMMERBY</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35867-2023</t>
        </is>
      </c>
      <c r="B8689" s="1" t="n">
        <v>45148</v>
      </c>
      <c r="C8689" s="1" t="n">
        <v>45715</v>
      </c>
      <c r="D8689" t="inlineStr">
        <is>
          <t>KALMAR LÄN</t>
        </is>
      </c>
      <c r="E8689" t="inlineStr">
        <is>
          <t>KALMAR</t>
        </is>
      </c>
      <c r="G8689" t="n">
        <v>10.8</v>
      </c>
      <c r="H8689" t="n">
        <v>0</v>
      </c>
      <c r="I8689" t="n">
        <v>0</v>
      </c>
      <c r="J8689" t="n">
        <v>0</v>
      </c>
      <c r="K8689" t="n">
        <v>0</v>
      </c>
      <c r="L8689" t="n">
        <v>0</v>
      </c>
      <c r="M8689" t="n">
        <v>0</v>
      </c>
      <c r="N8689" t="n">
        <v>0</v>
      </c>
      <c r="O8689" t="n">
        <v>0</v>
      </c>
      <c r="P8689" t="n">
        <v>0</v>
      </c>
      <c r="Q8689" t="n">
        <v>0</v>
      </c>
      <c r="R8689" s="2" t="inlineStr"/>
    </row>
    <row r="8690" ht="15" customHeight="1">
      <c r="A8690" t="inlineStr">
        <is>
          <t>A 35885-2023</t>
        </is>
      </c>
      <c r="B8690" s="1" t="n">
        <v>45148</v>
      </c>
      <c r="C8690" s="1" t="n">
        <v>45715</v>
      </c>
      <c r="D8690" t="inlineStr">
        <is>
          <t>KALMAR LÄN</t>
        </is>
      </c>
      <c r="E8690" t="inlineStr">
        <is>
          <t>HULTSFRED</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35913-2023</t>
        </is>
      </c>
      <c r="B8691" s="1" t="n">
        <v>45148</v>
      </c>
      <c r="C8691" s="1" t="n">
        <v>45715</v>
      </c>
      <c r="D8691" t="inlineStr">
        <is>
          <t>KALMAR LÄN</t>
        </is>
      </c>
      <c r="E8691" t="inlineStr">
        <is>
          <t>VIMMERBY</t>
        </is>
      </c>
      <c r="G8691" t="n">
        <v>6.9</v>
      </c>
      <c r="H8691" t="n">
        <v>0</v>
      </c>
      <c r="I8691" t="n">
        <v>0</v>
      </c>
      <c r="J8691" t="n">
        <v>0</v>
      </c>
      <c r="K8691" t="n">
        <v>0</v>
      </c>
      <c r="L8691" t="n">
        <v>0</v>
      </c>
      <c r="M8691" t="n">
        <v>0</v>
      </c>
      <c r="N8691" t="n">
        <v>0</v>
      </c>
      <c r="O8691" t="n">
        <v>0</v>
      </c>
      <c r="P8691" t="n">
        <v>0</v>
      </c>
      <c r="Q8691" t="n">
        <v>0</v>
      </c>
      <c r="R8691" s="2" t="inlineStr"/>
    </row>
    <row r="8692" ht="15" customHeight="1">
      <c r="A8692" t="inlineStr">
        <is>
          <t>A 35960-2023</t>
        </is>
      </c>
      <c r="B8692" s="1" t="n">
        <v>45148</v>
      </c>
      <c r="C8692" s="1" t="n">
        <v>45715</v>
      </c>
      <c r="D8692" t="inlineStr">
        <is>
          <t>KALMAR LÄN</t>
        </is>
      </c>
      <c r="E8692" t="inlineStr">
        <is>
          <t>VÄSTERVIK</t>
        </is>
      </c>
      <c r="F8692" t="inlineStr">
        <is>
          <t>Sveaskog</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35959-2023</t>
        </is>
      </c>
      <c r="B8693" s="1" t="n">
        <v>45148</v>
      </c>
      <c r="C8693" s="1" t="n">
        <v>45715</v>
      </c>
      <c r="D8693" t="inlineStr">
        <is>
          <t>KALMAR LÄN</t>
        </is>
      </c>
      <c r="E8693" t="inlineStr">
        <is>
          <t>VÄSTERVIK</t>
        </is>
      </c>
      <c r="F8693" t="inlineStr">
        <is>
          <t>Sveaskog</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35962-2023</t>
        </is>
      </c>
      <c r="B8694" s="1" t="n">
        <v>45148</v>
      </c>
      <c r="C8694" s="1" t="n">
        <v>45715</v>
      </c>
      <c r="D8694" t="inlineStr">
        <is>
          <t>KALMAR LÄN</t>
        </is>
      </c>
      <c r="E8694" t="inlineStr">
        <is>
          <t>VÄSTERVIK</t>
        </is>
      </c>
      <c r="F8694" t="inlineStr">
        <is>
          <t>Sveaskog</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35961-2023</t>
        </is>
      </c>
      <c r="B8695" s="1" t="n">
        <v>45148</v>
      </c>
      <c r="C8695" s="1" t="n">
        <v>45715</v>
      </c>
      <c r="D8695" t="inlineStr">
        <is>
          <t>KALMAR LÄN</t>
        </is>
      </c>
      <c r="E8695" t="inlineStr">
        <is>
          <t>VÄSTERVIK</t>
        </is>
      </c>
      <c r="F8695" t="inlineStr">
        <is>
          <t>Sveaskog</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35965-2023</t>
        </is>
      </c>
      <c r="B8696" s="1" t="n">
        <v>45148</v>
      </c>
      <c r="C8696" s="1" t="n">
        <v>45715</v>
      </c>
      <c r="D8696" t="inlineStr">
        <is>
          <t>KALMAR LÄN</t>
        </is>
      </c>
      <c r="E8696" t="inlineStr">
        <is>
          <t>OSKARSHAMN</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36009-2023</t>
        </is>
      </c>
      <c r="B8697" s="1" t="n">
        <v>45149</v>
      </c>
      <c r="C8697" s="1" t="n">
        <v>45715</v>
      </c>
      <c r="D8697" t="inlineStr">
        <is>
          <t>KALMAR LÄN</t>
        </is>
      </c>
      <c r="E8697" t="inlineStr">
        <is>
          <t>EMMABODA</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36016-2023</t>
        </is>
      </c>
      <c r="B8698" s="1" t="n">
        <v>45149</v>
      </c>
      <c r="C8698" s="1" t="n">
        <v>45715</v>
      </c>
      <c r="D8698" t="inlineStr">
        <is>
          <t>KALMAR LÄN</t>
        </is>
      </c>
      <c r="E8698" t="inlineStr">
        <is>
          <t>KALMAR</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36092-2023</t>
        </is>
      </c>
      <c r="B8699" s="1" t="n">
        <v>45149</v>
      </c>
      <c r="C8699" s="1" t="n">
        <v>45715</v>
      </c>
      <c r="D8699" t="inlineStr">
        <is>
          <t>KALMAR LÄN</t>
        </is>
      </c>
      <c r="E8699" t="inlineStr">
        <is>
          <t>HULTSFRED</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36100-2023</t>
        </is>
      </c>
      <c r="B8700" s="1" t="n">
        <v>45149</v>
      </c>
      <c r="C8700" s="1" t="n">
        <v>45715</v>
      </c>
      <c r="D8700" t="inlineStr">
        <is>
          <t>KALMAR LÄN</t>
        </is>
      </c>
      <c r="E8700" t="inlineStr">
        <is>
          <t>NYBRO</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36108-2023</t>
        </is>
      </c>
      <c r="B8701" s="1" t="n">
        <v>45149</v>
      </c>
      <c r="C8701" s="1" t="n">
        <v>45715</v>
      </c>
      <c r="D8701" t="inlineStr">
        <is>
          <t>KALMAR LÄN</t>
        </is>
      </c>
      <c r="E8701" t="inlineStr">
        <is>
          <t>NYBRO</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36018-2023</t>
        </is>
      </c>
      <c r="B8702" s="1" t="n">
        <v>45149</v>
      </c>
      <c r="C8702" s="1" t="n">
        <v>45715</v>
      </c>
      <c r="D8702" t="inlineStr">
        <is>
          <t>KALMAR LÄN</t>
        </is>
      </c>
      <c r="E8702" t="inlineStr">
        <is>
          <t>KALMAR</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36010-2023</t>
        </is>
      </c>
      <c r="B8703" s="1" t="n">
        <v>45149</v>
      </c>
      <c r="C8703" s="1" t="n">
        <v>45715</v>
      </c>
      <c r="D8703" t="inlineStr">
        <is>
          <t>KALMAR LÄN</t>
        </is>
      </c>
      <c r="E8703" t="inlineStr">
        <is>
          <t>EMMABODA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36017-2023</t>
        </is>
      </c>
      <c r="B8704" s="1" t="n">
        <v>45149</v>
      </c>
      <c r="C8704" s="1" t="n">
        <v>45715</v>
      </c>
      <c r="D8704" t="inlineStr">
        <is>
          <t>KALMAR LÄN</t>
        </is>
      </c>
      <c r="E8704" t="inlineStr">
        <is>
          <t>KALMAR</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36022-2023</t>
        </is>
      </c>
      <c r="B8705" s="1" t="n">
        <v>45149</v>
      </c>
      <c r="C8705" s="1" t="n">
        <v>45715</v>
      </c>
      <c r="D8705" t="inlineStr">
        <is>
          <t>KALMAR LÄN</t>
        </is>
      </c>
      <c r="E8705" t="inlineStr">
        <is>
          <t>NYBRO</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36097-2023</t>
        </is>
      </c>
      <c r="B8706" s="1" t="n">
        <v>45149</v>
      </c>
      <c r="C8706" s="1" t="n">
        <v>45715</v>
      </c>
      <c r="D8706" t="inlineStr">
        <is>
          <t>KALMAR LÄN</t>
        </is>
      </c>
      <c r="E8706" t="inlineStr">
        <is>
          <t>HULTSFRED</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36095-2023</t>
        </is>
      </c>
      <c r="B8707" s="1" t="n">
        <v>45149</v>
      </c>
      <c r="C8707" s="1" t="n">
        <v>45715</v>
      </c>
      <c r="D8707" t="inlineStr">
        <is>
          <t>KALMAR LÄN</t>
        </is>
      </c>
      <c r="E8707" t="inlineStr">
        <is>
          <t>NYBRO</t>
        </is>
      </c>
      <c r="G8707" t="n">
        <v>7.6</v>
      </c>
      <c r="H8707" t="n">
        <v>0</v>
      </c>
      <c r="I8707" t="n">
        <v>0</v>
      </c>
      <c r="J8707" t="n">
        <v>0</v>
      </c>
      <c r="K8707" t="n">
        <v>0</v>
      </c>
      <c r="L8707" t="n">
        <v>0</v>
      </c>
      <c r="M8707" t="n">
        <v>0</v>
      </c>
      <c r="N8707" t="n">
        <v>0</v>
      </c>
      <c r="O8707" t="n">
        <v>0</v>
      </c>
      <c r="P8707" t="n">
        <v>0</v>
      </c>
      <c r="Q8707" t="n">
        <v>0</v>
      </c>
      <c r="R8707" s="2" t="inlineStr"/>
    </row>
    <row r="8708" ht="15" customHeight="1">
      <c r="A8708" t="inlineStr">
        <is>
          <t>A 36164-2023</t>
        </is>
      </c>
      <c r="B8708" s="1" t="n">
        <v>45149</v>
      </c>
      <c r="C8708" s="1" t="n">
        <v>45715</v>
      </c>
      <c r="D8708" t="inlineStr">
        <is>
          <t>KALMAR LÄN</t>
        </is>
      </c>
      <c r="E8708" t="inlineStr">
        <is>
          <t>NYBRO</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36098-2023</t>
        </is>
      </c>
      <c r="B8709" s="1" t="n">
        <v>45149</v>
      </c>
      <c r="C8709" s="1" t="n">
        <v>45715</v>
      </c>
      <c r="D8709" t="inlineStr">
        <is>
          <t>KALMAR LÄN</t>
        </is>
      </c>
      <c r="E8709" t="inlineStr">
        <is>
          <t>NYBRO</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36114-2023</t>
        </is>
      </c>
      <c r="B8710" s="1" t="n">
        <v>45149</v>
      </c>
      <c r="C8710" s="1" t="n">
        <v>45715</v>
      </c>
      <c r="D8710" t="inlineStr">
        <is>
          <t>KALMAR LÄN</t>
        </is>
      </c>
      <c r="E8710" t="inlineStr">
        <is>
          <t>NYBRO</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36155-2023</t>
        </is>
      </c>
      <c r="B8711" s="1" t="n">
        <v>45149</v>
      </c>
      <c r="C8711" s="1" t="n">
        <v>45715</v>
      </c>
      <c r="D8711" t="inlineStr">
        <is>
          <t>KALMAR LÄN</t>
        </is>
      </c>
      <c r="E8711" t="inlineStr">
        <is>
          <t>VIMMERBY</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36187-2023</t>
        </is>
      </c>
      <c r="B8712" s="1" t="n">
        <v>45149</v>
      </c>
      <c r="C8712" s="1" t="n">
        <v>45715</v>
      </c>
      <c r="D8712" t="inlineStr">
        <is>
          <t>KALMAR LÄN</t>
        </is>
      </c>
      <c r="E8712" t="inlineStr">
        <is>
          <t>HULTSFRED</t>
        </is>
      </c>
      <c r="G8712" t="n">
        <v>4.9</v>
      </c>
      <c r="H8712" t="n">
        <v>0</v>
      </c>
      <c r="I8712" t="n">
        <v>0</v>
      </c>
      <c r="J8712" t="n">
        <v>0</v>
      </c>
      <c r="K8712" t="n">
        <v>0</v>
      </c>
      <c r="L8712" t="n">
        <v>0</v>
      </c>
      <c r="M8712" t="n">
        <v>0</v>
      </c>
      <c r="N8712" t="n">
        <v>0</v>
      </c>
      <c r="O8712" t="n">
        <v>0</v>
      </c>
      <c r="P8712" t="n">
        <v>0</v>
      </c>
      <c r="Q8712" t="n">
        <v>0</v>
      </c>
      <c r="R8712" s="2" t="inlineStr"/>
    </row>
    <row r="8713" ht="15" customHeight="1">
      <c r="A8713" t="inlineStr">
        <is>
          <t>A 36238-2023</t>
        </is>
      </c>
      <c r="B8713" s="1" t="n">
        <v>45150</v>
      </c>
      <c r="C8713" s="1" t="n">
        <v>45715</v>
      </c>
      <c r="D8713" t="inlineStr">
        <is>
          <t>KALMAR LÄN</t>
        </is>
      </c>
      <c r="E8713" t="inlineStr">
        <is>
          <t>EMMABODA</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36269-2023</t>
        </is>
      </c>
      <c r="B8714" s="1" t="n">
        <v>45152</v>
      </c>
      <c r="C8714" s="1" t="n">
        <v>45715</v>
      </c>
      <c r="D8714" t="inlineStr">
        <is>
          <t>KALMAR LÄN</t>
        </is>
      </c>
      <c r="E8714" t="inlineStr">
        <is>
          <t>MÖNSTERÅS</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36264-2023</t>
        </is>
      </c>
      <c r="B8715" s="1" t="n">
        <v>45152</v>
      </c>
      <c r="C8715" s="1" t="n">
        <v>45715</v>
      </c>
      <c r="D8715" t="inlineStr">
        <is>
          <t>KALMAR LÄN</t>
        </is>
      </c>
      <c r="E8715" t="inlineStr">
        <is>
          <t>HULTSFRED</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36278-2023</t>
        </is>
      </c>
      <c r="B8716" s="1" t="n">
        <v>45152</v>
      </c>
      <c r="C8716" s="1" t="n">
        <v>45715</v>
      </c>
      <c r="D8716" t="inlineStr">
        <is>
          <t>KALMAR LÄN</t>
        </is>
      </c>
      <c r="E8716" t="inlineStr">
        <is>
          <t>HULTSFRED</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36354-2023</t>
        </is>
      </c>
      <c r="B8717" s="1" t="n">
        <v>45152</v>
      </c>
      <c r="C8717" s="1" t="n">
        <v>45715</v>
      </c>
      <c r="D8717" t="inlineStr">
        <is>
          <t>KALMAR LÄN</t>
        </is>
      </c>
      <c r="E8717" t="inlineStr">
        <is>
          <t>HÖGSBY</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36372-2023</t>
        </is>
      </c>
      <c r="B8718" s="1" t="n">
        <v>45152</v>
      </c>
      <c r="C8718" s="1" t="n">
        <v>45715</v>
      </c>
      <c r="D8718" t="inlineStr">
        <is>
          <t>KALMAR LÄN</t>
        </is>
      </c>
      <c r="E8718" t="inlineStr">
        <is>
          <t>MÖNSTERÅS</t>
        </is>
      </c>
      <c r="F8718" t="inlineStr">
        <is>
          <t>Kommuner</t>
        </is>
      </c>
      <c r="G8718" t="n">
        <v>4.2</v>
      </c>
      <c r="H8718" t="n">
        <v>0</v>
      </c>
      <c r="I8718" t="n">
        <v>0</v>
      </c>
      <c r="J8718" t="n">
        <v>0</v>
      </c>
      <c r="K8718" t="n">
        <v>0</v>
      </c>
      <c r="L8718" t="n">
        <v>0</v>
      </c>
      <c r="M8718" t="n">
        <v>0</v>
      </c>
      <c r="N8718" t="n">
        <v>0</v>
      </c>
      <c r="O8718" t="n">
        <v>0</v>
      </c>
      <c r="P8718" t="n">
        <v>0</v>
      </c>
      <c r="Q8718" t="n">
        <v>0</v>
      </c>
      <c r="R8718" s="2" t="inlineStr"/>
    </row>
    <row r="8719" ht="15" customHeight="1">
      <c r="A8719" t="inlineStr">
        <is>
          <t>A 36385-2023</t>
        </is>
      </c>
      <c r="B8719" s="1" t="n">
        <v>45152</v>
      </c>
      <c r="C8719" s="1" t="n">
        <v>45715</v>
      </c>
      <c r="D8719" t="inlineStr">
        <is>
          <t>KALMAR LÄN</t>
        </is>
      </c>
      <c r="E8719" t="inlineStr">
        <is>
          <t>VIMMERBY</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36418-2023</t>
        </is>
      </c>
      <c r="B8720" s="1" t="n">
        <v>45152</v>
      </c>
      <c r="C8720" s="1" t="n">
        <v>45715</v>
      </c>
      <c r="D8720" t="inlineStr">
        <is>
          <t>KALMAR LÄN</t>
        </is>
      </c>
      <c r="E8720" t="inlineStr">
        <is>
          <t>VÄSTERVIK</t>
        </is>
      </c>
      <c r="G8720" t="n">
        <v>1.1</v>
      </c>
      <c r="H8720" t="n">
        <v>0</v>
      </c>
      <c r="I8720" t="n">
        <v>0</v>
      </c>
      <c r="J8720" t="n">
        <v>0</v>
      </c>
      <c r="K8720" t="n">
        <v>0</v>
      </c>
      <c r="L8720" t="n">
        <v>0</v>
      </c>
      <c r="M8720" t="n">
        <v>0</v>
      </c>
      <c r="N8720" t="n">
        <v>0</v>
      </c>
      <c r="O8720" t="n">
        <v>0</v>
      </c>
      <c r="P8720" t="n">
        <v>0</v>
      </c>
      <c r="Q8720" t="n">
        <v>0</v>
      </c>
      <c r="R8720" s="2" t="inlineStr"/>
      <c r="U8720">
        <f>HYPERLINK("https://klasma.github.io/Logging_0883/knärot/A 36418-2023 karta knärot.png", "A 36418-2023")</f>
        <v/>
      </c>
      <c r="V8720">
        <f>HYPERLINK("https://klasma.github.io/Logging_0883/klagomål/A 36418-2023 FSC-klagomål.docx", "A 36418-2023")</f>
        <v/>
      </c>
      <c r="W8720">
        <f>HYPERLINK("https://klasma.github.io/Logging_0883/klagomålsmail/A 36418-2023 FSC-klagomål mail.docx", "A 36418-2023")</f>
        <v/>
      </c>
      <c r="X8720">
        <f>HYPERLINK("https://klasma.github.io/Logging_0883/tillsyn/A 36418-2023 tillsynsbegäran.docx", "A 36418-2023")</f>
        <v/>
      </c>
      <c r="Y8720">
        <f>HYPERLINK("https://klasma.github.io/Logging_0883/tillsynsmail/A 36418-2023 tillsynsbegäran mail.docx", "A 36418-2023")</f>
        <v/>
      </c>
    </row>
    <row r="8721" ht="15" customHeight="1">
      <c r="A8721" t="inlineStr">
        <is>
          <t>A 36361-2023</t>
        </is>
      </c>
      <c r="B8721" s="1" t="n">
        <v>45152</v>
      </c>
      <c r="C8721" s="1" t="n">
        <v>45715</v>
      </c>
      <c r="D8721" t="inlineStr">
        <is>
          <t>KALMAR LÄN</t>
        </is>
      </c>
      <c r="E8721" t="inlineStr">
        <is>
          <t>MÖNSTERÅS</t>
        </is>
      </c>
      <c r="F8721" t="inlineStr">
        <is>
          <t>Kommuner</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36271-2023</t>
        </is>
      </c>
      <c r="B8722" s="1" t="n">
        <v>45152</v>
      </c>
      <c r="C8722" s="1" t="n">
        <v>45715</v>
      </c>
      <c r="D8722" t="inlineStr">
        <is>
          <t>KALMAR LÄN</t>
        </is>
      </c>
      <c r="E8722" t="inlineStr">
        <is>
          <t>HULTSFRED</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36395-2023</t>
        </is>
      </c>
      <c r="B8723" s="1" t="n">
        <v>45152</v>
      </c>
      <c r="C8723" s="1" t="n">
        <v>45715</v>
      </c>
      <c r="D8723" t="inlineStr">
        <is>
          <t>KALMAR LÄN</t>
        </is>
      </c>
      <c r="E8723" t="inlineStr">
        <is>
          <t>HULTSFRED</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36364-2023</t>
        </is>
      </c>
      <c r="B8724" s="1" t="n">
        <v>45152</v>
      </c>
      <c r="C8724" s="1" t="n">
        <v>45715</v>
      </c>
      <c r="D8724" t="inlineStr">
        <is>
          <t>KALMAR LÄN</t>
        </is>
      </c>
      <c r="E8724" t="inlineStr">
        <is>
          <t>MÖNSTERÅS</t>
        </is>
      </c>
      <c r="F8724" t="inlineStr">
        <is>
          <t>Kommuner</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36374-2023</t>
        </is>
      </c>
      <c r="B8725" s="1" t="n">
        <v>45152</v>
      </c>
      <c r="C8725" s="1" t="n">
        <v>45715</v>
      </c>
      <c r="D8725" t="inlineStr">
        <is>
          <t>KALMAR LÄN</t>
        </is>
      </c>
      <c r="E8725" t="inlineStr">
        <is>
          <t>HULTSFRED</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36457-2023</t>
        </is>
      </c>
      <c r="B8726" s="1" t="n">
        <v>45152</v>
      </c>
      <c r="C8726" s="1" t="n">
        <v>45715</v>
      </c>
      <c r="D8726" t="inlineStr">
        <is>
          <t>KALMAR LÄN</t>
        </is>
      </c>
      <c r="E8726" t="inlineStr">
        <is>
          <t>MÖNSTERÅS</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36397-2023</t>
        </is>
      </c>
      <c r="B8727" s="1" t="n">
        <v>45152</v>
      </c>
      <c r="C8727" s="1" t="n">
        <v>45715</v>
      </c>
      <c r="D8727" t="inlineStr">
        <is>
          <t>KALMAR LÄN</t>
        </is>
      </c>
      <c r="E8727" t="inlineStr">
        <is>
          <t>HULTSFRED</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36417-2023</t>
        </is>
      </c>
      <c r="B8728" s="1" t="n">
        <v>45152</v>
      </c>
      <c r="C8728" s="1" t="n">
        <v>45715</v>
      </c>
      <c r="D8728" t="inlineStr">
        <is>
          <t>KALMAR LÄN</t>
        </is>
      </c>
      <c r="E8728" t="inlineStr">
        <is>
          <t>HÖGSBY</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36517-2023</t>
        </is>
      </c>
      <c r="B8729" s="1" t="n">
        <v>45153</v>
      </c>
      <c r="C8729" s="1" t="n">
        <v>45715</v>
      </c>
      <c r="D8729" t="inlineStr">
        <is>
          <t>KALMAR LÄN</t>
        </is>
      </c>
      <c r="E8729" t="inlineStr">
        <is>
          <t>TORSÅS</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36521-2023</t>
        </is>
      </c>
      <c r="B8730" s="1" t="n">
        <v>45153</v>
      </c>
      <c r="C8730" s="1" t="n">
        <v>45715</v>
      </c>
      <c r="D8730" t="inlineStr">
        <is>
          <t>KALMAR LÄN</t>
        </is>
      </c>
      <c r="E8730" t="inlineStr">
        <is>
          <t>KALMAR</t>
        </is>
      </c>
      <c r="G8730" t="n">
        <v>6.9</v>
      </c>
      <c r="H8730" t="n">
        <v>0</v>
      </c>
      <c r="I8730" t="n">
        <v>0</v>
      </c>
      <c r="J8730" t="n">
        <v>0</v>
      </c>
      <c r="K8730" t="n">
        <v>0</v>
      </c>
      <c r="L8730" t="n">
        <v>0</v>
      </c>
      <c r="M8730" t="n">
        <v>0</v>
      </c>
      <c r="N8730" t="n">
        <v>0</v>
      </c>
      <c r="O8730" t="n">
        <v>0</v>
      </c>
      <c r="P8730" t="n">
        <v>0</v>
      </c>
      <c r="Q8730" t="n">
        <v>0</v>
      </c>
      <c r="R8730" s="2" t="inlineStr"/>
    </row>
    <row r="8731" ht="15" customHeight="1">
      <c r="A8731" t="inlineStr">
        <is>
          <t>A 36526-2023</t>
        </is>
      </c>
      <c r="B8731" s="1" t="n">
        <v>45153</v>
      </c>
      <c r="C8731" s="1" t="n">
        <v>45715</v>
      </c>
      <c r="D8731" t="inlineStr">
        <is>
          <t>KALMAR LÄN</t>
        </is>
      </c>
      <c r="E8731" t="inlineStr">
        <is>
          <t>VIMMERBY</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36560-2023</t>
        </is>
      </c>
      <c r="B8732" s="1" t="n">
        <v>45153</v>
      </c>
      <c r="C8732" s="1" t="n">
        <v>45715</v>
      </c>
      <c r="D8732" t="inlineStr">
        <is>
          <t>KALMAR LÄN</t>
        </is>
      </c>
      <c r="E8732" t="inlineStr">
        <is>
          <t>KALMAR</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36572-2023</t>
        </is>
      </c>
      <c r="B8733" s="1" t="n">
        <v>45153</v>
      </c>
      <c r="C8733" s="1" t="n">
        <v>45715</v>
      </c>
      <c r="D8733" t="inlineStr">
        <is>
          <t>KALMAR LÄN</t>
        </is>
      </c>
      <c r="E8733" t="inlineStr">
        <is>
          <t>VÄSTERVIK</t>
        </is>
      </c>
      <c r="F8733" t="inlineStr">
        <is>
          <t>Holmen skog AB</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36631-2023</t>
        </is>
      </c>
      <c r="B8734" s="1" t="n">
        <v>45153</v>
      </c>
      <c r="C8734" s="1" t="n">
        <v>45715</v>
      </c>
      <c r="D8734" t="inlineStr">
        <is>
          <t>KALMAR LÄN</t>
        </is>
      </c>
      <c r="E8734" t="inlineStr">
        <is>
          <t>KALMAR</t>
        </is>
      </c>
      <c r="G8734" t="n">
        <v>6.4</v>
      </c>
      <c r="H8734" t="n">
        <v>0</v>
      </c>
      <c r="I8734" t="n">
        <v>0</v>
      </c>
      <c r="J8734" t="n">
        <v>0</v>
      </c>
      <c r="K8734" t="n">
        <v>0</v>
      </c>
      <c r="L8734" t="n">
        <v>0</v>
      </c>
      <c r="M8734" t="n">
        <v>0</v>
      </c>
      <c r="N8734" t="n">
        <v>0</v>
      </c>
      <c r="O8734" t="n">
        <v>0</v>
      </c>
      <c r="P8734" t="n">
        <v>0</v>
      </c>
      <c r="Q8734" t="n">
        <v>0</v>
      </c>
      <c r="R8734" s="2" t="inlineStr"/>
    </row>
    <row r="8735" ht="15" customHeight="1">
      <c r="A8735" t="inlineStr">
        <is>
          <t>A 36692-2023</t>
        </is>
      </c>
      <c r="B8735" s="1" t="n">
        <v>45153</v>
      </c>
      <c r="C8735" s="1" t="n">
        <v>45715</v>
      </c>
      <c r="D8735" t="inlineStr">
        <is>
          <t>KALMAR LÄN</t>
        </is>
      </c>
      <c r="E8735" t="inlineStr">
        <is>
          <t>HULTSFRED</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36580-2023</t>
        </is>
      </c>
      <c r="B8736" s="1" t="n">
        <v>45153</v>
      </c>
      <c r="C8736" s="1" t="n">
        <v>45715</v>
      </c>
      <c r="D8736" t="inlineStr">
        <is>
          <t>KALMAR LÄN</t>
        </is>
      </c>
      <c r="E8736" t="inlineStr">
        <is>
          <t>HÖGSBY</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36590-2023</t>
        </is>
      </c>
      <c r="B8737" s="1" t="n">
        <v>45153</v>
      </c>
      <c r="C8737" s="1" t="n">
        <v>45715</v>
      </c>
      <c r="D8737" t="inlineStr">
        <is>
          <t>KALMAR LÄN</t>
        </is>
      </c>
      <c r="E8737" t="inlineStr">
        <is>
          <t>TORSÅS</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36633-2023</t>
        </is>
      </c>
      <c r="B8738" s="1" t="n">
        <v>45153</v>
      </c>
      <c r="C8738" s="1" t="n">
        <v>45715</v>
      </c>
      <c r="D8738" t="inlineStr">
        <is>
          <t>KALMAR LÄN</t>
        </is>
      </c>
      <c r="E8738" t="inlineStr">
        <is>
          <t>KALMAR</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36573-2023</t>
        </is>
      </c>
      <c r="B8739" s="1" t="n">
        <v>45153</v>
      </c>
      <c r="C8739" s="1" t="n">
        <v>45715</v>
      </c>
      <c r="D8739" t="inlineStr">
        <is>
          <t>KALMAR LÄN</t>
        </is>
      </c>
      <c r="E8739" t="inlineStr">
        <is>
          <t>HÖGSBY</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36655-2023</t>
        </is>
      </c>
      <c r="B8740" s="1" t="n">
        <v>45153</v>
      </c>
      <c r="C8740" s="1" t="n">
        <v>45715</v>
      </c>
      <c r="D8740" t="inlineStr">
        <is>
          <t>KALMAR LÄN</t>
        </is>
      </c>
      <c r="E8740" t="inlineStr">
        <is>
          <t>MÖNSTERÅS</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36663-2023</t>
        </is>
      </c>
      <c r="B8741" s="1" t="n">
        <v>45153</v>
      </c>
      <c r="C8741" s="1" t="n">
        <v>45715</v>
      </c>
      <c r="D8741" t="inlineStr">
        <is>
          <t>KALMAR LÄN</t>
        </is>
      </c>
      <c r="E8741" t="inlineStr">
        <is>
          <t>HULTSFRED</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36688-2023</t>
        </is>
      </c>
      <c r="B8742" s="1" t="n">
        <v>45153</v>
      </c>
      <c r="C8742" s="1" t="n">
        <v>45715</v>
      </c>
      <c r="D8742" t="inlineStr">
        <is>
          <t>KALMAR LÄN</t>
        </is>
      </c>
      <c r="E8742" t="inlineStr">
        <is>
          <t>HULTSFRED</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36698-2023</t>
        </is>
      </c>
      <c r="B8743" s="1" t="n">
        <v>45153</v>
      </c>
      <c r="C8743" s="1" t="n">
        <v>45715</v>
      </c>
      <c r="D8743" t="inlineStr">
        <is>
          <t>KALMAR LÄN</t>
        </is>
      </c>
      <c r="E8743" t="inlineStr">
        <is>
          <t>HULTSFRED</t>
        </is>
      </c>
      <c r="G8743" t="n">
        <v>7.4</v>
      </c>
      <c r="H8743" t="n">
        <v>0</v>
      </c>
      <c r="I8743" t="n">
        <v>0</v>
      </c>
      <c r="J8743" t="n">
        <v>0</v>
      </c>
      <c r="K8743" t="n">
        <v>0</v>
      </c>
      <c r="L8743" t="n">
        <v>0</v>
      </c>
      <c r="M8743" t="n">
        <v>0</v>
      </c>
      <c r="N8743" t="n">
        <v>0</v>
      </c>
      <c r="O8743" t="n">
        <v>0</v>
      </c>
      <c r="P8743" t="n">
        <v>0</v>
      </c>
      <c r="Q8743" t="n">
        <v>0</v>
      </c>
      <c r="R8743" s="2" t="inlineStr"/>
    </row>
    <row r="8744" ht="15" customHeight="1">
      <c r="A8744" t="inlineStr">
        <is>
          <t>A 36735-2023</t>
        </is>
      </c>
      <c r="B8744" s="1" t="n">
        <v>45153</v>
      </c>
      <c r="C8744" s="1" t="n">
        <v>45715</v>
      </c>
      <c r="D8744" t="inlineStr">
        <is>
          <t>KALMAR LÄN</t>
        </is>
      </c>
      <c r="E8744" t="inlineStr">
        <is>
          <t>HÖGSBY</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36634-2023</t>
        </is>
      </c>
      <c r="B8745" s="1" t="n">
        <v>45153</v>
      </c>
      <c r="C8745" s="1" t="n">
        <v>45715</v>
      </c>
      <c r="D8745" t="inlineStr">
        <is>
          <t>KALMAR LÄN</t>
        </is>
      </c>
      <c r="E8745" t="inlineStr">
        <is>
          <t>KALMAR</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36643-2023</t>
        </is>
      </c>
      <c r="B8746" s="1" t="n">
        <v>45153</v>
      </c>
      <c r="C8746" s="1" t="n">
        <v>45715</v>
      </c>
      <c r="D8746" t="inlineStr">
        <is>
          <t>KALMAR LÄN</t>
        </is>
      </c>
      <c r="E8746" t="inlineStr">
        <is>
          <t>VÄSTERVIK</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36823-2023</t>
        </is>
      </c>
      <c r="B8747" s="1" t="n">
        <v>45154</v>
      </c>
      <c r="C8747" s="1" t="n">
        <v>45715</v>
      </c>
      <c r="D8747" t="inlineStr">
        <is>
          <t>KALMAR LÄN</t>
        </is>
      </c>
      <c r="E8747" t="inlineStr">
        <is>
          <t>OSKARSHAMN</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36846-2023</t>
        </is>
      </c>
      <c r="B8748" s="1" t="n">
        <v>45154</v>
      </c>
      <c r="C8748" s="1" t="n">
        <v>45715</v>
      </c>
      <c r="D8748" t="inlineStr">
        <is>
          <t>KALMAR LÄN</t>
        </is>
      </c>
      <c r="E8748" t="inlineStr">
        <is>
          <t>KALMAR</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36888-2023</t>
        </is>
      </c>
      <c r="B8749" s="1" t="n">
        <v>45154</v>
      </c>
      <c r="C8749" s="1" t="n">
        <v>45715</v>
      </c>
      <c r="D8749" t="inlineStr">
        <is>
          <t>KALMAR LÄN</t>
        </is>
      </c>
      <c r="E8749" t="inlineStr">
        <is>
          <t>NYBRO</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36843-2023</t>
        </is>
      </c>
      <c r="B8750" s="1" t="n">
        <v>45154</v>
      </c>
      <c r="C8750" s="1" t="n">
        <v>45715</v>
      </c>
      <c r="D8750" t="inlineStr">
        <is>
          <t>KALMAR LÄN</t>
        </is>
      </c>
      <c r="E8750" t="inlineStr">
        <is>
          <t>VIMMERBY</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36825-2023</t>
        </is>
      </c>
      <c r="B8751" s="1" t="n">
        <v>45154</v>
      </c>
      <c r="C8751" s="1" t="n">
        <v>45715</v>
      </c>
      <c r="D8751" t="inlineStr">
        <is>
          <t>KALMAR LÄN</t>
        </is>
      </c>
      <c r="E8751" t="inlineStr">
        <is>
          <t>NYBRO</t>
        </is>
      </c>
      <c r="F8751" t="inlineStr">
        <is>
          <t>Sveaskog</t>
        </is>
      </c>
      <c r="G8751" t="n">
        <v>20.3</v>
      </c>
      <c r="H8751" t="n">
        <v>0</v>
      </c>
      <c r="I8751" t="n">
        <v>0</v>
      </c>
      <c r="J8751" t="n">
        <v>0</v>
      </c>
      <c r="K8751" t="n">
        <v>0</v>
      </c>
      <c r="L8751" t="n">
        <v>0</v>
      </c>
      <c r="M8751" t="n">
        <v>0</v>
      </c>
      <c r="N8751" t="n">
        <v>0</v>
      </c>
      <c r="O8751" t="n">
        <v>0</v>
      </c>
      <c r="P8751" t="n">
        <v>0</v>
      </c>
      <c r="Q8751" t="n">
        <v>0</v>
      </c>
      <c r="R8751" s="2" t="inlineStr"/>
    </row>
    <row r="8752" ht="15" customHeight="1">
      <c r="A8752" t="inlineStr">
        <is>
          <t>A 36909-2023</t>
        </is>
      </c>
      <c r="B8752" s="1" t="n">
        <v>45154</v>
      </c>
      <c r="C8752" s="1" t="n">
        <v>45715</v>
      </c>
      <c r="D8752" t="inlineStr">
        <is>
          <t>KALMAR LÄN</t>
        </is>
      </c>
      <c r="E8752" t="inlineStr">
        <is>
          <t>HÖGSBY</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37016-2023</t>
        </is>
      </c>
      <c r="B8753" s="1" t="n">
        <v>45155</v>
      </c>
      <c r="C8753" s="1" t="n">
        <v>45715</v>
      </c>
      <c r="D8753" t="inlineStr">
        <is>
          <t>KALMAR LÄN</t>
        </is>
      </c>
      <c r="E8753" t="inlineStr">
        <is>
          <t>NYBRO</t>
        </is>
      </c>
      <c r="G8753" t="n">
        <v>6.4</v>
      </c>
      <c r="H8753" t="n">
        <v>0</v>
      </c>
      <c r="I8753" t="n">
        <v>0</v>
      </c>
      <c r="J8753" t="n">
        <v>0</v>
      </c>
      <c r="K8753" t="n">
        <v>0</v>
      </c>
      <c r="L8753" t="n">
        <v>0</v>
      </c>
      <c r="M8753" t="n">
        <v>0</v>
      </c>
      <c r="N8753" t="n">
        <v>0</v>
      </c>
      <c r="O8753" t="n">
        <v>0</v>
      </c>
      <c r="P8753" t="n">
        <v>0</v>
      </c>
      <c r="Q8753" t="n">
        <v>0</v>
      </c>
      <c r="R8753" s="2" t="inlineStr"/>
    </row>
    <row r="8754" ht="15" customHeight="1">
      <c r="A8754" t="inlineStr">
        <is>
          <t>A 37060-2023</t>
        </is>
      </c>
      <c r="B8754" s="1" t="n">
        <v>45155</v>
      </c>
      <c r="C8754" s="1" t="n">
        <v>45715</v>
      </c>
      <c r="D8754" t="inlineStr">
        <is>
          <t>KALMAR LÄN</t>
        </is>
      </c>
      <c r="E8754" t="inlineStr">
        <is>
          <t>EMMABODA</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37091-2023</t>
        </is>
      </c>
      <c r="B8755" s="1" t="n">
        <v>45155</v>
      </c>
      <c r="C8755" s="1" t="n">
        <v>45715</v>
      </c>
      <c r="D8755" t="inlineStr">
        <is>
          <t>KALMAR LÄN</t>
        </is>
      </c>
      <c r="E8755" t="inlineStr">
        <is>
          <t>TORSÅS</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37089-2023</t>
        </is>
      </c>
      <c r="B8756" s="1" t="n">
        <v>45155</v>
      </c>
      <c r="C8756" s="1" t="n">
        <v>45715</v>
      </c>
      <c r="D8756" t="inlineStr">
        <is>
          <t>KALMAR LÄN</t>
        </is>
      </c>
      <c r="E8756" t="inlineStr">
        <is>
          <t>HULTSFRED</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37093-2023</t>
        </is>
      </c>
      <c r="B8757" s="1" t="n">
        <v>45155</v>
      </c>
      <c r="C8757" s="1" t="n">
        <v>45715</v>
      </c>
      <c r="D8757" t="inlineStr">
        <is>
          <t>KALMAR LÄN</t>
        </is>
      </c>
      <c r="E8757" t="inlineStr">
        <is>
          <t>EMMABODA</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37153-2023</t>
        </is>
      </c>
      <c r="B8758" s="1" t="n">
        <v>45155</v>
      </c>
      <c r="C8758" s="1" t="n">
        <v>45715</v>
      </c>
      <c r="D8758" t="inlineStr">
        <is>
          <t>KALMAR LÄN</t>
        </is>
      </c>
      <c r="E8758" t="inlineStr">
        <is>
          <t>HULTSFRED</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37166-2023</t>
        </is>
      </c>
      <c r="B8759" s="1" t="n">
        <v>45155</v>
      </c>
      <c r="C8759" s="1" t="n">
        <v>45715</v>
      </c>
      <c r="D8759" t="inlineStr">
        <is>
          <t>KALMAR LÄN</t>
        </is>
      </c>
      <c r="E8759" t="inlineStr">
        <is>
          <t>TORSÅS</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37168-2023</t>
        </is>
      </c>
      <c r="B8760" s="1" t="n">
        <v>45155</v>
      </c>
      <c r="C8760" s="1" t="n">
        <v>45715</v>
      </c>
      <c r="D8760" t="inlineStr">
        <is>
          <t>KALMAR LÄN</t>
        </is>
      </c>
      <c r="E8760" t="inlineStr">
        <is>
          <t>TORSÅS</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37212-2023</t>
        </is>
      </c>
      <c r="B8761" s="1" t="n">
        <v>45155</v>
      </c>
      <c r="C8761" s="1" t="n">
        <v>45715</v>
      </c>
      <c r="D8761" t="inlineStr">
        <is>
          <t>KALMAR LÄN</t>
        </is>
      </c>
      <c r="E8761" t="inlineStr">
        <is>
          <t>TORSÅS</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37169-2023</t>
        </is>
      </c>
      <c r="B8762" s="1" t="n">
        <v>45155</v>
      </c>
      <c r="C8762" s="1" t="n">
        <v>45715</v>
      </c>
      <c r="D8762" t="inlineStr">
        <is>
          <t>KALMAR LÄN</t>
        </is>
      </c>
      <c r="E8762" t="inlineStr">
        <is>
          <t>TORSÅS</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37210-2023</t>
        </is>
      </c>
      <c r="B8763" s="1" t="n">
        <v>45155</v>
      </c>
      <c r="C8763" s="1" t="n">
        <v>45715</v>
      </c>
      <c r="D8763" t="inlineStr">
        <is>
          <t>KALMAR LÄN</t>
        </is>
      </c>
      <c r="E8763" t="inlineStr">
        <is>
          <t>TORSÅS</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37199-2023</t>
        </is>
      </c>
      <c r="B8764" s="1" t="n">
        <v>45155</v>
      </c>
      <c r="C8764" s="1" t="n">
        <v>45715</v>
      </c>
      <c r="D8764" t="inlineStr">
        <is>
          <t>KALMAR LÄN</t>
        </is>
      </c>
      <c r="E8764" t="inlineStr">
        <is>
          <t>EMMABODA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37376-2023</t>
        </is>
      </c>
      <c r="B8765" s="1" t="n">
        <v>45155</v>
      </c>
      <c r="C8765" s="1" t="n">
        <v>45715</v>
      </c>
      <c r="D8765" t="inlineStr">
        <is>
          <t>KALMAR LÄN</t>
        </is>
      </c>
      <c r="E8765" t="inlineStr">
        <is>
          <t>MÖNSTERÅS</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37281-2023</t>
        </is>
      </c>
      <c r="B8766" s="1" t="n">
        <v>45156</v>
      </c>
      <c r="C8766" s="1" t="n">
        <v>45715</v>
      </c>
      <c r="D8766" t="inlineStr">
        <is>
          <t>KALMAR LÄN</t>
        </is>
      </c>
      <c r="E8766" t="inlineStr">
        <is>
          <t>HULTSFRED</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37349-2023</t>
        </is>
      </c>
      <c r="B8767" s="1" t="n">
        <v>45156</v>
      </c>
      <c r="C8767" s="1" t="n">
        <v>45715</v>
      </c>
      <c r="D8767" t="inlineStr">
        <is>
          <t>KALMAR LÄN</t>
        </is>
      </c>
      <c r="E8767" t="inlineStr">
        <is>
          <t>VÄSTERVIK</t>
        </is>
      </c>
      <c r="F8767" t="inlineStr">
        <is>
          <t>Sveaskog</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37352-2023</t>
        </is>
      </c>
      <c r="B8768" s="1" t="n">
        <v>45156</v>
      </c>
      <c r="C8768" s="1" t="n">
        <v>45715</v>
      </c>
      <c r="D8768" t="inlineStr">
        <is>
          <t>KALMAR LÄN</t>
        </is>
      </c>
      <c r="E8768" t="inlineStr">
        <is>
          <t>VÄSTERVIK</t>
        </is>
      </c>
      <c r="F8768" t="inlineStr">
        <is>
          <t>Sveaskog</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37354-2023</t>
        </is>
      </c>
      <c r="B8769" s="1" t="n">
        <v>45156</v>
      </c>
      <c r="C8769" s="1" t="n">
        <v>45715</v>
      </c>
      <c r="D8769" t="inlineStr">
        <is>
          <t>KALMAR LÄN</t>
        </is>
      </c>
      <c r="E8769" t="inlineStr">
        <is>
          <t>VÄSTERVIK</t>
        </is>
      </c>
      <c r="F8769" t="inlineStr">
        <is>
          <t>Sveaskog</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37447-2023</t>
        </is>
      </c>
      <c r="B8770" s="1" t="n">
        <v>45156</v>
      </c>
      <c r="C8770" s="1" t="n">
        <v>45715</v>
      </c>
      <c r="D8770" t="inlineStr">
        <is>
          <t>KALMAR LÄN</t>
        </is>
      </c>
      <c r="E8770" t="inlineStr">
        <is>
          <t>KALMAR</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37378-2023</t>
        </is>
      </c>
      <c r="B8771" s="1" t="n">
        <v>45156</v>
      </c>
      <c r="C8771" s="1" t="n">
        <v>45715</v>
      </c>
      <c r="D8771" t="inlineStr">
        <is>
          <t>KALMAR LÄN</t>
        </is>
      </c>
      <c r="E8771" t="inlineStr">
        <is>
          <t>HÖGSBY</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37433-2023</t>
        </is>
      </c>
      <c r="B8772" s="1" t="n">
        <v>45156</v>
      </c>
      <c r="C8772" s="1" t="n">
        <v>45715</v>
      </c>
      <c r="D8772" t="inlineStr">
        <is>
          <t>KALMAR LÄN</t>
        </is>
      </c>
      <c r="E8772" t="inlineStr">
        <is>
          <t>KALMAR</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37464-2023</t>
        </is>
      </c>
      <c r="B8773" s="1" t="n">
        <v>45156</v>
      </c>
      <c r="C8773" s="1" t="n">
        <v>45715</v>
      </c>
      <c r="D8773" t="inlineStr">
        <is>
          <t>KALMAR LÄN</t>
        </is>
      </c>
      <c r="E8773" t="inlineStr">
        <is>
          <t>HULTSFRED</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37461-2023</t>
        </is>
      </c>
      <c r="B8774" s="1" t="n">
        <v>45156</v>
      </c>
      <c r="C8774" s="1" t="n">
        <v>45715</v>
      </c>
      <c r="D8774" t="inlineStr">
        <is>
          <t>KALMAR LÄN</t>
        </is>
      </c>
      <c r="E8774" t="inlineStr">
        <is>
          <t>NYBRO</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37280-2023</t>
        </is>
      </c>
      <c r="B8775" s="1" t="n">
        <v>45156</v>
      </c>
      <c r="C8775" s="1" t="n">
        <v>45715</v>
      </c>
      <c r="D8775" t="inlineStr">
        <is>
          <t>KALMAR LÄN</t>
        </is>
      </c>
      <c r="E8775" t="inlineStr">
        <is>
          <t>HULTSFRED</t>
        </is>
      </c>
      <c r="G8775" t="n">
        <v>10.8</v>
      </c>
      <c r="H8775" t="n">
        <v>0</v>
      </c>
      <c r="I8775" t="n">
        <v>0</v>
      </c>
      <c r="J8775" t="n">
        <v>0</v>
      </c>
      <c r="K8775" t="n">
        <v>0</v>
      </c>
      <c r="L8775" t="n">
        <v>0</v>
      </c>
      <c r="M8775" t="n">
        <v>0</v>
      </c>
      <c r="N8775" t="n">
        <v>0</v>
      </c>
      <c r="O8775" t="n">
        <v>0</v>
      </c>
      <c r="P8775" t="n">
        <v>0</v>
      </c>
      <c r="Q8775" t="n">
        <v>0</v>
      </c>
      <c r="R8775" s="2" t="inlineStr"/>
    </row>
    <row r="8776" ht="15" customHeight="1">
      <c r="A8776" t="inlineStr">
        <is>
          <t>A 37351-2023</t>
        </is>
      </c>
      <c r="B8776" s="1" t="n">
        <v>45156</v>
      </c>
      <c r="C8776" s="1" t="n">
        <v>45715</v>
      </c>
      <c r="D8776" t="inlineStr">
        <is>
          <t>KALMAR LÄN</t>
        </is>
      </c>
      <c r="E8776" t="inlineStr">
        <is>
          <t>VÄSTERVIK</t>
        </is>
      </c>
      <c r="F8776" t="inlineStr">
        <is>
          <t>Sveaskog</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37373-2023</t>
        </is>
      </c>
      <c r="B8777" s="1" t="n">
        <v>45156</v>
      </c>
      <c r="C8777" s="1" t="n">
        <v>45715</v>
      </c>
      <c r="D8777" t="inlineStr">
        <is>
          <t>KALMAR LÄN</t>
        </is>
      </c>
      <c r="E8777" t="inlineStr">
        <is>
          <t>VIMMERBY</t>
        </is>
      </c>
      <c r="F8777" t="inlineStr">
        <is>
          <t>Övriga Aktiebolag</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37462-2023</t>
        </is>
      </c>
      <c r="B8778" s="1" t="n">
        <v>45156</v>
      </c>
      <c r="C8778" s="1" t="n">
        <v>45715</v>
      </c>
      <c r="D8778" t="inlineStr">
        <is>
          <t>KALMAR LÄN</t>
        </is>
      </c>
      <c r="E8778" t="inlineStr">
        <is>
          <t>NYBRO</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37630-2023</t>
        </is>
      </c>
      <c r="B8779" s="1" t="n">
        <v>45159</v>
      </c>
      <c r="C8779" s="1" t="n">
        <v>45715</v>
      </c>
      <c r="D8779" t="inlineStr">
        <is>
          <t>KALMAR LÄN</t>
        </is>
      </c>
      <c r="E8779" t="inlineStr">
        <is>
          <t>EMMABODA</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37642-2023</t>
        </is>
      </c>
      <c r="B8780" s="1" t="n">
        <v>45159</v>
      </c>
      <c r="C8780" s="1" t="n">
        <v>45715</v>
      </c>
      <c r="D8780" t="inlineStr">
        <is>
          <t>KALMAR LÄN</t>
        </is>
      </c>
      <c r="E8780" t="inlineStr">
        <is>
          <t>VÄSTERVIK</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37672-2023</t>
        </is>
      </c>
      <c r="B8781" s="1" t="n">
        <v>45159</v>
      </c>
      <c r="C8781" s="1" t="n">
        <v>45715</v>
      </c>
      <c r="D8781" t="inlineStr">
        <is>
          <t>KALMAR LÄN</t>
        </is>
      </c>
      <c r="E8781" t="inlineStr">
        <is>
          <t>NYBRO</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37738-2023</t>
        </is>
      </c>
      <c r="B8782" s="1" t="n">
        <v>45159</v>
      </c>
      <c r="C8782" s="1" t="n">
        <v>45715</v>
      </c>
      <c r="D8782" t="inlineStr">
        <is>
          <t>KALMAR LÄN</t>
        </is>
      </c>
      <c r="E8782" t="inlineStr">
        <is>
          <t>OSKARSHAMN</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37749-2023</t>
        </is>
      </c>
      <c r="B8783" s="1" t="n">
        <v>45159</v>
      </c>
      <c r="C8783" s="1" t="n">
        <v>45715</v>
      </c>
      <c r="D8783" t="inlineStr">
        <is>
          <t>KALMAR LÄN</t>
        </is>
      </c>
      <c r="E8783" t="inlineStr">
        <is>
          <t>NYBRO</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37643-2023</t>
        </is>
      </c>
      <c r="B8784" s="1" t="n">
        <v>45159</v>
      </c>
      <c r="C8784" s="1" t="n">
        <v>45715</v>
      </c>
      <c r="D8784" t="inlineStr">
        <is>
          <t>KALMAR LÄN</t>
        </is>
      </c>
      <c r="E8784" t="inlineStr">
        <is>
          <t>VÄSTERVIK</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37551-2023</t>
        </is>
      </c>
      <c r="B8785" s="1" t="n">
        <v>45159</v>
      </c>
      <c r="C8785" s="1" t="n">
        <v>45715</v>
      </c>
      <c r="D8785" t="inlineStr">
        <is>
          <t>KALMAR LÄN</t>
        </is>
      </c>
      <c r="E8785" t="inlineStr">
        <is>
          <t>TORSÅS</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37573-2023</t>
        </is>
      </c>
      <c r="B8786" s="1" t="n">
        <v>45159</v>
      </c>
      <c r="C8786" s="1" t="n">
        <v>45715</v>
      </c>
      <c r="D8786" t="inlineStr">
        <is>
          <t>KALMAR LÄN</t>
        </is>
      </c>
      <c r="E8786" t="inlineStr">
        <is>
          <t>HULTSFRED</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37637-2023</t>
        </is>
      </c>
      <c r="B8787" s="1" t="n">
        <v>45159</v>
      </c>
      <c r="C8787" s="1" t="n">
        <v>45715</v>
      </c>
      <c r="D8787" t="inlineStr">
        <is>
          <t>KALMAR LÄN</t>
        </is>
      </c>
      <c r="E8787" t="inlineStr">
        <is>
          <t>EMMABODA</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37590-2023</t>
        </is>
      </c>
      <c r="B8788" s="1" t="n">
        <v>45159</v>
      </c>
      <c r="C8788" s="1" t="n">
        <v>45715</v>
      </c>
      <c r="D8788" t="inlineStr">
        <is>
          <t>KALMAR LÄN</t>
        </is>
      </c>
      <c r="E8788" t="inlineStr">
        <is>
          <t>KALMAR</t>
        </is>
      </c>
      <c r="G8788" t="n">
        <v>6.2</v>
      </c>
      <c r="H8788" t="n">
        <v>0</v>
      </c>
      <c r="I8788" t="n">
        <v>0</v>
      </c>
      <c r="J8788" t="n">
        <v>0</v>
      </c>
      <c r="K8788" t="n">
        <v>0</v>
      </c>
      <c r="L8788" t="n">
        <v>0</v>
      </c>
      <c r="M8788" t="n">
        <v>0</v>
      </c>
      <c r="N8788" t="n">
        <v>0</v>
      </c>
      <c r="O8788" t="n">
        <v>0</v>
      </c>
      <c r="P8788" t="n">
        <v>0</v>
      </c>
      <c r="Q8788" t="n">
        <v>0</v>
      </c>
      <c r="R8788" s="2" t="inlineStr"/>
    </row>
    <row r="8789" ht="15" customHeight="1">
      <c r="A8789" t="inlineStr">
        <is>
          <t>A 37596-2023</t>
        </is>
      </c>
      <c r="B8789" s="1" t="n">
        <v>45159</v>
      </c>
      <c r="C8789" s="1" t="n">
        <v>45715</v>
      </c>
      <c r="D8789" t="inlineStr">
        <is>
          <t>KALMAR LÄN</t>
        </is>
      </c>
      <c r="E8789" t="inlineStr">
        <is>
          <t>KALMAR</t>
        </is>
      </c>
      <c r="G8789" t="n">
        <v>10.5</v>
      </c>
      <c r="H8789" t="n">
        <v>0</v>
      </c>
      <c r="I8789" t="n">
        <v>0</v>
      </c>
      <c r="J8789" t="n">
        <v>0</v>
      </c>
      <c r="K8789" t="n">
        <v>0</v>
      </c>
      <c r="L8789" t="n">
        <v>0</v>
      </c>
      <c r="M8789" t="n">
        <v>0</v>
      </c>
      <c r="N8789" t="n">
        <v>0</v>
      </c>
      <c r="O8789" t="n">
        <v>0</v>
      </c>
      <c r="P8789" t="n">
        <v>0</v>
      </c>
      <c r="Q8789" t="n">
        <v>0</v>
      </c>
      <c r="R8789" s="2" t="inlineStr"/>
    </row>
    <row r="8790" ht="15" customHeight="1">
      <c r="A8790" t="inlineStr">
        <is>
          <t>A 37644-2023</t>
        </is>
      </c>
      <c r="B8790" s="1" t="n">
        <v>45159</v>
      </c>
      <c r="C8790" s="1" t="n">
        <v>45715</v>
      </c>
      <c r="D8790" t="inlineStr">
        <is>
          <t>KALMAR LÄN</t>
        </is>
      </c>
      <c r="E8790" t="inlineStr">
        <is>
          <t>VÄSTERVIK</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37661-2023</t>
        </is>
      </c>
      <c r="B8791" s="1" t="n">
        <v>45159</v>
      </c>
      <c r="C8791" s="1" t="n">
        <v>45715</v>
      </c>
      <c r="D8791" t="inlineStr">
        <is>
          <t>KALMAR LÄN</t>
        </is>
      </c>
      <c r="E8791" t="inlineStr">
        <is>
          <t>VÄSTERVIK</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37716-2023</t>
        </is>
      </c>
      <c r="B8792" s="1" t="n">
        <v>45159</v>
      </c>
      <c r="C8792" s="1" t="n">
        <v>45715</v>
      </c>
      <c r="D8792" t="inlineStr">
        <is>
          <t>KALMAR LÄN</t>
        </is>
      </c>
      <c r="E8792" t="inlineStr">
        <is>
          <t>VÄSTERVIK</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37858-2023</t>
        </is>
      </c>
      <c r="B8793" s="1" t="n">
        <v>45160</v>
      </c>
      <c r="C8793" s="1" t="n">
        <v>45715</v>
      </c>
      <c r="D8793" t="inlineStr">
        <is>
          <t>KALMAR LÄN</t>
        </is>
      </c>
      <c r="E8793" t="inlineStr">
        <is>
          <t>VÄSTERVIK</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37956-2023</t>
        </is>
      </c>
      <c r="B8794" s="1" t="n">
        <v>45160</v>
      </c>
      <c r="C8794" s="1" t="n">
        <v>45715</v>
      </c>
      <c r="D8794" t="inlineStr">
        <is>
          <t>KALMAR LÄN</t>
        </is>
      </c>
      <c r="E8794" t="inlineStr">
        <is>
          <t>VÄSTERVIK</t>
        </is>
      </c>
      <c r="F8794" t="inlineStr">
        <is>
          <t>Sveaskog</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37962-2023</t>
        </is>
      </c>
      <c r="B8795" s="1" t="n">
        <v>45160</v>
      </c>
      <c r="C8795" s="1" t="n">
        <v>45715</v>
      </c>
      <c r="D8795" t="inlineStr">
        <is>
          <t>KALMAR LÄN</t>
        </is>
      </c>
      <c r="E8795" t="inlineStr">
        <is>
          <t>MÖNSTERÅS</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37966-2023</t>
        </is>
      </c>
      <c r="B8796" s="1" t="n">
        <v>45160</v>
      </c>
      <c r="C8796" s="1" t="n">
        <v>45715</v>
      </c>
      <c r="D8796" t="inlineStr">
        <is>
          <t>KALMAR LÄN</t>
        </is>
      </c>
      <c r="E8796" t="inlineStr">
        <is>
          <t>MÖNSTERÅS</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37994-2023</t>
        </is>
      </c>
      <c r="B8797" s="1" t="n">
        <v>45160</v>
      </c>
      <c r="C8797" s="1" t="n">
        <v>45715</v>
      </c>
      <c r="D8797" t="inlineStr">
        <is>
          <t>KALMAR LÄN</t>
        </is>
      </c>
      <c r="E8797" t="inlineStr">
        <is>
          <t>HULTSFRED</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37998-2023</t>
        </is>
      </c>
      <c r="B8798" s="1" t="n">
        <v>45160</v>
      </c>
      <c r="C8798" s="1" t="n">
        <v>45715</v>
      </c>
      <c r="D8798" t="inlineStr">
        <is>
          <t>KALMAR LÄN</t>
        </is>
      </c>
      <c r="E8798" t="inlineStr">
        <is>
          <t>HULTSFRED</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38040-2023</t>
        </is>
      </c>
      <c r="B8799" s="1" t="n">
        <v>45160</v>
      </c>
      <c r="C8799" s="1" t="n">
        <v>45715</v>
      </c>
      <c r="D8799" t="inlineStr">
        <is>
          <t>KALMAR LÄN</t>
        </is>
      </c>
      <c r="E8799" t="inlineStr">
        <is>
          <t>VÄSTERVIK</t>
        </is>
      </c>
      <c r="F8799" t="inlineStr">
        <is>
          <t>Sveaskog</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38045-2023</t>
        </is>
      </c>
      <c r="B8800" s="1" t="n">
        <v>45160</v>
      </c>
      <c r="C8800" s="1" t="n">
        <v>45715</v>
      </c>
      <c r="D8800" t="inlineStr">
        <is>
          <t>KALMAR LÄN</t>
        </is>
      </c>
      <c r="E8800" t="inlineStr">
        <is>
          <t>VÄSTERVIK</t>
        </is>
      </c>
      <c r="F8800" t="inlineStr">
        <is>
          <t>Sveaskog</t>
        </is>
      </c>
      <c r="G8800" t="n">
        <v>7.9</v>
      </c>
      <c r="H8800" t="n">
        <v>0</v>
      </c>
      <c r="I8800" t="n">
        <v>0</v>
      </c>
      <c r="J8800" t="n">
        <v>0</v>
      </c>
      <c r="K8800" t="n">
        <v>0</v>
      </c>
      <c r="L8800" t="n">
        <v>0</v>
      </c>
      <c r="M8800" t="n">
        <v>0</v>
      </c>
      <c r="N8800" t="n">
        <v>0</v>
      </c>
      <c r="O8800" t="n">
        <v>0</v>
      </c>
      <c r="P8800" t="n">
        <v>0</v>
      </c>
      <c r="Q8800" t="n">
        <v>0</v>
      </c>
      <c r="R8800" s="2" t="inlineStr"/>
    </row>
    <row r="8801" ht="15" customHeight="1">
      <c r="A8801" t="inlineStr">
        <is>
          <t>A 38079-2023</t>
        </is>
      </c>
      <c r="B8801" s="1" t="n">
        <v>45160</v>
      </c>
      <c r="C8801" s="1" t="n">
        <v>45715</v>
      </c>
      <c r="D8801" t="inlineStr">
        <is>
          <t>KALMAR LÄN</t>
        </is>
      </c>
      <c r="E8801" t="inlineStr">
        <is>
          <t>HULTSFRED</t>
        </is>
      </c>
      <c r="G8801" t="n">
        <v>4.6</v>
      </c>
      <c r="H8801" t="n">
        <v>0</v>
      </c>
      <c r="I8801" t="n">
        <v>0</v>
      </c>
      <c r="J8801" t="n">
        <v>0</v>
      </c>
      <c r="K8801" t="n">
        <v>0</v>
      </c>
      <c r="L8801" t="n">
        <v>0</v>
      </c>
      <c r="M8801" t="n">
        <v>0</v>
      </c>
      <c r="N8801" t="n">
        <v>0</v>
      </c>
      <c r="O8801" t="n">
        <v>0</v>
      </c>
      <c r="P8801" t="n">
        <v>0</v>
      </c>
      <c r="Q8801" t="n">
        <v>0</v>
      </c>
      <c r="R8801" s="2" t="inlineStr"/>
    </row>
    <row r="8802" ht="15" customHeight="1">
      <c r="A8802" t="inlineStr">
        <is>
          <t>A 37904-2023</t>
        </is>
      </c>
      <c r="B8802" s="1" t="n">
        <v>45160</v>
      </c>
      <c r="C8802" s="1" t="n">
        <v>45715</v>
      </c>
      <c r="D8802" t="inlineStr">
        <is>
          <t>KALMAR LÄN</t>
        </is>
      </c>
      <c r="E8802" t="inlineStr">
        <is>
          <t>NYBRO</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37952-2023</t>
        </is>
      </c>
      <c r="B8803" s="1" t="n">
        <v>45160</v>
      </c>
      <c r="C8803" s="1" t="n">
        <v>45715</v>
      </c>
      <c r="D8803" t="inlineStr">
        <is>
          <t>KALMAR LÄN</t>
        </is>
      </c>
      <c r="E8803" t="inlineStr">
        <is>
          <t>VÄSTERVIK</t>
        </is>
      </c>
      <c r="F8803" t="inlineStr">
        <is>
          <t>Sveaskog</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37986-2023</t>
        </is>
      </c>
      <c r="B8804" s="1" t="n">
        <v>45160</v>
      </c>
      <c r="C8804" s="1" t="n">
        <v>45715</v>
      </c>
      <c r="D8804" t="inlineStr">
        <is>
          <t>KALMAR LÄN</t>
        </is>
      </c>
      <c r="E8804" t="inlineStr">
        <is>
          <t>VÄSTERVIK</t>
        </is>
      </c>
      <c r="F8804" t="inlineStr">
        <is>
          <t>Sveaskog</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37991-2023</t>
        </is>
      </c>
      <c r="B8805" s="1" t="n">
        <v>45160</v>
      </c>
      <c r="C8805" s="1" t="n">
        <v>45715</v>
      </c>
      <c r="D8805" t="inlineStr">
        <is>
          <t>KALMAR LÄN</t>
        </is>
      </c>
      <c r="E8805" t="inlineStr">
        <is>
          <t>VÄSTERVIK</t>
        </is>
      </c>
      <c r="F8805" t="inlineStr">
        <is>
          <t>Sveaskog</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37996-2023</t>
        </is>
      </c>
      <c r="B8806" s="1" t="n">
        <v>45160</v>
      </c>
      <c r="C8806" s="1" t="n">
        <v>45715</v>
      </c>
      <c r="D8806" t="inlineStr">
        <is>
          <t>KALMAR LÄN</t>
        </is>
      </c>
      <c r="E8806" t="inlineStr">
        <is>
          <t>HULTSFRED</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38000-2023</t>
        </is>
      </c>
      <c r="B8807" s="1" t="n">
        <v>45160</v>
      </c>
      <c r="C8807" s="1" t="n">
        <v>45715</v>
      </c>
      <c r="D8807" t="inlineStr">
        <is>
          <t>KALMAR LÄN</t>
        </is>
      </c>
      <c r="E8807" t="inlineStr">
        <is>
          <t>HULTSFRED</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38047-2023</t>
        </is>
      </c>
      <c r="B8808" s="1" t="n">
        <v>45160</v>
      </c>
      <c r="C8808" s="1" t="n">
        <v>45715</v>
      </c>
      <c r="D8808" t="inlineStr">
        <is>
          <t>KALMAR LÄN</t>
        </is>
      </c>
      <c r="E8808" t="inlineStr">
        <is>
          <t>VÄSTERVIK</t>
        </is>
      </c>
      <c r="F8808" t="inlineStr">
        <is>
          <t>Sveaskog</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37987-2023</t>
        </is>
      </c>
      <c r="B8809" s="1" t="n">
        <v>45160</v>
      </c>
      <c r="C8809" s="1" t="n">
        <v>45715</v>
      </c>
      <c r="D8809" t="inlineStr">
        <is>
          <t>KALMAR LÄN</t>
        </is>
      </c>
      <c r="E8809" t="inlineStr">
        <is>
          <t>VÄSTERVIK</t>
        </is>
      </c>
      <c r="F8809" t="inlineStr">
        <is>
          <t>Sveaskog</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37997-2023</t>
        </is>
      </c>
      <c r="B8810" s="1" t="n">
        <v>45160</v>
      </c>
      <c r="C8810" s="1" t="n">
        <v>45715</v>
      </c>
      <c r="D8810" t="inlineStr">
        <is>
          <t>KALMAR LÄN</t>
        </is>
      </c>
      <c r="E8810" t="inlineStr">
        <is>
          <t>VÄSTERVIK</t>
        </is>
      </c>
      <c r="F8810" t="inlineStr">
        <is>
          <t>Sveaskog</t>
        </is>
      </c>
      <c r="G8810" t="n">
        <v>8</v>
      </c>
      <c r="H8810" t="n">
        <v>0</v>
      </c>
      <c r="I8810" t="n">
        <v>0</v>
      </c>
      <c r="J8810" t="n">
        <v>0</v>
      </c>
      <c r="K8810" t="n">
        <v>0</v>
      </c>
      <c r="L8810" t="n">
        <v>0</v>
      </c>
      <c r="M8810" t="n">
        <v>0</v>
      </c>
      <c r="N8810" t="n">
        <v>0</v>
      </c>
      <c r="O8810" t="n">
        <v>0</v>
      </c>
      <c r="P8810" t="n">
        <v>0</v>
      </c>
      <c r="Q8810" t="n">
        <v>0</v>
      </c>
      <c r="R8810" s="2" t="inlineStr"/>
    </row>
    <row r="8811" ht="15" customHeight="1">
      <c r="A8811" t="inlineStr">
        <is>
          <t>A 38254-2023</t>
        </is>
      </c>
      <c r="B8811" s="1" t="n">
        <v>45160</v>
      </c>
      <c r="C8811" s="1" t="n">
        <v>45715</v>
      </c>
      <c r="D8811" t="inlineStr">
        <is>
          <t>KALMAR LÄN</t>
        </is>
      </c>
      <c r="E8811" t="inlineStr">
        <is>
          <t>VIMMERBY</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37926-2023</t>
        </is>
      </c>
      <c r="B8812" s="1" t="n">
        <v>45160</v>
      </c>
      <c r="C8812" s="1" t="n">
        <v>45715</v>
      </c>
      <c r="D8812" t="inlineStr">
        <is>
          <t>KALMAR LÄN</t>
        </is>
      </c>
      <c r="E8812" t="inlineStr">
        <is>
          <t>MÖNSTERÅS</t>
        </is>
      </c>
      <c r="G8812" t="n">
        <v>5.3</v>
      </c>
      <c r="H8812" t="n">
        <v>0</v>
      </c>
      <c r="I8812" t="n">
        <v>0</v>
      </c>
      <c r="J8812" t="n">
        <v>0</v>
      </c>
      <c r="K8812" t="n">
        <v>0</v>
      </c>
      <c r="L8812" t="n">
        <v>0</v>
      </c>
      <c r="M8812" t="n">
        <v>0</v>
      </c>
      <c r="N8812" t="n">
        <v>0</v>
      </c>
      <c r="O8812" t="n">
        <v>0</v>
      </c>
      <c r="P8812" t="n">
        <v>0</v>
      </c>
      <c r="Q8812" t="n">
        <v>0</v>
      </c>
      <c r="R8812" s="2" t="inlineStr"/>
    </row>
    <row r="8813" ht="15" customHeight="1">
      <c r="A8813" t="inlineStr">
        <is>
          <t>A 37951-2023</t>
        </is>
      </c>
      <c r="B8813" s="1" t="n">
        <v>45160</v>
      </c>
      <c r="C8813" s="1" t="n">
        <v>45715</v>
      </c>
      <c r="D8813" t="inlineStr">
        <is>
          <t>KALMAR LÄN</t>
        </is>
      </c>
      <c r="E8813" t="inlineStr">
        <is>
          <t>MÖNSTERÅS</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37957-2023</t>
        </is>
      </c>
      <c r="B8814" s="1" t="n">
        <v>45160</v>
      </c>
      <c r="C8814" s="1" t="n">
        <v>45715</v>
      </c>
      <c r="D8814" t="inlineStr">
        <is>
          <t>KALMAR LÄN</t>
        </is>
      </c>
      <c r="E8814" t="inlineStr">
        <is>
          <t>VÄSTERVIK</t>
        </is>
      </c>
      <c r="F8814" t="inlineStr">
        <is>
          <t>Sveaskog</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37963-2023</t>
        </is>
      </c>
      <c r="B8815" s="1" t="n">
        <v>45160</v>
      </c>
      <c r="C8815" s="1" t="n">
        <v>45715</v>
      </c>
      <c r="D8815" t="inlineStr">
        <is>
          <t>KALMAR LÄN</t>
        </is>
      </c>
      <c r="E8815" t="inlineStr">
        <is>
          <t>VÄSTERVIK</t>
        </is>
      </c>
      <c r="F8815" t="inlineStr">
        <is>
          <t>Sveaskog</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37989-2023</t>
        </is>
      </c>
      <c r="B8816" s="1" t="n">
        <v>45160</v>
      </c>
      <c r="C8816" s="1" t="n">
        <v>45715</v>
      </c>
      <c r="D8816" t="inlineStr">
        <is>
          <t>KALMAR LÄN</t>
        </is>
      </c>
      <c r="E8816" t="inlineStr">
        <is>
          <t>VÄSTERVIK</t>
        </is>
      </c>
      <c r="F8816" t="inlineStr">
        <is>
          <t>Sveaskog</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37995-2023</t>
        </is>
      </c>
      <c r="B8817" s="1" t="n">
        <v>45160</v>
      </c>
      <c r="C8817" s="1" t="n">
        <v>45715</v>
      </c>
      <c r="D8817" t="inlineStr">
        <is>
          <t>KALMAR LÄN</t>
        </is>
      </c>
      <c r="E8817" t="inlineStr">
        <is>
          <t>VÄSTERVIK</t>
        </is>
      </c>
      <c r="F8817" t="inlineStr">
        <is>
          <t>Sveaskog</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38037-2023</t>
        </is>
      </c>
      <c r="B8818" s="1" t="n">
        <v>45160</v>
      </c>
      <c r="C8818" s="1" t="n">
        <v>45715</v>
      </c>
      <c r="D8818" t="inlineStr">
        <is>
          <t>KALMAR LÄN</t>
        </is>
      </c>
      <c r="E8818" t="inlineStr">
        <is>
          <t>VÄSTERVIK</t>
        </is>
      </c>
      <c r="F8818" t="inlineStr">
        <is>
          <t>Sveaskog</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38041-2023</t>
        </is>
      </c>
      <c r="B8819" s="1" t="n">
        <v>45160</v>
      </c>
      <c r="C8819" s="1" t="n">
        <v>45715</v>
      </c>
      <c r="D8819" t="inlineStr">
        <is>
          <t>KALMAR LÄN</t>
        </is>
      </c>
      <c r="E8819" t="inlineStr">
        <is>
          <t>VÄSTERVIK</t>
        </is>
      </c>
      <c r="F8819" t="inlineStr">
        <is>
          <t>Sveaskog</t>
        </is>
      </c>
      <c r="G8819" t="n">
        <v>5.1</v>
      </c>
      <c r="H8819" t="n">
        <v>0</v>
      </c>
      <c r="I8819" t="n">
        <v>0</v>
      </c>
      <c r="J8819" t="n">
        <v>0</v>
      </c>
      <c r="K8819" t="n">
        <v>0</v>
      </c>
      <c r="L8819" t="n">
        <v>0</v>
      </c>
      <c r="M8819" t="n">
        <v>0</v>
      </c>
      <c r="N8819" t="n">
        <v>0</v>
      </c>
      <c r="O8819" t="n">
        <v>0</v>
      </c>
      <c r="P8819" t="n">
        <v>0</v>
      </c>
      <c r="Q8819" t="n">
        <v>0</v>
      </c>
      <c r="R8819" s="2" t="inlineStr"/>
    </row>
    <row r="8820" ht="15" customHeight="1">
      <c r="A8820" t="inlineStr">
        <is>
          <t>A 38046-2023</t>
        </is>
      </c>
      <c r="B8820" s="1" t="n">
        <v>45160</v>
      </c>
      <c r="C8820" s="1" t="n">
        <v>45715</v>
      </c>
      <c r="D8820" t="inlineStr">
        <is>
          <t>KALMAR LÄN</t>
        </is>
      </c>
      <c r="E8820" t="inlineStr">
        <is>
          <t>VÄSTERVIK</t>
        </is>
      </c>
      <c r="F8820" t="inlineStr">
        <is>
          <t>Sveaskog</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38147-2023</t>
        </is>
      </c>
      <c r="B8821" s="1" t="n">
        <v>45160</v>
      </c>
      <c r="C8821" s="1" t="n">
        <v>45715</v>
      </c>
      <c r="D8821" t="inlineStr">
        <is>
          <t>KALMAR LÄN</t>
        </is>
      </c>
      <c r="E8821" t="inlineStr">
        <is>
          <t>HULTSFRED</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38285-2023</t>
        </is>
      </c>
      <c r="B8822" s="1" t="n">
        <v>45160</v>
      </c>
      <c r="C8822" s="1" t="n">
        <v>45715</v>
      </c>
      <c r="D8822" t="inlineStr">
        <is>
          <t>KALMAR LÄN</t>
        </is>
      </c>
      <c r="E8822" t="inlineStr">
        <is>
          <t>HÖGSBY</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38048-2023</t>
        </is>
      </c>
      <c r="B8823" s="1" t="n">
        <v>45160</v>
      </c>
      <c r="C8823" s="1" t="n">
        <v>45715</v>
      </c>
      <c r="D8823" t="inlineStr">
        <is>
          <t>KALMAR LÄN</t>
        </is>
      </c>
      <c r="E8823" t="inlineStr">
        <is>
          <t>VÄSTERVIK</t>
        </is>
      </c>
      <c r="F8823" t="inlineStr">
        <is>
          <t>Sveaskog</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38261-2023</t>
        </is>
      </c>
      <c r="B8824" s="1" t="n">
        <v>45160</v>
      </c>
      <c r="C8824" s="1" t="n">
        <v>45715</v>
      </c>
      <c r="D8824" t="inlineStr">
        <is>
          <t>KALMAR LÄN</t>
        </is>
      </c>
      <c r="E8824" t="inlineStr">
        <is>
          <t>VIMMERBY</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38115-2023</t>
        </is>
      </c>
      <c r="B8825" s="1" t="n">
        <v>45161</v>
      </c>
      <c r="C8825" s="1" t="n">
        <v>45715</v>
      </c>
      <c r="D8825" t="inlineStr">
        <is>
          <t>KALMAR LÄN</t>
        </is>
      </c>
      <c r="E8825" t="inlineStr">
        <is>
          <t>EMMABODA</t>
        </is>
      </c>
      <c r="F8825" t="inlineStr">
        <is>
          <t>Kommuner</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38123-2023</t>
        </is>
      </c>
      <c r="B8826" s="1" t="n">
        <v>45161</v>
      </c>
      <c r="C8826" s="1" t="n">
        <v>45715</v>
      </c>
      <c r="D8826" t="inlineStr">
        <is>
          <t>KALMAR LÄN</t>
        </is>
      </c>
      <c r="E8826" t="inlineStr">
        <is>
          <t>EMMABODA</t>
        </is>
      </c>
      <c r="F8826" t="inlineStr">
        <is>
          <t>Kommuner</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38149-2023</t>
        </is>
      </c>
      <c r="B8827" s="1" t="n">
        <v>45161</v>
      </c>
      <c r="C8827" s="1" t="n">
        <v>45715</v>
      </c>
      <c r="D8827" t="inlineStr">
        <is>
          <t>KALMAR LÄN</t>
        </is>
      </c>
      <c r="E8827" t="inlineStr">
        <is>
          <t>TORSÅS</t>
        </is>
      </c>
      <c r="G8827" t="n">
        <v>5.4</v>
      </c>
      <c r="H8827" t="n">
        <v>0</v>
      </c>
      <c r="I8827" t="n">
        <v>0</v>
      </c>
      <c r="J8827" t="n">
        <v>0</v>
      </c>
      <c r="K8827" t="n">
        <v>0</v>
      </c>
      <c r="L8827" t="n">
        <v>0</v>
      </c>
      <c r="M8827" t="n">
        <v>0</v>
      </c>
      <c r="N8827" t="n">
        <v>0</v>
      </c>
      <c r="O8827" t="n">
        <v>0</v>
      </c>
      <c r="P8827" t="n">
        <v>0</v>
      </c>
      <c r="Q8827" t="n">
        <v>0</v>
      </c>
      <c r="R8827" s="2" t="inlineStr"/>
    </row>
    <row r="8828" ht="15" customHeight="1">
      <c r="A8828" t="inlineStr">
        <is>
          <t>A 38174-2023</t>
        </is>
      </c>
      <c r="B8828" s="1" t="n">
        <v>45161</v>
      </c>
      <c r="C8828" s="1" t="n">
        <v>45715</v>
      </c>
      <c r="D8828" t="inlineStr">
        <is>
          <t>KALMAR LÄN</t>
        </is>
      </c>
      <c r="E8828" t="inlineStr">
        <is>
          <t>VÄSTERVIK</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38124-2023</t>
        </is>
      </c>
      <c r="B8829" s="1" t="n">
        <v>45161</v>
      </c>
      <c r="C8829" s="1" t="n">
        <v>45715</v>
      </c>
      <c r="D8829" t="inlineStr">
        <is>
          <t>KALMAR LÄN</t>
        </is>
      </c>
      <c r="E8829" t="inlineStr">
        <is>
          <t>EMMABODA</t>
        </is>
      </c>
      <c r="F8829" t="inlineStr">
        <is>
          <t>Kommuner</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38247-2023</t>
        </is>
      </c>
      <c r="B8830" s="1" t="n">
        <v>45161</v>
      </c>
      <c r="C8830" s="1" t="n">
        <v>45715</v>
      </c>
      <c r="D8830" t="inlineStr">
        <is>
          <t>KALMAR LÄN</t>
        </is>
      </c>
      <c r="E8830" t="inlineStr">
        <is>
          <t>KALMAR</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38207-2023</t>
        </is>
      </c>
      <c r="B8831" s="1" t="n">
        <v>45161</v>
      </c>
      <c r="C8831" s="1" t="n">
        <v>45715</v>
      </c>
      <c r="D8831" t="inlineStr">
        <is>
          <t>KALMAR LÄN</t>
        </is>
      </c>
      <c r="E8831" t="inlineStr">
        <is>
          <t>HULTSFRED</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38245-2023</t>
        </is>
      </c>
      <c r="B8832" s="1" t="n">
        <v>45161</v>
      </c>
      <c r="C8832" s="1" t="n">
        <v>45715</v>
      </c>
      <c r="D8832" t="inlineStr">
        <is>
          <t>KALMAR LÄN</t>
        </is>
      </c>
      <c r="E8832" t="inlineStr">
        <is>
          <t>MÖNSTERÅS</t>
        </is>
      </c>
      <c r="G8832" t="n">
        <v>6.6</v>
      </c>
      <c r="H8832" t="n">
        <v>0</v>
      </c>
      <c r="I8832" t="n">
        <v>0</v>
      </c>
      <c r="J8832" t="n">
        <v>0</v>
      </c>
      <c r="K8832" t="n">
        <v>0</v>
      </c>
      <c r="L8832" t="n">
        <v>0</v>
      </c>
      <c r="M8832" t="n">
        <v>0</v>
      </c>
      <c r="N8832" t="n">
        <v>0</v>
      </c>
      <c r="O8832" t="n">
        <v>0</v>
      </c>
      <c r="P8832" t="n">
        <v>0</v>
      </c>
      <c r="Q8832" t="n">
        <v>0</v>
      </c>
      <c r="R8832" s="2" t="inlineStr"/>
    </row>
    <row r="8833" ht="15" customHeight="1">
      <c r="A8833" t="inlineStr">
        <is>
          <t>A 38354-2023</t>
        </is>
      </c>
      <c r="B8833" s="1" t="n">
        <v>45162</v>
      </c>
      <c r="C8833" s="1" t="n">
        <v>45715</v>
      </c>
      <c r="D8833" t="inlineStr">
        <is>
          <t>KALMAR LÄN</t>
        </is>
      </c>
      <c r="E8833" t="inlineStr">
        <is>
          <t>EMMABODA</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38114-2023</t>
        </is>
      </c>
      <c r="B8834" s="1" t="n">
        <v>45161</v>
      </c>
      <c r="C8834" s="1" t="n">
        <v>45715</v>
      </c>
      <c r="D8834" t="inlineStr">
        <is>
          <t>KALMAR LÄN</t>
        </is>
      </c>
      <c r="E8834" t="inlineStr">
        <is>
          <t>TORSÅS</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38118-2023</t>
        </is>
      </c>
      <c r="B8835" s="1" t="n">
        <v>45161</v>
      </c>
      <c r="C8835" s="1" t="n">
        <v>45715</v>
      </c>
      <c r="D8835" t="inlineStr">
        <is>
          <t>KALMAR LÄN</t>
        </is>
      </c>
      <c r="E8835" t="inlineStr">
        <is>
          <t>TORSÅS</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38193-2023</t>
        </is>
      </c>
      <c r="B8836" s="1" t="n">
        <v>45161</v>
      </c>
      <c r="C8836" s="1" t="n">
        <v>45715</v>
      </c>
      <c r="D8836" t="inlineStr">
        <is>
          <t>KALMAR LÄN</t>
        </is>
      </c>
      <c r="E8836" t="inlineStr">
        <is>
          <t>HULTSFRED</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38244-2023</t>
        </is>
      </c>
      <c r="B8837" s="1" t="n">
        <v>45161</v>
      </c>
      <c r="C8837" s="1" t="n">
        <v>45715</v>
      </c>
      <c r="D8837" t="inlineStr">
        <is>
          <t>KALMAR LÄN</t>
        </is>
      </c>
      <c r="E8837" t="inlineStr">
        <is>
          <t>KALMAR</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38113-2023</t>
        </is>
      </c>
      <c r="B8838" s="1" t="n">
        <v>45161</v>
      </c>
      <c r="C8838" s="1" t="n">
        <v>45715</v>
      </c>
      <c r="D8838" t="inlineStr">
        <is>
          <t>KALMAR LÄN</t>
        </is>
      </c>
      <c r="E8838" t="inlineStr">
        <is>
          <t>EMMABODA</t>
        </is>
      </c>
      <c r="F8838" t="inlineStr">
        <is>
          <t>Kommuner</t>
        </is>
      </c>
      <c r="G8838" t="n">
        <v>5</v>
      </c>
      <c r="H8838" t="n">
        <v>0</v>
      </c>
      <c r="I8838" t="n">
        <v>0</v>
      </c>
      <c r="J8838" t="n">
        <v>0</v>
      </c>
      <c r="K8838" t="n">
        <v>0</v>
      </c>
      <c r="L8838" t="n">
        <v>0</v>
      </c>
      <c r="M8838" t="n">
        <v>0</v>
      </c>
      <c r="N8838" t="n">
        <v>0</v>
      </c>
      <c r="O8838" t="n">
        <v>0</v>
      </c>
      <c r="P8838" t="n">
        <v>0</v>
      </c>
      <c r="Q8838" t="n">
        <v>0</v>
      </c>
      <c r="R8838" s="2" t="inlineStr"/>
    </row>
    <row r="8839" ht="15" customHeight="1">
      <c r="A8839" t="inlineStr">
        <is>
          <t>A 38274-2023</t>
        </is>
      </c>
      <c r="B8839" s="1" t="n">
        <v>45161</v>
      </c>
      <c r="C8839" s="1" t="n">
        <v>45715</v>
      </c>
      <c r="D8839" t="inlineStr">
        <is>
          <t>KALMAR LÄN</t>
        </is>
      </c>
      <c r="E8839" t="inlineStr">
        <is>
          <t>VIMMERBY</t>
        </is>
      </c>
      <c r="G8839" t="n">
        <v>9.199999999999999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38348-2023</t>
        </is>
      </c>
      <c r="B8840" s="1" t="n">
        <v>45161</v>
      </c>
      <c r="C8840" s="1" t="n">
        <v>45715</v>
      </c>
      <c r="D8840" t="inlineStr">
        <is>
          <t>KALMAR LÄN</t>
        </is>
      </c>
      <c r="E8840" t="inlineStr">
        <is>
          <t>EMMABODA</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38516-2023</t>
        </is>
      </c>
      <c r="B8841" s="1" t="n">
        <v>45162</v>
      </c>
      <c r="C8841" s="1" t="n">
        <v>45715</v>
      </c>
      <c r="D8841" t="inlineStr">
        <is>
          <t>KALMAR LÄN</t>
        </is>
      </c>
      <c r="E8841" t="inlineStr">
        <is>
          <t>HÖGSBY</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38520-2023</t>
        </is>
      </c>
      <c r="B8842" s="1" t="n">
        <v>45162</v>
      </c>
      <c r="C8842" s="1" t="n">
        <v>45715</v>
      </c>
      <c r="D8842" t="inlineStr">
        <is>
          <t>KALMAR LÄN</t>
        </is>
      </c>
      <c r="E8842" t="inlineStr">
        <is>
          <t>HÖGSBY</t>
        </is>
      </c>
      <c r="G8842" t="n">
        <v>5.9</v>
      </c>
      <c r="H8842" t="n">
        <v>0</v>
      </c>
      <c r="I8842" t="n">
        <v>0</v>
      </c>
      <c r="J8842" t="n">
        <v>0</v>
      </c>
      <c r="K8842" t="n">
        <v>0</v>
      </c>
      <c r="L8842" t="n">
        <v>0</v>
      </c>
      <c r="M8842" t="n">
        <v>0</v>
      </c>
      <c r="N8842" t="n">
        <v>0</v>
      </c>
      <c r="O8842" t="n">
        <v>0</v>
      </c>
      <c r="P8842" t="n">
        <v>0</v>
      </c>
      <c r="Q8842" t="n">
        <v>0</v>
      </c>
      <c r="R8842" s="2" t="inlineStr"/>
    </row>
    <row r="8843" ht="15" customHeight="1">
      <c r="A8843" t="inlineStr">
        <is>
          <t>A 38419-2023</t>
        </is>
      </c>
      <c r="B8843" s="1" t="n">
        <v>45162</v>
      </c>
      <c r="C8843" s="1" t="n">
        <v>45715</v>
      </c>
      <c r="D8843" t="inlineStr">
        <is>
          <t>KALMAR LÄN</t>
        </is>
      </c>
      <c r="E8843" t="inlineStr">
        <is>
          <t>NYBRO</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38433-2023</t>
        </is>
      </c>
      <c r="B8844" s="1" t="n">
        <v>45162</v>
      </c>
      <c r="C8844" s="1" t="n">
        <v>45715</v>
      </c>
      <c r="D8844" t="inlineStr">
        <is>
          <t>KALMAR LÄN</t>
        </is>
      </c>
      <c r="E8844" t="inlineStr">
        <is>
          <t>HÖGSBY</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38471-2023</t>
        </is>
      </c>
      <c r="B8845" s="1" t="n">
        <v>45162</v>
      </c>
      <c r="C8845" s="1" t="n">
        <v>45715</v>
      </c>
      <c r="D8845" t="inlineStr">
        <is>
          <t>KALMAR LÄN</t>
        </is>
      </c>
      <c r="E8845" t="inlineStr">
        <is>
          <t>MÖNSTERÅS</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38510-2023</t>
        </is>
      </c>
      <c r="B8846" s="1" t="n">
        <v>45162</v>
      </c>
      <c r="C8846" s="1" t="n">
        <v>45715</v>
      </c>
      <c r="D8846" t="inlineStr">
        <is>
          <t>KALMAR LÄN</t>
        </is>
      </c>
      <c r="E8846" t="inlineStr">
        <is>
          <t>HÖGSBY</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38515-2023</t>
        </is>
      </c>
      <c r="B8847" s="1" t="n">
        <v>45162</v>
      </c>
      <c r="C8847" s="1" t="n">
        <v>45715</v>
      </c>
      <c r="D8847" t="inlineStr">
        <is>
          <t>KALMAR LÄN</t>
        </is>
      </c>
      <c r="E8847" t="inlineStr">
        <is>
          <t>HÖGSBY</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38623-2023</t>
        </is>
      </c>
      <c r="B8848" s="1" t="n">
        <v>45162</v>
      </c>
      <c r="C8848" s="1" t="n">
        <v>45715</v>
      </c>
      <c r="D8848" t="inlineStr">
        <is>
          <t>KALMAR LÄN</t>
        </is>
      </c>
      <c r="E8848" t="inlineStr">
        <is>
          <t>NYBRO</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38827-2023</t>
        </is>
      </c>
      <c r="B8849" s="1" t="n">
        <v>45163</v>
      </c>
      <c r="C8849" s="1" t="n">
        <v>45715</v>
      </c>
      <c r="D8849" t="inlineStr">
        <is>
          <t>KALMAR LÄN</t>
        </is>
      </c>
      <c r="E8849" t="inlineStr">
        <is>
          <t>TORSÅS</t>
        </is>
      </c>
      <c r="G8849" t="n">
        <v>4.8</v>
      </c>
      <c r="H8849" t="n">
        <v>0</v>
      </c>
      <c r="I8849" t="n">
        <v>0</v>
      </c>
      <c r="J8849" t="n">
        <v>0</v>
      </c>
      <c r="K8849" t="n">
        <v>0</v>
      </c>
      <c r="L8849" t="n">
        <v>0</v>
      </c>
      <c r="M8849" t="n">
        <v>0</v>
      </c>
      <c r="N8849" t="n">
        <v>0</v>
      </c>
      <c r="O8849" t="n">
        <v>0</v>
      </c>
      <c r="P8849" t="n">
        <v>0</v>
      </c>
      <c r="Q8849" t="n">
        <v>0</v>
      </c>
      <c r="R8849" s="2" t="inlineStr"/>
    </row>
    <row r="8850" ht="15" customHeight="1">
      <c r="A8850" t="inlineStr">
        <is>
          <t>A 38969-2023</t>
        </is>
      </c>
      <c r="B8850" s="1" t="n">
        <v>45163</v>
      </c>
      <c r="C8850" s="1" t="n">
        <v>45715</v>
      </c>
      <c r="D8850" t="inlineStr">
        <is>
          <t>KALMAR LÄN</t>
        </is>
      </c>
      <c r="E8850" t="inlineStr">
        <is>
          <t>VIMMERBY</t>
        </is>
      </c>
      <c r="F8850" t="inlineStr">
        <is>
          <t>Sveaskog</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38993-2023</t>
        </is>
      </c>
      <c r="B8851" s="1" t="n">
        <v>45163</v>
      </c>
      <c r="C8851" s="1" t="n">
        <v>45715</v>
      </c>
      <c r="D8851" t="inlineStr">
        <is>
          <t>KALMAR LÄN</t>
        </is>
      </c>
      <c r="E8851" t="inlineStr">
        <is>
          <t>VIMMERBY</t>
        </is>
      </c>
      <c r="F8851" t="inlineStr">
        <is>
          <t>Sveaskog</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38834-2023</t>
        </is>
      </c>
      <c r="B8852" s="1" t="n">
        <v>45163</v>
      </c>
      <c r="C8852" s="1" t="n">
        <v>45715</v>
      </c>
      <c r="D8852" t="inlineStr">
        <is>
          <t>KALMAR LÄN</t>
        </is>
      </c>
      <c r="E8852" t="inlineStr">
        <is>
          <t>NYBRO</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38847-2023</t>
        </is>
      </c>
      <c r="B8853" s="1" t="n">
        <v>45163</v>
      </c>
      <c r="C8853" s="1" t="n">
        <v>45715</v>
      </c>
      <c r="D8853" t="inlineStr">
        <is>
          <t>KALMAR LÄN</t>
        </is>
      </c>
      <c r="E8853" t="inlineStr">
        <is>
          <t>TORSÅS</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38851-2023</t>
        </is>
      </c>
      <c r="B8854" s="1" t="n">
        <v>45163</v>
      </c>
      <c r="C8854" s="1" t="n">
        <v>45715</v>
      </c>
      <c r="D8854" t="inlineStr">
        <is>
          <t>KALMAR LÄN</t>
        </is>
      </c>
      <c r="E8854" t="inlineStr">
        <is>
          <t>VIMMERBY</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38850-2023</t>
        </is>
      </c>
      <c r="B8855" s="1" t="n">
        <v>45163</v>
      </c>
      <c r="C8855" s="1" t="n">
        <v>45715</v>
      </c>
      <c r="D8855" t="inlineStr">
        <is>
          <t>KALMAR LÄN</t>
        </is>
      </c>
      <c r="E8855" t="inlineStr">
        <is>
          <t>TORSÅS</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38729-2023</t>
        </is>
      </c>
      <c r="B8856" s="1" t="n">
        <v>45163</v>
      </c>
      <c r="C8856" s="1" t="n">
        <v>45715</v>
      </c>
      <c r="D8856" t="inlineStr">
        <is>
          <t>KALMAR LÄN</t>
        </is>
      </c>
      <c r="E8856" t="inlineStr">
        <is>
          <t>KALMAR</t>
        </is>
      </c>
      <c r="G8856" t="n">
        <v>1</v>
      </c>
      <c r="H8856" t="n">
        <v>0</v>
      </c>
      <c r="I8856" t="n">
        <v>0</v>
      </c>
      <c r="J8856" t="n">
        <v>0</v>
      </c>
      <c r="K8856" t="n">
        <v>0</v>
      </c>
      <c r="L8856" t="n">
        <v>0</v>
      </c>
      <c r="M8856" t="n">
        <v>0</v>
      </c>
      <c r="N8856" t="n">
        <v>0</v>
      </c>
      <c r="O8856" t="n">
        <v>0</v>
      </c>
      <c r="P8856" t="n">
        <v>0</v>
      </c>
      <c r="Q8856" t="n">
        <v>0</v>
      </c>
      <c r="R8856" s="2" t="inlineStr"/>
      <c r="U8856">
        <f>HYPERLINK("https://klasma.github.io/Logging_0880/knärot/A 38729-2023 karta knärot.png", "A 38729-2023")</f>
        <v/>
      </c>
      <c r="V8856">
        <f>HYPERLINK("https://klasma.github.io/Logging_0880/klagomål/A 38729-2023 FSC-klagomål.docx", "A 38729-2023")</f>
        <v/>
      </c>
      <c r="W8856">
        <f>HYPERLINK("https://klasma.github.io/Logging_0880/klagomålsmail/A 38729-2023 FSC-klagomål mail.docx", "A 38729-2023")</f>
        <v/>
      </c>
      <c r="X8856">
        <f>HYPERLINK("https://klasma.github.io/Logging_0880/tillsyn/A 38729-2023 tillsynsbegäran.docx", "A 38729-2023")</f>
        <v/>
      </c>
      <c r="Y8856">
        <f>HYPERLINK("https://klasma.github.io/Logging_0880/tillsynsmail/A 38729-2023 tillsynsbegäran mail.docx", "A 38729-2023")</f>
        <v/>
      </c>
    </row>
    <row r="8857" ht="15" customHeight="1">
      <c r="A8857" t="inlineStr">
        <is>
          <t>A 38897-2023</t>
        </is>
      </c>
      <c r="B8857" s="1" t="n">
        <v>45163</v>
      </c>
      <c r="C8857" s="1" t="n">
        <v>45715</v>
      </c>
      <c r="D8857" t="inlineStr">
        <is>
          <t>KALMAR LÄN</t>
        </is>
      </c>
      <c r="E8857" t="inlineStr">
        <is>
          <t>MÖNSTERÅS</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38927-2023</t>
        </is>
      </c>
      <c r="B8858" s="1" t="n">
        <v>45163</v>
      </c>
      <c r="C8858" s="1" t="n">
        <v>45715</v>
      </c>
      <c r="D8858" t="inlineStr">
        <is>
          <t>KALMAR LÄN</t>
        </is>
      </c>
      <c r="E8858" t="inlineStr">
        <is>
          <t>NYBRO</t>
        </is>
      </c>
      <c r="F8858" t="inlineStr">
        <is>
          <t>Sveaskog</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38928-2023</t>
        </is>
      </c>
      <c r="B8859" s="1" t="n">
        <v>45163</v>
      </c>
      <c r="C8859" s="1" t="n">
        <v>45715</v>
      </c>
      <c r="D8859" t="inlineStr">
        <is>
          <t>KALMAR LÄN</t>
        </is>
      </c>
      <c r="E8859" t="inlineStr">
        <is>
          <t>NYBRO</t>
        </is>
      </c>
      <c r="F8859" t="inlineStr">
        <is>
          <t>Sveaskog</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38995-2023</t>
        </is>
      </c>
      <c r="B8860" s="1" t="n">
        <v>45163</v>
      </c>
      <c r="C8860" s="1" t="n">
        <v>45715</v>
      </c>
      <c r="D8860" t="inlineStr">
        <is>
          <t>KALMAR LÄN</t>
        </is>
      </c>
      <c r="E8860" t="inlineStr">
        <is>
          <t>VIMMERBY</t>
        </is>
      </c>
      <c r="F8860" t="inlineStr">
        <is>
          <t>Sveaskog</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38844-2023</t>
        </is>
      </c>
      <c r="B8861" s="1" t="n">
        <v>45163</v>
      </c>
      <c r="C8861" s="1" t="n">
        <v>45715</v>
      </c>
      <c r="D8861" t="inlineStr">
        <is>
          <t>KALMAR LÄN</t>
        </is>
      </c>
      <c r="E8861" t="inlineStr">
        <is>
          <t>NYBRO</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38862-2023</t>
        </is>
      </c>
      <c r="B8862" s="1" t="n">
        <v>45163</v>
      </c>
      <c r="C8862" s="1" t="n">
        <v>45715</v>
      </c>
      <c r="D8862" t="inlineStr">
        <is>
          <t>KALMAR LÄN</t>
        </is>
      </c>
      <c r="E8862" t="inlineStr">
        <is>
          <t>OSKARSHAMN</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38902-2023</t>
        </is>
      </c>
      <c r="B8863" s="1" t="n">
        <v>45163</v>
      </c>
      <c r="C8863" s="1" t="n">
        <v>45715</v>
      </c>
      <c r="D8863" t="inlineStr">
        <is>
          <t>KALMAR LÄN</t>
        </is>
      </c>
      <c r="E8863" t="inlineStr">
        <is>
          <t>MÖNSTERÅS</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38727-2023</t>
        </is>
      </c>
      <c r="B8864" s="1" t="n">
        <v>45163</v>
      </c>
      <c r="C8864" s="1" t="n">
        <v>45715</v>
      </c>
      <c r="D8864" t="inlineStr">
        <is>
          <t>KALMAR LÄN</t>
        </is>
      </c>
      <c r="E8864" t="inlineStr">
        <is>
          <t>KALMAR</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38779-2023</t>
        </is>
      </c>
      <c r="B8865" s="1" t="n">
        <v>45163</v>
      </c>
      <c r="C8865" s="1" t="n">
        <v>45715</v>
      </c>
      <c r="D8865" t="inlineStr">
        <is>
          <t>KALMAR LÄN</t>
        </is>
      </c>
      <c r="E8865" t="inlineStr">
        <is>
          <t>VIMMERBY</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38757-2023</t>
        </is>
      </c>
      <c r="B8866" s="1" t="n">
        <v>45163</v>
      </c>
      <c r="C8866" s="1" t="n">
        <v>45715</v>
      </c>
      <c r="D8866" t="inlineStr">
        <is>
          <t>KALMAR LÄN</t>
        </is>
      </c>
      <c r="E8866" t="inlineStr">
        <is>
          <t>VIMMERBY</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38789-2023</t>
        </is>
      </c>
      <c r="B8867" s="1" t="n">
        <v>45163</v>
      </c>
      <c r="C8867" s="1" t="n">
        <v>45715</v>
      </c>
      <c r="D8867" t="inlineStr">
        <is>
          <t>KALMAR LÄN</t>
        </is>
      </c>
      <c r="E8867" t="inlineStr">
        <is>
          <t>HÖGSBY</t>
        </is>
      </c>
      <c r="G8867" t="n">
        <v>7.3</v>
      </c>
      <c r="H8867" t="n">
        <v>0</v>
      </c>
      <c r="I8867" t="n">
        <v>0</v>
      </c>
      <c r="J8867" t="n">
        <v>0</v>
      </c>
      <c r="K8867" t="n">
        <v>0</v>
      </c>
      <c r="L8867" t="n">
        <v>0</v>
      </c>
      <c r="M8867" t="n">
        <v>0</v>
      </c>
      <c r="N8867" t="n">
        <v>0</v>
      </c>
      <c r="O8867" t="n">
        <v>0</v>
      </c>
      <c r="P8867" t="n">
        <v>0</v>
      </c>
      <c r="Q8867" t="n">
        <v>0</v>
      </c>
      <c r="R8867" s="2" t="inlineStr"/>
    </row>
    <row r="8868" ht="15" customHeight="1">
      <c r="A8868" t="inlineStr">
        <is>
          <t>A 38799-2023</t>
        </is>
      </c>
      <c r="B8868" s="1" t="n">
        <v>45163</v>
      </c>
      <c r="C8868" s="1" t="n">
        <v>45715</v>
      </c>
      <c r="D8868" t="inlineStr">
        <is>
          <t>KALMAR LÄN</t>
        </is>
      </c>
      <c r="E8868" t="inlineStr">
        <is>
          <t>VIMMERBY</t>
        </is>
      </c>
      <c r="G8868" t="n">
        <v>4.9</v>
      </c>
      <c r="H8868" t="n">
        <v>0</v>
      </c>
      <c r="I8868" t="n">
        <v>0</v>
      </c>
      <c r="J8868" t="n">
        <v>0</v>
      </c>
      <c r="K8868" t="n">
        <v>0</v>
      </c>
      <c r="L8868" t="n">
        <v>0</v>
      </c>
      <c r="M8868" t="n">
        <v>0</v>
      </c>
      <c r="N8868" t="n">
        <v>0</v>
      </c>
      <c r="O8868" t="n">
        <v>0</v>
      </c>
      <c r="P8868" t="n">
        <v>0</v>
      </c>
      <c r="Q8868" t="n">
        <v>0</v>
      </c>
      <c r="R8868" s="2" t="inlineStr"/>
    </row>
    <row r="8869" ht="15" customHeight="1">
      <c r="A8869" t="inlineStr">
        <is>
          <t>A 38803-2023</t>
        </is>
      </c>
      <c r="B8869" s="1" t="n">
        <v>45163</v>
      </c>
      <c r="C8869" s="1" t="n">
        <v>45715</v>
      </c>
      <c r="D8869" t="inlineStr">
        <is>
          <t>KALMAR LÄN</t>
        </is>
      </c>
      <c r="E8869" t="inlineStr">
        <is>
          <t>VIMMERBY</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39088-2023</t>
        </is>
      </c>
      <c r="B8870" s="1" t="n">
        <v>45164</v>
      </c>
      <c r="C8870" s="1" t="n">
        <v>45715</v>
      </c>
      <c r="D8870" t="inlineStr">
        <is>
          <t>KALMAR LÄN</t>
        </is>
      </c>
      <c r="E8870" t="inlineStr">
        <is>
          <t>OSKARSHAMN</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39100-2023</t>
        </is>
      </c>
      <c r="B8871" s="1" t="n">
        <v>45164</v>
      </c>
      <c r="C8871" s="1" t="n">
        <v>45715</v>
      </c>
      <c r="D8871" t="inlineStr">
        <is>
          <t>KALMAR LÄN</t>
        </is>
      </c>
      <c r="E8871" t="inlineStr">
        <is>
          <t>EMMABODA</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39101-2023</t>
        </is>
      </c>
      <c r="B8872" s="1" t="n">
        <v>45164</v>
      </c>
      <c r="C8872" s="1" t="n">
        <v>45715</v>
      </c>
      <c r="D8872" t="inlineStr">
        <is>
          <t>KALMAR LÄN</t>
        </is>
      </c>
      <c r="E8872" t="inlineStr">
        <is>
          <t>EMMABODA</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39113-2023</t>
        </is>
      </c>
      <c r="B8873" s="1" t="n">
        <v>45165</v>
      </c>
      <c r="C8873" s="1" t="n">
        <v>45715</v>
      </c>
      <c r="D8873" t="inlineStr">
        <is>
          <t>KALMAR LÄN</t>
        </is>
      </c>
      <c r="E8873" t="inlineStr">
        <is>
          <t>KALMAR</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39129-2023</t>
        </is>
      </c>
      <c r="B8874" s="1" t="n">
        <v>45165</v>
      </c>
      <c r="C8874" s="1" t="n">
        <v>45715</v>
      </c>
      <c r="D8874" t="inlineStr">
        <is>
          <t>KALMAR LÄN</t>
        </is>
      </c>
      <c r="E8874" t="inlineStr">
        <is>
          <t>VIMMERBY</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39114-2023</t>
        </is>
      </c>
      <c r="B8875" s="1" t="n">
        <v>45165</v>
      </c>
      <c r="C8875" s="1" t="n">
        <v>45715</v>
      </c>
      <c r="D8875" t="inlineStr">
        <is>
          <t>KALMAR LÄN</t>
        </is>
      </c>
      <c r="E8875" t="inlineStr">
        <is>
          <t>BORGHOLM</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39170-2023</t>
        </is>
      </c>
      <c r="B8876" s="1" t="n">
        <v>45166</v>
      </c>
      <c r="C8876" s="1" t="n">
        <v>45715</v>
      </c>
      <c r="D8876" t="inlineStr">
        <is>
          <t>KALMAR LÄN</t>
        </is>
      </c>
      <c r="E8876" t="inlineStr">
        <is>
          <t>NYBRO</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39217-2023</t>
        </is>
      </c>
      <c r="B8877" s="1" t="n">
        <v>45166</v>
      </c>
      <c r="C8877" s="1" t="n">
        <v>45715</v>
      </c>
      <c r="D8877" t="inlineStr">
        <is>
          <t>KALMAR LÄN</t>
        </is>
      </c>
      <c r="E8877" t="inlineStr">
        <is>
          <t>EMMABODA</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39299-2023</t>
        </is>
      </c>
      <c r="B8878" s="1" t="n">
        <v>45166</v>
      </c>
      <c r="C8878" s="1" t="n">
        <v>45715</v>
      </c>
      <c r="D8878" t="inlineStr">
        <is>
          <t>KALMAR LÄN</t>
        </is>
      </c>
      <c r="E8878" t="inlineStr">
        <is>
          <t>VÄSTERVIK</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39373-2023</t>
        </is>
      </c>
      <c r="B8879" s="1" t="n">
        <v>45166</v>
      </c>
      <c r="C8879" s="1" t="n">
        <v>45715</v>
      </c>
      <c r="D8879" t="inlineStr">
        <is>
          <t>KALMAR LÄN</t>
        </is>
      </c>
      <c r="E8879" t="inlineStr">
        <is>
          <t>NYBRO</t>
        </is>
      </c>
      <c r="G8879" t="n">
        <v>6.2</v>
      </c>
      <c r="H8879" t="n">
        <v>0</v>
      </c>
      <c r="I8879" t="n">
        <v>0</v>
      </c>
      <c r="J8879" t="n">
        <v>0</v>
      </c>
      <c r="K8879" t="n">
        <v>0</v>
      </c>
      <c r="L8879" t="n">
        <v>0</v>
      </c>
      <c r="M8879" t="n">
        <v>0</v>
      </c>
      <c r="N8879" t="n">
        <v>0</v>
      </c>
      <c r="O8879" t="n">
        <v>0</v>
      </c>
      <c r="P8879" t="n">
        <v>0</v>
      </c>
      <c r="Q8879" t="n">
        <v>0</v>
      </c>
      <c r="R8879" s="2" t="inlineStr"/>
    </row>
    <row r="8880" ht="15" customHeight="1">
      <c r="A8880" t="inlineStr">
        <is>
          <t>A 39225-2023</t>
        </is>
      </c>
      <c r="B8880" s="1" t="n">
        <v>45166</v>
      </c>
      <c r="C8880" s="1" t="n">
        <v>45715</v>
      </c>
      <c r="D8880" t="inlineStr">
        <is>
          <t>KALMAR LÄN</t>
        </is>
      </c>
      <c r="E8880" t="inlineStr">
        <is>
          <t>EMMABODA</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39230-2023</t>
        </is>
      </c>
      <c r="B8881" s="1" t="n">
        <v>45166</v>
      </c>
      <c r="C8881" s="1" t="n">
        <v>45715</v>
      </c>
      <c r="D8881" t="inlineStr">
        <is>
          <t>KALMAR LÄN</t>
        </is>
      </c>
      <c r="E8881" t="inlineStr">
        <is>
          <t>EMMABODA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39241-2023</t>
        </is>
      </c>
      <c r="B8882" s="1" t="n">
        <v>45166</v>
      </c>
      <c r="C8882" s="1" t="n">
        <v>45715</v>
      </c>
      <c r="D8882" t="inlineStr">
        <is>
          <t>KALMAR LÄN</t>
        </is>
      </c>
      <c r="E8882" t="inlineStr">
        <is>
          <t>KALMAR</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39401-2023</t>
        </is>
      </c>
      <c r="B8883" s="1" t="n">
        <v>45166</v>
      </c>
      <c r="C8883" s="1" t="n">
        <v>45715</v>
      </c>
      <c r="D8883" t="inlineStr">
        <is>
          <t>KALMAR LÄN</t>
        </is>
      </c>
      <c r="E8883" t="inlineStr">
        <is>
          <t>VIMMERBY</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39456-2023</t>
        </is>
      </c>
      <c r="B8884" s="1" t="n">
        <v>45166</v>
      </c>
      <c r="C8884" s="1" t="n">
        <v>45715</v>
      </c>
      <c r="D8884" t="inlineStr">
        <is>
          <t>KALMAR LÄN</t>
        </is>
      </c>
      <c r="E8884" t="inlineStr">
        <is>
          <t>NYBRO</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39460-2023</t>
        </is>
      </c>
      <c r="B8885" s="1" t="n">
        <v>45166</v>
      </c>
      <c r="C8885" s="1" t="n">
        <v>45715</v>
      </c>
      <c r="D8885" t="inlineStr">
        <is>
          <t>KALMAR LÄN</t>
        </is>
      </c>
      <c r="E8885" t="inlineStr">
        <is>
          <t>NYBRO</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39455-2023</t>
        </is>
      </c>
      <c r="B8886" s="1" t="n">
        <v>45166</v>
      </c>
      <c r="C8886" s="1" t="n">
        <v>45715</v>
      </c>
      <c r="D8886" t="inlineStr">
        <is>
          <t>KALMAR LÄN</t>
        </is>
      </c>
      <c r="E8886" t="inlineStr">
        <is>
          <t>NYBRO</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39458-2023</t>
        </is>
      </c>
      <c r="B8887" s="1" t="n">
        <v>45166</v>
      </c>
      <c r="C8887" s="1" t="n">
        <v>45715</v>
      </c>
      <c r="D8887" t="inlineStr">
        <is>
          <t>KALMAR LÄN</t>
        </is>
      </c>
      <c r="E8887" t="inlineStr">
        <is>
          <t>NYBRO</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39474-2023</t>
        </is>
      </c>
      <c r="B8888" s="1" t="n">
        <v>45166</v>
      </c>
      <c r="C8888" s="1" t="n">
        <v>45715</v>
      </c>
      <c r="D8888" t="inlineStr">
        <is>
          <t>KALMAR LÄN</t>
        </is>
      </c>
      <c r="E8888" t="inlineStr">
        <is>
          <t>EMMABODA</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39461-2023</t>
        </is>
      </c>
      <c r="B8889" s="1" t="n">
        <v>45166</v>
      </c>
      <c r="C8889" s="1" t="n">
        <v>45715</v>
      </c>
      <c r="D8889" t="inlineStr">
        <is>
          <t>KALMAR LÄN</t>
        </is>
      </c>
      <c r="E8889" t="inlineStr">
        <is>
          <t>NYBRO</t>
        </is>
      </c>
      <c r="G8889" t="n">
        <v>4.2</v>
      </c>
      <c r="H8889" t="n">
        <v>0</v>
      </c>
      <c r="I8889" t="n">
        <v>0</v>
      </c>
      <c r="J8889" t="n">
        <v>0</v>
      </c>
      <c r="K8889" t="n">
        <v>0</v>
      </c>
      <c r="L8889" t="n">
        <v>0</v>
      </c>
      <c r="M8889" t="n">
        <v>0</v>
      </c>
      <c r="N8889" t="n">
        <v>0</v>
      </c>
      <c r="O8889" t="n">
        <v>0</v>
      </c>
      <c r="P8889" t="n">
        <v>0</v>
      </c>
      <c r="Q8889" t="n">
        <v>0</v>
      </c>
      <c r="R8889" s="2" t="inlineStr"/>
    </row>
    <row r="8890" ht="15" customHeight="1">
      <c r="A8890" t="inlineStr">
        <is>
          <t>A 39469-2023</t>
        </is>
      </c>
      <c r="B8890" s="1" t="n">
        <v>45166</v>
      </c>
      <c r="C8890" s="1" t="n">
        <v>45715</v>
      </c>
      <c r="D8890" t="inlineStr">
        <is>
          <t>KALMAR LÄN</t>
        </is>
      </c>
      <c r="E8890" t="inlineStr">
        <is>
          <t>EMMABODA</t>
        </is>
      </c>
      <c r="G8890" t="n">
        <v>6.6</v>
      </c>
      <c r="H8890" t="n">
        <v>0</v>
      </c>
      <c r="I8890" t="n">
        <v>0</v>
      </c>
      <c r="J8890" t="n">
        <v>0</v>
      </c>
      <c r="K8890" t="n">
        <v>0</v>
      </c>
      <c r="L8890" t="n">
        <v>0</v>
      </c>
      <c r="M8890" t="n">
        <v>0</v>
      </c>
      <c r="N8890" t="n">
        <v>0</v>
      </c>
      <c r="O8890" t="n">
        <v>0</v>
      </c>
      <c r="P8890" t="n">
        <v>0</v>
      </c>
      <c r="Q8890" t="n">
        <v>0</v>
      </c>
      <c r="R8890" s="2" t="inlineStr"/>
    </row>
    <row r="8891" ht="15" customHeight="1">
      <c r="A8891" t="inlineStr">
        <is>
          <t>A 39630-2023</t>
        </is>
      </c>
      <c r="B8891" s="1" t="n">
        <v>45167</v>
      </c>
      <c r="C8891" s="1" t="n">
        <v>45715</v>
      </c>
      <c r="D8891" t="inlineStr">
        <is>
          <t>KALMAR LÄN</t>
        </is>
      </c>
      <c r="E8891" t="inlineStr">
        <is>
          <t>VÄSTERVIK</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39736-2023</t>
        </is>
      </c>
      <c r="B8892" s="1" t="n">
        <v>45167</v>
      </c>
      <c r="C8892" s="1" t="n">
        <v>45715</v>
      </c>
      <c r="D8892" t="inlineStr">
        <is>
          <t>KALMAR LÄN</t>
        </is>
      </c>
      <c r="E8892" t="inlineStr">
        <is>
          <t>EMMABODA</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39748-2023</t>
        </is>
      </c>
      <c r="B8893" s="1" t="n">
        <v>45167</v>
      </c>
      <c r="C8893" s="1" t="n">
        <v>45715</v>
      </c>
      <c r="D8893" t="inlineStr">
        <is>
          <t>KALMAR LÄN</t>
        </is>
      </c>
      <c r="E8893" t="inlineStr">
        <is>
          <t>KALMAR</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39765-2023</t>
        </is>
      </c>
      <c r="B8894" s="1" t="n">
        <v>45167</v>
      </c>
      <c r="C8894" s="1" t="n">
        <v>45715</v>
      </c>
      <c r="D8894" t="inlineStr">
        <is>
          <t>KALMAR LÄN</t>
        </is>
      </c>
      <c r="E8894" t="inlineStr">
        <is>
          <t>KALMAR</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40046-2023</t>
        </is>
      </c>
      <c r="B8895" s="1" t="n">
        <v>45167</v>
      </c>
      <c r="C8895" s="1" t="n">
        <v>45715</v>
      </c>
      <c r="D8895" t="inlineStr">
        <is>
          <t>KALMAR LÄN</t>
        </is>
      </c>
      <c r="E8895" t="inlineStr">
        <is>
          <t>TORSÅS</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39692-2023</t>
        </is>
      </c>
      <c r="B8896" s="1" t="n">
        <v>45167</v>
      </c>
      <c r="C8896" s="1" t="n">
        <v>45715</v>
      </c>
      <c r="D8896" t="inlineStr">
        <is>
          <t>KALMAR LÄN</t>
        </is>
      </c>
      <c r="E8896" t="inlineStr">
        <is>
          <t>HULTSFRED</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40047-2023</t>
        </is>
      </c>
      <c r="B8897" s="1" t="n">
        <v>45167</v>
      </c>
      <c r="C8897" s="1" t="n">
        <v>45715</v>
      </c>
      <c r="D8897" t="inlineStr">
        <is>
          <t>KALMAR LÄN</t>
        </is>
      </c>
      <c r="E8897" t="inlineStr">
        <is>
          <t>TORSÅS</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39679-2023</t>
        </is>
      </c>
      <c r="B8898" s="1" t="n">
        <v>45167</v>
      </c>
      <c r="C8898" s="1" t="n">
        <v>45715</v>
      </c>
      <c r="D8898" t="inlineStr">
        <is>
          <t>KALMAR LÄN</t>
        </is>
      </c>
      <c r="E8898" t="inlineStr">
        <is>
          <t>KALMAR</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39940-2023</t>
        </is>
      </c>
      <c r="B8899" s="1" t="n">
        <v>45168</v>
      </c>
      <c r="C8899" s="1" t="n">
        <v>45715</v>
      </c>
      <c r="D8899" t="inlineStr">
        <is>
          <t>KALMAR LÄN</t>
        </is>
      </c>
      <c r="E8899" t="inlineStr">
        <is>
          <t>HULTSFRED</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39911-2023</t>
        </is>
      </c>
      <c r="B8900" s="1" t="n">
        <v>45168</v>
      </c>
      <c r="C8900" s="1" t="n">
        <v>45715</v>
      </c>
      <c r="D8900" t="inlineStr">
        <is>
          <t>KALMAR LÄN</t>
        </is>
      </c>
      <c r="E8900" t="inlineStr">
        <is>
          <t>EMMABODA</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39937-2023</t>
        </is>
      </c>
      <c r="B8901" s="1" t="n">
        <v>45168</v>
      </c>
      <c r="C8901" s="1" t="n">
        <v>45715</v>
      </c>
      <c r="D8901" t="inlineStr">
        <is>
          <t>KALMAR LÄN</t>
        </is>
      </c>
      <c r="E8901" t="inlineStr">
        <is>
          <t>OSKARSHAMN</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39892-2023</t>
        </is>
      </c>
      <c r="B8902" s="1" t="n">
        <v>45168</v>
      </c>
      <c r="C8902" s="1" t="n">
        <v>45715</v>
      </c>
      <c r="D8902" t="inlineStr">
        <is>
          <t>KALMAR LÄN</t>
        </is>
      </c>
      <c r="E8902" t="inlineStr">
        <is>
          <t>VÄSTERVIK</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39941-2023</t>
        </is>
      </c>
      <c r="B8903" s="1" t="n">
        <v>45168</v>
      </c>
      <c r="C8903" s="1" t="n">
        <v>45715</v>
      </c>
      <c r="D8903" t="inlineStr">
        <is>
          <t>KALMAR LÄN</t>
        </is>
      </c>
      <c r="E8903" t="inlineStr">
        <is>
          <t>HULTSFRED</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40079-2023</t>
        </is>
      </c>
      <c r="B8904" s="1" t="n">
        <v>45168</v>
      </c>
      <c r="C8904" s="1" t="n">
        <v>45715</v>
      </c>
      <c r="D8904" t="inlineStr">
        <is>
          <t>KALMAR LÄN</t>
        </is>
      </c>
      <c r="E8904" t="inlineStr">
        <is>
          <t>VIMMERBY</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40002-2023</t>
        </is>
      </c>
      <c r="B8905" s="1" t="n">
        <v>45168</v>
      </c>
      <c r="C8905" s="1" t="n">
        <v>45715</v>
      </c>
      <c r="D8905" t="inlineStr">
        <is>
          <t>KALMAR LÄN</t>
        </is>
      </c>
      <c r="E8905" t="inlineStr">
        <is>
          <t>HULTSFRED</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40006-2023</t>
        </is>
      </c>
      <c r="B8906" s="1" t="n">
        <v>45168</v>
      </c>
      <c r="C8906" s="1" t="n">
        <v>45715</v>
      </c>
      <c r="D8906" t="inlineStr">
        <is>
          <t>KALMAR LÄN</t>
        </is>
      </c>
      <c r="E8906" t="inlineStr">
        <is>
          <t>HULTSFRED</t>
        </is>
      </c>
      <c r="F8906" t="inlineStr">
        <is>
          <t>Sveaskog</t>
        </is>
      </c>
      <c r="G8906" t="n">
        <v>9.199999999999999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39912-2023</t>
        </is>
      </c>
      <c r="B8907" s="1" t="n">
        <v>45168</v>
      </c>
      <c r="C8907" s="1" t="n">
        <v>45715</v>
      </c>
      <c r="D8907" t="inlineStr">
        <is>
          <t>KALMAR LÄN</t>
        </is>
      </c>
      <c r="E8907" t="inlineStr">
        <is>
          <t>VIMMERBY</t>
        </is>
      </c>
      <c r="G8907" t="n">
        <v>8.9</v>
      </c>
      <c r="H8907" t="n">
        <v>0</v>
      </c>
      <c r="I8907" t="n">
        <v>0</v>
      </c>
      <c r="J8907" t="n">
        <v>0</v>
      </c>
      <c r="K8907" t="n">
        <v>0</v>
      </c>
      <c r="L8907" t="n">
        <v>0</v>
      </c>
      <c r="M8907" t="n">
        <v>0</v>
      </c>
      <c r="N8907" t="n">
        <v>0</v>
      </c>
      <c r="O8907" t="n">
        <v>0</v>
      </c>
      <c r="P8907" t="n">
        <v>0</v>
      </c>
      <c r="Q8907" t="n">
        <v>0</v>
      </c>
      <c r="R8907" s="2" t="inlineStr"/>
    </row>
    <row r="8908" ht="15" customHeight="1">
      <c r="A8908" t="inlineStr">
        <is>
          <t>A 39934-2023</t>
        </is>
      </c>
      <c r="B8908" s="1" t="n">
        <v>45168</v>
      </c>
      <c r="C8908" s="1" t="n">
        <v>45715</v>
      </c>
      <c r="D8908" t="inlineStr">
        <is>
          <t>KALMAR LÄN</t>
        </is>
      </c>
      <c r="E8908" t="inlineStr">
        <is>
          <t>HULTSFRED</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39939-2023</t>
        </is>
      </c>
      <c r="B8909" s="1" t="n">
        <v>45168</v>
      </c>
      <c r="C8909" s="1" t="n">
        <v>45715</v>
      </c>
      <c r="D8909" t="inlineStr">
        <is>
          <t>KALMAR LÄN</t>
        </is>
      </c>
      <c r="E8909" t="inlineStr">
        <is>
          <t>OSKARSHAMN</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39944-2023</t>
        </is>
      </c>
      <c r="B8910" s="1" t="n">
        <v>45168</v>
      </c>
      <c r="C8910" s="1" t="n">
        <v>45715</v>
      </c>
      <c r="D8910" t="inlineStr">
        <is>
          <t>KALMAR LÄN</t>
        </is>
      </c>
      <c r="E8910" t="inlineStr">
        <is>
          <t>HULTSFRED</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39948-2023</t>
        </is>
      </c>
      <c r="B8911" s="1" t="n">
        <v>45168</v>
      </c>
      <c r="C8911" s="1" t="n">
        <v>45715</v>
      </c>
      <c r="D8911" t="inlineStr">
        <is>
          <t>KALMAR LÄN</t>
        </is>
      </c>
      <c r="E8911" t="inlineStr">
        <is>
          <t>HULTSFRED</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39977-2023</t>
        </is>
      </c>
      <c r="B8912" s="1" t="n">
        <v>45168</v>
      </c>
      <c r="C8912" s="1" t="n">
        <v>45715</v>
      </c>
      <c r="D8912" t="inlineStr">
        <is>
          <t>KALMAR LÄN</t>
        </is>
      </c>
      <c r="E8912" t="inlineStr">
        <is>
          <t>HULTSFRED</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40004-2023</t>
        </is>
      </c>
      <c r="B8913" s="1" t="n">
        <v>45168</v>
      </c>
      <c r="C8913" s="1" t="n">
        <v>45715</v>
      </c>
      <c r="D8913" t="inlineStr">
        <is>
          <t>KALMAR LÄN</t>
        </is>
      </c>
      <c r="E8913" t="inlineStr">
        <is>
          <t>HULTSFRED</t>
        </is>
      </c>
      <c r="F8913" t="inlineStr">
        <is>
          <t>Sveaskog</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40009-2023</t>
        </is>
      </c>
      <c r="B8914" s="1" t="n">
        <v>45168</v>
      </c>
      <c r="C8914" s="1" t="n">
        <v>45715</v>
      </c>
      <c r="D8914" t="inlineStr">
        <is>
          <t>KALMAR LÄN</t>
        </is>
      </c>
      <c r="E8914" t="inlineStr">
        <is>
          <t>HULTSFRED</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40155-2023</t>
        </is>
      </c>
      <c r="B8915" s="1" t="n">
        <v>45168</v>
      </c>
      <c r="C8915" s="1" t="n">
        <v>45715</v>
      </c>
      <c r="D8915" t="inlineStr">
        <is>
          <t>KALMAR LÄN</t>
        </is>
      </c>
      <c r="E8915" t="inlineStr">
        <is>
          <t>HÖGSBY</t>
        </is>
      </c>
      <c r="F8915" t="inlineStr">
        <is>
          <t>Kommuner</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40147-2023</t>
        </is>
      </c>
      <c r="B8916" s="1" t="n">
        <v>45169</v>
      </c>
      <c r="C8916" s="1" t="n">
        <v>45715</v>
      </c>
      <c r="D8916" t="inlineStr">
        <is>
          <t>KALMAR LÄN</t>
        </is>
      </c>
      <c r="E8916" t="inlineStr">
        <is>
          <t>VIMMERBY</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40151-2023</t>
        </is>
      </c>
      <c r="B8917" s="1" t="n">
        <v>45169</v>
      </c>
      <c r="C8917" s="1" t="n">
        <v>45715</v>
      </c>
      <c r="D8917" t="inlineStr">
        <is>
          <t>KALMAR LÄN</t>
        </is>
      </c>
      <c r="E8917" t="inlineStr">
        <is>
          <t>VIMMERBY</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40172-2023</t>
        </is>
      </c>
      <c r="B8918" s="1" t="n">
        <v>45169</v>
      </c>
      <c r="C8918" s="1" t="n">
        <v>45715</v>
      </c>
      <c r="D8918" t="inlineStr">
        <is>
          <t>KALMAR LÄN</t>
        </is>
      </c>
      <c r="E8918" t="inlineStr">
        <is>
          <t>KALMAR</t>
        </is>
      </c>
      <c r="G8918" t="n">
        <v>5.8</v>
      </c>
      <c r="H8918" t="n">
        <v>0</v>
      </c>
      <c r="I8918" t="n">
        <v>0</v>
      </c>
      <c r="J8918" t="n">
        <v>0</v>
      </c>
      <c r="K8918" t="n">
        <v>0</v>
      </c>
      <c r="L8918" t="n">
        <v>0</v>
      </c>
      <c r="M8918" t="n">
        <v>0</v>
      </c>
      <c r="N8918" t="n">
        <v>0</v>
      </c>
      <c r="O8918" t="n">
        <v>0</v>
      </c>
      <c r="P8918" t="n">
        <v>0</v>
      </c>
      <c r="Q8918" t="n">
        <v>0</v>
      </c>
      <c r="R8918" s="2" t="inlineStr"/>
    </row>
    <row r="8919" ht="15" customHeight="1">
      <c r="A8919" t="inlineStr">
        <is>
          <t>A 40180-2023</t>
        </is>
      </c>
      <c r="B8919" s="1" t="n">
        <v>45169</v>
      </c>
      <c r="C8919" s="1" t="n">
        <v>45715</v>
      </c>
      <c r="D8919" t="inlineStr">
        <is>
          <t>KALMAR LÄN</t>
        </is>
      </c>
      <c r="E8919" t="inlineStr">
        <is>
          <t>KALMAR</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40188-2023</t>
        </is>
      </c>
      <c r="B8920" s="1" t="n">
        <v>45169</v>
      </c>
      <c r="C8920" s="1" t="n">
        <v>45715</v>
      </c>
      <c r="D8920" t="inlineStr">
        <is>
          <t>KALMAR LÄN</t>
        </is>
      </c>
      <c r="E8920" t="inlineStr">
        <is>
          <t>MÖNSTERÅS</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40177-2023</t>
        </is>
      </c>
      <c r="B8921" s="1" t="n">
        <v>45169</v>
      </c>
      <c r="C8921" s="1" t="n">
        <v>45715</v>
      </c>
      <c r="D8921" t="inlineStr">
        <is>
          <t>KALMAR LÄN</t>
        </is>
      </c>
      <c r="E8921" t="inlineStr">
        <is>
          <t>OSKARSHAMN</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40185-2023</t>
        </is>
      </c>
      <c r="B8922" s="1" t="n">
        <v>45169</v>
      </c>
      <c r="C8922" s="1" t="n">
        <v>45715</v>
      </c>
      <c r="D8922" t="inlineStr">
        <is>
          <t>KALMAR LÄN</t>
        </is>
      </c>
      <c r="E8922" t="inlineStr">
        <is>
          <t>MÖNSTERÅS</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40327-2023</t>
        </is>
      </c>
      <c r="B8923" s="1" t="n">
        <v>45169</v>
      </c>
      <c r="C8923" s="1" t="n">
        <v>45715</v>
      </c>
      <c r="D8923" t="inlineStr">
        <is>
          <t>KALMAR LÄN</t>
        </is>
      </c>
      <c r="E8923" t="inlineStr">
        <is>
          <t>NYBRO</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40335-2023</t>
        </is>
      </c>
      <c r="B8924" s="1" t="n">
        <v>45169</v>
      </c>
      <c r="C8924" s="1" t="n">
        <v>45715</v>
      </c>
      <c r="D8924" t="inlineStr">
        <is>
          <t>KALMAR LÄN</t>
        </is>
      </c>
      <c r="E8924" t="inlineStr">
        <is>
          <t>NYBRO</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40354-2023</t>
        </is>
      </c>
      <c r="B8925" s="1" t="n">
        <v>45169</v>
      </c>
      <c r="C8925" s="1" t="n">
        <v>45715</v>
      </c>
      <c r="D8925" t="inlineStr">
        <is>
          <t>KALMAR LÄN</t>
        </is>
      </c>
      <c r="E8925" t="inlineStr">
        <is>
          <t>OSKARSHAMN</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40326-2023</t>
        </is>
      </c>
      <c r="B8926" s="1" t="n">
        <v>45169</v>
      </c>
      <c r="C8926" s="1" t="n">
        <v>45715</v>
      </c>
      <c r="D8926" t="inlineStr">
        <is>
          <t>KALMAR LÄN</t>
        </is>
      </c>
      <c r="E8926" t="inlineStr">
        <is>
          <t>HULTSFRED</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40330-2023</t>
        </is>
      </c>
      <c r="B8927" s="1" t="n">
        <v>45169</v>
      </c>
      <c r="C8927" s="1" t="n">
        <v>45715</v>
      </c>
      <c r="D8927" t="inlineStr">
        <is>
          <t>KALMAR LÄN</t>
        </is>
      </c>
      <c r="E8927" t="inlineStr">
        <is>
          <t>HULTSFRED</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40334-2023</t>
        </is>
      </c>
      <c r="B8928" s="1" t="n">
        <v>45169</v>
      </c>
      <c r="C8928" s="1" t="n">
        <v>45715</v>
      </c>
      <c r="D8928" t="inlineStr">
        <is>
          <t>KALMAR LÄN</t>
        </is>
      </c>
      <c r="E8928" t="inlineStr">
        <is>
          <t>HULTSFRED</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40339-2023</t>
        </is>
      </c>
      <c r="B8929" s="1" t="n">
        <v>45169</v>
      </c>
      <c r="C8929" s="1" t="n">
        <v>45715</v>
      </c>
      <c r="D8929" t="inlineStr">
        <is>
          <t>KALMAR LÄN</t>
        </is>
      </c>
      <c r="E8929" t="inlineStr">
        <is>
          <t>BORGHOLM</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40166-2023</t>
        </is>
      </c>
      <c r="B8930" s="1" t="n">
        <v>45169</v>
      </c>
      <c r="C8930" s="1" t="n">
        <v>45715</v>
      </c>
      <c r="D8930" t="inlineStr">
        <is>
          <t>KALMAR LÄN</t>
        </is>
      </c>
      <c r="E8930" t="inlineStr">
        <is>
          <t>NYBRO</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40174-2023</t>
        </is>
      </c>
      <c r="B8931" s="1" t="n">
        <v>45169</v>
      </c>
      <c r="C8931" s="1" t="n">
        <v>45715</v>
      </c>
      <c r="D8931" t="inlineStr">
        <is>
          <t>KALMAR LÄN</t>
        </is>
      </c>
      <c r="E8931" t="inlineStr">
        <is>
          <t>KALMAR</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40182-2023</t>
        </is>
      </c>
      <c r="B8932" s="1" t="n">
        <v>45169</v>
      </c>
      <c r="C8932" s="1" t="n">
        <v>45715</v>
      </c>
      <c r="D8932" t="inlineStr">
        <is>
          <t>KALMAR LÄN</t>
        </is>
      </c>
      <c r="E8932" t="inlineStr">
        <is>
          <t>KALMAR</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40258-2023</t>
        </is>
      </c>
      <c r="B8933" s="1" t="n">
        <v>45169</v>
      </c>
      <c r="C8933" s="1" t="n">
        <v>45715</v>
      </c>
      <c r="D8933" t="inlineStr">
        <is>
          <t>KALMAR LÄN</t>
        </is>
      </c>
      <c r="E8933" t="inlineStr">
        <is>
          <t>HULTSFRED</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40336-2023</t>
        </is>
      </c>
      <c r="B8934" s="1" t="n">
        <v>45169</v>
      </c>
      <c r="C8934" s="1" t="n">
        <v>45715</v>
      </c>
      <c r="D8934" t="inlineStr">
        <is>
          <t>KALMAR LÄN</t>
        </is>
      </c>
      <c r="E8934" t="inlineStr">
        <is>
          <t>HULTSFRED</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40341-2023</t>
        </is>
      </c>
      <c r="B8935" s="1" t="n">
        <v>45169</v>
      </c>
      <c r="C8935" s="1" t="n">
        <v>45715</v>
      </c>
      <c r="D8935" t="inlineStr">
        <is>
          <t>KALMAR LÄN</t>
        </is>
      </c>
      <c r="E8935" t="inlineStr">
        <is>
          <t>KALMAR</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40171-2023</t>
        </is>
      </c>
      <c r="B8936" s="1" t="n">
        <v>45169</v>
      </c>
      <c r="C8936" s="1" t="n">
        <v>45715</v>
      </c>
      <c r="D8936" t="inlineStr">
        <is>
          <t>KALMAR LÄN</t>
        </is>
      </c>
      <c r="E8936" t="inlineStr">
        <is>
          <t>HÖGSBY</t>
        </is>
      </c>
      <c r="F8936" t="inlineStr">
        <is>
          <t>Kommuner</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40259-2023</t>
        </is>
      </c>
      <c r="B8937" s="1" t="n">
        <v>45169</v>
      </c>
      <c r="C8937" s="1" t="n">
        <v>45715</v>
      </c>
      <c r="D8937" t="inlineStr">
        <is>
          <t>KALMAR LÄN</t>
        </is>
      </c>
      <c r="E8937" t="inlineStr">
        <is>
          <t>HULTSFRED</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40347-2023</t>
        </is>
      </c>
      <c r="B8938" s="1" t="n">
        <v>45169</v>
      </c>
      <c r="C8938" s="1" t="n">
        <v>45715</v>
      </c>
      <c r="D8938" t="inlineStr">
        <is>
          <t>KALMAR LÄN</t>
        </is>
      </c>
      <c r="E8938" t="inlineStr">
        <is>
          <t>NYBRO</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40380-2023</t>
        </is>
      </c>
      <c r="B8939" s="1" t="n">
        <v>45169</v>
      </c>
      <c r="C8939" s="1" t="n">
        <v>45715</v>
      </c>
      <c r="D8939" t="inlineStr">
        <is>
          <t>KALMAR LÄN</t>
        </is>
      </c>
      <c r="E8939" t="inlineStr">
        <is>
          <t>VIMMERBY</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40464-2023</t>
        </is>
      </c>
      <c r="B8940" s="1" t="n">
        <v>45170</v>
      </c>
      <c r="C8940" s="1" t="n">
        <v>45715</v>
      </c>
      <c r="D8940" t="inlineStr">
        <is>
          <t>KALMAR LÄN</t>
        </is>
      </c>
      <c r="E8940" t="inlineStr">
        <is>
          <t>HÖGSBY</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40472-2023</t>
        </is>
      </c>
      <c r="B8941" s="1" t="n">
        <v>45170</v>
      </c>
      <c r="C8941" s="1" t="n">
        <v>45715</v>
      </c>
      <c r="D8941" t="inlineStr">
        <is>
          <t>KALMAR LÄN</t>
        </is>
      </c>
      <c r="E8941" t="inlineStr">
        <is>
          <t>VIMMERBY</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40584-2023</t>
        </is>
      </c>
      <c r="B8942" s="1" t="n">
        <v>45170</v>
      </c>
      <c r="C8942" s="1" t="n">
        <v>45715</v>
      </c>
      <c r="D8942" t="inlineStr">
        <is>
          <t>KALMAR LÄN</t>
        </is>
      </c>
      <c r="E8942" t="inlineStr">
        <is>
          <t>KALMAR</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40482-2023</t>
        </is>
      </c>
      <c r="B8943" s="1" t="n">
        <v>45170</v>
      </c>
      <c r="C8943" s="1" t="n">
        <v>45715</v>
      </c>
      <c r="D8943" t="inlineStr">
        <is>
          <t>KALMAR LÄN</t>
        </is>
      </c>
      <c r="E8943" t="inlineStr">
        <is>
          <t>HULTSFRED</t>
        </is>
      </c>
      <c r="F8943" t="inlineStr">
        <is>
          <t>Övriga Aktiebolag</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40583-2023</t>
        </is>
      </c>
      <c r="B8944" s="1" t="n">
        <v>45170</v>
      </c>
      <c r="C8944" s="1" t="n">
        <v>45715</v>
      </c>
      <c r="D8944" t="inlineStr">
        <is>
          <t>KALMAR LÄN</t>
        </is>
      </c>
      <c r="E8944" t="inlineStr">
        <is>
          <t>KALMAR</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40677-2023</t>
        </is>
      </c>
      <c r="B8945" s="1" t="n">
        <v>45170</v>
      </c>
      <c r="C8945" s="1" t="n">
        <v>45715</v>
      </c>
      <c r="D8945" t="inlineStr">
        <is>
          <t>KALMAR LÄN</t>
        </is>
      </c>
      <c r="E8945" t="inlineStr">
        <is>
          <t>VÄSTERVIK</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40451-2023</t>
        </is>
      </c>
      <c r="B8946" s="1" t="n">
        <v>45170</v>
      </c>
      <c r="C8946" s="1" t="n">
        <v>45715</v>
      </c>
      <c r="D8946" t="inlineStr">
        <is>
          <t>KALMAR LÄN</t>
        </is>
      </c>
      <c r="E8946" t="inlineStr">
        <is>
          <t>VÄSTERVIK</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40674-2023</t>
        </is>
      </c>
      <c r="B8947" s="1" t="n">
        <v>45170</v>
      </c>
      <c r="C8947" s="1" t="n">
        <v>45715</v>
      </c>
      <c r="D8947" t="inlineStr">
        <is>
          <t>KALMAR LÄN</t>
        </is>
      </c>
      <c r="E8947" t="inlineStr">
        <is>
          <t>VÄSTERVIK</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40477-2023</t>
        </is>
      </c>
      <c r="B8948" s="1" t="n">
        <v>45170</v>
      </c>
      <c r="C8948" s="1" t="n">
        <v>45715</v>
      </c>
      <c r="D8948" t="inlineStr">
        <is>
          <t>KALMAR LÄN</t>
        </is>
      </c>
      <c r="E8948" t="inlineStr">
        <is>
          <t>VIMMERBY</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40533-2023</t>
        </is>
      </c>
      <c r="B8949" s="1" t="n">
        <v>45170</v>
      </c>
      <c r="C8949" s="1" t="n">
        <v>45715</v>
      </c>
      <c r="D8949" t="inlineStr">
        <is>
          <t>KALMAR LÄN</t>
        </is>
      </c>
      <c r="E8949" t="inlineStr">
        <is>
          <t>OSKARSHAMN</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40554-2023</t>
        </is>
      </c>
      <c r="B8950" s="1" t="n">
        <v>45170</v>
      </c>
      <c r="C8950" s="1" t="n">
        <v>45715</v>
      </c>
      <c r="D8950" t="inlineStr">
        <is>
          <t>KALMAR LÄN</t>
        </is>
      </c>
      <c r="E8950" t="inlineStr">
        <is>
          <t>HULTSFRED</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40558-2023</t>
        </is>
      </c>
      <c r="B8951" s="1" t="n">
        <v>45170</v>
      </c>
      <c r="C8951" s="1" t="n">
        <v>45715</v>
      </c>
      <c r="D8951" t="inlineStr">
        <is>
          <t>KALMAR LÄN</t>
        </is>
      </c>
      <c r="E8951" t="inlineStr">
        <is>
          <t>NYBRO</t>
        </is>
      </c>
      <c r="G8951" t="n">
        <v>4.8</v>
      </c>
      <c r="H8951" t="n">
        <v>0</v>
      </c>
      <c r="I8951" t="n">
        <v>0</v>
      </c>
      <c r="J8951" t="n">
        <v>0</v>
      </c>
      <c r="K8951" t="n">
        <v>0</v>
      </c>
      <c r="L8951" t="n">
        <v>0</v>
      </c>
      <c r="M8951" t="n">
        <v>0</v>
      </c>
      <c r="N8951" t="n">
        <v>0</v>
      </c>
      <c r="O8951" t="n">
        <v>0</v>
      </c>
      <c r="P8951" t="n">
        <v>0</v>
      </c>
      <c r="Q8951" t="n">
        <v>0</v>
      </c>
      <c r="R8951" s="2" t="inlineStr"/>
    </row>
    <row r="8952" ht="15" customHeight="1">
      <c r="A8952" t="inlineStr">
        <is>
          <t>A 40665-2023</t>
        </is>
      </c>
      <c r="B8952" s="1" t="n">
        <v>45170</v>
      </c>
      <c r="C8952" s="1" t="n">
        <v>45715</v>
      </c>
      <c r="D8952" t="inlineStr">
        <is>
          <t>KALMAR LÄN</t>
        </is>
      </c>
      <c r="E8952" t="inlineStr">
        <is>
          <t>VIMMERBY</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40828-2023</t>
        </is>
      </c>
      <c r="B8953" s="1" t="n">
        <v>45172</v>
      </c>
      <c r="C8953" s="1" t="n">
        <v>45715</v>
      </c>
      <c r="D8953" t="inlineStr">
        <is>
          <t>KALMAR LÄN</t>
        </is>
      </c>
      <c r="E8953" t="inlineStr">
        <is>
          <t>VIMMERBY</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40823-2023</t>
        </is>
      </c>
      <c r="B8954" s="1" t="n">
        <v>45171</v>
      </c>
      <c r="C8954" s="1" t="n">
        <v>45715</v>
      </c>
      <c r="D8954" t="inlineStr">
        <is>
          <t>KALMAR LÄN</t>
        </is>
      </c>
      <c r="E8954" t="inlineStr">
        <is>
          <t>VIMMERBY</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40981-2023</t>
        </is>
      </c>
      <c r="B8955" s="1" t="n">
        <v>45173</v>
      </c>
      <c r="C8955" s="1" t="n">
        <v>45715</v>
      </c>
      <c r="D8955" t="inlineStr">
        <is>
          <t>KALMAR LÄN</t>
        </is>
      </c>
      <c r="E8955" t="inlineStr">
        <is>
          <t>KALMAR</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40932-2023</t>
        </is>
      </c>
      <c r="B8956" s="1" t="n">
        <v>45173</v>
      </c>
      <c r="C8956" s="1" t="n">
        <v>45715</v>
      </c>
      <c r="D8956" t="inlineStr">
        <is>
          <t>KALMAR LÄN</t>
        </is>
      </c>
      <c r="E8956" t="inlineStr">
        <is>
          <t>TORSÅS</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40986-2023</t>
        </is>
      </c>
      <c r="B8957" s="1" t="n">
        <v>45173</v>
      </c>
      <c r="C8957" s="1" t="n">
        <v>45715</v>
      </c>
      <c r="D8957" t="inlineStr">
        <is>
          <t>KALMAR LÄN</t>
        </is>
      </c>
      <c r="E8957" t="inlineStr">
        <is>
          <t>KALMAR</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40990-2023</t>
        </is>
      </c>
      <c r="B8958" s="1" t="n">
        <v>45173</v>
      </c>
      <c r="C8958" s="1" t="n">
        <v>45715</v>
      </c>
      <c r="D8958" t="inlineStr">
        <is>
          <t>KALMAR LÄN</t>
        </is>
      </c>
      <c r="E8958" t="inlineStr">
        <is>
          <t>HÖGSBY</t>
        </is>
      </c>
      <c r="G8958" t="n">
        <v>5.3</v>
      </c>
      <c r="H8958" t="n">
        <v>0</v>
      </c>
      <c r="I8958" t="n">
        <v>0</v>
      </c>
      <c r="J8958" t="n">
        <v>0</v>
      </c>
      <c r="K8958" t="n">
        <v>0</v>
      </c>
      <c r="L8958" t="n">
        <v>0</v>
      </c>
      <c r="M8958" t="n">
        <v>0</v>
      </c>
      <c r="N8958" t="n">
        <v>0</v>
      </c>
      <c r="O8958" t="n">
        <v>0</v>
      </c>
      <c r="P8958" t="n">
        <v>0</v>
      </c>
      <c r="Q8958" t="n">
        <v>0</v>
      </c>
      <c r="R8958" s="2" t="inlineStr"/>
    </row>
    <row r="8959" ht="15" customHeight="1">
      <c r="A8959" t="inlineStr">
        <is>
          <t>A 41057-2023</t>
        </is>
      </c>
      <c r="B8959" s="1" t="n">
        <v>45173</v>
      </c>
      <c r="C8959" s="1" t="n">
        <v>45715</v>
      </c>
      <c r="D8959" t="inlineStr">
        <is>
          <t>KALMAR LÄN</t>
        </is>
      </c>
      <c r="E8959" t="inlineStr">
        <is>
          <t>NYBRO</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41071-2023</t>
        </is>
      </c>
      <c r="B8960" s="1" t="n">
        <v>45173</v>
      </c>
      <c r="C8960" s="1" t="n">
        <v>45715</v>
      </c>
      <c r="D8960" t="inlineStr">
        <is>
          <t>KALMAR LÄN</t>
        </is>
      </c>
      <c r="E8960" t="inlineStr">
        <is>
          <t>KALMAR</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41068-2023</t>
        </is>
      </c>
      <c r="B8961" s="1" t="n">
        <v>45173</v>
      </c>
      <c r="C8961" s="1" t="n">
        <v>45715</v>
      </c>
      <c r="D8961" t="inlineStr">
        <is>
          <t>KALMAR LÄN</t>
        </is>
      </c>
      <c r="E8961" t="inlineStr">
        <is>
          <t>KALMAR</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41073-2023</t>
        </is>
      </c>
      <c r="B8962" s="1" t="n">
        <v>45173</v>
      </c>
      <c r="C8962" s="1" t="n">
        <v>45715</v>
      </c>
      <c r="D8962" t="inlineStr">
        <is>
          <t>KALMAR LÄN</t>
        </is>
      </c>
      <c r="E8962" t="inlineStr">
        <is>
          <t>KALMAR</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40973-2023</t>
        </is>
      </c>
      <c r="B8963" s="1" t="n">
        <v>45173</v>
      </c>
      <c r="C8963" s="1" t="n">
        <v>45715</v>
      </c>
      <c r="D8963" t="inlineStr">
        <is>
          <t>KALMAR LÄN</t>
        </is>
      </c>
      <c r="E8963" t="inlineStr">
        <is>
          <t>VÄSTERVIK</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40984-2023</t>
        </is>
      </c>
      <c r="B8964" s="1" t="n">
        <v>45173</v>
      </c>
      <c r="C8964" s="1" t="n">
        <v>45715</v>
      </c>
      <c r="D8964" t="inlineStr">
        <is>
          <t>KALMAR LÄN</t>
        </is>
      </c>
      <c r="E8964" t="inlineStr">
        <is>
          <t>KALMAR</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41080-2023</t>
        </is>
      </c>
      <c r="B8965" s="1" t="n">
        <v>45173</v>
      </c>
      <c r="C8965" s="1" t="n">
        <v>45715</v>
      </c>
      <c r="D8965" t="inlineStr">
        <is>
          <t>KALMAR LÄN</t>
        </is>
      </c>
      <c r="E8965" t="inlineStr">
        <is>
          <t>KALMAR</t>
        </is>
      </c>
      <c r="G8965" t="n">
        <v>6.8</v>
      </c>
      <c r="H8965" t="n">
        <v>0</v>
      </c>
      <c r="I8965" t="n">
        <v>0</v>
      </c>
      <c r="J8965" t="n">
        <v>0</v>
      </c>
      <c r="K8965" t="n">
        <v>0</v>
      </c>
      <c r="L8965" t="n">
        <v>0</v>
      </c>
      <c r="M8965" t="n">
        <v>0</v>
      </c>
      <c r="N8965" t="n">
        <v>0</v>
      </c>
      <c r="O8965" t="n">
        <v>0</v>
      </c>
      <c r="P8965" t="n">
        <v>0</v>
      </c>
      <c r="Q8965" t="n">
        <v>0</v>
      </c>
      <c r="R8965" s="2" t="inlineStr"/>
    </row>
    <row r="8966" ht="15" customHeight="1">
      <c r="A8966" t="inlineStr">
        <is>
          <t>A 40935-2023</t>
        </is>
      </c>
      <c r="B8966" s="1" t="n">
        <v>45173</v>
      </c>
      <c r="C8966" s="1" t="n">
        <v>45715</v>
      </c>
      <c r="D8966" t="inlineStr">
        <is>
          <t>KALMAR LÄN</t>
        </is>
      </c>
      <c r="E8966" t="inlineStr">
        <is>
          <t>VÄSTERVIK</t>
        </is>
      </c>
      <c r="F8966" t="inlineStr">
        <is>
          <t>Holmen skog AB</t>
        </is>
      </c>
      <c r="G8966" t="n">
        <v>8.1</v>
      </c>
      <c r="H8966" t="n">
        <v>0</v>
      </c>
      <c r="I8966" t="n">
        <v>0</v>
      </c>
      <c r="J8966" t="n">
        <v>0</v>
      </c>
      <c r="K8966" t="n">
        <v>0</v>
      </c>
      <c r="L8966" t="n">
        <v>0</v>
      </c>
      <c r="M8966" t="n">
        <v>0</v>
      </c>
      <c r="N8966" t="n">
        <v>0</v>
      </c>
      <c r="O8966" t="n">
        <v>0</v>
      </c>
      <c r="P8966" t="n">
        <v>0</v>
      </c>
      <c r="Q8966" t="n">
        <v>0</v>
      </c>
      <c r="R8966" s="2" t="inlineStr"/>
    </row>
    <row r="8967" ht="15" customHeight="1">
      <c r="A8967" t="inlineStr">
        <is>
          <t>A 40977-2023</t>
        </is>
      </c>
      <c r="B8967" s="1" t="n">
        <v>45173</v>
      </c>
      <c r="C8967" s="1" t="n">
        <v>45715</v>
      </c>
      <c r="D8967" t="inlineStr">
        <is>
          <t>KALMAR LÄN</t>
        </is>
      </c>
      <c r="E8967" t="inlineStr">
        <is>
          <t>VÄSTERVIK</t>
        </is>
      </c>
      <c r="F8967" t="inlineStr">
        <is>
          <t>Holmen skog AB</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40991-2023</t>
        </is>
      </c>
      <c r="B8968" s="1" t="n">
        <v>45173</v>
      </c>
      <c r="C8968" s="1" t="n">
        <v>45715</v>
      </c>
      <c r="D8968" t="inlineStr">
        <is>
          <t>KALMAR LÄN</t>
        </is>
      </c>
      <c r="E8968" t="inlineStr">
        <is>
          <t>NYBRO</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41084-2023</t>
        </is>
      </c>
      <c r="B8969" s="1" t="n">
        <v>45173</v>
      </c>
      <c r="C8969" s="1" t="n">
        <v>45715</v>
      </c>
      <c r="D8969" t="inlineStr">
        <is>
          <t>KALMAR LÄN</t>
        </is>
      </c>
      <c r="E8969" t="inlineStr">
        <is>
          <t>VIMMERBY</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41088-2023</t>
        </is>
      </c>
      <c r="B8970" s="1" t="n">
        <v>45173</v>
      </c>
      <c r="C8970" s="1" t="n">
        <v>45715</v>
      </c>
      <c r="D8970" t="inlineStr">
        <is>
          <t>KALMAR LÄN</t>
        </is>
      </c>
      <c r="E8970" t="inlineStr">
        <is>
          <t>VIMMERBY</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41161-2023</t>
        </is>
      </c>
      <c r="B8971" s="1" t="n">
        <v>45174</v>
      </c>
      <c r="C8971" s="1" t="n">
        <v>45715</v>
      </c>
      <c r="D8971" t="inlineStr">
        <is>
          <t>KALMAR LÄN</t>
        </is>
      </c>
      <c r="E8971" t="inlineStr">
        <is>
          <t>NYBRO</t>
        </is>
      </c>
      <c r="G8971" t="n">
        <v>3.9</v>
      </c>
      <c r="H8971" t="n">
        <v>0</v>
      </c>
      <c r="I8971" t="n">
        <v>0</v>
      </c>
      <c r="J8971" t="n">
        <v>0</v>
      </c>
      <c r="K8971" t="n">
        <v>0</v>
      </c>
      <c r="L8971" t="n">
        <v>0</v>
      </c>
      <c r="M8971" t="n">
        <v>0</v>
      </c>
      <c r="N8971" t="n">
        <v>0</v>
      </c>
      <c r="O8971" t="n">
        <v>0</v>
      </c>
      <c r="P8971" t="n">
        <v>0</v>
      </c>
      <c r="Q8971" t="n">
        <v>0</v>
      </c>
      <c r="R8971" s="2" t="inlineStr"/>
    </row>
    <row r="8972" ht="15" customHeight="1">
      <c r="A8972" t="inlineStr">
        <is>
          <t>A 41165-2023</t>
        </is>
      </c>
      <c r="B8972" s="1" t="n">
        <v>45174</v>
      </c>
      <c r="C8972" s="1" t="n">
        <v>45715</v>
      </c>
      <c r="D8972" t="inlineStr">
        <is>
          <t>KALMAR LÄN</t>
        </is>
      </c>
      <c r="E8972" t="inlineStr">
        <is>
          <t>NYBRO</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41155-2023</t>
        </is>
      </c>
      <c r="B8973" s="1" t="n">
        <v>45174</v>
      </c>
      <c r="C8973" s="1" t="n">
        <v>45715</v>
      </c>
      <c r="D8973" t="inlineStr">
        <is>
          <t>KALMAR LÄN</t>
        </is>
      </c>
      <c r="E8973" t="inlineStr">
        <is>
          <t>KALMAR</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41199-2023</t>
        </is>
      </c>
      <c r="B8974" s="1" t="n">
        <v>45174</v>
      </c>
      <c r="C8974" s="1" t="n">
        <v>45715</v>
      </c>
      <c r="D8974" t="inlineStr">
        <is>
          <t>KALMAR LÄN</t>
        </is>
      </c>
      <c r="E8974" t="inlineStr">
        <is>
          <t>VIMMERBY</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41219-2023</t>
        </is>
      </c>
      <c r="B8975" s="1" t="n">
        <v>45174</v>
      </c>
      <c r="C8975" s="1" t="n">
        <v>45715</v>
      </c>
      <c r="D8975" t="inlineStr">
        <is>
          <t>KALMAR LÄN</t>
        </is>
      </c>
      <c r="E8975" t="inlineStr">
        <is>
          <t>HULTSFRED</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41207-2023</t>
        </is>
      </c>
      <c r="B8976" s="1" t="n">
        <v>45174</v>
      </c>
      <c r="C8976" s="1" t="n">
        <v>45715</v>
      </c>
      <c r="D8976" t="inlineStr">
        <is>
          <t>KALMAR LÄN</t>
        </is>
      </c>
      <c r="E8976" t="inlineStr">
        <is>
          <t>OSKARSHAMN</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41215-2023</t>
        </is>
      </c>
      <c r="B8977" s="1" t="n">
        <v>45174</v>
      </c>
      <c r="C8977" s="1" t="n">
        <v>45715</v>
      </c>
      <c r="D8977" t="inlineStr">
        <is>
          <t>KALMAR LÄN</t>
        </is>
      </c>
      <c r="E8977" t="inlineStr">
        <is>
          <t>OSKARSHAMN</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41311-2023</t>
        </is>
      </c>
      <c r="B8978" s="1" t="n">
        <v>45174</v>
      </c>
      <c r="C8978" s="1" t="n">
        <v>45715</v>
      </c>
      <c r="D8978" t="inlineStr">
        <is>
          <t>KALMAR LÄN</t>
        </is>
      </c>
      <c r="E8978" t="inlineStr">
        <is>
          <t>VIMMERBY</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41373-2023</t>
        </is>
      </c>
      <c r="B8979" s="1" t="n">
        <v>45174</v>
      </c>
      <c r="C8979" s="1" t="n">
        <v>45715</v>
      </c>
      <c r="D8979" t="inlineStr">
        <is>
          <t>KALMAR LÄN</t>
        </is>
      </c>
      <c r="E8979" t="inlineStr">
        <is>
          <t>OSKARSHAMN</t>
        </is>
      </c>
      <c r="F8979" t="inlineStr">
        <is>
          <t>Sveaskog</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41377-2023</t>
        </is>
      </c>
      <c r="B8980" s="1" t="n">
        <v>45174</v>
      </c>
      <c r="C8980" s="1" t="n">
        <v>45715</v>
      </c>
      <c r="D8980" t="inlineStr">
        <is>
          <t>KALMAR LÄN</t>
        </is>
      </c>
      <c r="E8980" t="inlineStr">
        <is>
          <t>OSKARSHAMN</t>
        </is>
      </c>
      <c r="F8980" t="inlineStr">
        <is>
          <t>Sveaskog</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41158-2023</t>
        </is>
      </c>
      <c r="B8981" s="1" t="n">
        <v>45174</v>
      </c>
      <c r="C8981" s="1" t="n">
        <v>45715</v>
      </c>
      <c r="D8981" t="inlineStr">
        <is>
          <t>KALMAR LÄN</t>
        </is>
      </c>
      <c r="E8981" t="inlineStr">
        <is>
          <t>VIMMERBY</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41194-2023</t>
        </is>
      </c>
      <c r="B8982" s="1" t="n">
        <v>45174</v>
      </c>
      <c r="C8982" s="1" t="n">
        <v>45715</v>
      </c>
      <c r="D8982" t="inlineStr">
        <is>
          <t>KALMAR LÄN</t>
        </is>
      </c>
      <c r="E8982" t="inlineStr">
        <is>
          <t>MÖNSTERÅS</t>
        </is>
      </c>
      <c r="G8982" t="n">
        <v>4</v>
      </c>
      <c r="H8982" t="n">
        <v>0</v>
      </c>
      <c r="I8982" t="n">
        <v>0</v>
      </c>
      <c r="J8982" t="n">
        <v>0</v>
      </c>
      <c r="K8982" t="n">
        <v>0</v>
      </c>
      <c r="L8982" t="n">
        <v>0</v>
      </c>
      <c r="M8982" t="n">
        <v>0</v>
      </c>
      <c r="N8982" t="n">
        <v>0</v>
      </c>
      <c r="O8982" t="n">
        <v>0</v>
      </c>
      <c r="P8982" t="n">
        <v>0</v>
      </c>
      <c r="Q8982" t="n">
        <v>0</v>
      </c>
      <c r="R8982" s="2" t="inlineStr"/>
    </row>
    <row r="8983" ht="15" customHeight="1">
      <c r="A8983" t="inlineStr">
        <is>
          <t>A 41202-2023</t>
        </is>
      </c>
      <c r="B8983" s="1" t="n">
        <v>45174</v>
      </c>
      <c r="C8983" s="1" t="n">
        <v>45715</v>
      </c>
      <c r="D8983" t="inlineStr">
        <is>
          <t>KALMAR LÄN</t>
        </is>
      </c>
      <c r="E8983" t="inlineStr">
        <is>
          <t>VIMMERBY</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41342-2023</t>
        </is>
      </c>
      <c r="B8984" s="1" t="n">
        <v>45174</v>
      </c>
      <c r="C8984" s="1" t="n">
        <v>45715</v>
      </c>
      <c r="D8984" t="inlineStr">
        <is>
          <t>KALMAR LÄN</t>
        </is>
      </c>
      <c r="E8984" t="inlineStr">
        <is>
          <t>VÄSTERVIK</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41164-2023</t>
        </is>
      </c>
      <c r="B8985" s="1" t="n">
        <v>45174</v>
      </c>
      <c r="C8985" s="1" t="n">
        <v>45715</v>
      </c>
      <c r="D8985" t="inlineStr">
        <is>
          <t>KALMAR LÄN</t>
        </is>
      </c>
      <c r="E8985" t="inlineStr">
        <is>
          <t>NYBRO</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41256-2023</t>
        </is>
      </c>
      <c r="B8986" s="1" t="n">
        <v>45174</v>
      </c>
      <c r="C8986" s="1" t="n">
        <v>45715</v>
      </c>
      <c r="D8986" t="inlineStr">
        <is>
          <t>KALMAR LÄN</t>
        </is>
      </c>
      <c r="E8986" t="inlineStr">
        <is>
          <t>OSKARSHAMN</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41376-2023</t>
        </is>
      </c>
      <c r="B8987" s="1" t="n">
        <v>45174</v>
      </c>
      <c r="C8987" s="1" t="n">
        <v>45715</v>
      </c>
      <c r="D8987" t="inlineStr">
        <is>
          <t>KALMAR LÄN</t>
        </is>
      </c>
      <c r="E8987" t="inlineStr">
        <is>
          <t>OSKARSHAMN</t>
        </is>
      </c>
      <c r="F8987" t="inlineStr">
        <is>
          <t>Sveaskog</t>
        </is>
      </c>
      <c r="G8987" t="n">
        <v>11.1</v>
      </c>
      <c r="H8987" t="n">
        <v>0</v>
      </c>
      <c r="I8987" t="n">
        <v>0</v>
      </c>
      <c r="J8987" t="n">
        <v>0</v>
      </c>
      <c r="K8987" t="n">
        <v>0</v>
      </c>
      <c r="L8987" t="n">
        <v>0</v>
      </c>
      <c r="M8987" t="n">
        <v>0</v>
      </c>
      <c r="N8987" t="n">
        <v>0</v>
      </c>
      <c r="O8987" t="n">
        <v>0</v>
      </c>
      <c r="P8987" t="n">
        <v>0</v>
      </c>
      <c r="Q8987" t="n">
        <v>0</v>
      </c>
      <c r="R8987" s="2" t="inlineStr"/>
    </row>
    <row r="8988" ht="15" customHeight="1">
      <c r="A8988" t="inlineStr">
        <is>
          <t>A 41371-2023</t>
        </is>
      </c>
      <c r="B8988" s="1" t="n">
        <v>45174</v>
      </c>
      <c r="C8988" s="1" t="n">
        <v>45715</v>
      </c>
      <c r="D8988" t="inlineStr">
        <is>
          <t>KALMAR LÄN</t>
        </is>
      </c>
      <c r="E8988" t="inlineStr">
        <is>
          <t>OSKARSHAMN</t>
        </is>
      </c>
      <c r="F8988" t="inlineStr">
        <is>
          <t>Sveaskog</t>
        </is>
      </c>
      <c r="G8988" t="n">
        <v>8.9</v>
      </c>
      <c r="H8988" t="n">
        <v>0</v>
      </c>
      <c r="I8988" t="n">
        <v>0</v>
      </c>
      <c r="J8988" t="n">
        <v>0</v>
      </c>
      <c r="K8988" t="n">
        <v>0</v>
      </c>
      <c r="L8988" t="n">
        <v>0</v>
      </c>
      <c r="M8988" t="n">
        <v>0</v>
      </c>
      <c r="N8988" t="n">
        <v>0</v>
      </c>
      <c r="O8988" t="n">
        <v>0</v>
      </c>
      <c r="P8988" t="n">
        <v>0</v>
      </c>
      <c r="Q8988" t="n">
        <v>0</v>
      </c>
      <c r="R8988" s="2" t="inlineStr"/>
    </row>
    <row r="8989" ht="15" customHeight="1">
      <c r="A8989" t="inlineStr">
        <is>
          <t>A 41634-2023</t>
        </is>
      </c>
      <c r="B8989" s="1" t="n">
        <v>45175</v>
      </c>
      <c r="C8989" s="1" t="n">
        <v>45715</v>
      </c>
      <c r="D8989" t="inlineStr">
        <is>
          <t>KALMAR LÄN</t>
        </is>
      </c>
      <c r="E8989" t="inlineStr">
        <is>
          <t>KALMAR</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41447-2023</t>
        </is>
      </c>
      <c r="B8990" s="1" t="n">
        <v>45175</v>
      </c>
      <c r="C8990" s="1" t="n">
        <v>45715</v>
      </c>
      <c r="D8990" t="inlineStr">
        <is>
          <t>KALMAR LÄN</t>
        </is>
      </c>
      <c r="E8990" t="inlineStr">
        <is>
          <t>OSKARSHAMN</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41453-2023</t>
        </is>
      </c>
      <c r="B8991" s="1" t="n">
        <v>45175</v>
      </c>
      <c r="C8991" s="1" t="n">
        <v>45715</v>
      </c>
      <c r="D8991" t="inlineStr">
        <is>
          <t>KALMAR LÄN</t>
        </is>
      </c>
      <c r="E8991" t="inlineStr">
        <is>
          <t>OSKARSHAMN</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41558-2023</t>
        </is>
      </c>
      <c r="B8992" s="1" t="n">
        <v>45175</v>
      </c>
      <c r="C8992" s="1" t="n">
        <v>45715</v>
      </c>
      <c r="D8992" t="inlineStr">
        <is>
          <t>KALMAR LÄN</t>
        </is>
      </c>
      <c r="E8992" t="inlineStr">
        <is>
          <t>HÖGSBY</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42272-2023</t>
        </is>
      </c>
      <c r="B8993" s="1" t="n">
        <v>45175</v>
      </c>
      <c r="C8993" s="1" t="n">
        <v>45715</v>
      </c>
      <c r="D8993" t="inlineStr">
        <is>
          <t>KALMAR LÄN</t>
        </is>
      </c>
      <c r="E8993" t="inlineStr">
        <is>
          <t>NYBRO</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41426-2023</t>
        </is>
      </c>
      <c r="B8994" s="1" t="n">
        <v>45175</v>
      </c>
      <c r="C8994" s="1" t="n">
        <v>45715</v>
      </c>
      <c r="D8994" t="inlineStr">
        <is>
          <t>KALMAR LÄN</t>
        </is>
      </c>
      <c r="E8994" t="inlineStr">
        <is>
          <t>OSKARSHAMN</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41539-2023</t>
        </is>
      </c>
      <c r="B8995" s="1" t="n">
        <v>45175</v>
      </c>
      <c r="C8995" s="1" t="n">
        <v>45715</v>
      </c>
      <c r="D8995" t="inlineStr">
        <is>
          <t>KALMAR LÄN</t>
        </is>
      </c>
      <c r="E8995" t="inlineStr">
        <is>
          <t>OSKARSHAMN</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41633-2023</t>
        </is>
      </c>
      <c r="B8996" s="1" t="n">
        <v>45175</v>
      </c>
      <c r="C8996" s="1" t="n">
        <v>45715</v>
      </c>
      <c r="D8996" t="inlineStr">
        <is>
          <t>KALMAR LÄN</t>
        </is>
      </c>
      <c r="E8996" t="inlineStr">
        <is>
          <t>KALMAR</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41479-2023</t>
        </is>
      </c>
      <c r="B8997" s="1" t="n">
        <v>45175</v>
      </c>
      <c r="C8997" s="1" t="n">
        <v>45715</v>
      </c>
      <c r="D8997" t="inlineStr">
        <is>
          <t>KALMAR LÄN</t>
        </is>
      </c>
      <c r="E8997" t="inlineStr">
        <is>
          <t>HÖGSBY</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41632-2023</t>
        </is>
      </c>
      <c r="B8998" s="1" t="n">
        <v>45175</v>
      </c>
      <c r="C8998" s="1" t="n">
        <v>45715</v>
      </c>
      <c r="D8998" t="inlineStr">
        <is>
          <t>KALMAR LÄN</t>
        </is>
      </c>
      <c r="E8998" t="inlineStr">
        <is>
          <t>NYBRO</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41531-2023</t>
        </is>
      </c>
      <c r="B8999" s="1" t="n">
        <v>45175</v>
      </c>
      <c r="C8999" s="1" t="n">
        <v>45715</v>
      </c>
      <c r="D8999" t="inlineStr">
        <is>
          <t>KALMAR LÄN</t>
        </is>
      </c>
      <c r="E8999" t="inlineStr">
        <is>
          <t>NYBRO</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42281-2023</t>
        </is>
      </c>
      <c r="B9000" s="1" t="n">
        <v>45175</v>
      </c>
      <c r="C9000" s="1" t="n">
        <v>45715</v>
      </c>
      <c r="D9000" t="inlineStr">
        <is>
          <t>KALMAR LÄN</t>
        </is>
      </c>
      <c r="E9000" t="inlineStr">
        <is>
          <t>NYBRO</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41635-2023</t>
        </is>
      </c>
      <c r="B9001" s="1" t="n">
        <v>45175</v>
      </c>
      <c r="C9001" s="1" t="n">
        <v>45715</v>
      </c>
      <c r="D9001" t="inlineStr">
        <is>
          <t>KALMAR LÄN</t>
        </is>
      </c>
      <c r="E9001" t="inlineStr">
        <is>
          <t>NYBRO</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42277-2023</t>
        </is>
      </c>
      <c r="B9002" s="1" t="n">
        <v>45175</v>
      </c>
      <c r="C9002" s="1" t="n">
        <v>45715</v>
      </c>
      <c r="D9002" t="inlineStr">
        <is>
          <t>KALMAR LÄN</t>
        </is>
      </c>
      <c r="E9002" t="inlineStr">
        <is>
          <t>NYBRO</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42462-2023</t>
        </is>
      </c>
      <c r="B9003" s="1" t="n">
        <v>45175</v>
      </c>
      <c r="C9003" s="1" t="n">
        <v>45715</v>
      </c>
      <c r="D9003" t="inlineStr">
        <is>
          <t>KALMAR LÄN</t>
        </is>
      </c>
      <c r="E9003" t="inlineStr">
        <is>
          <t>HULTSFRED</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42394-2023</t>
        </is>
      </c>
      <c r="B9004" s="1" t="n">
        <v>45175</v>
      </c>
      <c r="C9004" s="1" t="n">
        <v>45715</v>
      </c>
      <c r="D9004" t="inlineStr">
        <is>
          <t>KALMAR LÄN</t>
        </is>
      </c>
      <c r="E9004" t="inlineStr">
        <is>
          <t>OSKARSHAMN</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42443-2023</t>
        </is>
      </c>
      <c r="B9005" s="1" t="n">
        <v>45175</v>
      </c>
      <c r="C9005" s="1" t="n">
        <v>45715</v>
      </c>
      <c r="D9005" t="inlineStr">
        <is>
          <t>KALMAR LÄN</t>
        </is>
      </c>
      <c r="E9005" t="inlineStr">
        <is>
          <t>OSKARSHAMN</t>
        </is>
      </c>
      <c r="G9005" t="n">
        <v>11.4</v>
      </c>
      <c r="H9005" t="n">
        <v>0</v>
      </c>
      <c r="I9005" t="n">
        <v>0</v>
      </c>
      <c r="J9005" t="n">
        <v>0</v>
      </c>
      <c r="K9005" t="n">
        <v>0</v>
      </c>
      <c r="L9005" t="n">
        <v>0</v>
      </c>
      <c r="M9005" t="n">
        <v>0</v>
      </c>
      <c r="N9005" t="n">
        <v>0</v>
      </c>
      <c r="O9005" t="n">
        <v>0</v>
      </c>
      <c r="P9005" t="n">
        <v>0</v>
      </c>
      <c r="Q9005" t="n">
        <v>0</v>
      </c>
      <c r="R9005" s="2" t="inlineStr"/>
    </row>
    <row r="9006" ht="15" customHeight="1">
      <c r="A9006" t="inlineStr">
        <is>
          <t>A 42255-2023</t>
        </is>
      </c>
      <c r="B9006" s="1" t="n">
        <v>45175</v>
      </c>
      <c r="C9006" s="1" t="n">
        <v>45715</v>
      </c>
      <c r="D9006" t="inlineStr">
        <is>
          <t>KALMAR LÄN</t>
        </is>
      </c>
      <c r="E9006" t="inlineStr">
        <is>
          <t>NYBRO</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42460-2023</t>
        </is>
      </c>
      <c r="B9007" s="1" t="n">
        <v>45175</v>
      </c>
      <c r="C9007" s="1" t="n">
        <v>45715</v>
      </c>
      <c r="D9007" t="inlineStr">
        <is>
          <t>KALMAR LÄN</t>
        </is>
      </c>
      <c r="E9007" t="inlineStr">
        <is>
          <t>HULTSFRED</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41706-2023</t>
        </is>
      </c>
      <c r="B9008" s="1" t="n">
        <v>45176</v>
      </c>
      <c r="C9008" s="1" t="n">
        <v>45715</v>
      </c>
      <c r="D9008" t="inlineStr">
        <is>
          <t>KALMAR LÄN</t>
        </is>
      </c>
      <c r="E9008" t="inlineStr">
        <is>
          <t>HÖGSBY</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41876-2023</t>
        </is>
      </c>
      <c r="B9009" s="1" t="n">
        <v>45176</v>
      </c>
      <c r="C9009" s="1" t="n">
        <v>45715</v>
      </c>
      <c r="D9009" t="inlineStr">
        <is>
          <t>KALMAR LÄN</t>
        </is>
      </c>
      <c r="E9009" t="inlineStr">
        <is>
          <t>HULTSFRED</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41894-2023</t>
        </is>
      </c>
      <c r="B9010" s="1" t="n">
        <v>45176</v>
      </c>
      <c r="C9010" s="1" t="n">
        <v>45715</v>
      </c>
      <c r="D9010" t="inlineStr">
        <is>
          <t>KALMAR LÄN</t>
        </is>
      </c>
      <c r="E9010" t="inlineStr">
        <is>
          <t>VIMMERBY</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41733-2023</t>
        </is>
      </c>
      <c r="B9011" s="1" t="n">
        <v>45176</v>
      </c>
      <c r="C9011" s="1" t="n">
        <v>45715</v>
      </c>
      <c r="D9011" t="inlineStr">
        <is>
          <t>KALMAR LÄN</t>
        </is>
      </c>
      <c r="E9011" t="inlineStr">
        <is>
          <t>OSKARSHAMN</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41737-2023</t>
        </is>
      </c>
      <c r="B9012" s="1" t="n">
        <v>45176</v>
      </c>
      <c r="C9012" s="1" t="n">
        <v>45715</v>
      </c>
      <c r="D9012" t="inlineStr">
        <is>
          <t>KALMAR LÄN</t>
        </is>
      </c>
      <c r="E9012" t="inlineStr">
        <is>
          <t>OSKARSHAMN</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41896-2023</t>
        </is>
      </c>
      <c r="B9013" s="1" t="n">
        <v>45176</v>
      </c>
      <c r="C9013" s="1" t="n">
        <v>45715</v>
      </c>
      <c r="D9013" t="inlineStr">
        <is>
          <t>KALMAR LÄN</t>
        </is>
      </c>
      <c r="E9013" t="inlineStr">
        <is>
          <t>VIMMERBY</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41994-2023</t>
        </is>
      </c>
      <c r="B9014" s="1" t="n">
        <v>45177</v>
      </c>
      <c r="C9014" s="1" t="n">
        <v>45715</v>
      </c>
      <c r="D9014" t="inlineStr">
        <is>
          <t>KALMAR LÄN</t>
        </is>
      </c>
      <c r="E9014" t="inlineStr">
        <is>
          <t>VÄSTERVIK</t>
        </is>
      </c>
      <c r="F9014" t="inlineStr">
        <is>
          <t>Holmen skog AB</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42036-2023</t>
        </is>
      </c>
      <c r="B9015" s="1" t="n">
        <v>45177</v>
      </c>
      <c r="C9015" s="1" t="n">
        <v>45715</v>
      </c>
      <c r="D9015" t="inlineStr">
        <is>
          <t>KALMAR LÄN</t>
        </is>
      </c>
      <c r="E9015" t="inlineStr">
        <is>
          <t>NYBRO</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42033-2023</t>
        </is>
      </c>
      <c r="B9016" s="1" t="n">
        <v>45177</v>
      </c>
      <c r="C9016" s="1" t="n">
        <v>45715</v>
      </c>
      <c r="D9016" t="inlineStr">
        <is>
          <t>KALMAR LÄN</t>
        </is>
      </c>
      <c r="E9016" t="inlineStr">
        <is>
          <t>NYBRO</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42102-2023</t>
        </is>
      </c>
      <c r="B9017" s="1" t="n">
        <v>45177</v>
      </c>
      <c r="C9017" s="1" t="n">
        <v>45715</v>
      </c>
      <c r="D9017" t="inlineStr">
        <is>
          <t>KALMAR LÄN</t>
        </is>
      </c>
      <c r="E9017" t="inlineStr">
        <is>
          <t>NYBRO</t>
        </is>
      </c>
      <c r="G9017" t="n">
        <v>9.1</v>
      </c>
      <c r="H9017" t="n">
        <v>0</v>
      </c>
      <c r="I9017" t="n">
        <v>0</v>
      </c>
      <c r="J9017" t="n">
        <v>0</v>
      </c>
      <c r="K9017" t="n">
        <v>0</v>
      </c>
      <c r="L9017" t="n">
        <v>0</v>
      </c>
      <c r="M9017" t="n">
        <v>0</v>
      </c>
      <c r="N9017" t="n">
        <v>0</v>
      </c>
      <c r="O9017" t="n">
        <v>0</v>
      </c>
      <c r="P9017" t="n">
        <v>0</v>
      </c>
      <c r="Q9017" t="n">
        <v>0</v>
      </c>
      <c r="R9017" s="2" t="inlineStr"/>
    </row>
    <row r="9018" ht="15" customHeight="1">
      <c r="A9018" t="inlineStr">
        <is>
          <t>A 42030-2023</t>
        </is>
      </c>
      <c r="B9018" s="1" t="n">
        <v>45177</v>
      </c>
      <c r="C9018" s="1" t="n">
        <v>45715</v>
      </c>
      <c r="D9018" t="inlineStr">
        <is>
          <t>KALMAR LÄN</t>
        </is>
      </c>
      <c r="E9018" t="inlineStr">
        <is>
          <t>NYBRO</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42863-2023</t>
        </is>
      </c>
      <c r="B9019" s="1" t="n">
        <v>45177</v>
      </c>
      <c r="C9019" s="1" t="n">
        <v>45715</v>
      </c>
      <c r="D9019" t="inlineStr">
        <is>
          <t>KALMAR LÄN</t>
        </is>
      </c>
      <c r="E9019" t="inlineStr">
        <is>
          <t>NYBRO</t>
        </is>
      </c>
      <c r="G9019" t="n">
        <v>7</v>
      </c>
      <c r="H9019" t="n">
        <v>0</v>
      </c>
      <c r="I9019" t="n">
        <v>0</v>
      </c>
      <c r="J9019" t="n">
        <v>0</v>
      </c>
      <c r="K9019" t="n">
        <v>0</v>
      </c>
      <c r="L9019" t="n">
        <v>0</v>
      </c>
      <c r="M9019" t="n">
        <v>0</v>
      </c>
      <c r="N9019" t="n">
        <v>0</v>
      </c>
      <c r="O9019" t="n">
        <v>0</v>
      </c>
      <c r="P9019" t="n">
        <v>0</v>
      </c>
      <c r="Q9019" t="n">
        <v>0</v>
      </c>
      <c r="R9019" s="2" t="inlineStr"/>
    </row>
    <row r="9020" ht="15" customHeight="1">
      <c r="A9020" t="inlineStr">
        <is>
          <t>A 42917-2023</t>
        </is>
      </c>
      <c r="B9020" s="1" t="n">
        <v>45177</v>
      </c>
      <c r="C9020" s="1" t="n">
        <v>45715</v>
      </c>
      <c r="D9020" t="inlineStr">
        <is>
          <t>KALMAR LÄN</t>
        </is>
      </c>
      <c r="E9020" t="inlineStr">
        <is>
          <t>NYBRO</t>
        </is>
      </c>
      <c r="F9020" t="inlineStr">
        <is>
          <t>Kyrkan</t>
        </is>
      </c>
      <c r="G9020" t="n">
        <v>6.8</v>
      </c>
      <c r="H9020" t="n">
        <v>0</v>
      </c>
      <c r="I9020" t="n">
        <v>0</v>
      </c>
      <c r="J9020" t="n">
        <v>0</v>
      </c>
      <c r="K9020" t="n">
        <v>0</v>
      </c>
      <c r="L9020" t="n">
        <v>0</v>
      </c>
      <c r="M9020" t="n">
        <v>0</v>
      </c>
      <c r="N9020" t="n">
        <v>0</v>
      </c>
      <c r="O9020" t="n">
        <v>0</v>
      </c>
      <c r="P9020" t="n">
        <v>0</v>
      </c>
      <c r="Q9020" t="n">
        <v>0</v>
      </c>
      <c r="R9020" s="2" t="inlineStr"/>
    </row>
    <row r="9021" ht="15" customHeight="1">
      <c r="A9021" t="inlineStr">
        <is>
          <t>A 42871-2023</t>
        </is>
      </c>
      <c r="B9021" s="1" t="n">
        <v>45177</v>
      </c>
      <c r="C9021" s="1" t="n">
        <v>45715</v>
      </c>
      <c r="D9021" t="inlineStr">
        <is>
          <t>KALMAR LÄN</t>
        </is>
      </c>
      <c r="E9021" t="inlineStr">
        <is>
          <t>NYBRO</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42933-2023</t>
        </is>
      </c>
      <c r="B9022" s="1" t="n">
        <v>45177</v>
      </c>
      <c r="C9022" s="1" t="n">
        <v>45715</v>
      </c>
      <c r="D9022" t="inlineStr">
        <is>
          <t>KALMAR LÄN</t>
        </is>
      </c>
      <c r="E9022" t="inlineStr">
        <is>
          <t>NYBRO</t>
        </is>
      </c>
      <c r="F9022" t="inlineStr">
        <is>
          <t>Kyrkan</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42896-2023</t>
        </is>
      </c>
      <c r="B9023" s="1" t="n">
        <v>45177</v>
      </c>
      <c r="C9023" s="1" t="n">
        <v>45715</v>
      </c>
      <c r="D9023" t="inlineStr">
        <is>
          <t>KALMAR LÄN</t>
        </is>
      </c>
      <c r="E9023" t="inlineStr">
        <is>
          <t>NYBRO</t>
        </is>
      </c>
      <c r="F9023" t="inlineStr">
        <is>
          <t>Kyrkan</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42886-2023</t>
        </is>
      </c>
      <c r="B9024" s="1" t="n">
        <v>45177</v>
      </c>
      <c r="C9024" s="1" t="n">
        <v>45715</v>
      </c>
      <c r="D9024" t="inlineStr">
        <is>
          <t>KALMAR LÄN</t>
        </is>
      </c>
      <c r="E9024" t="inlineStr">
        <is>
          <t>NYBRO</t>
        </is>
      </c>
      <c r="F9024" t="inlineStr">
        <is>
          <t>Kyrkan</t>
        </is>
      </c>
      <c r="G9024" t="n">
        <v>6.3</v>
      </c>
      <c r="H9024" t="n">
        <v>0</v>
      </c>
      <c r="I9024" t="n">
        <v>0</v>
      </c>
      <c r="J9024" t="n">
        <v>0</v>
      </c>
      <c r="K9024" t="n">
        <v>0</v>
      </c>
      <c r="L9024" t="n">
        <v>0</v>
      </c>
      <c r="M9024" t="n">
        <v>0</v>
      </c>
      <c r="N9024" t="n">
        <v>0</v>
      </c>
      <c r="O9024" t="n">
        <v>0</v>
      </c>
      <c r="P9024" t="n">
        <v>0</v>
      </c>
      <c r="Q9024" t="n">
        <v>0</v>
      </c>
      <c r="R9024" s="2" t="inlineStr"/>
    </row>
    <row r="9025" ht="15" customHeight="1">
      <c r="A9025" t="inlineStr">
        <is>
          <t>A 42172-2023</t>
        </is>
      </c>
      <c r="B9025" s="1" t="n">
        <v>45178</v>
      </c>
      <c r="C9025" s="1" t="n">
        <v>45715</v>
      </c>
      <c r="D9025" t="inlineStr">
        <is>
          <t>KALMAR LÄN</t>
        </is>
      </c>
      <c r="E9025" t="inlineStr">
        <is>
          <t>TORSÅS</t>
        </is>
      </c>
      <c r="G9025" t="n">
        <v>5.4</v>
      </c>
      <c r="H9025" t="n">
        <v>0</v>
      </c>
      <c r="I9025" t="n">
        <v>0</v>
      </c>
      <c r="J9025" t="n">
        <v>0</v>
      </c>
      <c r="K9025" t="n">
        <v>0</v>
      </c>
      <c r="L9025" t="n">
        <v>0</v>
      </c>
      <c r="M9025" t="n">
        <v>0</v>
      </c>
      <c r="N9025" t="n">
        <v>0</v>
      </c>
      <c r="O9025" t="n">
        <v>0</v>
      </c>
      <c r="P9025" t="n">
        <v>0</v>
      </c>
      <c r="Q9025" t="n">
        <v>0</v>
      </c>
      <c r="R9025" s="2" t="inlineStr"/>
    </row>
    <row r="9026" ht="15" customHeight="1">
      <c r="A9026" t="inlineStr">
        <is>
          <t>A 42229-2023</t>
        </is>
      </c>
      <c r="B9026" s="1" t="n">
        <v>45180</v>
      </c>
      <c r="C9026" s="1" t="n">
        <v>45715</v>
      </c>
      <c r="D9026" t="inlineStr">
        <is>
          <t>KALMAR LÄN</t>
        </is>
      </c>
      <c r="E9026" t="inlineStr">
        <is>
          <t>HULTSFRED</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42241-2023</t>
        </is>
      </c>
      <c r="B9027" s="1" t="n">
        <v>45180</v>
      </c>
      <c r="C9027" s="1" t="n">
        <v>45715</v>
      </c>
      <c r="D9027" t="inlineStr">
        <is>
          <t>KALMAR LÄN</t>
        </is>
      </c>
      <c r="E9027" t="inlineStr">
        <is>
          <t>VIMMERBY</t>
        </is>
      </c>
      <c r="F9027" t="inlineStr">
        <is>
          <t>Övriga Aktiebolag</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42260-2023</t>
        </is>
      </c>
      <c r="B9028" s="1" t="n">
        <v>45180</v>
      </c>
      <c r="C9028" s="1" t="n">
        <v>45715</v>
      </c>
      <c r="D9028" t="inlineStr">
        <is>
          <t>KALMAR LÄN</t>
        </is>
      </c>
      <c r="E9028" t="inlineStr">
        <is>
          <t>NYBRO</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42222-2023</t>
        </is>
      </c>
      <c r="B9029" s="1" t="n">
        <v>45180</v>
      </c>
      <c r="C9029" s="1" t="n">
        <v>45715</v>
      </c>
      <c r="D9029" t="inlineStr">
        <is>
          <t>KALMAR LÄN</t>
        </is>
      </c>
      <c r="E9029" t="inlineStr">
        <is>
          <t>HÖGSBY</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42449-2023</t>
        </is>
      </c>
      <c r="B9030" s="1" t="n">
        <v>45180</v>
      </c>
      <c r="C9030" s="1" t="n">
        <v>45715</v>
      </c>
      <c r="D9030" t="inlineStr">
        <is>
          <t>KALMAR LÄN</t>
        </is>
      </c>
      <c r="E9030" t="inlineStr">
        <is>
          <t>KALMAR</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42259-2023</t>
        </is>
      </c>
      <c r="B9031" s="1" t="n">
        <v>45180</v>
      </c>
      <c r="C9031" s="1" t="n">
        <v>45715</v>
      </c>
      <c r="D9031" t="inlineStr">
        <is>
          <t>KALMAR LÄN</t>
        </is>
      </c>
      <c r="E9031" t="inlineStr">
        <is>
          <t>KALMAR</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42261-2023</t>
        </is>
      </c>
      <c r="B9032" s="1" t="n">
        <v>45180</v>
      </c>
      <c r="C9032" s="1" t="n">
        <v>45715</v>
      </c>
      <c r="D9032" t="inlineStr">
        <is>
          <t>KALMAR LÄN</t>
        </is>
      </c>
      <c r="E9032" t="inlineStr">
        <is>
          <t>HULTSFRED</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42316-2023</t>
        </is>
      </c>
      <c r="B9033" s="1" t="n">
        <v>45180</v>
      </c>
      <c r="C9033" s="1" t="n">
        <v>45715</v>
      </c>
      <c r="D9033" t="inlineStr">
        <is>
          <t>KALMAR LÄN</t>
        </is>
      </c>
      <c r="E9033" t="inlineStr">
        <is>
          <t>HULTSFRED</t>
        </is>
      </c>
      <c r="G9033" t="n">
        <v>8.1</v>
      </c>
      <c r="H9033" t="n">
        <v>0</v>
      </c>
      <c r="I9033" t="n">
        <v>0</v>
      </c>
      <c r="J9033" t="n">
        <v>0</v>
      </c>
      <c r="K9033" t="n">
        <v>0</v>
      </c>
      <c r="L9033" t="n">
        <v>0</v>
      </c>
      <c r="M9033" t="n">
        <v>0</v>
      </c>
      <c r="N9033" t="n">
        <v>0</v>
      </c>
      <c r="O9033" t="n">
        <v>0</v>
      </c>
      <c r="P9033" t="n">
        <v>0</v>
      </c>
      <c r="Q9033" t="n">
        <v>0</v>
      </c>
      <c r="R9033" s="2" t="inlineStr"/>
    </row>
    <row r="9034" ht="15" customHeight="1">
      <c r="A9034" t="inlineStr">
        <is>
          <t>A 42279-2023</t>
        </is>
      </c>
      <c r="B9034" s="1" t="n">
        <v>45180</v>
      </c>
      <c r="C9034" s="1" t="n">
        <v>45715</v>
      </c>
      <c r="D9034" t="inlineStr">
        <is>
          <t>KALMAR LÄN</t>
        </is>
      </c>
      <c r="E9034" t="inlineStr">
        <is>
          <t>EMMABODA</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42341-2023</t>
        </is>
      </c>
      <c r="B9035" s="1" t="n">
        <v>45180</v>
      </c>
      <c r="C9035" s="1" t="n">
        <v>45715</v>
      </c>
      <c r="D9035" t="inlineStr">
        <is>
          <t>KALMAR LÄN</t>
        </is>
      </c>
      <c r="E9035" t="inlineStr">
        <is>
          <t>OSKARSHAMN</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42398-2023</t>
        </is>
      </c>
      <c r="B9036" s="1" t="n">
        <v>45180</v>
      </c>
      <c r="C9036" s="1" t="n">
        <v>45715</v>
      </c>
      <c r="D9036" t="inlineStr">
        <is>
          <t>KALMAR LÄN</t>
        </is>
      </c>
      <c r="E9036" t="inlineStr">
        <is>
          <t>KALMAR</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42415-2023</t>
        </is>
      </c>
      <c r="B9037" s="1" t="n">
        <v>45180</v>
      </c>
      <c r="C9037" s="1" t="n">
        <v>45715</v>
      </c>
      <c r="D9037" t="inlineStr">
        <is>
          <t>KALMAR LÄN</t>
        </is>
      </c>
      <c r="E9037" t="inlineStr">
        <is>
          <t>VÄSTERVIK</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42452-2023</t>
        </is>
      </c>
      <c r="B9038" s="1" t="n">
        <v>45180</v>
      </c>
      <c r="C9038" s="1" t="n">
        <v>45715</v>
      </c>
      <c r="D9038" t="inlineStr">
        <is>
          <t>KALMAR LÄN</t>
        </is>
      </c>
      <c r="E9038" t="inlineStr">
        <is>
          <t>KALMAR</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42331-2023</t>
        </is>
      </c>
      <c r="B9039" s="1" t="n">
        <v>45180</v>
      </c>
      <c r="C9039" s="1" t="n">
        <v>45715</v>
      </c>
      <c r="D9039" t="inlineStr">
        <is>
          <t>KALMAR LÄN</t>
        </is>
      </c>
      <c r="E9039" t="inlineStr">
        <is>
          <t>VÄSTERVIK</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42348-2023</t>
        </is>
      </c>
      <c r="B9040" s="1" t="n">
        <v>45180</v>
      </c>
      <c r="C9040" s="1" t="n">
        <v>45715</v>
      </c>
      <c r="D9040" t="inlineStr">
        <is>
          <t>KALMAR LÄN</t>
        </is>
      </c>
      <c r="E9040" t="inlineStr">
        <is>
          <t>VÄSTERVIK</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42434-2023</t>
        </is>
      </c>
      <c r="B9041" s="1" t="n">
        <v>45180</v>
      </c>
      <c r="C9041" s="1" t="n">
        <v>45715</v>
      </c>
      <c r="D9041" t="inlineStr">
        <is>
          <t>KALMAR LÄN</t>
        </is>
      </c>
      <c r="E9041" t="inlineStr">
        <is>
          <t>HULTSFRED</t>
        </is>
      </c>
      <c r="F9041" t="inlineStr">
        <is>
          <t>Sveaskog</t>
        </is>
      </c>
      <c r="G9041" t="n">
        <v>0.3</v>
      </c>
      <c r="H9041" t="n">
        <v>0</v>
      </c>
      <c r="I9041" t="n">
        <v>0</v>
      </c>
      <c r="J9041" t="n">
        <v>0</v>
      </c>
      <c r="K9041" t="n">
        <v>0</v>
      </c>
      <c r="L9041" t="n">
        <v>0</v>
      </c>
      <c r="M9041" t="n">
        <v>0</v>
      </c>
      <c r="N9041" t="n">
        <v>0</v>
      </c>
      <c r="O9041" t="n">
        <v>0</v>
      </c>
      <c r="P9041" t="n">
        <v>0</v>
      </c>
      <c r="Q9041" t="n">
        <v>0</v>
      </c>
      <c r="R9041" s="2" t="inlineStr"/>
    </row>
    <row r="9042" ht="15" customHeight="1">
      <c r="A9042" t="inlineStr">
        <is>
          <t>A 42438-2023</t>
        </is>
      </c>
      <c r="B9042" s="1" t="n">
        <v>45180</v>
      </c>
      <c r="C9042" s="1" t="n">
        <v>45715</v>
      </c>
      <c r="D9042" t="inlineStr">
        <is>
          <t>KALMAR LÄN</t>
        </is>
      </c>
      <c r="E9042" t="inlineStr">
        <is>
          <t>HULTSFRED</t>
        </is>
      </c>
      <c r="F9042" t="inlineStr">
        <is>
          <t>Sveaskog</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42569-2023</t>
        </is>
      </c>
      <c r="B9043" s="1" t="n">
        <v>45181</v>
      </c>
      <c r="C9043" s="1" t="n">
        <v>45715</v>
      </c>
      <c r="D9043" t="inlineStr">
        <is>
          <t>KALMAR LÄN</t>
        </is>
      </c>
      <c r="E9043" t="inlineStr">
        <is>
          <t>HÖGSBY</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42574-2023</t>
        </is>
      </c>
      <c r="B9044" s="1" t="n">
        <v>45181</v>
      </c>
      <c r="C9044" s="1" t="n">
        <v>45715</v>
      </c>
      <c r="D9044" t="inlineStr">
        <is>
          <t>KALMAR LÄN</t>
        </is>
      </c>
      <c r="E9044" t="inlineStr">
        <is>
          <t>HÖGSBY</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42684-2023</t>
        </is>
      </c>
      <c r="B9045" s="1" t="n">
        <v>45181</v>
      </c>
      <c r="C9045" s="1" t="n">
        <v>45715</v>
      </c>
      <c r="D9045" t="inlineStr">
        <is>
          <t>KALMAR LÄN</t>
        </is>
      </c>
      <c r="E9045" t="inlineStr">
        <is>
          <t>EMMABODA</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42689-2023</t>
        </is>
      </c>
      <c r="B9046" s="1" t="n">
        <v>45181</v>
      </c>
      <c r="C9046" s="1" t="n">
        <v>45715</v>
      </c>
      <c r="D9046" t="inlineStr">
        <is>
          <t>KALMAR LÄN</t>
        </is>
      </c>
      <c r="E9046" t="inlineStr">
        <is>
          <t>VIMMERBY</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42700-2023</t>
        </is>
      </c>
      <c r="B9047" s="1" t="n">
        <v>45181</v>
      </c>
      <c r="C9047" s="1" t="n">
        <v>45715</v>
      </c>
      <c r="D9047" t="inlineStr">
        <is>
          <t>KALMAR LÄN</t>
        </is>
      </c>
      <c r="E9047" t="inlineStr">
        <is>
          <t>TORSÅS</t>
        </is>
      </c>
      <c r="G9047" t="n">
        <v>4.8</v>
      </c>
      <c r="H9047" t="n">
        <v>0</v>
      </c>
      <c r="I9047" t="n">
        <v>0</v>
      </c>
      <c r="J9047" t="n">
        <v>0</v>
      </c>
      <c r="K9047" t="n">
        <v>0</v>
      </c>
      <c r="L9047" t="n">
        <v>0</v>
      </c>
      <c r="M9047" t="n">
        <v>0</v>
      </c>
      <c r="N9047" t="n">
        <v>0</v>
      </c>
      <c r="O9047" t="n">
        <v>0</v>
      </c>
      <c r="P9047" t="n">
        <v>0</v>
      </c>
      <c r="Q9047" t="n">
        <v>0</v>
      </c>
      <c r="R9047" s="2" t="inlineStr"/>
    </row>
    <row r="9048" ht="15" customHeight="1">
      <c r="A9048" t="inlineStr">
        <is>
          <t>A 42711-2023</t>
        </is>
      </c>
      <c r="B9048" s="1" t="n">
        <v>45181</v>
      </c>
      <c r="C9048" s="1" t="n">
        <v>45715</v>
      </c>
      <c r="D9048" t="inlineStr">
        <is>
          <t>KALMAR LÄN</t>
        </is>
      </c>
      <c r="E9048" t="inlineStr">
        <is>
          <t>NYBRO</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42644-2023</t>
        </is>
      </c>
      <c r="B9049" s="1" t="n">
        <v>45181</v>
      </c>
      <c r="C9049" s="1" t="n">
        <v>45715</v>
      </c>
      <c r="D9049" t="inlineStr">
        <is>
          <t>KALMAR LÄN</t>
        </is>
      </c>
      <c r="E9049" t="inlineStr">
        <is>
          <t>VIMMERBY</t>
        </is>
      </c>
      <c r="G9049" t="n">
        <v>6.7</v>
      </c>
      <c r="H9049" t="n">
        <v>0</v>
      </c>
      <c r="I9049" t="n">
        <v>0</v>
      </c>
      <c r="J9049" t="n">
        <v>0</v>
      </c>
      <c r="K9049" t="n">
        <v>0</v>
      </c>
      <c r="L9049" t="n">
        <v>0</v>
      </c>
      <c r="M9049" t="n">
        <v>0</v>
      </c>
      <c r="N9049" t="n">
        <v>0</v>
      </c>
      <c r="O9049" t="n">
        <v>0</v>
      </c>
      <c r="P9049" t="n">
        <v>0</v>
      </c>
      <c r="Q9049" t="n">
        <v>0</v>
      </c>
      <c r="R9049" s="2" t="inlineStr"/>
    </row>
    <row r="9050" ht="15" customHeight="1">
      <c r="A9050" t="inlineStr">
        <is>
          <t>A 42678-2023</t>
        </is>
      </c>
      <c r="B9050" s="1" t="n">
        <v>45181</v>
      </c>
      <c r="C9050" s="1" t="n">
        <v>45715</v>
      </c>
      <c r="D9050" t="inlineStr">
        <is>
          <t>KALMAR LÄN</t>
        </is>
      </c>
      <c r="E9050" t="inlineStr">
        <is>
          <t>EMMABODA</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42655-2023</t>
        </is>
      </c>
      <c r="B9051" s="1" t="n">
        <v>45181</v>
      </c>
      <c r="C9051" s="1" t="n">
        <v>45715</v>
      </c>
      <c r="D9051" t="inlineStr">
        <is>
          <t>KALMAR LÄN</t>
        </is>
      </c>
      <c r="E9051" t="inlineStr">
        <is>
          <t>KALMAR</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42883-2023</t>
        </is>
      </c>
      <c r="B9052" s="1" t="n">
        <v>45182</v>
      </c>
      <c r="C9052" s="1" t="n">
        <v>45715</v>
      </c>
      <c r="D9052" t="inlineStr">
        <is>
          <t>KALMAR LÄN</t>
        </is>
      </c>
      <c r="E9052" t="inlineStr">
        <is>
          <t>HÖGSBY</t>
        </is>
      </c>
      <c r="F9052" t="inlineStr">
        <is>
          <t>Sveaskog</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42897-2023</t>
        </is>
      </c>
      <c r="B9053" s="1" t="n">
        <v>45182</v>
      </c>
      <c r="C9053" s="1" t="n">
        <v>45715</v>
      </c>
      <c r="D9053" t="inlineStr">
        <is>
          <t>KALMAR LÄN</t>
        </is>
      </c>
      <c r="E9053" t="inlineStr">
        <is>
          <t>TORSÅS</t>
        </is>
      </c>
      <c r="G9053" t="n">
        <v>0.3</v>
      </c>
      <c r="H9053" t="n">
        <v>0</v>
      </c>
      <c r="I9053" t="n">
        <v>0</v>
      </c>
      <c r="J9053" t="n">
        <v>0</v>
      </c>
      <c r="K9053" t="n">
        <v>0</v>
      </c>
      <c r="L9053" t="n">
        <v>0</v>
      </c>
      <c r="M9053" t="n">
        <v>0</v>
      </c>
      <c r="N9053" t="n">
        <v>0</v>
      </c>
      <c r="O9053" t="n">
        <v>0</v>
      </c>
      <c r="P9053" t="n">
        <v>0</v>
      </c>
      <c r="Q9053" t="n">
        <v>0</v>
      </c>
      <c r="R9053" s="2" t="inlineStr"/>
    </row>
    <row r="9054" ht="15" customHeight="1">
      <c r="A9054" t="inlineStr">
        <is>
          <t>A 42909-2023</t>
        </is>
      </c>
      <c r="B9054" s="1" t="n">
        <v>45182</v>
      </c>
      <c r="C9054" s="1" t="n">
        <v>45715</v>
      </c>
      <c r="D9054" t="inlineStr">
        <is>
          <t>KALMAR LÄN</t>
        </is>
      </c>
      <c r="E9054" t="inlineStr">
        <is>
          <t>TORSÅS</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42927-2023</t>
        </is>
      </c>
      <c r="B9055" s="1" t="n">
        <v>45182</v>
      </c>
      <c r="C9055" s="1" t="n">
        <v>45715</v>
      </c>
      <c r="D9055" t="inlineStr">
        <is>
          <t>KALMAR LÄN</t>
        </is>
      </c>
      <c r="E9055" t="inlineStr">
        <is>
          <t>MÖNSTERÅS</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42943-2023</t>
        </is>
      </c>
      <c r="B9056" s="1" t="n">
        <v>45182</v>
      </c>
      <c r="C9056" s="1" t="n">
        <v>45715</v>
      </c>
      <c r="D9056" t="inlineStr">
        <is>
          <t>KALMAR LÄN</t>
        </is>
      </c>
      <c r="E9056" t="inlineStr">
        <is>
          <t>EMMABODA</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42953-2023</t>
        </is>
      </c>
      <c r="B9057" s="1" t="n">
        <v>45182</v>
      </c>
      <c r="C9057" s="1" t="n">
        <v>45715</v>
      </c>
      <c r="D9057" t="inlineStr">
        <is>
          <t>KALMAR LÄN</t>
        </is>
      </c>
      <c r="E9057" t="inlineStr">
        <is>
          <t>KALMAR</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43038-2023</t>
        </is>
      </c>
      <c r="B9058" s="1" t="n">
        <v>45182</v>
      </c>
      <c r="C9058" s="1" t="n">
        <v>45715</v>
      </c>
      <c r="D9058" t="inlineStr">
        <is>
          <t>KALMAR LÄN</t>
        </is>
      </c>
      <c r="E9058" t="inlineStr">
        <is>
          <t>KALMAR</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42817-2023</t>
        </is>
      </c>
      <c r="B9059" s="1" t="n">
        <v>45182</v>
      </c>
      <c r="C9059" s="1" t="n">
        <v>45715</v>
      </c>
      <c r="D9059" t="inlineStr">
        <is>
          <t>KALMAR LÄN</t>
        </is>
      </c>
      <c r="E9059" t="inlineStr">
        <is>
          <t>NYBRO</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42889-2023</t>
        </is>
      </c>
      <c r="B9060" s="1" t="n">
        <v>45182</v>
      </c>
      <c r="C9060" s="1" t="n">
        <v>45715</v>
      </c>
      <c r="D9060" t="inlineStr">
        <is>
          <t>KALMAR LÄN</t>
        </is>
      </c>
      <c r="E9060" t="inlineStr">
        <is>
          <t>MÖNSTERÅS</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42910-2023</t>
        </is>
      </c>
      <c r="B9061" s="1" t="n">
        <v>45182</v>
      </c>
      <c r="C9061" s="1" t="n">
        <v>45715</v>
      </c>
      <c r="D9061" t="inlineStr">
        <is>
          <t>KALMAR LÄN</t>
        </is>
      </c>
      <c r="E9061" t="inlineStr">
        <is>
          <t>TORSÅS</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42924-2023</t>
        </is>
      </c>
      <c r="B9062" s="1" t="n">
        <v>45182</v>
      </c>
      <c r="C9062" s="1" t="n">
        <v>45715</v>
      </c>
      <c r="D9062" t="inlineStr">
        <is>
          <t>KALMAR LÄN</t>
        </is>
      </c>
      <c r="E9062" t="inlineStr">
        <is>
          <t>MÖNSTERÅS</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42885-2023</t>
        </is>
      </c>
      <c r="B9063" s="1" t="n">
        <v>45182</v>
      </c>
      <c r="C9063" s="1" t="n">
        <v>45715</v>
      </c>
      <c r="D9063" t="inlineStr">
        <is>
          <t>KALMAR LÄN</t>
        </is>
      </c>
      <c r="E9063" t="inlineStr">
        <is>
          <t>MÖNSTERÅS</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42940-2023</t>
        </is>
      </c>
      <c r="B9064" s="1" t="n">
        <v>45182</v>
      </c>
      <c r="C9064" s="1" t="n">
        <v>45715</v>
      </c>
      <c r="D9064" t="inlineStr">
        <is>
          <t>KALMAR LÄN</t>
        </is>
      </c>
      <c r="E9064" t="inlineStr">
        <is>
          <t>MÖNSTERÅS</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42911-2023</t>
        </is>
      </c>
      <c r="B9065" s="1" t="n">
        <v>45182</v>
      </c>
      <c r="C9065" s="1" t="n">
        <v>45715</v>
      </c>
      <c r="D9065" t="inlineStr">
        <is>
          <t>KALMAR LÄN</t>
        </is>
      </c>
      <c r="E9065" t="inlineStr">
        <is>
          <t>TORSÅS</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42920-2023</t>
        </is>
      </c>
      <c r="B9066" s="1" t="n">
        <v>45182</v>
      </c>
      <c r="C9066" s="1" t="n">
        <v>45715</v>
      </c>
      <c r="D9066" t="inlineStr">
        <is>
          <t>KALMAR LÄN</t>
        </is>
      </c>
      <c r="E9066" t="inlineStr">
        <is>
          <t>TORSÅS</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42925-2023</t>
        </is>
      </c>
      <c r="B9067" s="1" t="n">
        <v>45182</v>
      </c>
      <c r="C9067" s="1" t="n">
        <v>45715</v>
      </c>
      <c r="D9067" t="inlineStr">
        <is>
          <t>KALMAR LÄN</t>
        </is>
      </c>
      <c r="E9067" t="inlineStr">
        <is>
          <t>MÖNSTERÅS</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43043-2023</t>
        </is>
      </c>
      <c r="B9068" s="1" t="n">
        <v>45182</v>
      </c>
      <c r="C9068" s="1" t="n">
        <v>45715</v>
      </c>
      <c r="D9068" t="inlineStr">
        <is>
          <t>KALMAR LÄN</t>
        </is>
      </c>
      <c r="E9068" t="inlineStr">
        <is>
          <t>KALMAR</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42941-2023</t>
        </is>
      </c>
      <c r="B9069" s="1" t="n">
        <v>45182</v>
      </c>
      <c r="C9069" s="1" t="n">
        <v>45715</v>
      </c>
      <c r="D9069" t="inlineStr">
        <is>
          <t>KALMAR LÄN</t>
        </is>
      </c>
      <c r="E9069" t="inlineStr">
        <is>
          <t>MÖNSTERÅS</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43052-2023</t>
        </is>
      </c>
      <c r="B9070" s="1" t="n">
        <v>45182</v>
      </c>
      <c r="C9070" s="1" t="n">
        <v>45715</v>
      </c>
      <c r="D9070" t="inlineStr">
        <is>
          <t>KALMAR LÄN</t>
        </is>
      </c>
      <c r="E9070" t="inlineStr">
        <is>
          <t>NYBRO</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42908-2023</t>
        </is>
      </c>
      <c r="B9071" s="1" t="n">
        <v>45182</v>
      </c>
      <c r="C9071" s="1" t="n">
        <v>45715</v>
      </c>
      <c r="D9071" t="inlineStr">
        <is>
          <t>KALMAR LÄN</t>
        </is>
      </c>
      <c r="E9071" t="inlineStr">
        <is>
          <t>TORSÅS</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42912-2023</t>
        </is>
      </c>
      <c r="B9072" s="1" t="n">
        <v>45182</v>
      </c>
      <c r="C9072" s="1" t="n">
        <v>45715</v>
      </c>
      <c r="D9072" t="inlineStr">
        <is>
          <t>KALMAR LÄN</t>
        </is>
      </c>
      <c r="E9072" t="inlineStr">
        <is>
          <t>TORSÅS</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42921-2023</t>
        </is>
      </c>
      <c r="B9073" s="1" t="n">
        <v>45182</v>
      </c>
      <c r="C9073" s="1" t="n">
        <v>45715</v>
      </c>
      <c r="D9073" t="inlineStr">
        <is>
          <t>KALMAR LÄN</t>
        </is>
      </c>
      <c r="E9073" t="inlineStr">
        <is>
          <t>MÖNSTERÅS</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42819-2023</t>
        </is>
      </c>
      <c r="B9074" s="1" t="n">
        <v>45182</v>
      </c>
      <c r="C9074" s="1" t="n">
        <v>45715</v>
      </c>
      <c r="D9074" t="inlineStr">
        <is>
          <t>KALMAR LÄN</t>
        </is>
      </c>
      <c r="E9074" t="inlineStr">
        <is>
          <t>OSKARSHAMN</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43068-2023</t>
        </is>
      </c>
      <c r="B9075" s="1" t="n">
        <v>45182</v>
      </c>
      <c r="C9075" s="1" t="n">
        <v>45715</v>
      </c>
      <c r="D9075" t="inlineStr">
        <is>
          <t>KALMAR LÄN</t>
        </is>
      </c>
      <c r="E9075" t="inlineStr">
        <is>
          <t>VIMMERBY</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42961-2023</t>
        </is>
      </c>
      <c r="B9076" s="1" t="n">
        <v>45182</v>
      </c>
      <c r="C9076" s="1" t="n">
        <v>45715</v>
      </c>
      <c r="D9076" t="inlineStr">
        <is>
          <t>KALMAR LÄN</t>
        </is>
      </c>
      <c r="E9076" t="inlineStr">
        <is>
          <t>HULTSFRED</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42820-2023</t>
        </is>
      </c>
      <c r="B9077" s="1" t="n">
        <v>45182</v>
      </c>
      <c r="C9077" s="1" t="n">
        <v>45715</v>
      </c>
      <c r="D9077" t="inlineStr">
        <is>
          <t>KALMAR LÄN</t>
        </is>
      </c>
      <c r="E9077" t="inlineStr">
        <is>
          <t>OSKARSHAMN</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42831-2023</t>
        </is>
      </c>
      <c r="B9078" s="1" t="n">
        <v>45182</v>
      </c>
      <c r="C9078" s="1" t="n">
        <v>45715</v>
      </c>
      <c r="D9078" t="inlineStr">
        <is>
          <t>KALMAR LÄN</t>
        </is>
      </c>
      <c r="E9078" t="inlineStr">
        <is>
          <t>OSKARSHAMN</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42836-2023</t>
        </is>
      </c>
      <c r="B9079" s="1" t="n">
        <v>45182</v>
      </c>
      <c r="C9079" s="1" t="n">
        <v>45715</v>
      </c>
      <c r="D9079" t="inlineStr">
        <is>
          <t>KALMAR LÄN</t>
        </is>
      </c>
      <c r="E9079" t="inlineStr">
        <is>
          <t>EMMABODA</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43174-2023</t>
        </is>
      </c>
      <c r="B9080" s="1" t="n">
        <v>45183</v>
      </c>
      <c r="C9080" s="1" t="n">
        <v>45715</v>
      </c>
      <c r="D9080" t="inlineStr">
        <is>
          <t>KALMAR LÄN</t>
        </is>
      </c>
      <c r="E9080" t="inlineStr">
        <is>
          <t>TORSÅS</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43213-2023</t>
        </is>
      </c>
      <c r="B9081" s="1" t="n">
        <v>45183</v>
      </c>
      <c r="C9081" s="1" t="n">
        <v>45715</v>
      </c>
      <c r="D9081" t="inlineStr">
        <is>
          <t>KALMAR LÄN</t>
        </is>
      </c>
      <c r="E9081" t="inlineStr">
        <is>
          <t>HÖGSBY</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43167-2023</t>
        </is>
      </c>
      <c r="B9082" s="1" t="n">
        <v>45183</v>
      </c>
      <c r="C9082" s="1" t="n">
        <v>45715</v>
      </c>
      <c r="D9082" t="inlineStr">
        <is>
          <t>KALMAR LÄN</t>
        </is>
      </c>
      <c r="E9082" t="inlineStr">
        <is>
          <t>HULTSFRED</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43309-2023</t>
        </is>
      </c>
      <c r="B9083" s="1" t="n">
        <v>45183</v>
      </c>
      <c r="C9083" s="1" t="n">
        <v>45715</v>
      </c>
      <c r="D9083" t="inlineStr">
        <is>
          <t>KALMAR LÄN</t>
        </is>
      </c>
      <c r="E9083" t="inlineStr">
        <is>
          <t>KALMAR</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43560-2023</t>
        </is>
      </c>
      <c r="B9084" s="1" t="n">
        <v>45184</v>
      </c>
      <c r="C9084" s="1" t="n">
        <v>45715</v>
      </c>
      <c r="D9084" t="inlineStr">
        <is>
          <t>KALMAR LÄN</t>
        </is>
      </c>
      <c r="E9084" t="inlineStr">
        <is>
          <t>HULTSFRED</t>
        </is>
      </c>
      <c r="G9084" t="n">
        <v>10.2</v>
      </c>
      <c r="H9084" t="n">
        <v>0</v>
      </c>
      <c r="I9084" t="n">
        <v>0</v>
      </c>
      <c r="J9084" t="n">
        <v>0</v>
      </c>
      <c r="K9084" t="n">
        <v>0</v>
      </c>
      <c r="L9084" t="n">
        <v>0</v>
      </c>
      <c r="M9084" t="n">
        <v>0</v>
      </c>
      <c r="N9084" t="n">
        <v>0</v>
      </c>
      <c r="O9084" t="n">
        <v>0</v>
      </c>
      <c r="P9084" t="n">
        <v>0</v>
      </c>
      <c r="Q9084" t="n">
        <v>0</v>
      </c>
      <c r="R9084" s="2" t="inlineStr"/>
    </row>
    <row r="9085" ht="15" customHeight="1">
      <c r="A9085" t="inlineStr">
        <is>
          <t>A 43583-2023</t>
        </is>
      </c>
      <c r="B9085" s="1" t="n">
        <v>45184</v>
      </c>
      <c r="C9085" s="1" t="n">
        <v>45715</v>
      </c>
      <c r="D9085" t="inlineStr">
        <is>
          <t>KALMAR LÄN</t>
        </is>
      </c>
      <c r="E9085" t="inlineStr">
        <is>
          <t>MÖNSTERÅS</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43623-2023</t>
        </is>
      </c>
      <c r="B9086" s="1" t="n">
        <v>45184</v>
      </c>
      <c r="C9086" s="1" t="n">
        <v>45715</v>
      </c>
      <c r="D9086" t="inlineStr">
        <is>
          <t>KALMAR LÄN</t>
        </is>
      </c>
      <c r="E9086" t="inlineStr">
        <is>
          <t>HULTSFRED</t>
        </is>
      </c>
      <c r="G9086" t="n">
        <v>2.4</v>
      </c>
      <c r="H9086" t="n">
        <v>0</v>
      </c>
      <c r="I9086" t="n">
        <v>0</v>
      </c>
      <c r="J9086" t="n">
        <v>0</v>
      </c>
      <c r="K9086" t="n">
        <v>0</v>
      </c>
      <c r="L9086" t="n">
        <v>0</v>
      </c>
      <c r="M9086" t="n">
        <v>0</v>
      </c>
      <c r="N9086" t="n">
        <v>0</v>
      </c>
      <c r="O9086" t="n">
        <v>0</v>
      </c>
      <c r="P9086" t="n">
        <v>0</v>
      </c>
      <c r="Q9086" t="n">
        <v>0</v>
      </c>
      <c r="R9086" s="2" t="inlineStr"/>
      <c r="U9086">
        <f>HYPERLINK("https://klasma.github.io/Logging_0860/knärot/A 43623-2023 karta knärot.png", "A 43623-2023")</f>
        <v/>
      </c>
      <c r="V9086">
        <f>HYPERLINK("https://klasma.github.io/Logging_0860/klagomål/A 43623-2023 FSC-klagomål.docx", "A 43623-2023")</f>
        <v/>
      </c>
      <c r="W9086">
        <f>HYPERLINK("https://klasma.github.io/Logging_0860/klagomålsmail/A 43623-2023 FSC-klagomål mail.docx", "A 43623-2023")</f>
        <v/>
      </c>
      <c r="X9086">
        <f>HYPERLINK("https://klasma.github.io/Logging_0860/tillsyn/A 43623-2023 tillsynsbegäran.docx", "A 43623-2023")</f>
        <v/>
      </c>
      <c r="Y9086">
        <f>HYPERLINK("https://klasma.github.io/Logging_0860/tillsynsmail/A 43623-2023 tillsynsbegäran mail.docx", "A 43623-2023")</f>
        <v/>
      </c>
    </row>
    <row r="9087" ht="15" customHeight="1">
      <c r="A9087" t="inlineStr">
        <is>
          <t>A 43632-2023</t>
        </is>
      </c>
      <c r="B9087" s="1" t="n">
        <v>45185</v>
      </c>
      <c r="C9087" s="1" t="n">
        <v>45715</v>
      </c>
      <c r="D9087" t="inlineStr">
        <is>
          <t>KALMAR LÄN</t>
        </is>
      </c>
      <c r="E9087" t="inlineStr">
        <is>
          <t>HULTSFRED</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43633-2023</t>
        </is>
      </c>
      <c r="B9088" s="1" t="n">
        <v>45185</v>
      </c>
      <c r="C9088" s="1" t="n">
        <v>45715</v>
      </c>
      <c r="D9088" t="inlineStr">
        <is>
          <t>KALMAR LÄN</t>
        </is>
      </c>
      <c r="E9088" t="inlineStr">
        <is>
          <t>HULTSFRED</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43660-2023</t>
        </is>
      </c>
      <c r="B9089" s="1" t="n">
        <v>45187</v>
      </c>
      <c r="C9089" s="1" t="n">
        <v>45715</v>
      </c>
      <c r="D9089" t="inlineStr">
        <is>
          <t>KALMAR LÄN</t>
        </is>
      </c>
      <c r="E9089" t="inlineStr">
        <is>
          <t>VÄSTERVIK</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43708-2023</t>
        </is>
      </c>
      <c r="B9090" s="1" t="n">
        <v>45187</v>
      </c>
      <c r="C9090" s="1" t="n">
        <v>45715</v>
      </c>
      <c r="D9090" t="inlineStr">
        <is>
          <t>KALMAR LÄN</t>
        </is>
      </c>
      <c r="E9090" t="inlineStr">
        <is>
          <t>NYBRO</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43720-2023</t>
        </is>
      </c>
      <c r="B9091" s="1" t="n">
        <v>45187</v>
      </c>
      <c r="C9091" s="1" t="n">
        <v>45715</v>
      </c>
      <c r="D9091" t="inlineStr">
        <is>
          <t>KALMAR LÄN</t>
        </is>
      </c>
      <c r="E9091" t="inlineStr">
        <is>
          <t>NYBRO</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43705-2023</t>
        </is>
      </c>
      <c r="B9092" s="1" t="n">
        <v>45187</v>
      </c>
      <c r="C9092" s="1" t="n">
        <v>45715</v>
      </c>
      <c r="D9092" t="inlineStr">
        <is>
          <t>KALMAR LÄN</t>
        </is>
      </c>
      <c r="E9092" t="inlineStr">
        <is>
          <t>VIMMERBY</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43746-2023</t>
        </is>
      </c>
      <c r="B9093" s="1" t="n">
        <v>45187</v>
      </c>
      <c r="C9093" s="1" t="n">
        <v>45715</v>
      </c>
      <c r="D9093" t="inlineStr">
        <is>
          <t>KALMAR LÄN</t>
        </is>
      </c>
      <c r="E9093" t="inlineStr">
        <is>
          <t>EMMABODA</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43853-2023</t>
        </is>
      </c>
      <c r="B9094" s="1" t="n">
        <v>45187</v>
      </c>
      <c r="C9094" s="1" t="n">
        <v>45715</v>
      </c>
      <c r="D9094" t="inlineStr">
        <is>
          <t>KALMAR LÄN</t>
        </is>
      </c>
      <c r="E9094" t="inlineStr">
        <is>
          <t>VIMMERBY</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43719-2023</t>
        </is>
      </c>
      <c r="B9095" s="1" t="n">
        <v>45187</v>
      </c>
      <c r="C9095" s="1" t="n">
        <v>45715</v>
      </c>
      <c r="D9095" t="inlineStr">
        <is>
          <t>KALMAR LÄN</t>
        </is>
      </c>
      <c r="E9095" t="inlineStr">
        <is>
          <t>EMMABODA</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43731-2023</t>
        </is>
      </c>
      <c r="B9096" s="1" t="n">
        <v>45187</v>
      </c>
      <c r="C9096" s="1" t="n">
        <v>45715</v>
      </c>
      <c r="D9096" t="inlineStr">
        <is>
          <t>KALMAR LÄN</t>
        </is>
      </c>
      <c r="E9096" t="inlineStr">
        <is>
          <t>NYBRO</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43735-2023</t>
        </is>
      </c>
      <c r="B9097" s="1" t="n">
        <v>45187</v>
      </c>
      <c r="C9097" s="1" t="n">
        <v>45715</v>
      </c>
      <c r="D9097" t="inlineStr">
        <is>
          <t>KALMAR LÄN</t>
        </is>
      </c>
      <c r="E9097" t="inlineStr">
        <is>
          <t>EMMABODA</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43759-2023</t>
        </is>
      </c>
      <c r="B9098" s="1" t="n">
        <v>45187</v>
      </c>
      <c r="C9098" s="1" t="n">
        <v>45715</v>
      </c>
      <c r="D9098" t="inlineStr">
        <is>
          <t>KALMAR LÄN</t>
        </is>
      </c>
      <c r="E9098" t="inlineStr">
        <is>
          <t>VÄSTERVIK</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43900-2023</t>
        </is>
      </c>
      <c r="B9099" s="1" t="n">
        <v>45187</v>
      </c>
      <c r="C9099" s="1" t="n">
        <v>45715</v>
      </c>
      <c r="D9099" t="inlineStr">
        <is>
          <t>KALMAR LÄN</t>
        </is>
      </c>
      <c r="E9099" t="inlineStr">
        <is>
          <t>VÄSTERVIK</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43706-2023</t>
        </is>
      </c>
      <c r="B9100" s="1" t="n">
        <v>45187</v>
      </c>
      <c r="C9100" s="1" t="n">
        <v>45715</v>
      </c>
      <c r="D9100" t="inlineStr">
        <is>
          <t>KALMAR LÄN</t>
        </is>
      </c>
      <c r="E9100" t="inlineStr">
        <is>
          <t>VIMMERBY</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43714-2023</t>
        </is>
      </c>
      <c r="B9101" s="1" t="n">
        <v>45187</v>
      </c>
      <c r="C9101" s="1" t="n">
        <v>45715</v>
      </c>
      <c r="D9101" t="inlineStr">
        <is>
          <t>KALMAR LÄN</t>
        </is>
      </c>
      <c r="E9101" t="inlineStr">
        <is>
          <t>NYBRO</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43774-2023</t>
        </is>
      </c>
      <c r="B9102" s="1" t="n">
        <v>45187</v>
      </c>
      <c r="C9102" s="1" t="n">
        <v>45715</v>
      </c>
      <c r="D9102" t="inlineStr">
        <is>
          <t>KALMAR LÄN</t>
        </is>
      </c>
      <c r="E9102" t="inlineStr">
        <is>
          <t>VIMMERBY</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44001-2023</t>
        </is>
      </c>
      <c r="B9103" s="1" t="n">
        <v>45188</v>
      </c>
      <c r="C9103" s="1" t="n">
        <v>45715</v>
      </c>
      <c r="D9103" t="inlineStr">
        <is>
          <t>KALMAR LÄN</t>
        </is>
      </c>
      <c r="E9103" t="inlineStr">
        <is>
          <t>MÖNSTERÅS</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44046-2023</t>
        </is>
      </c>
      <c r="B9104" s="1" t="n">
        <v>45188</v>
      </c>
      <c r="C9104" s="1" t="n">
        <v>45715</v>
      </c>
      <c r="D9104" t="inlineStr">
        <is>
          <t>KALMAR LÄN</t>
        </is>
      </c>
      <c r="E9104" t="inlineStr">
        <is>
          <t>KALMAR</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44064-2023</t>
        </is>
      </c>
      <c r="B9105" s="1" t="n">
        <v>45188</v>
      </c>
      <c r="C9105" s="1" t="n">
        <v>45715</v>
      </c>
      <c r="D9105" t="inlineStr">
        <is>
          <t>KALMAR LÄN</t>
        </is>
      </c>
      <c r="E9105" t="inlineStr">
        <is>
          <t>NYBRO</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44052-2023</t>
        </is>
      </c>
      <c r="B9106" s="1" t="n">
        <v>45188</v>
      </c>
      <c r="C9106" s="1" t="n">
        <v>45715</v>
      </c>
      <c r="D9106" t="inlineStr">
        <is>
          <t>KALMAR LÄN</t>
        </is>
      </c>
      <c r="E9106" t="inlineStr">
        <is>
          <t>MÖNSTERÅS</t>
        </is>
      </c>
      <c r="G9106" t="n">
        <v>5.4</v>
      </c>
      <c r="H9106" t="n">
        <v>0</v>
      </c>
      <c r="I9106" t="n">
        <v>0</v>
      </c>
      <c r="J9106" t="n">
        <v>0</v>
      </c>
      <c r="K9106" t="n">
        <v>0</v>
      </c>
      <c r="L9106" t="n">
        <v>0</v>
      </c>
      <c r="M9106" t="n">
        <v>0</v>
      </c>
      <c r="N9106" t="n">
        <v>0</v>
      </c>
      <c r="O9106" t="n">
        <v>0</v>
      </c>
      <c r="P9106" t="n">
        <v>0</v>
      </c>
      <c r="Q9106" t="n">
        <v>0</v>
      </c>
      <c r="R9106" s="2" t="inlineStr"/>
    </row>
    <row r="9107" ht="15" customHeight="1">
      <c r="A9107" t="inlineStr">
        <is>
          <t>A 44125-2023</t>
        </is>
      </c>
      <c r="B9107" s="1" t="n">
        <v>45188</v>
      </c>
      <c r="C9107" s="1" t="n">
        <v>45715</v>
      </c>
      <c r="D9107" t="inlineStr">
        <is>
          <t>KALMAR LÄN</t>
        </is>
      </c>
      <c r="E9107" t="inlineStr">
        <is>
          <t>NYBRO</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44196-2023</t>
        </is>
      </c>
      <c r="B9108" s="1" t="n">
        <v>45188</v>
      </c>
      <c r="C9108" s="1" t="n">
        <v>45715</v>
      </c>
      <c r="D9108" t="inlineStr">
        <is>
          <t>KALMAR LÄN</t>
        </is>
      </c>
      <c r="E9108" t="inlineStr">
        <is>
          <t>HULTSFRED</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44124-2023</t>
        </is>
      </c>
      <c r="B9109" s="1" t="n">
        <v>45188</v>
      </c>
      <c r="C9109" s="1" t="n">
        <v>45715</v>
      </c>
      <c r="D9109" t="inlineStr">
        <is>
          <t>KALMAR LÄN</t>
        </is>
      </c>
      <c r="E9109" t="inlineStr">
        <is>
          <t>NYBRO</t>
        </is>
      </c>
      <c r="G9109" t="n">
        <v>5.1</v>
      </c>
      <c r="H9109" t="n">
        <v>0</v>
      </c>
      <c r="I9109" t="n">
        <v>0</v>
      </c>
      <c r="J9109" t="n">
        <v>0</v>
      </c>
      <c r="K9109" t="n">
        <v>0</v>
      </c>
      <c r="L9109" t="n">
        <v>0</v>
      </c>
      <c r="M9109" t="n">
        <v>0</v>
      </c>
      <c r="N9109" t="n">
        <v>0</v>
      </c>
      <c r="O9109" t="n">
        <v>0</v>
      </c>
      <c r="P9109" t="n">
        <v>0</v>
      </c>
      <c r="Q9109" t="n">
        <v>0</v>
      </c>
      <c r="R9109" s="2" t="inlineStr"/>
    </row>
    <row r="9110" ht="15" customHeight="1">
      <c r="A9110" t="inlineStr">
        <is>
          <t>A 44030-2023</t>
        </is>
      </c>
      <c r="B9110" s="1" t="n">
        <v>45188</v>
      </c>
      <c r="C9110" s="1" t="n">
        <v>45715</v>
      </c>
      <c r="D9110" t="inlineStr">
        <is>
          <t>KALMAR LÄN</t>
        </is>
      </c>
      <c r="E9110" t="inlineStr">
        <is>
          <t>NYBRO</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44209-2023</t>
        </is>
      </c>
      <c r="B9111" s="1" t="n">
        <v>45188</v>
      </c>
      <c r="C9111" s="1" t="n">
        <v>45715</v>
      </c>
      <c r="D9111" t="inlineStr">
        <is>
          <t>KALMAR LÄN</t>
        </is>
      </c>
      <c r="E9111" t="inlineStr">
        <is>
          <t>OSKARSHAMN</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44035-2023</t>
        </is>
      </c>
      <c r="B9112" s="1" t="n">
        <v>45188</v>
      </c>
      <c r="C9112" s="1" t="n">
        <v>45715</v>
      </c>
      <c r="D9112" t="inlineStr">
        <is>
          <t>KALMAR LÄN</t>
        </is>
      </c>
      <c r="E9112" t="inlineStr">
        <is>
          <t>OSKARSHAMN</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44054-2023</t>
        </is>
      </c>
      <c r="B9113" s="1" t="n">
        <v>45188</v>
      </c>
      <c r="C9113" s="1" t="n">
        <v>45715</v>
      </c>
      <c r="D9113" t="inlineStr">
        <is>
          <t>KALMAR LÄN</t>
        </is>
      </c>
      <c r="E9113" t="inlineStr">
        <is>
          <t>OSKARSHAMN</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44311-2023</t>
        </is>
      </c>
      <c r="B9114" s="1" t="n">
        <v>45188</v>
      </c>
      <c r="C9114" s="1" t="n">
        <v>45715</v>
      </c>
      <c r="D9114" t="inlineStr">
        <is>
          <t>KALMAR LÄN</t>
        </is>
      </c>
      <c r="E9114" t="inlineStr">
        <is>
          <t>NYBRO</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44320-2023</t>
        </is>
      </c>
      <c r="B9115" s="1" t="n">
        <v>45188</v>
      </c>
      <c r="C9115" s="1" t="n">
        <v>45715</v>
      </c>
      <c r="D9115" t="inlineStr">
        <is>
          <t>KALMAR LÄN</t>
        </is>
      </c>
      <c r="E9115" t="inlineStr">
        <is>
          <t>MÖNSTERÅS</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44267-2023</t>
        </is>
      </c>
      <c r="B9116" s="1" t="n">
        <v>45188</v>
      </c>
      <c r="C9116" s="1" t="n">
        <v>45715</v>
      </c>
      <c r="D9116" t="inlineStr">
        <is>
          <t>KALMAR LÄN</t>
        </is>
      </c>
      <c r="E9116" t="inlineStr">
        <is>
          <t>MÖNSTERÅS</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44368-2023</t>
        </is>
      </c>
      <c r="B9117" s="1" t="n">
        <v>45188</v>
      </c>
      <c r="C9117" s="1" t="n">
        <v>45715</v>
      </c>
      <c r="D9117" t="inlineStr">
        <is>
          <t>KALMAR LÄN</t>
        </is>
      </c>
      <c r="E9117" t="inlineStr">
        <is>
          <t>NYBRO</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45293-2023</t>
        </is>
      </c>
      <c r="B9118" s="1" t="n">
        <v>45188</v>
      </c>
      <c r="C9118" s="1" t="n">
        <v>45715</v>
      </c>
      <c r="D9118" t="inlineStr">
        <is>
          <t>KALMAR LÄN</t>
        </is>
      </c>
      <c r="E9118" t="inlineStr">
        <is>
          <t>EMMABODA</t>
        </is>
      </c>
      <c r="F9118" t="inlineStr">
        <is>
          <t>Kyrkan</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45504-2023</t>
        </is>
      </c>
      <c r="B9119" s="1" t="n">
        <v>45188</v>
      </c>
      <c r="C9119" s="1" t="n">
        <v>45715</v>
      </c>
      <c r="D9119" t="inlineStr">
        <is>
          <t>KALMAR LÄN</t>
        </is>
      </c>
      <c r="E9119" t="inlineStr">
        <is>
          <t>MÖNSTERÅS</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45292-2023</t>
        </is>
      </c>
      <c r="B9120" s="1" t="n">
        <v>45188</v>
      </c>
      <c r="C9120" s="1" t="n">
        <v>45715</v>
      </c>
      <c r="D9120" t="inlineStr">
        <is>
          <t>KALMAR LÄN</t>
        </is>
      </c>
      <c r="E9120" t="inlineStr">
        <is>
          <t>EMMABODA</t>
        </is>
      </c>
      <c r="F9120" t="inlineStr">
        <is>
          <t>Kyrkan</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45503-2023</t>
        </is>
      </c>
      <c r="B9121" s="1" t="n">
        <v>45188</v>
      </c>
      <c r="C9121" s="1" t="n">
        <v>45715</v>
      </c>
      <c r="D9121" t="inlineStr">
        <is>
          <t>KALMAR LÄN</t>
        </is>
      </c>
      <c r="E9121" t="inlineStr">
        <is>
          <t>MÖNSTERÅS</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44317-2023</t>
        </is>
      </c>
      <c r="B9122" s="1" t="n">
        <v>45188</v>
      </c>
      <c r="C9122" s="1" t="n">
        <v>45715</v>
      </c>
      <c r="D9122" t="inlineStr">
        <is>
          <t>KALMAR LÄN</t>
        </is>
      </c>
      <c r="E9122" t="inlineStr">
        <is>
          <t>MÖNSTERÅS</t>
        </is>
      </c>
      <c r="G9122" t="n">
        <v>5.8</v>
      </c>
      <c r="H9122" t="n">
        <v>0</v>
      </c>
      <c r="I9122" t="n">
        <v>0</v>
      </c>
      <c r="J9122" t="n">
        <v>0</v>
      </c>
      <c r="K9122" t="n">
        <v>0</v>
      </c>
      <c r="L9122" t="n">
        <v>0</v>
      </c>
      <c r="M9122" t="n">
        <v>0</v>
      </c>
      <c r="N9122" t="n">
        <v>0</v>
      </c>
      <c r="O9122" t="n">
        <v>0</v>
      </c>
      <c r="P9122" t="n">
        <v>0</v>
      </c>
      <c r="Q9122" t="n">
        <v>0</v>
      </c>
      <c r="R9122" s="2" t="inlineStr"/>
    </row>
    <row r="9123" ht="15" customHeight="1">
      <c r="A9123" t="inlineStr">
        <is>
          <t>A 44322-2023</t>
        </is>
      </c>
      <c r="B9123" s="1" t="n">
        <v>45188</v>
      </c>
      <c r="C9123" s="1" t="n">
        <v>45715</v>
      </c>
      <c r="D9123" t="inlineStr">
        <is>
          <t>KALMAR LÄN</t>
        </is>
      </c>
      <c r="E9123" t="inlineStr">
        <is>
          <t>MÖNSTERÅS</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44367-2023</t>
        </is>
      </c>
      <c r="B9124" s="1" t="n">
        <v>45188</v>
      </c>
      <c r="C9124" s="1" t="n">
        <v>45715</v>
      </c>
      <c r="D9124" t="inlineStr">
        <is>
          <t>KALMAR LÄN</t>
        </is>
      </c>
      <c r="E9124" t="inlineStr">
        <is>
          <t>NYBRO</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45280-2023</t>
        </is>
      </c>
      <c r="B9125" s="1" t="n">
        <v>45188</v>
      </c>
      <c r="C9125" s="1" t="n">
        <v>45715</v>
      </c>
      <c r="D9125" t="inlineStr">
        <is>
          <t>KALMAR LÄN</t>
        </is>
      </c>
      <c r="E9125" t="inlineStr">
        <is>
          <t>EMMABODA</t>
        </is>
      </c>
      <c r="F9125" t="inlineStr">
        <is>
          <t>Kyrkan</t>
        </is>
      </c>
      <c r="G9125" t="n">
        <v>7.3</v>
      </c>
      <c r="H9125" t="n">
        <v>0</v>
      </c>
      <c r="I9125" t="n">
        <v>0</v>
      </c>
      <c r="J9125" t="n">
        <v>0</v>
      </c>
      <c r="K9125" t="n">
        <v>0</v>
      </c>
      <c r="L9125" t="n">
        <v>0</v>
      </c>
      <c r="M9125" t="n">
        <v>0</v>
      </c>
      <c r="N9125" t="n">
        <v>0</v>
      </c>
      <c r="O9125" t="n">
        <v>0</v>
      </c>
      <c r="P9125" t="n">
        <v>0</v>
      </c>
      <c r="Q9125" t="n">
        <v>0</v>
      </c>
      <c r="R9125" s="2" t="inlineStr"/>
    </row>
    <row r="9126" ht="15" customHeight="1">
      <c r="A9126" t="inlineStr">
        <is>
          <t>A 44539-2023</t>
        </is>
      </c>
      <c r="B9126" s="1" t="n">
        <v>45189</v>
      </c>
      <c r="C9126" s="1" t="n">
        <v>45715</v>
      </c>
      <c r="D9126" t="inlineStr">
        <is>
          <t>KALMAR LÄN</t>
        </is>
      </c>
      <c r="E9126" t="inlineStr">
        <is>
          <t>EMMABODA</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44542-2023</t>
        </is>
      </c>
      <c r="B9127" s="1" t="n">
        <v>45189</v>
      </c>
      <c r="C9127" s="1" t="n">
        <v>45715</v>
      </c>
      <c r="D9127" t="inlineStr">
        <is>
          <t>KALMAR LÄN</t>
        </is>
      </c>
      <c r="E9127" t="inlineStr">
        <is>
          <t>EMMABODA</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44547-2023</t>
        </is>
      </c>
      <c r="B9128" s="1" t="n">
        <v>45189</v>
      </c>
      <c r="C9128" s="1" t="n">
        <v>45715</v>
      </c>
      <c r="D9128" t="inlineStr">
        <is>
          <t>KALMAR LÄN</t>
        </is>
      </c>
      <c r="E9128" t="inlineStr">
        <is>
          <t>KALMAR</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44549-2023</t>
        </is>
      </c>
      <c r="B9129" s="1" t="n">
        <v>45189</v>
      </c>
      <c r="C9129" s="1" t="n">
        <v>45715</v>
      </c>
      <c r="D9129" t="inlineStr">
        <is>
          <t>KALMAR LÄN</t>
        </is>
      </c>
      <c r="E9129" t="inlineStr">
        <is>
          <t>KALMAR</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44647-2023</t>
        </is>
      </c>
      <c r="B9130" s="1" t="n">
        <v>45189</v>
      </c>
      <c r="C9130" s="1" t="n">
        <v>45715</v>
      </c>
      <c r="D9130" t="inlineStr">
        <is>
          <t>KALMAR LÄN</t>
        </is>
      </c>
      <c r="E9130" t="inlineStr">
        <is>
          <t>NYBRO</t>
        </is>
      </c>
      <c r="F9130" t="inlineStr">
        <is>
          <t>Sveaskog</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44660-2023</t>
        </is>
      </c>
      <c r="B9131" s="1" t="n">
        <v>45189</v>
      </c>
      <c r="C9131" s="1" t="n">
        <v>45715</v>
      </c>
      <c r="D9131" t="inlineStr">
        <is>
          <t>KALMAR LÄN</t>
        </is>
      </c>
      <c r="E9131" t="inlineStr">
        <is>
          <t>VIMMERBY</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44681-2023</t>
        </is>
      </c>
      <c r="B9132" s="1" t="n">
        <v>45189</v>
      </c>
      <c r="C9132" s="1" t="n">
        <v>45715</v>
      </c>
      <c r="D9132" t="inlineStr">
        <is>
          <t>KALMAR LÄN</t>
        </is>
      </c>
      <c r="E9132" t="inlineStr">
        <is>
          <t>HULTSFRED</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44423-2023</t>
        </is>
      </c>
      <c r="B9133" s="1" t="n">
        <v>45189</v>
      </c>
      <c r="C9133" s="1" t="n">
        <v>45715</v>
      </c>
      <c r="D9133" t="inlineStr">
        <is>
          <t>KALMAR LÄN</t>
        </is>
      </c>
      <c r="E9133" t="inlineStr">
        <is>
          <t>VIMMERBY</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44428-2023</t>
        </is>
      </c>
      <c r="B9134" s="1" t="n">
        <v>45189</v>
      </c>
      <c r="C9134" s="1" t="n">
        <v>45715</v>
      </c>
      <c r="D9134" t="inlineStr">
        <is>
          <t>KALMAR LÄN</t>
        </is>
      </c>
      <c r="E9134" t="inlineStr">
        <is>
          <t>EMMABODA</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44432-2023</t>
        </is>
      </c>
      <c r="B9135" s="1" t="n">
        <v>45189</v>
      </c>
      <c r="C9135" s="1" t="n">
        <v>45715</v>
      </c>
      <c r="D9135" t="inlineStr">
        <is>
          <t>KALMAR LÄN</t>
        </is>
      </c>
      <c r="E9135" t="inlineStr">
        <is>
          <t>EMMABODA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44437-2023</t>
        </is>
      </c>
      <c r="B9136" s="1" t="n">
        <v>45189</v>
      </c>
      <c r="C9136" s="1" t="n">
        <v>45715</v>
      </c>
      <c r="D9136" t="inlineStr">
        <is>
          <t>KALMAR LÄN</t>
        </is>
      </c>
      <c r="E9136" t="inlineStr">
        <is>
          <t>HÖGSBY</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44436-2023</t>
        </is>
      </c>
      <c r="B9137" s="1" t="n">
        <v>45189</v>
      </c>
      <c r="C9137" s="1" t="n">
        <v>45715</v>
      </c>
      <c r="D9137" t="inlineStr">
        <is>
          <t>KALMAR LÄN</t>
        </is>
      </c>
      <c r="E9137" t="inlineStr">
        <is>
          <t>HÖGSBY</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44536-2023</t>
        </is>
      </c>
      <c r="B9138" s="1" t="n">
        <v>45189</v>
      </c>
      <c r="C9138" s="1" t="n">
        <v>45715</v>
      </c>
      <c r="D9138" t="inlineStr">
        <is>
          <t>KALMAR LÄN</t>
        </is>
      </c>
      <c r="E9138" t="inlineStr">
        <is>
          <t>NYBRO</t>
        </is>
      </c>
      <c r="G9138" t="n">
        <v>6.7</v>
      </c>
      <c r="H9138" t="n">
        <v>0</v>
      </c>
      <c r="I9138" t="n">
        <v>0</v>
      </c>
      <c r="J9138" t="n">
        <v>0</v>
      </c>
      <c r="K9138" t="n">
        <v>0</v>
      </c>
      <c r="L9138" t="n">
        <v>0</v>
      </c>
      <c r="M9138" t="n">
        <v>0</v>
      </c>
      <c r="N9138" t="n">
        <v>0</v>
      </c>
      <c r="O9138" t="n">
        <v>0</v>
      </c>
      <c r="P9138" t="n">
        <v>0</v>
      </c>
      <c r="Q9138" t="n">
        <v>0</v>
      </c>
      <c r="R9138" s="2" t="inlineStr"/>
    </row>
    <row r="9139" ht="15" customHeight="1">
      <c r="A9139" t="inlineStr">
        <is>
          <t>A 44540-2023</t>
        </is>
      </c>
      <c r="B9139" s="1" t="n">
        <v>45189</v>
      </c>
      <c r="C9139" s="1" t="n">
        <v>45715</v>
      </c>
      <c r="D9139" t="inlineStr">
        <is>
          <t>KALMAR LÄN</t>
        </is>
      </c>
      <c r="E9139" t="inlineStr">
        <is>
          <t>EMMABODA</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44544-2023</t>
        </is>
      </c>
      <c r="B9140" s="1" t="n">
        <v>45189</v>
      </c>
      <c r="C9140" s="1" t="n">
        <v>45715</v>
      </c>
      <c r="D9140" t="inlineStr">
        <is>
          <t>KALMAR LÄN</t>
        </is>
      </c>
      <c r="E9140" t="inlineStr">
        <is>
          <t>EMMABODA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46021-2023</t>
        </is>
      </c>
      <c r="B9141" s="1" t="n">
        <v>45189</v>
      </c>
      <c r="C9141" s="1" t="n">
        <v>45715</v>
      </c>
      <c r="D9141" t="inlineStr">
        <is>
          <t>KALMAR LÄN</t>
        </is>
      </c>
      <c r="E9141" t="inlineStr">
        <is>
          <t>NYBRO</t>
        </is>
      </c>
      <c r="F9141" t="inlineStr">
        <is>
          <t>Kyrkan</t>
        </is>
      </c>
      <c r="G9141" t="n">
        <v>7.1</v>
      </c>
      <c r="H9141" t="n">
        <v>0</v>
      </c>
      <c r="I9141" t="n">
        <v>0</v>
      </c>
      <c r="J9141" t="n">
        <v>0</v>
      </c>
      <c r="K9141" t="n">
        <v>0</v>
      </c>
      <c r="L9141" t="n">
        <v>0</v>
      </c>
      <c r="M9141" t="n">
        <v>0</v>
      </c>
      <c r="N9141" t="n">
        <v>0</v>
      </c>
      <c r="O9141" t="n">
        <v>0</v>
      </c>
      <c r="P9141" t="n">
        <v>0</v>
      </c>
      <c r="Q9141" t="n">
        <v>0</v>
      </c>
      <c r="R9141" s="2" t="inlineStr"/>
    </row>
    <row r="9142" ht="15" customHeight="1">
      <c r="A9142" t="inlineStr">
        <is>
          <t>A 46543-2023</t>
        </is>
      </c>
      <c r="B9142" s="1" t="n">
        <v>45189</v>
      </c>
      <c r="C9142" s="1" t="n">
        <v>45715</v>
      </c>
      <c r="D9142" t="inlineStr">
        <is>
          <t>KALMAR LÄN</t>
        </is>
      </c>
      <c r="E9142" t="inlineStr">
        <is>
          <t>NYBRO</t>
        </is>
      </c>
      <c r="F9142" t="inlineStr">
        <is>
          <t>Kyrkan</t>
        </is>
      </c>
      <c r="G9142" t="n">
        <v>0.2</v>
      </c>
      <c r="H9142" t="n">
        <v>0</v>
      </c>
      <c r="I9142" t="n">
        <v>0</v>
      </c>
      <c r="J9142" t="n">
        <v>0</v>
      </c>
      <c r="K9142" t="n">
        <v>0</v>
      </c>
      <c r="L9142" t="n">
        <v>0</v>
      </c>
      <c r="M9142" t="n">
        <v>0</v>
      </c>
      <c r="N9142" t="n">
        <v>0</v>
      </c>
      <c r="O9142" t="n">
        <v>0</v>
      </c>
      <c r="P9142" t="n">
        <v>0</v>
      </c>
      <c r="Q9142" t="n">
        <v>0</v>
      </c>
      <c r="R9142" s="2" t="inlineStr"/>
    </row>
    <row r="9143" ht="15" customHeight="1">
      <c r="A9143" t="inlineStr">
        <is>
          <t>A 46015-2023</t>
        </is>
      </c>
      <c r="B9143" s="1" t="n">
        <v>45189</v>
      </c>
      <c r="C9143" s="1" t="n">
        <v>45715</v>
      </c>
      <c r="D9143" t="inlineStr">
        <is>
          <t>KALMAR LÄN</t>
        </is>
      </c>
      <c r="E9143" t="inlineStr">
        <is>
          <t>NYBRO</t>
        </is>
      </c>
      <c r="F9143" t="inlineStr">
        <is>
          <t>Kyrkan</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44705-2023</t>
        </is>
      </c>
      <c r="B9144" s="1" t="n">
        <v>45190</v>
      </c>
      <c r="C9144" s="1" t="n">
        <v>45715</v>
      </c>
      <c r="D9144" t="inlineStr">
        <is>
          <t>KALMAR LÄN</t>
        </is>
      </c>
      <c r="E9144" t="inlineStr">
        <is>
          <t>VÄSTERVIK</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44714-2023</t>
        </is>
      </c>
      <c r="B9145" s="1" t="n">
        <v>45190</v>
      </c>
      <c r="C9145" s="1" t="n">
        <v>45715</v>
      </c>
      <c r="D9145" t="inlineStr">
        <is>
          <t>KALMAR LÄN</t>
        </is>
      </c>
      <c r="E9145" t="inlineStr">
        <is>
          <t>VÄSTERVIK</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44715-2023</t>
        </is>
      </c>
      <c r="B9146" s="1" t="n">
        <v>45190</v>
      </c>
      <c r="C9146" s="1" t="n">
        <v>45715</v>
      </c>
      <c r="D9146" t="inlineStr">
        <is>
          <t>KALMAR LÄN</t>
        </is>
      </c>
      <c r="E9146" t="inlineStr">
        <is>
          <t>HULTSFRED</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44729-2023</t>
        </is>
      </c>
      <c r="B9147" s="1" t="n">
        <v>45190</v>
      </c>
      <c r="C9147" s="1" t="n">
        <v>45715</v>
      </c>
      <c r="D9147" t="inlineStr">
        <is>
          <t>KALMAR LÄN</t>
        </is>
      </c>
      <c r="E9147" t="inlineStr">
        <is>
          <t>NYBRO</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44749-2023</t>
        </is>
      </c>
      <c r="B9148" s="1" t="n">
        <v>45190</v>
      </c>
      <c r="C9148" s="1" t="n">
        <v>45715</v>
      </c>
      <c r="D9148" t="inlineStr">
        <is>
          <t>KALMAR LÄN</t>
        </is>
      </c>
      <c r="E9148" t="inlineStr">
        <is>
          <t>VÄSTERVIK</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44711-2023</t>
        </is>
      </c>
      <c r="B9149" s="1" t="n">
        <v>45190</v>
      </c>
      <c r="C9149" s="1" t="n">
        <v>45715</v>
      </c>
      <c r="D9149" t="inlineStr">
        <is>
          <t>KALMAR LÄN</t>
        </is>
      </c>
      <c r="E9149" t="inlineStr">
        <is>
          <t>KALMAR</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44721-2023</t>
        </is>
      </c>
      <c r="B9150" s="1" t="n">
        <v>45190</v>
      </c>
      <c r="C9150" s="1" t="n">
        <v>45715</v>
      </c>
      <c r="D9150" t="inlineStr">
        <is>
          <t>KALMAR LÄN</t>
        </is>
      </c>
      <c r="E9150" t="inlineStr">
        <is>
          <t>VÄSTERVIK</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44827-2023</t>
        </is>
      </c>
      <c r="B9151" s="1" t="n">
        <v>45190</v>
      </c>
      <c r="C9151" s="1" t="n">
        <v>45715</v>
      </c>
      <c r="D9151" t="inlineStr">
        <is>
          <t>KALMAR LÄN</t>
        </is>
      </c>
      <c r="E9151" t="inlineStr">
        <is>
          <t>NYBRO</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44833-2023</t>
        </is>
      </c>
      <c r="B9152" s="1" t="n">
        <v>45190</v>
      </c>
      <c r="C9152" s="1" t="n">
        <v>45715</v>
      </c>
      <c r="D9152" t="inlineStr">
        <is>
          <t>KALMAR LÄN</t>
        </is>
      </c>
      <c r="E9152" t="inlineStr">
        <is>
          <t>VIMMERBY</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44845-2023</t>
        </is>
      </c>
      <c r="B9153" s="1" t="n">
        <v>45190</v>
      </c>
      <c r="C9153" s="1" t="n">
        <v>45715</v>
      </c>
      <c r="D9153" t="inlineStr">
        <is>
          <t>KALMAR LÄN</t>
        </is>
      </c>
      <c r="E9153" t="inlineStr">
        <is>
          <t>HÖGSBY</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44865-2023</t>
        </is>
      </c>
      <c r="B9154" s="1" t="n">
        <v>45190</v>
      </c>
      <c r="C9154" s="1" t="n">
        <v>45715</v>
      </c>
      <c r="D9154" t="inlineStr">
        <is>
          <t>KALMAR LÄN</t>
        </is>
      </c>
      <c r="E9154" t="inlineStr">
        <is>
          <t>HÖGSBY</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44911-2023</t>
        </is>
      </c>
      <c r="B9155" s="1" t="n">
        <v>45190</v>
      </c>
      <c r="C9155" s="1" t="n">
        <v>45715</v>
      </c>
      <c r="D9155" t="inlineStr">
        <is>
          <t>KALMAR LÄN</t>
        </is>
      </c>
      <c r="E9155" t="inlineStr">
        <is>
          <t>HULTSFRED</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44962-2023</t>
        </is>
      </c>
      <c r="B9156" s="1" t="n">
        <v>45190</v>
      </c>
      <c r="C9156" s="1" t="n">
        <v>45715</v>
      </c>
      <c r="D9156" t="inlineStr">
        <is>
          <t>KALMAR LÄN</t>
        </is>
      </c>
      <c r="E9156" t="inlineStr">
        <is>
          <t>VIMMERBY</t>
        </is>
      </c>
      <c r="F9156" t="inlineStr">
        <is>
          <t>Sveaskog</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44921-2023</t>
        </is>
      </c>
      <c r="B9157" s="1" t="n">
        <v>45190</v>
      </c>
      <c r="C9157" s="1" t="n">
        <v>45715</v>
      </c>
      <c r="D9157" t="inlineStr">
        <is>
          <t>KALMAR LÄN</t>
        </is>
      </c>
      <c r="E9157" t="inlineStr">
        <is>
          <t>OSKARSHAMN</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44887-2023</t>
        </is>
      </c>
      <c r="B9158" s="1" t="n">
        <v>45190</v>
      </c>
      <c r="C9158" s="1" t="n">
        <v>45715</v>
      </c>
      <c r="D9158" t="inlineStr">
        <is>
          <t>KALMAR LÄN</t>
        </is>
      </c>
      <c r="E9158" t="inlineStr">
        <is>
          <t>VIMMERBY</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44904-2023</t>
        </is>
      </c>
      <c r="B9159" s="1" t="n">
        <v>45190</v>
      </c>
      <c r="C9159" s="1" t="n">
        <v>45715</v>
      </c>
      <c r="D9159" t="inlineStr">
        <is>
          <t>KALMAR LÄN</t>
        </is>
      </c>
      <c r="E9159" t="inlineStr">
        <is>
          <t>KALMAR</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44779-2023</t>
        </is>
      </c>
      <c r="B9160" s="1" t="n">
        <v>45190</v>
      </c>
      <c r="C9160" s="1" t="n">
        <v>45715</v>
      </c>
      <c r="D9160" t="inlineStr">
        <is>
          <t>KALMAR LÄN</t>
        </is>
      </c>
      <c r="E9160" t="inlineStr">
        <is>
          <t>NYBRO</t>
        </is>
      </c>
      <c r="G9160" t="n">
        <v>0.1</v>
      </c>
      <c r="H9160" t="n">
        <v>0</v>
      </c>
      <c r="I9160" t="n">
        <v>0</v>
      </c>
      <c r="J9160" t="n">
        <v>0</v>
      </c>
      <c r="K9160" t="n">
        <v>0</v>
      </c>
      <c r="L9160" t="n">
        <v>0</v>
      </c>
      <c r="M9160" t="n">
        <v>0</v>
      </c>
      <c r="N9160" t="n">
        <v>0</v>
      </c>
      <c r="O9160" t="n">
        <v>0</v>
      </c>
      <c r="P9160" t="n">
        <v>0</v>
      </c>
      <c r="Q9160" t="n">
        <v>0</v>
      </c>
      <c r="R9160" s="2" t="inlineStr"/>
    </row>
    <row r="9161" ht="15" customHeight="1">
      <c r="A9161" t="inlineStr">
        <is>
          <t>A 44884-2023</t>
        </is>
      </c>
      <c r="B9161" s="1" t="n">
        <v>45190</v>
      </c>
      <c r="C9161" s="1" t="n">
        <v>45715</v>
      </c>
      <c r="D9161" t="inlineStr">
        <is>
          <t>KALMAR LÄN</t>
        </is>
      </c>
      <c r="E9161" t="inlineStr">
        <is>
          <t>VIMMERBY</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44922-2023</t>
        </is>
      </c>
      <c r="B9162" s="1" t="n">
        <v>45190</v>
      </c>
      <c r="C9162" s="1" t="n">
        <v>45715</v>
      </c>
      <c r="D9162" t="inlineStr">
        <is>
          <t>KALMAR LÄN</t>
        </is>
      </c>
      <c r="E9162" t="inlineStr">
        <is>
          <t>KALMAR</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46141-2023</t>
        </is>
      </c>
      <c r="B9163" s="1" t="n">
        <v>45190</v>
      </c>
      <c r="C9163" s="1" t="n">
        <v>45715</v>
      </c>
      <c r="D9163" t="inlineStr">
        <is>
          <t>KALMAR LÄN</t>
        </is>
      </c>
      <c r="E9163" t="inlineStr">
        <is>
          <t>EMMABODA</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46065-2023</t>
        </is>
      </c>
      <c r="B9164" s="1" t="n">
        <v>45190</v>
      </c>
      <c r="C9164" s="1" t="n">
        <v>45715</v>
      </c>
      <c r="D9164" t="inlineStr">
        <is>
          <t>KALMAR LÄN</t>
        </is>
      </c>
      <c r="E9164" t="inlineStr">
        <is>
          <t>EMMABODA</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45049-2023</t>
        </is>
      </c>
      <c r="B9165" s="1" t="n">
        <v>45191</v>
      </c>
      <c r="C9165" s="1" t="n">
        <v>45715</v>
      </c>
      <c r="D9165" t="inlineStr">
        <is>
          <t>KALMAR LÄN</t>
        </is>
      </c>
      <c r="E9165" t="inlineStr">
        <is>
          <t>HULTSFRED</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45053-2023</t>
        </is>
      </c>
      <c r="B9166" s="1" t="n">
        <v>45191</v>
      </c>
      <c r="C9166" s="1" t="n">
        <v>45715</v>
      </c>
      <c r="D9166" t="inlineStr">
        <is>
          <t>KALMAR LÄN</t>
        </is>
      </c>
      <c r="E9166" t="inlineStr">
        <is>
          <t>HULTSFRED</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45071-2023</t>
        </is>
      </c>
      <c r="B9167" s="1" t="n">
        <v>45191</v>
      </c>
      <c r="C9167" s="1" t="n">
        <v>45715</v>
      </c>
      <c r="D9167" t="inlineStr">
        <is>
          <t>KALMAR LÄN</t>
        </is>
      </c>
      <c r="E9167" t="inlineStr">
        <is>
          <t>NYBRO</t>
        </is>
      </c>
      <c r="F9167" t="inlineStr">
        <is>
          <t>Sveaskog</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45192-2023</t>
        </is>
      </c>
      <c r="B9168" s="1" t="n">
        <v>45191</v>
      </c>
      <c r="C9168" s="1" t="n">
        <v>45715</v>
      </c>
      <c r="D9168" t="inlineStr">
        <is>
          <t>KALMAR LÄN</t>
        </is>
      </c>
      <c r="E9168" t="inlineStr">
        <is>
          <t>VÄSTERVIK</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45202-2023</t>
        </is>
      </c>
      <c r="B9169" s="1" t="n">
        <v>45191</v>
      </c>
      <c r="C9169" s="1" t="n">
        <v>45715</v>
      </c>
      <c r="D9169" t="inlineStr">
        <is>
          <t>KALMAR LÄN</t>
        </is>
      </c>
      <c r="E9169" t="inlineStr">
        <is>
          <t>VÄSTERVIK</t>
        </is>
      </c>
      <c r="F9169" t="inlineStr">
        <is>
          <t>Holmen skog AB</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45214-2023</t>
        </is>
      </c>
      <c r="B9170" s="1" t="n">
        <v>45191</v>
      </c>
      <c r="C9170" s="1" t="n">
        <v>45715</v>
      </c>
      <c r="D9170" t="inlineStr">
        <is>
          <t>KALMAR LÄN</t>
        </is>
      </c>
      <c r="E9170" t="inlineStr">
        <is>
          <t>EMMABODA</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45042-2023</t>
        </is>
      </c>
      <c r="B9171" s="1" t="n">
        <v>45191</v>
      </c>
      <c r="C9171" s="1" t="n">
        <v>45715</v>
      </c>
      <c r="D9171" t="inlineStr">
        <is>
          <t>KALMAR LÄN</t>
        </is>
      </c>
      <c r="E9171" t="inlineStr">
        <is>
          <t>HULTSFRED</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45047-2023</t>
        </is>
      </c>
      <c r="B9172" s="1" t="n">
        <v>45191</v>
      </c>
      <c r="C9172" s="1" t="n">
        <v>45715</v>
      </c>
      <c r="D9172" t="inlineStr">
        <is>
          <t>KALMAR LÄN</t>
        </is>
      </c>
      <c r="E9172" t="inlineStr">
        <is>
          <t>HULTSFRED</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45056-2023</t>
        </is>
      </c>
      <c r="B9173" s="1" t="n">
        <v>45191</v>
      </c>
      <c r="C9173" s="1" t="n">
        <v>45715</v>
      </c>
      <c r="D9173" t="inlineStr">
        <is>
          <t>KALMAR LÄN</t>
        </is>
      </c>
      <c r="E9173" t="inlineStr">
        <is>
          <t>HULTSFRED</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45073-2023</t>
        </is>
      </c>
      <c r="B9174" s="1" t="n">
        <v>45191</v>
      </c>
      <c r="C9174" s="1" t="n">
        <v>45715</v>
      </c>
      <c r="D9174" t="inlineStr">
        <is>
          <t>KALMAR LÄN</t>
        </is>
      </c>
      <c r="E9174" t="inlineStr">
        <is>
          <t>NYBRO</t>
        </is>
      </c>
      <c r="F9174" t="inlineStr">
        <is>
          <t>Sveaskog</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45060-2023</t>
        </is>
      </c>
      <c r="B9175" s="1" t="n">
        <v>45191</v>
      </c>
      <c r="C9175" s="1" t="n">
        <v>45715</v>
      </c>
      <c r="D9175" t="inlineStr">
        <is>
          <t>KALMAR LÄN</t>
        </is>
      </c>
      <c r="E9175" t="inlineStr">
        <is>
          <t>EMMABODA</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45074-2023</t>
        </is>
      </c>
      <c r="B9176" s="1" t="n">
        <v>45191</v>
      </c>
      <c r="C9176" s="1" t="n">
        <v>45715</v>
      </c>
      <c r="D9176" t="inlineStr">
        <is>
          <t>KALMAR LÄN</t>
        </is>
      </c>
      <c r="E9176" t="inlineStr">
        <is>
          <t>NYBRO</t>
        </is>
      </c>
      <c r="F9176" t="inlineStr">
        <is>
          <t>Sveaskog</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45077-2023</t>
        </is>
      </c>
      <c r="B9177" s="1" t="n">
        <v>45191</v>
      </c>
      <c r="C9177" s="1" t="n">
        <v>45715</v>
      </c>
      <c r="D9177" t="inlineStr">
        <is>
          <t>KALMAR LÄN</t>
        </is>
      </c>
      <c r="E9177" t="inlineStr">
        <is>
          <t>OSKARSHAMN</t>
        </is>
      </c>
      <c r="G9177" t="n">
        <v>6.4</v>
      </c>
      <c r="H9177" t="n">
        <v>0</v>
      </c>
      <c r="I9177" t="n">
        <v>0</v>
      </c>
      <c r="J9177" t="n">
        <v>0</v>
      </c>
      <c r="K9177" t="n">
        <v>0</v>
      </c>
      <c r="L9177" t="n">
        <v>0</v>
      </c>
      <c r="M9177" t="n">
        <v>0</v>
      </c>
      <c r="N9177" t="n">
        <v>0</v>
      </c>
      <c r="O9177" t="n">
        <v>0</v>
      </c>
      <c r="P9177" t="n">
        <v>0</v>
      </c>
      <c r="Q9177" t="n">
        <v>0</v>
      </c>
      <c r="R9177" s="2" t="inlineStr"/>
    </row>
    <row r="9178" ht="15" customHeight="1">
      <c r="A9178" t="inlineStr">
        <is>
          <t>A 45109-2023</t>
        </is>
      </c>
      <c r="B9178" s="1" t="n">
        <v>45191</v>
      </c>
      <c r="C9178" s="1" t="n">
        <v>45715</v>
      </c>
      <c r="D9178" t="inlineStr">
        <is>
          <t>KALMAR LÄN</t>
        </is>
      </c>
      <c r="E9178" t="inlineStr">
        <is>
          <t>NYBRO</t>
        </is>
      </c>
      <c r="F9178" t="inlineStr">
        <is>
          <t>Sveaskog</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45113-2023</t>
        </is>
      </c>
      <c r="B9179" s="1" t="n">
        <v>45191</v>
      </c>
      <c r="C9179" s="1" t="n">
        <v>45715</v>
      </c>
      <c r="D9179" t="inlineStr">
        <is>
          <t>KALMAR LÄN</t>
        </is>
      </c>
      <c r="E9179" t="inlineStr">
        <is>
          <t>NYBRO</t>
        </is>
      </c>
      <c r="F9179" t="inlineStr">
        <is>
          <t>Sveaskog</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45190-2023</t>
        </is>
      </c>
      <c r="B9180" s="1" t="n">
        <v>45191</v>
      </c>
      <c r="C9180" s="1" t="n">
        <v>45715</v>
      </c>
      <c r="D9180" t="inlineStr">
        <is>
          <t>KALMAR LÄN</t>
        </is>
      </c>
      <c r="E9180" t="inlineStr">
        <is>
          <t>VÄSTERVIK</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45226-2023</t>
        </is>
      </c>
      <c r="B9181" s="1" t="n">
        <v>45191</v>
      </c>
      <c r="C9181" s="1" t="n">
        <v>45715</v>
      </c>
      <c r="D9181" t="inlineStr">
        <is>
          <t>KALMAR LÄN</t>
        </is>
      </c>
      <c r="E9181" t="inlineStr">
        <is>
          <t>EMMABODA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45211-2023</t>
        </is>
      </c>
      <c r="B9182" s="1" t="n">
        <v>45191</v>
      </c>
      <c r="C9182" s="1" t="n">
        <v>45715</v>
      </c>
      <c r="D9182" t="inlineStr">
        <is>
          <t>KALMAR LÄN</t>
        </is>
      </c>
      <c r="E9182" t="inlineStr">
        <is>
          <t>EMMABODA</t>
        </is>
      </c>
      <c r="G9182" t="n">
        <v>7.7</v>
      </c>
      <c r="H9182" t="n">
        <v>0</v>
      </c>
      <c r="I9182" t="n">
        <v>0</v>
      </c>
      <c r="J9182" t="n">
        <v>0</v>
      </c>
      <c r="K9182" t="n">
        <v>0</v>
      </c>
      <c r="L9182" t="n">
        <v>0</v>
      </c>
      <c r="M9182" t="n">
        <v>0</v>
      </c>
      <c r="N9182" t="n">
        <v>0</v>
      </c>
      <c r="O9182" t="n">
        <v>0</v>
      </c>
      <c r="P9182" t="n">
        <v>0</v>
      </c>
      <c r="Q9182" t="n">
        <v>0</v>
      </c>
      <c r="R9182" s="2" t="inlineStr"/>
    </row>
    <row r="9183" ht="15" customHeight="1">
      <c r="A9183" t="inlineStr">
        <is>
          <t>A 45291-2023</t>
        </is>
      </c>
      <c r="B9183" s="1" t="n">
        <v>45191</v>
      </c>
      <c r="C9183" s="1" t="n">
        <v>45715</v>
      </c>
      <c r="D9183" t="inlineStr">
        <is>
          <t>KALMAR LÄN</t>
        </is>
      </c>
      <c r="E9183" t="inlineStr">
        <is>
          <t>HULTSFRED</t>
        </is>
      </c>
      <c r="G9183" t="n">
        <v>5.5</v>
      </c>
      <c r="H9183" t="n">
        <v>0</v>
      </c>
      <c r="I9183" t="n">
        <v>0</v>
      </c>
      <c r="J9183" t="n">
        <v>0</v>
      </c>
      <c r="K9183" t="n">
        <v>0</v>
      </c>
      <c r="L9183" t="n">
        <v>0</v>
      </c>
      <c r="M9183" t="n">
        <v>0</v>
      </c>
      <c r="N9183" t="n">
        <v>0</v>
      </c>
      <c r="O9183" t="n">
        <v>0</v>
      </c>
      <c r="P9183" t="n">
        <v>0</v>
      </c>
      <c r="Q9183" t="n">
        <v>0</v>
      </c>
      <c r="R9183" s="2" t="inlineStr"/>
    </row>
    <row r="9184" ht="15" customHeight="1">
      <c r="A9184" t="inlineStr">
        <is>
          <t>A 45305-2023</t>
        </is>
      </c>
      <c r="B9184" s="1" t="n">
        <v>45191</v>
      </c>
      <c r="C9184" s="1" t="n">
        <v>45715</v>
      </c>
      <c r="D9184" t="inlineStr">
        <is>
          <t>KALMAR LÄN</t>
        </is>
      </c>
      <c r="E9184" t="inlineStr">
        <is>
          <t>HULTSFRED</t>
        </is>
      </c>
      <c r="F9184" t="inlineStr">
        <is>
          <t>Övriga Aktiebolag</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46346-2023</t>
        </is>
      </c>
      <c r="B9185" s="1" t="n">
        <v>45191</v>
      </c>
      <c r="C9185" s="1" t="n">
        <v>45715</v>
      </c>
      <c r="D9185" t="inlineStr">
        <is>
          <t>KALMAR LÄN</t>
        </is>
      </c>
      <c r="E9185" t="inlineStr">
        <is>
          <t>MÖNSTERÅS</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45093-2023</t>
        </is>
      </c>
      <c r="B9186" s="1" t="n">
        <v>45191</v>
      </c>
      <c r="C9186" s="1" t="n">
        <v>45715</v>
      </c>
      <c r="D9186" t="inlineStr">
        <is>
          <t>KALMAR LÄN</t>
        </is>
      </c>
      <c r="E9186" t="inlineStr">
        <is>
          <t>NYBRO</t>
        </is>
      </c>
      <c r="F9186" t="inlineStr">
        <is>
          <t>Sveaskog</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45396-2023</t>
        </is>
      </c>
      <c r="B9187" s="1" t="n">
        <v>45194</v>
      </c>
      <c r="C9187" s="1" t="n">
        <v>45715</v>
      </c>
      <c r="D9187" t="inlineStr">
        <is>
          <t>KALMAR LÄN</t>
        </is>
      </c>
      <c r="E9187" t="inlineStr">
        <is>
          <t>VÄSTERVIK</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45410-2023</t>
        </is>
      </c>
      <c r="B9188" s="1" t="n">
        <v>45194</v>
      </c>
      <c r="C9188" s="1" t="n">
        <v>45715</v>
      </c>
      <c r="D9188" t="inlineStr">
        <is>
          <t>KALMAR LÄN</t>
        </is>
      </c>
      <c r="E9188" t="inlineStr">
        <is>
          <t>NYBRO</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45466-2023</t>
        </is>
      </c>
      <c r="B9189" s="1" t="n">
        <v>45194</v>
      </c>
      <c r="C9189" s="1" t="n">
        <v>45715</v>
      </c>
      <c r="D9189" t="inlineStr">
        <is>
          <t>KALMAR LÄN</t>
        </is>
      </c>
      <c r="E9189" t="inlineStr">
        <is>
          <t>TORSÅS</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45474-2023</t>
        </is>
      </c>
      <c r="B9190" s="1" t="n">
        <v>45194</v>
      </c>
      <c r="C9190" s="1" t="n">
        <v>45715</v>
      </c>
      <c r="D9190" t="inlineStr">
        <is>
          <t>KALMAR LÄN</t>
        </is>
      </c>
      <c r="E9190" t="inlineStr">
        <is>
          <t>VÄSTERVIK</t>
        </is>
      </c>
      <c r="F9190" t="inlineStr">
        <is>
          <t>Holmen skog AB</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45501-2023</t>
        </is>
      </c>
      <c r="B9191" s="1" t="n">
        <v>45194</v>
      </c>
      <c r="C9191" s="1" t="n">
        <v>45715</v>
      </c>
      <c r="D9191" t="inlineStr">
        <is>
          <t>KALMAR LÄN</t>
        </is>
      </c>
      <c r="E9191" t="inlineStr">
        <is>
          <t>KALMAR</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45555-2023</t>
        </is>
      </c>
      <c r="B9192" s="1" t="n">
        <v>45194</v>
      </c>
      <c r="C9192" s="1" t="n">
        <v>45715</v>
      </c>
      <c r="D9192" t="inlineStr">
        <is>
          <t>KALMAR LÄN</t>
        </is>
      </c>
      <c r="E9192" t="inlineStr">
        <is>
          <t>TORSÅS</t>
        </is>
      </c>
      <c r="F9192" t="inlineStr">
        <is>
          <t>Kommuner</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45568-2023</t>
        </is>
      </c>
      <c r="B9193" s="1" t="n">
        <v>45194</v>
      </c>
      <c r="C9193" s="1" t="n">
        <v>45715</v>
      </c>
      <c r="D9193" t="inlineStr">
        <is>
          <t>KALMAR LÄN</t>
        </is>
      </c>
      <c r="E9193" t="inlineStr">
        <is>
          <t>TORSÅS</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45650-2023</t>
        </is>
      </c>
      <c r="B9194" s="1" t="n">
        <v>45194</v>
      </c>
      <c r="C9194" s="1" t="n">
        <v>45715</v>
      </c>
      <c r="D9194" t="inlineStr">
        <is>
          <t>KALMAR LÄN</t>
        </is>
      </c>
      <c r="E9194" t="inlineStr">
        <is>
          <t>HÖGSBY</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46411-2023</t>
        </is>
      </c>
      <c r="B9195" s="1" t="n">
        <v>45194</v>
      </c>
      <c r="C9195" s="1" t="n">
        <v>45715</v>
      </c>
      <c r="D9195" t="inlineStr">
        <is>
          <t>KALMAR LÄN</t>
        </is>
      </c>
      <c r="E9195" t="inlineStr">
        <is>
          <t>HULTSFRED</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45660-2023</t>
        </is>
      </c>
      <c r="B9196" s="1" t="n">
        <v>45194</v>
      </c>
      <c r="C9196" s="1" t="n">
        <v>45715</v>
      </c>
      <c r="D9196" t="inlineStr">
        <is>
          <t>KALMAR LÄN</t>
        </is>
      </c>
      <c r="E9196" t="inlineStr">
        <is>
          <t>HULTSFRED</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45430-2023</t>
        </is>
      </c>
      <c r="B9197" s="1" t="n">
        <v>45194</v>
      </c>
      <c r="C9197" s="1" t="n">
        <v>45715</v>
      </c>
      <c r="D9197" t="inlineStr">
        <is>
          <t>KALMAR LÄN</t>
        </is>
      </c>
      <c r="E9197" t="inlineStr">
        <is>
          <t>HULTSFRED</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45450-2023</t>
        </is>
      </c>
      <c r="B9198" s="1" t="n">
        <v>45194</v>
      </c>
      <c r="C9198" s="1" t="n">
        <v>45715</v>
      </c>
      <c r="D9198" t="inlineStr">
        <is>
          <t>KALMAR LÄN</t>
        </is>
      </c>
      <c r="E9198" t="inlineStr">
        <is>
          <t>VÄSTERVIK</t>
        </is>
      </c>
      <c r="F9198" t="inlineStr">
        <is>
          <t>Holmen skog AB</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45458-2023</t>
        </is>
      </c>
      <c r="B9199" s="1" t="n">
        <v>45194</v>
      </c>
      <c r="C9199" s="1" t="n">
        <v>45715</v>
      </c>
      <c r="D9199" t="inlineStr">
        <is>
          <t>KALMAR LÄN</t>
        </is>
      </c>
      <c r="E9199" t="inlineStr">
        <is>
          <t>HULTSFRED</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45463-2023</t>
        </is>
      </c>
      <c r="B9200" s="1" t="n">
        <v>45194</v>
      </c>
      <c r="C9200" s="1" t="n">
        <v>45715</v>
      </c>
      <c r="D9200" t="inlineStr">
        <is>
          <t>KALMAR LÄN</t>
        </is>
      </c>
      <c r="E9200" t="inlineStr">
        <is>
          <t>TORSÅS</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45471-2023</t>
        </is>
      </c>
      <c r="B9201" s="1" t="n">
        <v>45194</v>
      </c>
      <c r="C9201" s="1" t="n">
        <v>45715</v>
      </c>
      <c r="D9201" t="inlineStr">
        <is>
          <t>KALMAR LÄN</t>
        </is>
      </c>
      <c r="E9201" t="inlineStr">
        <is>
          <t>TORSÅS</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45556-2023</t>
        </is>
      </c>
      <c r="B9202" s="1" t="n">
        <v>45194</v>
      </c>
      <c r="C9202" s="1" t="n">
        <v>45715</v>
      </c>
      <c r="D9202" t="inlineStr">
        <is>
          <t>KALMAR LÄN</t>
        </is>
      </c>
      <c r="E9202" t="inlineStr">
        <is>
          <t>TORSÅS</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45614-2023</t>
        </is>
      </c>
      <c r="B9203" s="1" t="n">
        <v>45194</v>
      </c>
      <c r="C9203" s="1" t="n">
        <v>45715</v>
      </c>
      <c r="D9203" t="inlineStr">
        <is>
          <t>KALMAR LÄN</t>
        </is>
      </c>
      <c r="E9203" t="inlineStr">
        <is>
          <t>OSKARSHAMN</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45460-2023</t>
        </is>
      </c>
      <c r="B9204" s="1" t="n">
        <v>45194</v>
      </c>
      <c r="C9204" s="1" t="n">
        <v>45715</v>
      </c>
      <c r="D9204" t="inlineStr">
        <is>
          <t>KALMAR LÄN</t>
        </is>
      </c>
      <c r="E9204" t="inlineStr">
        <is>
          <t>VÄSTERVIK</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45467-2023</t>
        </is>
      </c>
      <c r="B9205" s="1" t="n">
        <v>45194</v>
      </c>
      <c r="C9205" s="1" t="n">
        <v>45715</v>
      </c>
      <c r="D9205" t="inlineStr">
        <is>
          <t>KALMAR LÄN</t>
        </is>
      </c>
      <c r="E9205" t="inlineStr">
        <is>
          <t>TORSÅS</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45658-2023</t>
        </is>
      </c>
      <c r="B9206" s="1" t="n">
        <v>45194</v>
      </c>
      <c r="C9206" s="1" t="n">
        <v>45715</v>
      </c>
      <c r="D9206" t="inlineStr">
        <is>
          <t>KALMAR LÄN</t>
        </is>
      </c>
      <c r="E9206" t="inlineStr">
        <is>
          <t>HULTSFRED</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46415-2023</t>
        </is>
      </c>
      <c r="B9207" s="1" t="n">
        <v>45194</v>
      </c>
      <c r="C9207" s="1" t="n">
        <v>45715</v>
      </c>
      <c r="D9207" t="inlineStr">
        <is>
          <t>KALMAR LÄN</t>
        </is>
      </c>
      <c r="E9207" t="inlineStr">
        <is>
          <t>HULTSFRED</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45738-2023</t>
        </is>
      </c>
      <c r="B9208" s="1" t="n">
        <v>45195</v>
      </c>
      <c r="C9208" s="1" t="n">
        <v>45715</v>
      </c>
      <c r="D9208" t="inlineStr">
        <is>
          <t>KALMAR LÄN</t>
        </is>
      </c>
      <c r="E9208" t="inlineStr">
        <is>
          <t>NYBRO</t>
        </is>
      </c>
      <c r="G9208" t="n">
        <v>11.5</v>
      </c>
      <c r="H9208" t="n">
        <v>0</v>
      </c>
      <c r="I9208" t="n">
        <v>0</v>
      </c>
      <c r="J9208" t="n">
        <v>0</v>
      </c>
      <c r="K9208" t="n">
        <v>0</v>
      </c>
      <c r="L9208" t="n">
        <v>0</v>
      </c>
      <c r="M9208" t="n">
        <v>0</v>
      </c>
      <c r="N9208" t="n">
        <v>0</v>
      </c>
      <c r="O9208" t="n">
        <v>0</v>
      </c>
      <c r="P9208" t="n">
        <v>0</v>
      </c>
      <c r="Q9208" t="n">
        <v>0</v>
      </c>
      <c r="R9208" s="2" t="inlineStr"/>
    </row>
    <row r="9209" ht="15" customHeight="1">
      <c r="A9209" t="inlineStr">
        <is>
          <t>A 45741-2023</t>
        </is>
      </c>
      <c r="B9209" s="1" t="n">
        <v>45195</v>
      </c>
      <c r="C9209" s="1" t="n">
        <v>45715</v>
      </c>
      <c r="D9209" t="inlineStr">
        <is>
          <t>KALMAR LÄN</t>
        </is>
      </c>
      <c r="E9209" t="inlineStr">
        <is>
          <t>NYBRO</t>
        </is>
      </c>
      <c r="G9209" t="n">
        <v>4.9</v>
      </c>
      <c r="H9209" t="n">
        <v>0</v>
      </c>
      <c r="I9209" t="n">
        <v>0</v>
      </c>
      <c r="J9209" t="n">
        <v>0</v>
      </c>
      <c r="K9209" t="n">
        <v>0</v>
      </c>
      <c r="L9209" t="n">
        <v>0</v>
      </c>
      <c r="M9209" t="n">
        <v>0</v>
      </c>
      <c r="N9209" t="n">
        <v>0</v>
      </c>
      <c r="O9209" t="n">
        <v>0</v>
      </c>
      <c r="P9209" t="n">
        <v>0</v>
      </c>
      <c r="Q9209" t="n">
        <v>0</v>
      </c>
      <c r="R9209" s="2" t="inlineStr"/>
    </row>
    <row r="9210" ht="15" customHeight="1">
      <c r="A9210" t="inlineStr">
        <is>
          <t>A 45804-2023</t>
        </is>
      </c>
      <c r="B9210" s="1" t="n">
        <v>45195</v>
      </c>
      <c r="C9210" s="1" t="n">
        <v>45715</v>
      </c>
      <c r="D9210" t="inlineStr">
        <is>
          <t>KALMAR LÄN</t>
        </is>
      </c>
      <c r="E9210" t="inlineStr">
        <is>
          <t>NYBRO</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45838-2023</t>
        </is>
      </c>
      <c r="B9211" s="1" t="n">
        <v>45195</v>
      </c>
      <c r="C9211" s="1" t="n">
        <v>45715</v>
      </c>
      <c r="D9211" t="inlineStr">
        <is>
          <t>KALMAR LÄN</t>
        </is>
      </c>
      <c r="E9211" t="inlineStr">
        <is>
          <t>VIMMERBY</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45841-2023</t>
        </is>
      </c>
      <c r="B9212" s="1" t="n">
        <v>45195</v>
      </c>
      <c r="C9212" s="1" t="n">
        <v>45715</v>
      </c>
      <c r="D9212" t="inlineStr">
        <is>
          <t>KALMAR LÄN</t>
        </is>
      </c>
      <c r="E9212" t="inlineStr">
        <is>
          <t>OSKARSHAMN</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45846-2023</t>
        </is>
      </c>
      <c r="B9213" s="1" t="n">
        <v>45195</v>
      </c>
      <c r="C9213" s="1" t="n">
        <v>45715</v>
      </c>
      <c r="D9213" t="inlineStr">
        <is>
          <t>KALMAR LÄN</t>
        </is>
      </c>
      <c r="E9213" t="inlineStr">
        <is>
          <t>VIMMERBY</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45850-2023</t>
        </is>
      </c>
      <c r="B9214" s="1" t="n">
        <v>45195</v>
      </c>
      <c r="C9214" s="1" t="n">
        <v>45715</v>
      </c>
      <c r="D9214" t="inlineStr">
        <is>
          <t>KALMAR LÄN</t>
        </is>
      </c>
      <c r="E9214" t="inlineStr">
        <is>
          <t>HULTSFRED</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45896-2023</t>
        </is>
      </c>
      <c r="B9215" s="1" t="n">
        <v>45195</v>
      </c>
      <c r="C9215" s="1" t="n">
        <v>45715</v>
      </c>
      <c r="D9215" t="inlineStr">
        <is>
          <t>KALMAR LÄN</t>
        </is>
      </c>
      <c r="E9215" t="inlineStr">
        <is>
          <t>KALMAR</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45921-2023</t>
        </is>
      </c>
      <c r="B9216" s="1" t="n">
        <v>45195</v>
      </c>
      <c r="C9216" s="1" t="n">
        <v>45715</v>
      </c>
      <c r="D9216" t="inlineStr">
        <is>
          <t>KALMAR LÄN</t>
        </is>
      </c>
      <c r="E9216" t="inlineStr">
        <is>
          <t>VÄSTERVIK</t>
        </is>
      </c>
      <c r="F9216" t="inlineStr">
        <is>
          <t>Holmen skog AB</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45731-2023</t>
        </is>
      </c>
      <c r="B9217" s="1" t="n">
        <v>45195</v>
      </c>
      <c r="C9217" s="1" t="n">
        <v>45715</v>
      </c>
      <c r="D9217" t="inlineStr">
        <is>
          <t>KALMAR LÄN</t>
        </is>
      </c>
      <c r="E9217" t="inlineStr">
        <is>
          <t>VIMMERBY</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45761-2023</t>
        </is>
      </c>
      <c r="B9218" s="1" t="n">
        <v>45195</v>
      </c>
      <c r="C9218" s="1" t="n">
        <v>45715</v>
      </c>
      <c r="D9218" t="inlineStr">
        <is>
          <t>KALMAR LÄN</t>
        </is>
      </c>
      <c r="E9218" t="inlineStr">
        <is>
          <t>EMMABODA</t>
        </is>
      </c>
      <c r="G9218" t="n">
        <v>0.1</v>
      </c>
      <c r="H9218" t="n">
        <v>0</v>
      </c>
      <c r="I9218" t="n">
        <v>0</v>
      </c>
      <c r="J9218" t="n">
        <v>0</v>
      </c>
      <c r="K9218" t="n">
        <v>0</v>
      </c>
      <c r="L9218" t="n">
        <v>0</v>
      </c>
      <c r="M9218" t="n">
        <v>0</v>
      </c>
      <c r="N9218" t="n">
        <v>0</v>
      </c>
      <c r="O9218" t="n">
        <v>0</v>
      </c>
      <c r="P9218" t="n">
        <v>0</v>
      </c>
      <c r="Q9218" t="n">
        <v>0</v>
      </c>
      <c r="R9218" s="2" t="inlineStr"/>
    </row>
    <row r="9219" ht="15" customHeight="1">
      <c r="A9219" t="inlineStr">
        <is>
          <t>A 45808-2023</t>
        </is>
      </c>
      <c r="B9219" s="1" t="n">
        <v>45195</v>
      </c>
      <c r="C9219" s="1" t="n">
        <v>45715</v>
      </c>
      <c r="D9219" t="inlineStr">
        <is>
          <t>KALMAR LÄN</t>
        </is>
      </c>
      <c r="E9219" t="inlineStr">
        <is>
          <t>VIMMERBY</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45686-2023</t>
        </is>
      </c>
      <c r="B9220" s="1" t="n">
        <v>45195</v>
      </c>
      <c r="C9220" s="1" t="n">
        <v>45715</v>
      </c>
      <c r="D9220" t="inlineStr">
        <is>
          <t>KALMAR LÄN</t>
        </is>
      </c>
      <c r="E9220" t="inlineStr">
        <is>
          <t>TORSÅS</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45690-2023</t>
        </is>
      </c>
      <c r="B9221" s="1" t="n">
        <v>45195</v>
      </c>
      <c r="C9221" s="1" t="n">
        <v>45715</v>
      </c>
      <c r="D9221" t="inlineStr">
        <is>
          <t>KALMAR LÄN</t>
        </is>
      </c>
      <c r="E9221" t="inlineStr">
        <is>
          <t>TORSÅS</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45734-2023</t>
        </is>
      </c>
      <c r="B9222" s="1" t="n">
        <v>45195</v>
      </c>
      <c r="C9222" s="1" t="n">
        <v>45715</v>
      </c>
      <c r="D9222" t="inlineStr">
        <is>
          <t>KALMAR LÄN</t>
        </is>
      </c>
      <c r="E9222" t="inlineStr">
        <is>
          <t>KALMAR</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45831-2023</t>
        </is>
      </c>
      <c r="B9223" s="1" t="n">
        <v>45195</v>
      </c>
      <c r="C9223" s="1" t="n">
        <v>45715</v>
      </c>
      <c r="D9223" t="inlineStr">
        <is>
          <t>KALMAR LÄN</t>
        </is>
      </c>
      <c r="E9223" t="inlineStr">
        <is>
          <t>OSKARSHAMN</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45835-2023</t>
        </is>
      </c>
      <c r="B9224" s="1" t="n">
        <v>45195</v>
      </c>
      <c r="C9224" s="1" t="n">
        <v>45715</v>
      </c>
      <c r="D9224" t="inlineStr">
        <is>
          <t>KALMAR LÄN</t>
        </is>
      </c>
      <c r="E9224" t="inlineStr">
        <is>
          <t>OSKARSHAMN</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45839-2023</t>
        </is>
      </c>
      <c r="B9225" s="1" t="n">
        <v>45195</v>
      </c>
      <c r="C9225" s="1" t="n">
        <v>45715</v>
      </c>
      <c r="D9225" t="inlineStr">
        <is>
          <t>KALMAR LÄN</t>
        </is>
      </c>
      <c r="E9225" t="inlineStr">
        <is>
          <t>VIMMERBY</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45985-2023</t>
        </is>
      </c>
      <c r="B9226" s="1" t="n">
        <v>45196</v>
      </c>
      <c r="C9226" s="1" t="n">
        <v>45715</v>
      </c>
      <c r="D9226" t="inlineStr">
        <is>
          <t>KALMAR LÄN</t>
        </is>
      </c>
      <c r="E9226" t="inlineStr">
        <is>
          <t>BORGHOLM</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46030-2023</t>
        </is>
      </c>
      <c r="B9227" s="1" t="n">
        <v>45196</v>
      </c>
      <c r="C9227" s="1" t="n">
        <v>45715</v>
      </c>
      <c r="D9227" t="inlineStr">
        <is>
          <t>KALMAR LÄN</t>
        </is>
      </c>
      <c r="E9227" t="inlineStr">
        <is>
          <t>TORSÅS</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46038-2023</t>
        </is>
      </c>
      <c r="B9228" s="1" t="n">
        <v>45196</v>
      </c>
      <c r="C9228" s="1" t="n">
        <v>45715</v>
      </c>
      <c r="D9228" t="inlineStr">
        <is>
          <t>KALMAR LÄN</t>
        </is>
      </c>
      <c r="E9228" t="inlineStr">
        <is>
          <t>TORSÅS</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46068-2023</t>
        </is>
      </c>
      <c r="B9229" s="1" t="n">
        <v>45196</v>
      </c>
      <c r="C9229" s="1" t="n">
        <v>45715</v>
      </c>
      <c r="D9229" t="inlineStr">
        <is>
          <t>KALMAR LÄN</t>
        </is>
      </c>
      <c r="E9229" t="inlineStr">
        <is>
          <t>OSKARSHAMN</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46088-2023</t>
        </is>
      </c>
      <c r="B9230" s="1" t="n">
        <v>45196</v>
      </c>
      <c r="C9230" s="1" t="n">
        <v>45715</v>
      </c>
      <c r="D9230" t="inlineStr">
        <is>
          <t>KALMAR LÄN</t>
        </is>
      </c>
      <c r="E9230" t="inlineStr">
        <is>
          <t>VÄSTERVIK</t>
        </is>
      </c>
      <c r="F9230" t="inlineStr">
        <is>
          <t>Sveaskog</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46124-2023</t>
        </is>
      </c>
      <c r="B9231" s="1" t="n">
        <v>45196</v>
      </c>
      <c r="C9231" s="1" t="n">
        <v>45715</v>
      </c>
      <c r="D9231" t="inlineStr">
        <is>
          <t>KALMAR LÄN</t>
        </is>
      </c>
      <c r="E9231" t="inlineStr">
        <is>
          <t>VÄSTERVIK</t>
        </is>
      </c>
      <c r="F9231" t="inlineStr">
        <is>
          <t>Sveaskog</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46129-2023</t>
        </is>
      </c>
      <c r="B9232" s="1" t="n">
        <v>45196</v>
      </c>
      <c r="C9232" s="1" t="n">
        <v>45715</v>
      </c>
      <c r="D9232" t="inlineStr">
        <is>
          <t>KALMAR LÄN</t>
        </is>
      </c>
      <c r="E9232" t="inlineStr">
        <is>
          <t>VÄSTERVIK</t>
        </is>
      </c>
      <c r="F9232" t="inlineStr">
        <is>
          <t>Sveaskog</t>
        </is>
      </c>
      <c r="G9232" t="n">
        <v>7.6</v>
      </c>
      <c r="H9232" t="n">
        <v>0</v>
      </c>
      <c r="I9232" t="n">
        <v>0</v>
      </c>
      <c r="J9232" t="n">
        <v>0</v>
      </c>
      <c r="K9232" t="n">
        <v>0</v>
      </c>
      <c r="L9232" t="n">
        <v>0</v>
      </c>
      <c r="M9232" t="n">
        <v>0</v>
      </c>
      <c r="N9232" t="n">
        <v>0</v>
      </c>
      <c r="O9232" t="n">
        <v>0</v>
      </c>
      <c r="P9232" t="n">
        <v>0</v>
      </c>
      <c r="Q9232" t="n">
        <v>0</v>
      </c>
      <c r="R9232" s="2" t="inlineStr"/>
    </row>
    <row r="9233" ht="15" customHeight="1">
      <c r="A9233" t="inlineStr">
        <is>
          <t>A 46192-2023</t>
        </is>
      </c>
      <c r="B9233" s="1" t="n">
        <v>45196</v>
      </c>
      <c r="C9233" s="1" t="n">
        <v>45715</v>
      </c>
      <c r="D9233" t="inlineStr">
        <is>
          <t>KALMAR LÄN</t>
        </is>
      </c>
      <c r="E9233" t="inlineStr">
        <is>
          <t>EMMABODA</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45997-2023</t>
        </is>
      </c>
      <c r="B9234" s="1" t="n">
        <v>45196</v>
      </c>
      <c r="C9234" s="1" t="n">
        <v>45715</v>
      </c>
      <c r="D9234" t="inlineStr">
        <is>
          <t>KALMAR LÄN</t>
        </is>
      </c>
      <c r="E9234" t="inlineStr">
        <is>
          <t>HÖGSBY</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46067-2023</t>
        </is>
      </c>
      <c r="B9235" s="1" t="n">
        <v>45196</v>
      </c>
      <c r="C9235" s="1" t="n">
        <v>45715</v>
      </c>
      <c r="D9235" t="inlineStr">
        <is>
          <t>KALMAR LÄN</t>
        </is>
      </c>
      <c r="E9235" t="inlineStr">
        <is>
          <t>VÄSTERVIK</t>
        </is>
      </c>
      <c r="F9235" t="inlineStr">
        <is>
          <t>Sveaskog</t>
        </is>
      </c>
      <c r="G9235" t="n">
        <v>7</v>
      </c>
      <c r="H9235" t="n">
        <v>0</v>
      </c>
      <c r="I9235" t="n">
        <v>0</v>
      </c>
      <c r="J9235" t="n">
        <v>0</v>
      </c>
      <c r="K9235" t="n">
        <v>0</v>
      </c>
      <c r="L9235" t="n">
        <v>0</v>
      </c>
      <c r="M9235" t="n">
        <v>0</v>
      </c>
      <c r="N9235" t="n">
        <v>0</v>
      </c>
      <c r="O9235" t="n">
        <v>0</v>
      </c>
      <c r="P9235" t="n">
        <v>0</v>
      </c>
      <c r="Q9235" t="n">
        <v>0</v>
      </c>
      <c r="R9235" s="2" t="inlineStr"/>
    </row>
    <row r="9236" ht="15" customHeight="1">
      <c r="A9236" t="inlineStr">
        <is>
          <t>A 46023-2023</t>
        </is>
      </c>
      <c r="B9236" s="1" t="n">
        <v>45196</v>
      </c>
      <c r="C9236" s="1" t="n">
        <v>45715</v>
      </c>
      <c r="D9236" t="inlineStr">
        <is>
          <t>KALMAR LÄN</t>
        </is>
      </c>
      <c r="E9236" t="inlineStr">
        <is>
          <t>NYBRO</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46064-2023</t>
        </is>
      </c>
      <c r="B9237" s="1" t="n">
        <v>45196</v>
      </c>
      <c r="C9237" s="1" t="n">
        <v>45715</v>
      </c>
      <c r="D9237" t="inlineStr">
        <is>
          <t>KALMAR LÄN</t>
        </is>
      </c>
      <c r="E9237" t="inlineStr">
        <is>
          <t>VÄSTERVIK</t>
        </is>
      </c>
      <c r="F9237" t="inlineStr">
        <is>
          <t>Sveaskog</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46069-2023</t>
        </is>
      </c>
      <c r="B9238" s="1" t="n">
        <v>45196</v>
      </c>
      <c r="C9238" s="1" t="n">
        <v>45715</v>
      </c>
      <c r="D9238" t="inlineStr">
        <is>
          <t>KALMAR LÄN</t>
        </is>
      </c>
      <c r="E9238" t="inlineStr">
        <is>
          <t>VÄSTERVIK</t>
        </is>
      </c>
      <c r="F9238" t="inlineStr">
        <is>
          <t>Sveaskog</t>
        </is>
      </c>
      <c r="G9238" t="n">
        <v>7.9</v>
      </c>
      <c r="H9238" t="n">
        <v>0</v>
      </c>
      <c r="I9238" t="n">
        <v>0</v>
      </c>
      <c r="J9238" t="n">
        <v>0</v>
      </c>
      <c r="K9238" t="n">
        <v>0</v>
      </c>
      <c r="L9238" t="n">
        <v>0</v>
      </c>
      <c r="M9238" t="n">
        <v>0</v>
      </c>
      <c r="N9238" t="n">
        <v>0</v>
      </c>
      <c r="O9238" t="n">
        <v>0</v>
      </c>
      <c r="P9238" t="n">
        <v>0</v>
      </c>
      <c r="Q9238" t="n">
        <v>0</v>
      </c>
      <c r="R9238" s="2" t="inlineStr"/>
    </row>
    <row r="9239" ht="15" customHeight="1">
      <c r="A9239" t="inlineStr">
        <is>
          <t>A 46116-2023</t>
        </is>
      </c>
      <c r="B9239" s="1" t="n">
        <v>45196</v>
      </c>
      <c r="C9239" s="1" t="n">
        <v>45715</v>
      </c>
      <c r="D9239" t="inlineStr">
        <is>
          <t>KALMAR LÄN</t>
        </is>
      </c>
      <c r="E9239" t="inlineStr">
        <is>
          <t>VIMMERBY</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46078-2023</t>
        </is>
      </c>
      <c r="B9240" s="1" t="n">
        <v>45196</v>
      </c>
      <c r="C9240" s="1" t="n">
        <v>45715</v>
      </c>
      <c r="D9240" t="inlineStr">
        <is>
          <t>KALMAR LÄN</t>
        </is>
      </c>
      <c r="E9240" t="inlineStr">
        <is>
          <t>VIMMERBY</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46082-2023</t>
        </is>
      </c>
      <c r="B9241" s="1" t="n">
        <v>45196</v>
      </c>
      <c r="C9241" s="1" t="n">
        <v>45715</v>
      </c>
      <c r="D9241" t="inlineStr">
        <is>
          <t>KALMAR LÄN</t>
        </is>
      </c>
      <c r="E9241" t="inlineStr">
        <is>
          <t>TORSÅS</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46130-2023</t>
        </is>
      </c>
      <c r="B9242" s="1" t="n">
        <v>45196</v>
      </c>
      <c r="C9242" s="1" t="n">
        <v>45715</v>
      </c>
      <c r="D9242" t="inlineStr">
        <is>
          <t>KALMAR LÄN</t>
        </is>
      </c>
      <c r="E9242" t="inlineStr">
        <is>
          <t>VÄSTERVIK</t>
        </is>
      </c>
      <c r="F9242" t="inlineStr">
        <is>
          <t>Sveaskog</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46144-2023</t>
        </is>
      </c>
      <c r="B9243" s="1" t="n">
        <v>45196</v>
      </c>
      <c r="C9243" s="1" t="n">
        <v>45715</v>
      </c>
      <c r="D9243" t="inlineStr">
        <is>
          <t>KALMAR LÄN</t>
        </is>
      </c>
      <c r="E9243" t="inlineStr">
        <is>
          <t>VIMMERBY</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46187-2023</t>
        </is>
      </c>
      <c r="B9244" s="1" t="n">
        <v>45196</v>
      </c>
      <c r="C9244" s="1" t="n">
        <v>45715</v>
      </c>
      <c r="D9244" t="inlineStr">
        <is>
          <t>KALMAR LÄN</t>
        </is>
      </c>
      <c r="E9244" t="inlineStr">
        <is>
          <t>EMMABODA</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46024-2023</t>
        </is>
      </c>
      <c r="B9245" s="1" t="n">
        <v>45196</v>
      </c>
      <c r="C9245" s="1" t="n">
        <v>45715</v>
      </c>
      <c r="D9245" t="inlineStr">
        <is>
          <t>KALMAR LÄN</t>
        </is>
      </c>
      <c r="E9245" t="inlineStr">
        <is>
          <t>NYBRO</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46066-2023</t>
        </is>
      </c>
      <c r="B9246" s="1" t="n">
        <v>45196</v>
      </c>
      <c r="C9246" s="1" t="n">
        <v>45715</v>
      </c>
      <c r="D9246" t="inlineStr">
        <is>
          <t>KALMAR LÄN</t>
        </is>
      </c>
      <c r="E9246" t="inlineStr">
        <is>
          <t>VÄSTERVIK</t>
        </is>
      </c>
      <c r="F9246" t="inlineStr">
        <is>
          <t>Sveaskog</t>
        </is>
      </c>
      <c r="G9246" t="n">
        <v>8.9</v>
      </c>
      <c r="H9246" t="n">
        <v>0</v>
      </c>
      <c r="I9246" t="n">
        <v>0</v>
      </c>
      <c r="J9246" t="n">
        <v>0</v>
      </c>
      <c r="K9246" t="n">
        <v>0</v>
      </c>
      <c r="L9246" t="n">
        <v>0</v>
      </c>
      <c r="M9246" t="n">
        <v>0</v>
      </c>
      <c r="N9246" t="n">
        <v>0</v>
      </c>
      <c r="O9246" t="n">
        <v>0</v>
      </c>
      <c r="P9246" t="n">
        <v>0</v>
      </c>
      <c r="Q9246" t="n">
        <v>0</v>
      </c>
      <c r="R9246" s="2" t="inlineStr"/>
    </row>
    <row r="9247" ht="15" customHeight="1">
      <c r="A9247" t="inlineStr">
        <is>
          <t>A 46070-2023</t>
        </is>
      </c>
      <c r="B9247" s="1" t="n">
        <v>45196</v>
      </c>
      <c r="C9247" s="1" t="n">
        <v>45715</v>
      </c>
      <c r="D9247" t="inlineStr">
        <is>
          <t>KALMAR LÄN</t>
        </is>
      </c>
      <c r="E9247" t="inlineStr">
        <is>
          <t>VÄSTERVIK</t>
        </is>
      </c>
      <c r="F9247" t="inlineStr">
        <is>
          <t>Sveaskog</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46121-2023</t>
        </is>
      </c>
      <c r="B9248" s="1" t="n">
        <v>45196</v>
      </c>
      <c r="C9248" s="1" t="n">
        <v>45715</v>
      </c>
      <c r="D9248" t="inlineStr">
        <is>
          <t>KALMAR LÄN</t>
        </is>
      </c>
      <c r="E9248" t="inlineStr">
        <is>
          <t>VÄSTERVIK</t>
        </is>
      </c>
      <c r="F9248" t="inlineStr">
        <is>
          <t>Sveaskog</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46126-2023</t>
        </is>
      </c>
      <c r="B9249" s="1" t="n">
        <v>45196</v>
      </c>
      <c r="C9249" s="1" t="n">
        <v>45715</v>
      </c>
      <c r="D9249" t="inlineStr">
        <is>
          <t>KALMAR LÄN</t>
        </is>
      </c>
      <c r="E9249" t="inlineStr">
        <is>
          <t>VÄSTERVIK</t>
        </is>
      </c>
      <c r="F9249" t="inlineStr">
        <is>
          <t>Sveaskog</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46131-2023</t>
        </is>
      </c>
      <c r="B9250" s="1" t="n">
        <v>45196</v>
      </c>
      <c r="C9250" s="1" t="n">
        <v>45715</v>
      </c>
      <c r="D9250" t="inlineStr">
        <is>
          <t>KALMAR LÄN</t>
        </is>
      </c>
      <c r="E9250" t="inlineStr">
        <is>
          <t>VÄSTERVIK</t>
        </is>
      </c>
      <c r="F9250" t="inlineStr">
        <is>
          <t>Sveaskog</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46248-2023</t>
        </is>
      </c>
      <c r="B9251" s="1" t="n">
        <v>45196</v>
      </c>
      <c r="C9251" s="1" t="n">
        <v>45715</v>
      </c>
      <c r="D9251" t="inlineStr">
        <is>
          <t>KALMAR LÄN</t>
        </is>
      </c>
      <c r="E9251" t="inlineStr">
        <is>
          <t>OSKARSHAMN</t>
        </is>
      </c>
      <c r="F9251" t="inlineStr">
        <is>
          <t>Sveaskog</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46285-2023</t>
        </is>
      </c>
      <c r="B9252" s="1" t="n">
        <v>45197</v>
      </c>
      <c r="C9252" s="1" t="n">
        <v>45715</v>
      </c>
      <c r="D9252" t="inlineStr">
        <is>
          <t>KALMAR LÄN</t>
        </is>
      </c>
      <c r="E9252" t="inlineStr">
        <is>
          <t>HULTSFRED</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46341-2023</t>
        </is>
      </c>
      <c r="B9253" s="1" t="n">
        <v>45197</v>
      </c>
      <c r="C9253" s="1" t="n">
        <v>45715</v>
      </c>
      <c r="D9253" t="inlineStr">
        <is>
          <t>KALMAR LÄN</t>
        </is>
      </c>
      <c r="E9253" t="inlineStr">
        <is>
          <t>HULTSFRED</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46501-2023</t>
        </is>
      </c>
      <c r="B9254" s="1" t="n">
        <v>45197</v>
      </c>
      <c r="C9254" s="1" t="n">
        <v>45715</v>
      </c>
      <c r="D9254" t="inlineStr">
        <is>
          <t>KALMAR LÄN</t>
        </is>
      </c>
      <c r="E9254" t="inlineStr">
        <is>
          <t>HULTSFRED</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46282-2023</t>
        </is>
      </c>
      <c r="B9255" s="1" t="n">
        <v>45197</v>
      </c>
      <c r="C9255" s="1" t="n">
        <v>45715</v>
      </c>
      <c r="D9255" t="inlineStr">
        <is>
          <t>KALMAR LÄN</t>
        </is>
      </c>
      <c r="E9255" t="inlineStr">
        <is>
          <t>NYBRO</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46318-2023</t>
        </is>
      </c>
      <c r="B9256" s="1" t="n">
        <v>45197</v>
      </c>
      <c r="C9256" s="1" t="n">
        <v>45715</v>
      </c>
      <c r="D9256" t="inlineStr">
        <is>
          <t>KALMAR LÄN</t>
        </is>
      </c>
      <c r="E9256" t="inlineStr">
        <is>
          <t>HULTSFRED</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46345-2023</t>
        </is>
      </c>
      <c r="B9257" s="1" t="n">
        <v>45197</v>
      </c>
      <c r="C9257" s="1" t="n">
        <v>45715</v>
      </c>
      <c r="D9257" t="inlineStr">
        <is>
          <t>KALMAR LÄN</t>
        </is>
      </c>
      <c r="E9257" t="inlineStr">
        <is>
          <t>HULTSFRED</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46498-2023</t>
        </is>
      </c>
      <c r="B9258" s="1" t="n">
        <v>45197</v>
      </c>
      <c r="C9258" s="1" t="n">
        <v>45715</v>
      </c>
      <c r="D9258" t="inlineStr">
        <is>
          <t>KALMAR LÄN</t>
        </is>
      </c>
      <c r="E9258" t="inlineStr">
        <is>
          <t>HULTSFRED</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46283-2023</t>
        </is>
      </c>
      <c r="B9259" s="1" t="n">
        <v>45197</v>
      </c>
      <c r="C9259" s="1" t="n">
        <v>45715</v>
      </c>
      <c r="D9259" t="inlineStr">
        <is>
          <t>KALMAR LÄN</t>
        </is>
      </c>
      <c r="E9259" t="inlineStr">
        <is>
          <t>NYBRO</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46310-2023</t>
        </is>
      </c>
      <c r="B9260" s="1" t="n">
        <v>45197</v>
      </c>
      <c r="C9260" s="1" t="n">
        <v>45715</v>
      </c>
      <c r="D9260" t="inlineStr">
        <is>
          <t>KALMAR LÄN</t>
        </is>
      </c>
      <c r="E9260" t="inlineStr">
        <is>
          <t>HULTSFRED</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46325-2023</t>
        </is>
      </c>
      <c r="B9261" s="1" t="n">
        <v>45197</v>
      </c>
      <c r="C9261" s="1" t="n">
        <v>45715</v>
      </c>
      <c r="D9261" t="inlineStr">
        <is>
          <t>KALMAR LÄN</t>
        </is>
      </c>
      <c r="E9261" t="inlineStr">
        <is>
          <t>NYBRO</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46423-2023</t>
        </is>
      </c>
      <c r="B9262" s="1" t="n">
        <v>45197</v>
      </c>
      <c r="C9262" s="1" t="n">
        <v>45715</v>
      </c>
      <c r="D9262" t="inlineStr">
        <is>
          <t>KALMAR LÄN</t>
        </is>
      </c>
      <c r="E9262" t="inlineStr">
        <is>
          <t>HULTSFRED</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46457-2023</t>
        </is>
      </c>
      <c r="B9263" s="1" t="n">
        <v>45197</v>
      </c>
      <c r="C9263" s="1" t="n">
        <v>45715</v>
      </c>
      <c r="D9263" t="inlineStr">
        <is>
          <t>KALMAR LÄN</t>
        </is>
      </c>
      <c r="E9263" t="inlineStr">
        <is>
          <t>HULTSFRED</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46465-2023</t>
        </is>
      </c>
      <c r="B9264" s="1" t="n">
        <v>45197</v>
      </c>
      <c r="C9264" s="1" t="n">
        <v>45715</v>
      </c>
      <c r="D9264" t="inlineStr">
        <is>
          <t>KALMAR LÄN</t>
        </is>
      </c>
      <c r="E9264" t="inlineStr">
        <is>
          <t>HULTSFRED</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46603-2023</t>
        </is>
      </c>
      <c r="B9265" s="1" t="n">
        <v>45198</v>
      </c>
      <c r="C9265" s="1" t="n">
        <v>45715</v>
      </c>
      <c r="D9265" t="inlineStr">
        <is>
          <t>KALMAR LÄN</t>
        </is>
      </c>
      <c r="E9265" t="inlineStr">
        <is>
          <t>OSKARSHAMN</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46598-2023</t>
        </is>
      </c>
      <c r="B9266" s="1" t="n">
        <v>45198</v>
      </c>
      <c r="C9266" s="1" t="n">
        <v>45715</v>
      </c>
      <c r="D9266" t="inlineStr">
        <is>
          <t>KALMAR LÄN</t>
        </is>
      </c>
      <c r="E9266" t="inlineStr">
        <is>
          <t>VÄSTERVIK</t>
        </is>
      </c>
      <c r="F9266" t="inlineStr">
        <is>
          <t>Holmen skog AB</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46613-2023</t>
        </is>
      </c>
      <c r="B9267" s="1" t="n">
        <v>45198</v>
      </c>
      <c r="C9267" s="1" t="n">
        <v>45715</v>
      </c>
      <c r="D9267" t="inlineStr">
        <is>
          <t>KALMAR LÄN</t>
        </is>
      </c>
      <c r="E9267" t="inlineStr">
        <is>
          <t>OSKARSHAMN</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46637-2023</t>
        </is>
      </c>
      <c r="B9268" s="1" t="n">
        <v>45198</v>
      </c>
      <c r="C9268" s="1" t="n">
        <v>45715</v>
      </c>
      <c r="D9268" t="inlineStr">
        <is>
          <t>KALMAR LÄN</t>
        </is>
      </c>
      <c r="E9268" t="inlineStr">
        <is>
          <t>KALMAR</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46684-2023</t>
        </is>
      </c>
      <c r="B9269" s="1" t="n">
        <v>45198</v>
      </c>
      <c r="C9269" s="1" t="n">
        <v>45715</v>
      </c>
      <c r="D9269" t="inlineStr">
        <is>
          <t>KALMAR LÄN</t>
        </is>
      </c>
      <c r="E9269" t="inlineStr">
        <is>
          <t>NYBRO</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46697-2023</t>
        </is>
      </c>
      <c r="B9270" s="1" t="n">
        <v>45198</v>
      </c>
      <c r="C9270" s="1" t="n">
        <v>45715</v>
      </c>
      <c r="D9270" t="inlineStr">
        <is>
          <t>KALMAR LÄN</t>
        </is>
      </c>
      <c r="E9270" t="inlineStr">
        <is>
          <t>VIMMERBY</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46572-2023</t>
        </is>
      </c>
      <c r="B9271" s="1" t="n">
        <v>45198</v>
      </c>
      <c r="C9271" s="1" t="n">
        <v>45715</v>
      </c>
      <c r="D9271" t="inlineStr">
        <is>
          <t>KALMAR LÄN</t>
        </is>
      </c>
      <c r="E9271" t="inlineStr">
        <is>
          <t>TORSÅS</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46605-2023</t>
        </is>
      </c>
      <c r="B9272" s="1" t="n">
        <v>45198</v>
      </c>
      <c r="C9272" s="1" t="n">
        <v>45715</v>
      </c>
      <c r="D9272" t="inlineStr">
        <is>
          <t>KALMAR LÄN</t>
        </is>
      </c>
      <c r="E9272" t="inlineStr">
        <is>
          <t>OSKARSHAMN</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46717-2023</t>
        </is>
      </c>
      <c r="B9273" s="1" t="n">
        <v>45198</v>
      </c>
      <c r="C9273" s="1" t="n">
        <v>45715</v>
      </c>
      <c r="D9273" t="inlineStr">
        <is>
          <t>KALMAR LÄN</t>
        </is>
      </c>
      <c r="E9273" t="inlineStr">
        <is>
          <t>VÄSTERVIK</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46759-2023</t>
        </is>
      </c>
      <c r="B9274" s="1" t="n">
        <v>45198</v>
      </c>
      <c r="C9274" s="1" t="n">
        <v>45715</v>
      </c>
      <c r="D9274" t="inlineStr">
        <is>
          <t>KALMAR LÄN</t>
        </is>
      </c>
      <c r="E9274" t="inlineStr">
        <is>
          <t>KALMAR</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46778-2023</t>
        </is>
      </c>
      <c r="B9275" s="1" t="n">
        <v>45198</v>
      </c>
      <c r="C9275" s="1" t="n">
        <v>45715</v>
      </c>
      <c r="D9275" t="inlineStr">
        <is>
          <t>KALMAR LÄN</t>
        </is>
      </c>
      <c r="E9275" t="inlineStr">
        <is>
          <t>KALMAR</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46607-2023</t>
        </is>
      </c>
      <c r="B9276" s="1" t="n">
        <v>45198</v>
      </c>
      <c r="C9276" s="1" t="n">
        <v>45715</v>
      </c>
      <c r="D9276" t="inlineStr">
        <is>
          <t>KALMAR LÄN</t>
        </is>
      </c>
      <c r="E9276" t="inlineStr">
        <is>
          <t>TORSÅS</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46611-2023</t>
        </is>
      </c>
      <c r="B9277" s="1" t="n">
        <v>45198</v>
      </c>
      <c r="C9277" s="1" t="n">
        <v>45715</v>
      </c>
      <c r="D9277" t="inlineStr">
        <is>
          <t>KALMAR LÄN</t>
        </is>
      </c>
      <c r="E9277" t="inlineStr">
        <is>
          <t>OSKARSHAMN</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46615-2023</t>
        </is>
      </c>
      <c r="B9278" s="1" t="n">
        <v>45198</v>
      </c>
      <c r="C9278" s="1" t="n">
        <v>45715</v>
      </c>
      <c r="D9278" t="inlineStr">
        <is>
          <t>KALMAR LÄN</t>
        </is>
      </c>
      <c r="E9278" t="inlineStr">
        <is>
          <t>OSKARSHAMN</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46661-2023</t>
        </is>
      </c>
      <c r="B9279" s="1" t="n">
        <v>45198</v>
      </c>
      <c r="C9279" s="1" t="n">
        <v>45715</v>
      </c>
      <c r="D9279" t="inlineStr">
        <is>
          <t>KALMAR LÄN</t>
        </is>
      </c>
      <c r="E9279" t="inlineStr">
        <is>
          <t>TORSÅS</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46695-2023</t>
        </is>
      </c>
      <c r="B9280" s="1" t="n">
        <v>45198</v>
      </c>
      <c r="C9280" s="1" t="n">
        <v>45715</v>
      </c>
      <c r="D9280" t="inlineStr">
        <is>
          <t>KALMAR LÄN</t>
        </is>
      </c>
      <c r="E9280" t="inlineStr">
        <is>
          <t>VIMMERBY</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46718-2023</t>
        </is>
      </c>
      <c r="B9281" s="1" t="n">
        <v>45198</v>
      </c>
      <c r="C9281" s="1" t="n">
        <v>45715</v>
      </c>
      <c r="D9281" t="inlineStr">
        <is>
          <t>KALMAR LÄN</t>
        </is>
      </c>
      <c r="E9281" t="inlineStr">
        <is>
          <t>VÄSTERVIK</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48126-2023</t>
        </is>
      </c>
      <c r="B9282" s="1" t="n">
        <v>45198</v>
      </c>
      <c r="C9282" s="1" t="n">
        <v>45715</v>
      </c>
      <c r="D9282" t="inlineStr">
        <is>
          <t>KALMAR LÄN</t>
        </is>
      </c>
      <c r="E9282" t="inlineStr">
        <is>
          <t>EMMABODA</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48117-2023</t>
        </is>
      </c>
      <c r="B9283" s="1" t="n">
        <v>45198</v>
      </c>
      <c r="C9283" s="1" t="n">
        <v>45715</v>
      </c>
      <c r="D9283" t="inlineStr">
        <is>
          <t>KALMAR LÄN</t>
        </is>
      </c>
      <c r="E9283" t="inlineStr">
        <is>
          <t>EMMABODA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48255-2023</t>
        </is>
      </c>
      <c r="B9284" s="1" t="n">
        <v>45200</v>
      </c>
      <c r="C9284" s="1" t="n">
        <v>45715</v>
      </c>
      <c r="D9284" t="inlineStr">
        <is>
          <t>KALMAR LÄN</t>
        </is>
      </c>
      <c r="E9284" t="inlineStr">
        <is>
          <t>EMMABODA</t>
        </is>
      </c>
      <c r="G9284" t="n">
        <v>5.8</v>
      </c>
      <c r="H9284" t="n">
        <v>0</v>
      </c>
      <c r="I9284" t="n">
        <v>0</v>
      </c>
      <c r="J9284" t="n">
        <v>0</v>
      </c>
      <c r="K9284" t="n">
        <v>0</v>
      </c>
      <c r="L9284" t="n">
        <v>0</v>
      </c>
      <c r="M9284" t="n">
        <v>0</v>
      </c>
      <c r="N9284" t="n">
        <v>0</v>
      </c>
      <c r="O9284" t="n">
        <v>0</v>
      </c>
      <c r="P9284" t="n">
        <v>0</v>
      </c>
      <c r="Q9284" t="n">
        <v>0</v>
      </c>
      <c r="R9284" s="2" t="inlineStr"/>
    </row>
    <row r="9285" ht="15" customHeight="1">
      <c r="A9285" t="inlineStr">
        <is>
          <t>A 46862-2023</t>
        </is>
      </c>
      <c r="B9285" s="1" t="n">
        <v>45200</v>
      </c>
      <c r="C9285" s="1" t="n">
        <v>45715</v>
      </c>
      <c r="D9285" t="inlineStr">
        <is>
          <t>KALMAR LÄN</t>
        </is>
      </c>
      <c r="E9285" t="inlineStr">
        <is>
          <t>EMMABODA</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47123-2023</t>
        </is>
      </c>
      <c r="B9286" s="1" t="n">
        <v>45201</v>
      </c>
      <c r="C9286" s="1" t="n">
        <v>45715</v>
      </c>
      <c r="D9286" t="inlineStr">
        <is>
          <t>KALMAR LÄN</t>
        </is>
      </c>
      <c r="E9286" t="inlineStr">
        <is>
          <t>VÄSTERVIK</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46916-2023</t>
        </is>
      </c>
      <c r="B9287" s="1" t="n">
        <v>45201</v>
      </c>
      <c r="C9287" s="1" t="n">
        <v>45715</v>
      </c>
      <c r="D9287" t="inlineStr">
        <is>
          <t>KALMAR LÄN</t>
        </is>
      </c>
      <c r="E9287" t="inlineStr">
        <is>
          <t>VIMMERBY</t>
        </is>
      </c>
      <c r="G9287" t="n">
        <v>6.9</v>
      </c>
      <c r="H9287" t="n">
        <v>0</v>
      </c>
      <c r="I9287" t="n">
        <v>0</v>
      </c>
      <c r="J9287" t="n">
        <v>0</v>
      </c>
      <c r="K9287" t="n">
        <v>0</v>
      </c>
      <c r="L9287" t="n">
        <v>0</v>
      </c>
      <c r="M9287" t="n">
        <v>0</v>
      </c>
      <c r="N9287" t="n">
        <v>0</v>
      </c>
      <c r="O9287" t="n">
        <v>0</v>
      </c>
      <c r="P9287" t="n">
        <v>0</v>
      </c>
      <c r="Q9287" t="n">
        <v>0</v>
      </c>
      <c r="R9287" s="2" t="inlineStr"/>
    </row>
    <row r="9288" ht="15" customHeight="1">
      <c r="A9288" t="inlineStr">
        <is>
          <t>A 46920-2023</t>
        </is>
      </c>
      <c r="B9288" s="1" t="n">
        <v>45201</v>
      </c>
      <c r="C9288" s="1" t="n">
        <v>45715</v>
      </c>
      <c r="D9288" t="inlineStr">
        <is>
          <t>KALMAR LÄN</t>
        </is>
      </c>
      <c r="E9288" t="inlineStr">
        <is>
          <t>VÄSTERVIK</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47111-2023</t>
        </is>
      </c>
      <c r="B9289" s="1" t="n">
        <v>45201</v>
      </c>
      <c r="C9289" s="1" t="n">
        <v>45715</v>
      </c>
      <c r="D9289" t="inlineStr">
        <is>
          <t>KALMAR LÄN</t>
        </is>
      </c>
      <c r="E9289" t="inlineStr">
        <is>
          <t>VÄSTERVIK</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47120-2023</t>
        </is>
      </c>
      <c r="B9290" s="1" t="n">
        <v>45201</v>
      </c>
      <c r="C9290" s="1" t="n">
        <v>45715</v>
      </c>
      <c r="D9290" t="inlineStr">
        <is>
          <t>KALMAR LÄN</t>
        </is>
      </c>
      <c r="E9290" t="inlineStr">
        <is>
          <t>VÄSTERVIK</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47124-2023</t>
        </is>
      </c>
      <c r="B9291" s="1" t="n">
        <v>45201</v>
      </c>
      <c r="C9291" s="1" t="n">
        <v>45715</v>
      </c>
      <c r="D9291" t="inlineStr">
        <is>
          <t>KALMAR LÄN</t>
        </is>
      </c>
      <c r="E9291" t="inlineStr">
        <is>
          <t>VÄSTERVIK</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46970-2023</t>
        </is>
      </c>
      <c r="B9292" s="1" t="n">
        <v>45201</v>
      </c>
      <c r="C9292" s="1" t="n">
        <v>45715</v>
      </c>
      <c r="D9292" t="inlineStr">
        <is>
          <t>KALMAR LÄN</t>
        </is>
      </c>
      <c r="E9292" t="inlineStr">
        <is>
          <t>VÄSTERVIK</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47003-2023</t>
        </is>
      </c>
      <c r="B9293" s="1" t="n">
        <v>45201</v>
      </c>
      <c r="C9293" s="1" t="n">
        <v>45715</v>
      </c>
      <c r="D9293" t="inlineStr">
        <is>
          <t>KALMAR LÄN</t>
        </is>
      </c>
      <c r="E9293" t="inlineStr">
        <is>
          <t>TORSÅS</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46921-2023</t>
        </is>
      </c>
      <c r="B9294" s="1" t="n">
        <v>45201</v>
      </c>
      <c r="C9294" s="1" t="n">
        <v>45715</v>
      </c>
      <c r="D9294" t="inlineStr">
        <is>
          <t>KALMAR LÄN</t>
        </is>
      </c>
      <c r="E9294" t="inlineStr">
        <is>
          <t>VIMMERBY</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46941-2023</t>
        </is>
      </c>
      <c r="B9295" s="1" t="n">
        <v>45201</v>
      </c>
      <c r="C9295" s="1" t="n">
        <v>45715</v>
      </c>
      <c r="D9295" t="inlineStr">
        <is>
          <t>KALMAR LÄN</t>
        </is>
      </c>
      <c r="E9295" t="inlineStr">
        <is>
          <t>VIMMERBY</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47004-2023</t>
        </is>
      </c>
      <c r="B9296" s="1" t="n">
        <v>45201</v>
      </c>
      <c r="C9296" s="1" t="n">
        <v>45715</v>
      </c>
      <c r="D9296" t="inlineStr">
        <is>
          <t>KALMAR LÄN</t>
        </is>
      </c>
      <c r="E9296" t="inlineStr">
        <is>
          <t>TORSÅS</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46968-2023</t>
        </is>
      </c>
      <c r="B9297" s="1" t="n">
        <v>45201</v>
      </c>
      <c r="C9297" s="1" t="n">
        <v>45715</v>
      </c>
      <c r="D9297" t="inlineStr">
        <is>
          <t>KALMAR LÄN</t>
        </is>
      </c>
      <c r="E9297" t="inlineStr">
        <is>
          <t>VÄSTERVIK</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46979-2023</t>
        </is>
      </c>
      <c r="B9298" s="1" t="n">
        <v>45201</v>
      </c>
      <c r="C9298" s="1" t="n">
        <v>45715</v>
      </c>
      <c r="D9298" t="inlineStr">
        <is>
          <t>KALMAR LÄN</t>
        </is>
      </c>
      <c r="E9298" t="inlineStr">
        <is>
          <t>VIMMERBY</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47084-2023</t>
        </is>
      </c>
      <c r="B9299" s="1" t="n">
        <v>45201</v>
      </c>
      <c r="C9299" s="1" t="n">
        <v>45715</v>
      </c>
      <c r="D9299" t="inlineStr">
        <is>
          <t>KALMAR LÄN</t>
        </is>
      </c>
      <c r="E9299" t="inlineStr">
        <is>
          <t>VIMMERBY</t>
        </is>
      </c>
      <c r="G9299" t="n">
        <v>5.9</v>
      </c>
      <c r="H9299" t="n">
        <v>0</v>
      </c>
      <c r="I9299" t="n">
        <v>0</v>
      </c>
      <c r="J9299" t="n">
        <v>0</v>
      </c>
      <c r="K9299" t="n">
        <v>0</v>
      </c>
      <c r="L9299" t="n">
        <v>0</v>
      </c>
      <c r="M9299" t="n">
        <v>0</v>
      </c>
      <c r="N9299" t="n">
        <v>0</v>
      </c>
      <c r="O9299" t="n">
        <v>0</v>
      </c>
      <c r="P9299" t="n">
        <v>0</v>
      </c>
      <c r="Q9299" t="n">
        <v>0</v>
      </c>
      <c r="R9299" s="2" t="inlineStr"/>
    </row>
    <row r="9300" ht="15" customHeight="1">
      <c r="A9300" t="inlineStr">
        <is>
          <t>A 47247-2023</t>
        </is>
      </c>
      <c r="B9300" s="1" t="n">
        <v>45202</v>
      </c>
      <c r="C9300" s="1" t="n">
        <v>45715</v>
      </c>
      <c r="D9300" t="inlineStr">
        <is>
          <t>KALMAR LÄN</t>
        </is>
      </c>
      <c r="E9300" t="inlineStr">
        <is>
          <t>VIMMERBY</t>
        </is>
      </c>
      <c r="G9300" t="n">
        <v>8.800000000000001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47256-2023</t>
        </is>
      </c>
      <c r="B9301" s="1" t="n">
        <v>45202</v>
      </c>
      <c r="C9301" s="1" t="n">
        <v>45715</v>
      </c>
      <c r="D9301" t="inlineStr">
        <is>
          <t>KALMAR LÄN</t>
        </is>
      </c>
      <c r="E9301" t="inlineStr">
        <is>
          <t>VIMMERBY</t>
        </is>
      </c>
      <c r="G9301" t="n">
        <v>5.7</v>
      </c>
      <c r="H9301" t="n">
        <v>0</v>
      </c>
      <c r="I9301" t="n">
        <v>0</v>
      </c>
      <c r="J9301" t="n">
        <v>0</v>
      </c>
      <c r="K9301" t="n">
        <v>0</v>
      </c>
      <c r="L9301" t="n">
        <v>0</v>
      </c>
      <c r="M9301" t="n">
        <v>0</v>
      </c>
      <c r="N9301" t="n">
        <v>0</v>
      </c>
      <c r="O9301" t="n">
        <v>0</v>
      </c>
      <c r="P9301" t="n">
        <v>0</v>
      </c>
      <c r="Q9301" t="n">
        <v>0</v>
      </c>
      <c r="R9301" s="2" t="inlineStr"/>
    </row>
    <row r="9302" ht="15" customHeight="1">
      <c r="A9302" t="inlineStr">
        <is>
          <t>A 47236-2023</t>
        </is>
      </c>
      <c r="B9302" s="1" t="n">
        <v>45202</v>
      </c>
      <c r="C9302" s="1" t="n">
        <v>45715</v>
      </c>
      <c r="D9302" t="inlineStr">
        <is>
          <t>KALMAR LÄN</t>
        </is>
      </c>
      <c r="E9302" t="inlineStr">
        <is>
          <t>HÖGSBY</t>
        </is>
      </c>
      <c r="G9302" t="n">
        <v>13.2</v>
      </c>
      <c r="H9302" t="n">
        <v>0</v>
      </c>
      <c r="I9302" t="n">
        <v>0</v>
      </c>
      <c r="J9302" t="n">
        <v>0</v>
      </c>
      <c r="K9302" t="n">
        <v>0</v>
      </c>
      <c r="L9302" t="n">
        <v>0</v>
      </c>
      <c r="M9302" t="n">
        <v>0</v>
      </c>
      <c r="N9302" t="n">
        <v>0</v>
      </c>
      <c r="O9302" t="n">
        <v>0</v>
      </c>
      <c r="P9302" t="n">
        <v>0</v>
      </c>
      <c r="Q9302" t="n">
        <v>0</v>
      </c>
      <c r="R9302" s="2" t="inlineStr"/>
    </row>
    <row r="9303" ht="15" customHeight="1">
      <c r="A9303" t="inlineStr">
        <is>
          <t>A 47263-2023</t>
        </is>
      </c>
      <c r="B9303" s="1" t="n">
        <v>45202</v>
      </c>
      <c r="C9303" s="1" t="n">
        <v>45715</v>
      </c>
      <c r="D9303" t="inlineStr">
        <is>
          <t>KALMAR LÄN</t>
        </is>
      </c>
      <c r="E9303" t="inlineStr">
        <is>
          <t>VIMMERBY</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47217-2023</t>
        </is>
      </c>
      <c r="B9304" s="1" t="n">
        <v>45202</v>
      </c>
      <c r="C9304" s="1" t="n">
        <v>45715</v>
      </c>
      <c r="D9304" t="inlineStr">
        <is>
          <t>KALMAR LÄN</t>
        </is>
      </c>
      <c r="E9304" t="inlineStr">
        <is>
          <t>TORSÅS</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47414-2023</t>
        </is>
      </c>
      <c r="B9305" s="1" t="n">
        <v>45202</v>
      </c>
      <c r="C9305" s="1" t="n">
        <v>45715</v>
      </c>
      <c r="D9305" t="inlineStr">
        <is>
          <t>KALMAR LÄN</t>
        </is>
      </c>
      <c r="E9305" t="inlineStr">
        <is>
          <t>VÄSTERVIK</t>
        </is>
      </c>
      <c r="F9305" t="inlineStr">
        <is>
          <t>Holmen skog AB</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47286-2023</t>
        </is>
      </c>
      <c r="B9306" s="1" t="n">
        <v>45202</v>
      </c>
      <c r="C9306" s="1" t="n">
        <v>45715</v>
      </c>
      <c r="D9306" t="inlineStr">
        <is>
          <t>KALMAR LÄN</t>
        </is>
      </c>
      <c r="E9306" t="inlineStr">
        <is>
          <t>KALMAR</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47387-2023</t>
        </is>
      </c>
      <c r="B9307" s="1" t="n">
        <v>45202</v>
      </c>
      <c r="C9307" s="1" t="n">
        <v>45715</v>
      </c>
      <c r="D9307" t="inlineStr">
        <is>
          <t>KALMAR LÄN</t>
        </is>
      </c>
      <c r="E9307" t="inlineStr">
        <is>
          <t>KALMAR</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47391-2023</t>
        </is>
      </c>
      <c r="B9308" s="1" t="n">
        <v>45202</v>
      </c>
      <c r="C9308" s="1" t="n">
        <v>45715</v>
      </c>
      <c r="D9308" t="inlineStr">
        <is>
          <t>KALMAR LÄN</t>
        </is>
      </c>
      <c r="E9308" t="inlineStr">
        <is>
          <t>KALMAR</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47404-2023</t>
        </is>
      </c>
      <c r="B9309" s="1" t="n">
        <v>45202</v>
      </c>
      <c r="C9309" s="1" t="n">
        <v>45715</v>
      </c>
      <c r="D9309" t="inlineStr">
        <is>
          <t>KALMAR LÄN</t>
        </is>
      </c>
      <c r="E9309" t="inlineStr">
        <is>
          <t>KALMAR</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47267-2023</t>
        </is>
      </c>
      <c r="B9310" s="1" t="n">
        <v>45202</v>
      </c>
      <c r="C9310" s="1" t="n">
        <v>45715</v>
      </c>
      <c r="D9310" t="inlineStr">
        <is>
          <t>KALMAR LÄN</t>
        </is>
      </c>
      <c r="E9310" t="inlineStr">
        <is>
          <t>VÄSTERVIK</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47277-2023</t>
        </is>
      </c>
      <c r="B9311" s="1" t="n">
        <v>45202</v>
      </c>
      <c r="C9311" s="1" t="n">
        <v>45715</v>
      </c>
      <c r="D9311" t="inlineStr">
        <is>
          <t>KALMAR LÄN</t>
        </is>
      </c>
      <c r="E9311" t="inlineStr">
        <is>
          <t>OSKARSHAMN</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47291-2023</t>
        </is>
      </c>
      <c r="B9312" s="1" t="n">
        <v>45202</v>
      </c>
      <c r="C9312" s="1" t="n">
        <v>45715</v>
      </c>
      <c r="D9312" t="inlineStr">
        <is>
          <t>KALMAR LÄN</t>
        </is>
      </c>
      <c r="E9312" t="inlineStr">
        <is>
          <t>EMMABODA</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47363-2023</t>
        </is>
      </c>
      <c r="B9313" s="1" t="n">
        <v>45202</v>
      </c>
      <c r="C9313" s="1" t="n">
        <v>45715</v>
      </c>
      <c r="D9313" t="inlineStr">
        <is>
          <t>KALMAR LÄN</t>
        </is>
      </c>
      <c r="E9313" t="inlineStr">
        <is>
          <t>VÄSTERVIK</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47524-2023</t>
        </is>
      </c>
      <c r="B9314" s="1" t="n">
        <v>45203</v>
      </c>
      <c r="C9314" s="1" t="n">
        <v>45715</v>
      </c>
      <c r="D9314" t="inlineStr">
        <is>
          <t>KALMAR LÄN</t>
        </is>
      </c>
      <c r="E9314" t="inlineStr">
        <is>
          <t>VIMMERBY</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47515-2023</t>
        </is>
      </c>
      <c r="B9315" s="1" t="n">
        <v>45203</v>
      </c>
      <c r="C9315" s="1" t="n">
        <v>45715</v>
      </c>
      <c r="D9315" t="inlineStr">
        <is>
          <t>KALMAR LÄN</t>
        </is>
      </c>
      <c r="E9315" t="inlineStr">
        <is>
          <t>VIMMERBY</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47503-2023</t>
        </is>
      </c>
      <c r="B9316" s="1" t="n">
        <v>45203</v>
      </c>
      <c r="C9316" s="1" t="n">
        <v>45715</v>
      </c>
      <c r="D9316" t="inlineStr">
        <is>
          <t>KALMAR LÄN</t>
        </is>
      </c>
      <c r="E9316" t="inlineStr">
        <is>
          <t>HÖGSBY</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47517-2023</t>
        </is>
      </c>
      <c r="B9317" s="1" t="n">
        <v>45203</v>
      </c>
      <c r="C9317" s="1" t="n">
        <v>45715</v>
      </c>
      <c r="D9317" t="inlineStr">
        <is>
          <t>KALMAR LÄN</t>
        </is>
      </c>
      <c r="E9317" t="inlineStr">
        <is>
          <t>VIMMERBY</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47545-2023</t>
        </is>
      </c>
      <c r="B9318" s="1" t="n">
        <v>45203</v>
      </c>
      <c r="C9318" s="1" t="n">
        <v>45715</v>
      </c>
      <c r="D9318" t="inlineStr">
        <is>
          <t>KALMAR LÄN</t>
        </is>
      </c>
      <c r="E9318" t="inlineStr">
        <is>
          <t>NYBRO</t>
        </is>
      </c>
      <c r="G9318" t="n">
        <v>8.1</v>
      </c>
      <c r="H9318" t="n">
        <v>0</v>
      </c>
      <c r="I9318" t="n">
        <v>0</v>
      </c>
      <c r="J9318" t="n">
        <v>0</v>
      </c>
      <c r="K9318" t="n">
        <v>0</v>
      </c>
      <c r="L9318" t="n">
        <v>0</v>
      </c>
      <c r="M9318" t="n">
        <v>0</v>
      </c>
      <c r="N9318" t="n">
        <v>0</v>
      </c>
      <c r="O9318" t="n">
        <v>0</v>
      </c>
      <c r="P9318" t="n">
        <v>0</v>
      </c>
      <c r="Q9318" t="n">
        <v>0</v>
      </c>
      <c r="R9318" s="2" t="inlineStr"/>
    </row>
    <row r="9319" ht="15" customHeight="1">
      <c r="A9319" t="inlineStr">
        <is>
          <t>A 47568-2023</t>
        </is>
      </c>
      <c r="B9319" s="1" t="n">
        <v>45203</v>
      </c>
      <c r="C9319" s="1" t="n">
        <v>45715</v>
      </c>
      <c r="D9319" t="inlineStr">
        <is>
          <t>KALMAR LÄN</t>
        </is>
      </c>
      <c r="E9319" t="inlineStr">
        <is>
          <t>HÖGSBY</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47502-2023</t>
        </is>
      </c>
      <c r="B9320" s="1" t="n">
        <v>45203</v>
      </c>
      <c r="C9320" s="1" t="n">
        <v>45715</v>
      </c>
      <c r="D9320" t="inlineStr">
        <is>
          <t>KALMAR LÄN</t>
        </is>
      </c>
      <c r="E9320" t="inlineStr">
        <is>
          <t>HÖGSBY</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47521-2023</t>
        </is>
      </c>
      <c r="B9321" s="1" t="n">
        <v>45203</v>
      </c>
      <c r="C9321" s="1" t="n">
        <v>45715</v>
      </c>
      <c r="D9321" t="inlineStr">
        <is>
          <t>KALMAR LÄN</t>
        </is>
      </c>
      <c r="E9321" t="inlineStr">
        <is>
          <t>VIMMERBY</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47571-2023</t>
        </is>
      </c>
      <c r="B9322" s="1" t="n">
        <v>45203</v>
      </c>
      <c r="C9322" s="1" t="n">
        <v>45715</v>
      </c>
      <c r="D9322" t="inlineStr">
        <is>
          <t>KALMAR LÄN</t>
        </is>
      </c>
      <c r="E9322" t="inlineStr">
        <is>
          <t>HÖGSBY</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47801-2023</t>
        </is>
      </c>
      <c r="B9323" s="1" t="n">
        <v>45203</v>
      </c>
      <c r="C9323" s="1" t="n">
        <v>45715</v>
      </c>
      <c r="D9323" t="inlineStr">
        <is>
          <t>KALMAR LÄN</t>
        </is>
      </c>
      <c r="E9323" t="inlineStr">
        <is>
          <t>NYBRO</t>
        </is>
      </c>
      <c r="F9323" t="inlineStr">
        <is>
          <t>Sveaskog</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47859-2023</t>
        </is>
      </c>
      <c r="B9324" s="1" t="n">
        <v>45204</v>
      </c>
      <c r="C9324" s="1" t="n">
        <v>45715</v>
      </c>
      <c r="D9324" t="inlineStr">
        <is>
          <t>KALMAR LÄN</t>
        </is>
      </c>
      <c r="E9324" t="inlineStr">
        <is>
          <t>HÖGSBY</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47862-2023</t>
        </is>
      </c>
      <c r="B9325" s="1" t="n">
        <v>45204</v>
      </c>
      <c r="C9325" s="1" t="n">
        <v>45715</v>
      </c>
      <c r="D9325" t="inlineStr">
        <is>
          <t>KALMAR LÄN</t>
        </is>
      </c>
      <c r="E9325" t="inlineStr">
        <is>
          <t>NYBRO</t>
        </is>
      </c>
      <c r="F9325" t="inlineStr">
        <is>
          <t>Sveaskog</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47896-2023</t>
        </is>
      </c>
      <c r="B9326" s="1" t="n">
        <v>45204</v>
      </c>
      <c r="C9326" s="1" t="n">
        <v>45715</v>
      </c>
      <c r="D9326" t="inlineStr">
        <is>
          <t>KALMAR LÄN</t>
        </is>
      </c>
      <c r="E9326" t="inlineStr">
        <is>
          <t>NYBRO</t>
        </is>
      </c>
      <c r="F9326" t="inlineStr">
        <is>
          <t>Sveaskog</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47956-2023</t>
        </is>
      </c>
      <c r="B9327" s="1" t="n">
        <v>45204</v>
      </c>
      <c r="C9327" s="1" t="n">
        <v>45715</v>
      </c>
      <c r="D9327" t="inlineStr">
        <is>
          <t>KALMAR LÄN</t>
        </is>
      </c>
      <c r="E9327" t="inlineStr">
        <is>
          <t>OSKARSHAMN</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47964-2023</t>
        </is>
      </c>
      <c r="B9328" s="1" t="n">
        <v>45204</v>
      </c>
      <c r="C9328" s="1" t="n">
        <v>45715</v>
      </c>
      <c r="D9328" t="inlineStr">
        <is>
          <t>KALMAR LÄN</t>
        </is>
      </c>
      <c r="E9328" t="inlineStr">
        <is>
          <t>VÄSTERVIK</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47941-2023</t>
        </is>
      </c>
      <c r="B9329" s="1" t="n">
        <v>45204</v>
      </c>
      <c r="C9329" s="1" t="n">
        <v>45715</v>
      </c>
      <c r="D9329" t="inlineStr">
        <is>
          <t>KALMAR LÄN</t>
        </is>
      </c>
      <c r="E9329" t="inlineStr">
        <is>
          <t>NYBRO</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47945-2023</t>
        </is>
      </c>
      <c r="B9330" s="1" t="n">
        <v>45204</v>
      </c>
      <c r="C9330" s="1" t="n">
        <v>45715</v>
      </c>
      <c r="D9330" t="inlineStr">
        <is>
          <t>KALMAR LÄN</t>
        </is>
      </c>
      <c r="E9330" t="inlineStr">
        <is>
          <t>VÄSTERVIK</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47953-2023</t>
        </is>
      </c>
      <c r="B9331" s="1" t="n">
        <v>45204</v>
      </c>
      <c r="C9331" s="1" t="n">
        <v>45715</v>
      </c>
      <c r="D9331" t="inlineStr">
        <is>
          <t>KALMAR LÄN</t>
        </is>
      </c>
      <c r="E9331" t="inlineStr">
        <is>
          <t>OSKARSHAMN</t>
        </is>
      </c>
      <c r="G9331" t="n">
        <v>4.1</v>
      </c>
      <c r="H9331" t="n">
        <v>0</v>
      </c>
      <c r="I9331" t="n">
        <v>0</v>
      </c>
      <c r="J9331" t="n">
        <v>0</v>
      </c>
      <c r="K9331" t="n">
        <v>0</v>
      </c>
      <c r="L9331" t="n">
        <v>0</v>
      </c>
      <c r="M9331" t="n">
        <v>0</v>
      </c>
      <c r="N9331" t="n">
        <v>0</v>
      </c>
      <c r="O9331" t="n">
        <v>0</v>
      </c>
      <c r="P9331" t="n">
        <v>0</v>
      </c>
      <c r="Q9331" t="n">
        <v>0</v>
      </c>
      <c r="R9331" s="2" t="inlineStr"/>
    </row>
    <row r="9332" ht="15" customHeight="1">
      <c r="A9332" t="inlineStr">
        <is>
          <t>A 47965-2023</t>
        </is>
      </c>
      <c r="B9332" s="1" t="n">
        <v>45204</v>
      </c>
      <c r="C9332" s="1" t="n">
        <v>45715</v>
      </c>
      <c r="D9332" t="inlineStr">
        <is>
          <t>KALMAR LÄN</t>
        </is>
      </c>
      <c r="E9332" t="inlineStr">
        <is>
          <t>OSKARSHAMN</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47934-2023</t>
        </is>
      </c>
      <c r="B9333" s="1" t="n">
        <v>45204</v>
      </c>
      <c r="C9333" s="1" t="n">
        <v>45715</v>
      </c>
      <c r="D9333" t="inlineStr">
        <is>
          <t>KALMAR LÄN</t>
        </is>
      </c>
      <c r="E9333" t="inlineStr">
        <is>
          <t>OSKARSHAMN</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47939-2023</t>
        </is>
      </c>
      <c r="B9334" s="1" t="n">
        <v>45204</v>
      </c>
      <c r="C9334" s="1" t="n">
        <v>45715</v>
      </c>
      <c r="D9334" t="inlineStr">
        <is>
          <t>KALMAR LÄN</t>
        </is>
      </c>
      <c r="E9334" t="inlineStr">
        <is>
          <t>VÄSTERVIK</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48039-2023</t>
        </is>
      </c>
      <c r="B9335" s="1" t="n">
        <v>45204</v>
      </c>
      <c r="C9335" s="1" t="n">
        <v>45715</v>
      </c>
      <c r="D9335" t="inlineStr">
        <is>
          <t>KALMAR LÄN</t>
        </is>
      </c>
      <c r="E9335" t="inlineStr">
        <is>
          <t>VÄSTERVIK</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48043-2023</t>
        </is>
      </c>
      <c r="B9336" s="1" t="n">
        <v>45204</v>
      </c>
      <c r="C9336" s="1" t="n">
        <v>45715</v>
      </c>
      <c r="D9336" t="inlineStr">
        <is>
          <t>KALMAR LÄN</t>
        </is>
      </c>
      <c r="E9336" t="inlineStr">
        <is>
          <t>VÄSTERVIK</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48041-2023</t>
        </is>
      </c>
      <c r="B9337" s="1" t="n">
        <v>45204</v>
      </c>
      <c r="C9337" s="1" t="n">
        <v>45715</v>
      </c>
      <c r="D9337" t="inlineStr">
        <is>
          <t>KALMAR LÄN</t>
        </is>
      </c>
      <c r="E9337" t="inlineStr">
        <is>
          <t>VÄSTERVIK</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47865-2023</t>
        </is>
      </c>
      <c r="B9338" s="1" t="n">
        <v>45204</v>
      </c>
      <c r="C9338" s="1" t="n">
        <v>45715</v>
      </c>
      <c r="D9338" t="inlineStr">
        <is>
          <t>KALMAR LÄN</t>
        </is>
      </c>
      <c r="E9338" t="inlineStr">
        <is>
          <t>NYBRO</t>
        </is>
      </c>
      <c r="F9338" t="inlineStr">
        <is>
          <t>Sveaskog</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47946-2023</t>
        </is>
      </c>
      <c r="B9339" s="1" t="n">
        <v>45204</v>
      </c>
      <c r="C9339" s="1" t="n">
        <v>45715</v>
      </c>
      <c r="D9339" t="inlineStr">
        <is>
          <t>KALMAR LÄN</t>
        </is>
      </c>
      <c r="E9339" t="inlineStr">
        <is>
          <t>OSKARSHAMN</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47954-2023</t>
        </is>
      </c>
      <c r="B9340" s="1" t="n">
        <v>45204</v>
      </c>
      <c r="C9340" s="1" t="n">
        <v>45715</v>
      </c>
      <c r="D9340" t="inlineStr">
        <is>
          <t>KALMAR LÄN</t>
        </is>
      </c>
      <c r="E9340" t="inlineStr">
        <is>
          <t>OSKARSHAMN</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47958-2023</t>
        </is>
      </c>
      <c r="B9341" s="1" t="n">
        <v>45204</v>
      </c>
      <c r="C9341" s="1" t="n">
        <v>45715</v>
      </c>
      <c r="D9341" t="inlineStr">
        <is>
          <t>KALMAR LÄN</t>
        </is>
      </c>
      <c r="E9341" t="inlineStr">
        <is>
          <t>OSKARSHAMN</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47967-2023</t>
        </is>
      </c>
      <c r="B9342" s="1" t="n">
        <v>45204</v>
      </c>
      <c r="C9342" s="1" t="n">
        <v>45715</v>
      </c>
      <c r="D9342" t="inlineStr">
        <is>
          <t>KALMAR LÄN</t>
        </is>
      </c>
      <c r="E9342" t="inlineStr">
        <is>
          <t>VÄSTERVIK</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47988-2023</t>
        </is>
      </c>
      <c r="B9343" s="1" t="n">
        <v>45204</v>
      </c>
      <c r="C9343" s="1" t="n">
        <v>45715</v>
      </c>
      <c r="D9343" t="inlineStr">
        <is>
          <t>KALMAR LÄN</t>
        </is>
      </c>
      <c r="E9343" t="inlineStr">
        <is>
          <t>MÖNSTERÅS</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48918-2023</t>
        </is>
      </c>
      <c r="B9344" s="1" t="n">
        <v>45204</v>
      </c>
      <c r="C9344" s="1" t="n">
        <v>45715</v>
      </c>
      <c r="D9344" t="inlineStr">
        <is>
          <t>KALMAR LÄN</t>
        </is>
      </c>
      <c r="E9344" t="inlineStr">
        <is>
          <t>EMMABODA</t>
        </is>
      </c>
      <c r="F9344" t="inlineStr">
        <is>
          <t>Övriga Aktiebolag</t>
        </is>
      </c>
      <c r="G9344" t="n">
        <v>5.9</v>
      </c>
      <c r="H9344" t="n">
        <v>0</v>
      </c>
      <c r="I9344" t="n">
        <v>0</v>
      </c>
      <c r="J9344" t="n">
        <v>0</v>
      </c>
      <c r="K9344" t="n">
        <v>0</v>
      </c>
      <c r="L9344" t="n">
        <v>0</v>
      </c>
      <c r="M9344" t="n">
        <v>0</v>
      </c>
      <c r="N9344" t="n">
        <v>0</v>
      </c>
      <c r="O9344" t="n">
        <v>0</v>
      </c>
      <c r="P9344" t="n">
        <v>0</v>
      </c>
      <c r="Q9344" t="n">
        <v>0</v>
      </c>
      <c r="R9344" s="2" t="inlineStr"/>
    </row>
    <row r="9345" ht="15" customHeight="1">
      <c r="A9345" t="inlineStr">
        <is>
          <t>A 48935-2023</t>
        </is>
      </c>
      <c r="B9345" s="1" t="n">
        <v>45204</v>
      </c>
      <c r="C9345" s="1" t="n">
        <v>45715</v>
      </c>
      <c r="D9345" t="inlineStr">
        <is>
          <t>KALMAR LÄN</t>
        </is>
      </c>
      <c r="E9345" t="inlineStr">
        <is>
          <t>EMMABODA</t>
        </is>
      </c>
      <c r="F9345" t="inlineStr">
        <is>
          <t>Övriga Aktiebolag</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48957-2023</t>
        </is>
      </c>
      <c r="B9346" s="1" t="n">
        <v>45204</v>
      </c>
      <c r="C9346" s="1" t="n">
        <v>45715</v>
      </c>
      <c r="D9346" t="inlineStr">
        <is>
          <t>KALMAR LÄN</t>
        </is>
      </c>
      <c r="E9346" t="inlineStr">
        <is>
          <t>EMMABODA</t>
        </is>
      </c>
      <c r="F9346" t="inlineStr">
        <is>
          <t>Övriga Aktiebolag</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48926-2023</t>
        </is>
      </c>
      <c r="B9347" s="1" t="n">
        <v>45204</v>
      </c>
      <c r="C9347" s="1" t="n">
        <v>45715</v>
      </c>
      <c r="D9347" t="inlineStr">
        <is>
          <t>KALMAR LÄN</t>
        </is>
      </c>
      <c r="E9347" t="inlineStr">
        <is>
          <t>EMMABODA</t>
        </is>
      </c>
      <c r="F9347" t="inlineStr">
        <is>
          <t>Övriga Aktiebolag</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48944-2023</t>
        </is>
      </c>
      <c r="B9348" s="1" t="n">
        <v>45204</v>
      </c>
      <c r="C9348" s="1" t="n">
        <v>45715</v>
      </c>
      <c r="D9348" t="inlineStr">
        <is>
          <t>KALMAR LÄN</t>
        </is>
      </c>
      <c r="E9348" t="inlineStr">
        <is>
          <t>EMMABODA</t>
        </is>
      </c>
      <c r="F9348" t="inlineStr">
        <is>
          <t>Övriga Aktiebolag</t>
        </is>
      </c>
      <c r="G9348" t="n">
        <v>8.9</v>
      </c>
      <c r="H9348" t="n">
        <v>0</v>
      </c>
      <c r="I9348" t="n">
        <v>0</v>
      </c>
      <c r="J9348" t="n">
        <v>0</v>
      </c>
      <c r="K9348" t="n">
        <v>0</v>
      </c>
      <c r="L9348" t="n">
        <v>0</v>
      </c>
      <c r="M9348" t="n">
        <v>0</v>
      </c>
      <c r="N9348" t="n">
        <v>0</v>
      </c>
      <c r="O9348" t="n">
        <v>0</v>
      </c>
      <c r="P9348" t="n">
        <v>0</v>
      </c>
      <c r="Q9348" t="n">
        <v>0</v>
      </c>
      <c r="R9348" s="2" t="inlineStr"/>
    </row>
    <row r="9349" ht="15" customHeight="1">
      <c r="A9349" t="inlineStr">
        <is>
          <t>A 48102-2023</t>
        </is>
      </c>
      <c r="B9349" s="1" t="n">
        <v>45205</v>
      </c>
      <c r="C9349" s="1" t="n">
        <v>45715</v>
      </c>
      <c r="D9349" t="inlineStr">
        <is>
          <t>KALMAR LÄN</t>
        </is>
      </c>
      <c r="E9349" t="inlineStr">
        <is>
          <t>NYBRO</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48223-2023</t>
        </is>
      </c>
      <c r="B9350" s="1" t="n">
        <v>45205</v>
      </c>
      <c r="C9350" s="1" t="n">
        <v>45715</v>
      </c>
      <c r="D9350" t="inlineStr">
        <is>
          <t>KALMAR LÄN</t>
        </is>
      </c>
      <c r="E9350" t="inlineStr">
        <is>
          <t>KALMAR</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48225-2023</t>
        </is>
      </c>
      <c r="B9351" s="1" t="n">
        <v>45205</v>
      </c>
      <c r="C9351" s="1" t="n">
        <v>45715</v>
      </c>
      <c r="D9351" t="inlineStr">
        <is>
          <t>KALMAR LÄN</t>
        </is>
      </c>
      <c r="E9351" t="inlineStr">
        <is>
          <t>KALMAR</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48242-2023</t>
        </is>
      </c>
      <c r="B9352" s="1" t="n">
        <v>45205</v>
      </c>
      <c r="C9352" s="1" t="n">
        <v>45715</v>
      </c>
      <c r="D9352" t="inlineStr">
        <is>
          <t>KALMAR LÄN</t>
        </is>
      </c>
      <c r="E9352" t="inlineStr">
        <is>
          <t>KALMAR</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48346-2023</t>
        </is>
      </c>
      <c r="B9353" s="1" t="n">
        <v>45205</v>
      </c>
      <c r="C9353" s="1" t="n">
        <v>45715</v>
      </c>
      <c r="D9353" t="inlineStr">
        <is>
          <t>KALMAR LÄN</t>
        </is>
      </c>
      <c r="E9353" t="inlineStr">
        <is>
          <t>VIMMERBY</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48320-2023</t>
        </is>
      </c>
      <c r="B9354" s="1" t="n">
        <v>45205</v>
      </c>
      <c r="C9354" s="1" t="n">
        <v>45715</v>
      </c>
      <c r="D9354" t="inlineStr">
        <is>
          <t>KALMAR LÄN</t>
        </is>
      </c>
      <c r="E9354" t="inlineStr">
        <is>
          <t>HULTSFRED</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48229-2023</t>
        </is>
      </c>
      <c r="B9355" s="1" t="n">
        <v>45205</v>
      </c>
      <c r="C9355" s="1" t="n">
        <v>45715</v>
      </c>
      <c r="D9355" t="inlineStr">
        <is>
          <t>KALMAR LÄN</t>
        </is>
      </c>
      <c r="E9355" t="inlineStr">
        <is>
          <t>HÖGSBY</t>
        </is>
      </c>
      <c r="F9355" t="inlineStr">
        <is>
          <t>Sveaskog</t>
        </is>
      </c>
      <c r="G9355" t="n">
        <v>7.1</v>
      </c>
      <c r="H9355" t="n">
        <v>0</v>
      </c>
      <c r="I9355" t="n">
        <v>0</v>
      </c>
      <c r="J9355" t="n">
        <v>0</v>
      </c>
      <c r="K9355" t="n">
        <v>0</v>
      </c>
      <c r="L9355" t="n">
        <v>0</v>
      </c>
      <c r="M9355" t="n">
        <v>0</v>
      </c>
      <c r="N9355" t="n">
        <v>0</v>
      </c>
      <c r="O9355" t="n">
        <v>0</v>
      </c>
      <c r="P9355" t="n">
        <v>0</v>
      </c>
      <c r="Q9355" t="n">
        <v>0</v>
      </c>
      <c r="R9355" s="2" t="inlineStr"/>
    </row>
    <row r="9356" ht="15" customHeight="1">
      <c r="A9356" t="inlineStr">
        <is>
          <t>A 48233-2023</t>
        </is>
      </c>
      <c r="B9356" s="1" t="n">
        <v>45205</v>
      </c>
      <c r="C9356" s="1" t="n">
        <v>45715</v>
      </c>
      <c r="D9356" t="inlineStr">
        <is>
          <t>KALMAR LÄN</t>
        </is>
      </c>
      <c r="E9356" t="inlineStr">
        <is>
          <t>EMMABODA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48237-2023</t>
        </is>
      </c>
      <c r="B9357" s="1" t="n">
        <v>45205</v>
      </c>
      <c r="C9357" s="1" t="n">
        <v>45715</v>
      </c>
      <c r="D9357" t="inlineStr">
        <is>
          <t>KALMAR LÄN</t>
        </is>
      </c>
      <c r="E9357" t="inlineStr">
        <is>
          <t>KALMAR</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48241-2023</t>
        </is>
      </c>
      <c r="B9358" s="1" t="n">
        <v>45205</v>
      </c>
      <c r="C9358" s="1" t="n">
        <v>45715</v>
      </c>
      <c r="D9358" t="inlineStr">
        <is>
          <t>KALMAR LÄN</t>
        </is>
      </c>
      <c r="E9358" t="inlineStr">
        <is>
          <t>KALMAR</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48499-2023</t>
        </is>
      </c>
      <c r="B9359" s="1" t="n">
        <v>45207</v>
      </c>
      <c r="C9359" s="1" t="n">
        <v>45715</v>
      </c>
      <c r="D9359" t="inlineStr">
        <is>
          <t>KALMAR LÄN</t>
        </is>
      </c>
      <c r="E9359" t="inlineStr">
        <is>
          <t>OSKARSHAMN</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48500-2023</t>
        </is>
      </c>
      <c r="B9360" s="1" t="n">
        <v>45207</v>
      </c>
      <c r="C9360" s="1" t="n">
        <v>45715</v>
      </c>
      <c r="D9360" t="inlineStr">
        <is>
          <t>KALMAR LÄN</t>
        </is>
      </c>
      <c r="E9360" t="inlineStr">
        <is>
          <t>OSKARSHAMN</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48502-2023</t>
        </is>
      </c>
      <c r="B9361" s="1" t="n">
        <v>45207</v>
      </c>
      <c r="C9361" s="1" t="n">
        <v>45715</v>
      </c>
      <c r="D9361" t="inlineStr">
        <is>
          <t>KALMAR LÄN</t>
        </is>
      </c>
      <c r="E9361" t="inlineStr">
        <is>
          <t>OSKARSHAMN</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48535-2023</t>
        </is>
      </c>
      <c r="B9362" s="1" t="n">
        <v>45208</v>
      </c>
      <c r="C9362" s="1" t="n">
        <v>45715</v>
      </c>
      <c r="D9362" t="inlineStr">
        <is>
          <t>KALMAR LÄN</t>
        </is>
      </c>
      <c r="E9362" t="inlineStr">
        <is>
          <t>KALMAR</t>
        </is>
      </c>
      <c r="G9362" t="n">
        <v>6.1</v>
      </c>
      <c r="H9362" t="n">
        <v>0</v>
      </c>
      <c r="I9362" t="n">
        <v>0</v>
      </c>
      <c r="J9362" t="n">
        <v>0</v>
      </c>
      <c r="K9362" t="n">
        <v>0</v>
      </c>
      <c r="L9362" t="n">
        <v>0</v>
      </c>
      <c r="M9362" t="n">
        <v>0</v>
      </c>
      <c r="N9362" t="n">
        <v>0</v>
      </c>
      <c r="O9362" t="n">
        <v>0</v>
      </c>
      <c r="P9362" t="n">
        <v>0</v>
      </c>
      <c r="Q9362" t="n">
        <v>0</v>
      </c>
      <c r="R9362" s="2" t="inlineStr"/>
    </row>
    <row r="9363" ht="15" customHeight="1">
      <c r="A9363" t="inlineStr">
        <is>
          <t>A 48539-2023</t>
        </is>
      </c>
      <c r="B9363" s="1" t="n">
        <v>45208</v>
      </c>
      <c r="C9363" s="1" t="n">
        <v>45715</v>
      </c>
      <c r="D9363" t="inlineStr">
        <is>
          <t>KALMAR LÄN</t>
        </is>
      </c>
      <c r="E9363" t="inlineStr">
        <is>
          <t>OSKARSHAMN</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48543-2023</t>
        </is>
      </c>
      <c r="B9364" s="1" t="n">
        <v>45208</v>
      </c>
      <c r="C9364" s="1" t="n">
        <v>45715</v>
      </c>
      <c r="D9364" t="inlineStr">
        <is>
          <t>KALMAR LÄN</t>
        </is>
      </c>
      <c r="E9364" t="inlineStr">
        <is>
          <t>TORSÅS</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48574-2023</t>
        </is>
      </c>
      <c r="B9365" s="1" t="n">
        <v>45208</v>
      </c>
      <c r="C9365" s="1" t="n">
        <v>45715</v>
      </c>
      <c r="D9365" t="inlineStr">
        <is>
          <t>KALMAR LÄN</t>
        </is>
      </c>
      <c r="E9365" t="inlineStr">
        <is>
          <t>KALMAR</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48526-2023</t>
        </is>
      </c>
      <c r="B9366" s="1" t="n">
        <v>45208</v>
      </c>
      <c r="C9366" s="1" t="n">
        <v>45715</v>
      </c>
      <c r="D9366" t="inlineStr">
        <is>
          <t>KALMAR LÄN</t>
        </is>
      </c>
      <c r="E9366" t="inlineStr">
        <is>
          <t>TORSÅS</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48546-2023</t>
        </is>
      </c>
      <c r="B9367" s="1" t="n">
        <v>45208</v>
      </c>
      <c r="C9367" s="1" t="n">
        <v>45715</v>
      </c>
      <c r="D9367" t="inlineStr">
        <is>
          <t>KALMAR LÄN</t>
        </is>
      </c>
      <c r="E9367" t="inlineStr">
        <is>
          <t>TORSÅS</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48600-2023</t>
        </is>
      </c>
      <c r="B9368" s="1" t="n">
        <v>45208</v>
      </c>
      <c r="C9368" s="1" t="n">
        <v>45715</v>
      </c>
      <c r="D9368" t="inlineStr">
        <is>
          <t>KALMAR LÄN</t>
        </is>
      </c>
      <c r="E9368" t="inlineStr">
        <is>
          <t>HULTSFRED</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48601-2023</t>
        </is>
      </c>
      <c r="B9369" s="1" t="n">
        <v>45208</v>
      </c>
      <c r="C9369" s="1" t="n">
        <v>45715</v>
      </c>
      <c r="D9369" t="inlineStr">
        <is>
          <t>KALMAR LÄN</t>
        </is>
      </c>
      <c r="E9369" t="inlineStr">
        <is>
          <t>HULTSFRED</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48732-2023</t>
        </is>
      </c>
      <c r="B9370" s="1" t="n">
        <v>45208</v>
      </c>
      <c r="C9370" s="1" t="n">
        <v>45715</v>
      </c>
      <c r="D9370" t="inlineStr">
        <is>
          <t>KALMAR LÄN</t>
        </is>
      </c>
      <c r="E9370" t="inlineStr">
        <is>
          <t>NYBRO</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49382-2023</t>
        </is>
      </c>
      <c r="B9371" s="1" t="n">
        <v>45208</v>
      </c>
      <c r="C9371" s="1" t="n">
        <v>45715</v>
      </c>
      <c r="D9371" t="inlineStr">
        <is>
          <t>KALMAR LÄN</t>
        </is>
      </c>
      <c r="E9371" t="inlineStr">
        <is>
          <t>VIMMERBY</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48511-2023</t>
        </is>
      </c>
      <c r="B9372" s="1" t="n">
        <v>45208</v>
      </c>
      <c r="C9372" s="1" t="n">
        <v>45715</v>
      </c>
      <c r="D9372" t="inlineStr">
        <is>
          <t>KALMAR LÄN</t>
        </is>
      </c>
      <c r="E9372" t="inlineStr">
        <is>
          <t>VÄSTERVIK</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48532-2023</t>
        </is>
      </c>
      <c r="B9373" s="1" t="n">
        <v>45208</v>
      </c>
      <c r="C9373" s="1" t="n">
        <v>45715</v>
      </c>
      <c r="D9373" t="inlineStr">
        <is>
          <t>KALMAR LÄN</t>
        </is>
      </c>
      <c r="E9373" t="inlineStr">
        <is>
          <t>TORSÅS</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48536-2023</t>
        </is>
      </c>
      <c r="B9374" s="1" t="n">
        <v>45208</v>
      </c>
      <c r="C9374" s="1" t="n">
        <v>45715</v>
      </c>
      <c r="D9374" t="inlineStr">
        <is>
          <t>KALMAR LÄN</t>
        </is>
      </c>
      <c r="E9374" t="inlineStr">
        <is>
          <t>OSKARSHAMN</t>
        </is>
      </c>
      <c r="G9374" t="n">
        <v>4.6</v>
      </c>
      <c r="H9374" t="n">
        <v>0</v>
      </c>
      <c r="I9374" t="n">
        <v>0</v>
      </c>
      <c r="J9374" t="n">
        <v>0</v>
      </c>
      <c r="K9374" t="n">
        <v>0</v>
      </c>
      <c r="L9374" t="n">
        <v>0</v>
      </c>
      <c r="M9374" t="n">
        <v>0</v>
      </c>
      <c r="N9374" t="n">
        <v>0</v>
      </c>
      <c r="O9374" t="n">
        <v>0</v>
      </c>
      <c r="P9374" t="n">
        <v>0</v>
      </c>
      <c r="Q9374" t="n">
        <v>0</v>
      </c>
      <c r="R9374" s="2" t="inlineStr"/>
    </row>
    <row r="9375" ht="15" customHeight="1">
      <c r="A9375" t="inlineStr">
        <is>
          <t>A 48540-2023</t>
        </is>
      </c>
      <c r="B9375" s="1" t="n">
        <v>45208</v>
      </c>
      <c r="C9375" s="1" t="n">
        <v>45715</v>
      </c>
      <c r="D9375" t="inlineStr">
        <is>
          <t>KALMAR LÄN</t>
        </is>
      </c>
      <c r="E9375" t="inlineStr">
        <is>
          <t>TORSÅS</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48930-2023</t>
        </is>
      </c>
      <c r="B9376" s="1" t="n">
        <v>45209</v>
      </c>
      <c r="C9376" s="1" t="n">
        <v>45715</v>
      </c>
      <c r="D9376" t="inlineStr">
        <is>
          <t>KALMAR LÄN</t>
        </is>
      </c>
      <c r="E9376" t="inlineStr">
        <is>
          <t>OSKARSHAMN</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48941-2023</t>
        </is>
      </c>
      <c r="B9377" s="1" t="n">
        <v>45209</v>
      </c>
      <c r="C9377" s="1" t="n">
        <v>45715</v>
      </c>
      <c r="D9377" t="inlineStr">
        <is>
          <t>KALMAR LÄN</t>
        </is>
      </c>
      <c r="E9377" t="inlineStr">
        <is>
          <t>KALMAR</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48922-2023</t>
        </is>
      </c>
      <c r="B9378" s="1" t="n">
        <v>45209</v>
      </c>
      <c r="C9378" s="1" t="n">
        <v>45715</v>
      </c>
      <c r="D9378" t="inlineStr">
        <is>
          <t>KALMAR LÄN</t>
        </is>
      </c>
      <c r="E9378" t="inlineStr">
        <is>
          <t>HULTSFRED</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48927-2023</t>
        </is>
      </c>
      <c r="B9379" s="1" t="n">
        <v>45209</v>
      </c>
      <c r="C9379" s="1" t="n">
        <v>45715</v>
      </c>
      <c r="D9379" t="inlineStr">
        <is>
          <t>KALMAR LÄN</t>
        </is>
      </c>
      <c r="E9379" t="inlineStr">
        <is>
          <t>HULTSFRED</t>
        </is>
      </c>
      <c r="F9379" t="inlineStr">
        <is>
          <t>Övriga Aktiebolag</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48923-2023</t>
        </is>
      </c>
      <c r="B9380" s="1" t="n">
        <v>45209</v>
      </c>
      <c r="C9380" s="1" t="n">
        <v>45715</v>
      </c>
      <c r="D9380" t="inlineStr">
        <is>
          <t>KALMAR LÄN</t>
        </is>
      </c>
      <c r="E9380" t="inlineStr">
        <is>
          <t>OSKARSHAMN</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48933-2023</t>
        </is>
      </c>
      <c r="B9381" s="1" t="n">
        <v>45209</v>
      </c>
      <c r="C9381" s="1" t="n">
        <v>45715</v>
      </c>
      <c r="D9381" t="inlineStr">
        <is>
          <t>KALMAR LÄN</t>
        </is>
      </c>
      <c r="E9381" t="inlineStr">
        <is>
          <t>KALMAR</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48943-2023</t>
        </is>
      </c>
      <c r="B9382" s="1" t="n">
        <v>45209</v>
      </c>
      <c r="C9382" s="1" t="n">
        <v>45715</v>
      </c>
      <c r="D9382" t="inlineStr">
        <is>
          <t>KALMAR LÄN</t>
        </is>
      </c>
      <c r="E9382" t="inlineStr">
        <is>
          <t>KALMAR</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50256-2023</t>
        </is>
      </c>
      <c r="B9383" s="1" t="n">
        <v>45209</v>
      </c>
      <c r="C9383" s="1" t="n">
        <v>45715</v>
      </c>
      <c r="D9383" t="inlineStr">
        <is>
          <t>KALMAR LÄN</t>
        </is>
      </c>
      <c r="E9383" t="inlineStr">
        <is>
          <t>OSKARSHAMN</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50298-2023</t>
        </is>
      </c>
      <c r="B9384" s="1" t="n">
        <v>45209</v>
      </c>
      <c r="C9384" s="1" t="n">
        <v>45715</v>
      </c>
      <c r="D9384" t="inlineStr">
        <is>
          <t>KALMAR LÄN</t>
        </is>
      </c>
      <c r="E9384" t="inlineStr">
        <is>
          <t>MÖNSTERÅS</t>
        </is>
      </c>
      <c r="G9384" t="n">
        <v>6.1</v>
      </c>
      <c r="H9384" t="n">
        <v>0</v>
      </c>
      <c r="I9384" t="n">
        <v>0</v>
      </c>
      <c r="J9384" t="n">
        <v>0</v>
      </c>
      <c r="K9384" t="n">
        <v>0</v>
      </c>
      <c r="L9384" t="n">
        <v>0</v>
      </c>
      <c r="M9384" t="n">
        <v>0</v>
      </c>
      <c r="N9384" t="n">
        <v>0</v>
      </c>
      <c r="O9384" t="n">
        <v>0</v>
      </c>
      <c r="P9384" t="n">
        <v>0</v>
      </c>
      <c r="Q9384" t="n">
        <v>0</v>
      </c>
      <c r="R9384" s="2" t="inlineStr"/>
    </row>
    <row r="9385" ht="15" customHeight="1">
      <c r="A9385" t="inlineStr">
        <is>
          <t>A 50269-2023</t>
        </is>
      </c>
      <c r="B9385" s="1" t="n">
        <v>45209</v>
      </c>
      <c r="C9385" s="1" t="n">
        <v>45715</v>
      </c>
      <c r="D9385" t="inlineStr">
        <is>
          <t>KALMAR LÄN</t>
        </is>
      </c>
      <c r="E9385" t="inlineStr">
        <is>
          <t>HULTSFRED</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50264-2023</t>
        </is>
      </c>
      <c r="B9386" s="1" t="n">
        <v>45209</v>
      </c>
      <c r="C9386" s="1" t="n">
        <v>45715</v>
      </c>
      <c r="D9386" t="inlineStr">
        <is>
          <t>KALMAR LÄN</t>
        </is>
      </c>
      <c r="E9386" t="inlineStr">
        <is>
          <t>HULTSFRED</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49096-2023</t>
        </is>
      </c>
      <c r="B9387" s="1" t="n">
        <v>45210</v>
      </c>
      <c r="C9387" s="1" t="n">
        <v>45715</v>
      </c>
      <c r="D9387" t="inlineStr">
        <is>
          <t>KALMAR LÄN</t>
        </is>
      </c>
      <c r="E9387" t="inlineStr">
        <is>
          <t>NYBRO</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49100-2023</t>
        </is>
      </c>
      <c r="B9388" s="1" t="n">
        <v>45210</v>
      </c>
      <c r="C9388" s="1" t="n">
        <v>45715</v>
      </c>
      <c r="D9388" t="inlineStr">
        <is>
          <t>KALMAR LÄN</t>
        </is>
      </c>
      <c r="E9388" t="inlineStr">
        <is>
          <t>EMMABODA</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49104-2023</t>
        </is>
      </c>
      <c r="B9389" s="1" t="n">
        <v>45210</v>
      </c>
      <c r="C9389" s="1" t="n">
        <v>45715</v>
      </c>
      <c r="D9389" t="inlineStr">
        <is>
          <t>KALMAR LÄN</t>
        </is>
      </c>
      <c r="E9389" t="inlineStr">
        <is>
          <t>NYBRO</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49261-2023</t>
        </is>
      </c>
      <c r="B9390" s="1" t="n">
        <v>45210</v>
      </c>
      <c r="C9390" s="1" t="n">
        <v>45715</v>
      </c>
      <c r="D9390" t="inlineStr">
        <is>
          <t>KALMAR LÄN</t>
        </is>
      </c>
      <c r="E9390" t="inlineStr">
        <is>
          <t>VIMMERBY</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49269-2023</t>
        </is>
      </c>
      <c r="B9391" s="1" t="n">
        <v>45210</v>
      </c>
      <c r="C9391" s="1" t="n">
        <v>45715</v>
      </c>
      <c r="D9391" t="inlineStr">
        <is>
          <t>KALMAR LÄN</t>
        </is>
      </c>
      <c r="E9391" t="inlineStr">
        <is>
          <t>NYBRO</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49177-2023</t>
        </is>
      </c>
      <c r="B9392" s="1" t="n">
        <v>45210</v>
      </c>
      <c r="C9392" s="1" t="n">
        <v>45715</v>
      </c>
      <c r="D9392" t="inlineStr">
        <is>
          <t>KALMAR LÄN</t>
        </is>
      </c>
      <c r="E9392" t="inlineStr">
        <is>
          <t>VÄSTERVIK</t>
        </is>
      </c>
      <c r="G9392" t="n">
        <v>16.7</v>
      </c>
      <c r="H9392" t="n">
        <v>0</v>
      </c>
      <c r="I9392" t="n">
        <v>0</v>
      </c>
      <c r="J9392" t="n">
        <v>0</v>
      </c>
      <c r="K9392" t="n">
        <v>0</v>
      </c>
      <c r="L9392" t="n">
        <v>0</v>
      </c>
      <c r="M9392" t="n">
        <v>0</v>
      </c>
      <c r="N9392" t="n">
        <v>0</v>
      </c>
      <c r="O9392" t="n">
        <v>0</v>
      </c>
      <c r="P9392" t="n">
        <v>0</v>
      </c>
      <c r="Q9392" t="n">
        <v>0</v>
      </c>
      <c r="R9392" s="2" t="inlineStr"/>
    </row>
    <row r="9393" ht="15" customHeight="1">
      <c r="A9393" t="inlineStr">
        <is>
          <t>A 49119-2023</t>
        </is>
      </c>
      <c r="B9393" s="1" t="n">
        <v>45210</v>
      </c>
      <c r="C9393" s="1" t="n">
        <v>45715</v>
      </c>
      <c r="D9393" t="inlineStr">
        <is>
          <t>KALMAR LÄN</t>
        </is>
      </c>
      <c r="E9393" t="inlineStr">
        <is>
          <t>EMMABODA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49129-2023</t>
        </is>
      </c>
      <c r="B9394" s="1" t="n">
        <v>45210</v>
      </c>
      <c r="C9394" s="1" t="n">
        <v>45715</v>
      </c>
      <c r="D9394" t="inlineStr">
        <is>
          <t>KALMAR LÄN</t>
        </is>
      </c>
      <c r="E9394" t="inlineStr">
        <is>
          <t>TORSÅS</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49254-2023</t>
        </is>
      </c>
      <c r="B9395" s="1" t="n">
        <v>45210</v>
      </c>
      <c r="C9395" s="1" t="n">
        <v>45715</v>
      </c>
      <c r="D9395" t="inlineStr">
        <is>
          <t>KALMAR LÄN</t>
        </is>
      </c>
      <c r="E9395" t="inlineStr">
        <is>
          <t>VIMMERBY</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49246-2023</t>
        </is>
      </c>
      <c r="B9396" s="1" t="n">
        <v>45210</v>
      </c>
      <c r="C9396" s="1" t="n">
        <v>45715</v>
      </c>
      <c r="D9396" t="inlineStr">
        <is>
          <t>KALMAR LÄN</t>
        </is>
      </c>
      <c r="E9396" t="inlineStr">
        <is>
          <t>VIMMERBY</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50715-2023</t>
        </is>
      </c>
      <c r="B9397" s="1" t="n">
        <v>45210</v>
      </c>
      <c r="C9397" s="1" t="n">
        <v>45715</v>
      </c>
      <c r="D9397" t="inlineStr">
        <is>
          <t>KALMAR LÄN</t>
        </is>
      </c>
      <c r="E9397" t="inlineStr">
        <is>
          <t>MÖNSTERÅS</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50723-2023</t>
        </is>
      </c>
      <c r="B9398" s="1" t="n">
        <v>45210</v>
      </c>
      <c r="C9398" s="1" t="n">
        <v>45715</v>
      </c>
      <c r="D9398" t="inlineStr">
        <is>
          <t>KALMAR LÄN</t>
        </is>
      </c>
      <c r="E9398" t="inlineStr">
        <is>
          <t>NYBRO</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49351-2023</t>
        </is>
      </c>
      <c r="B9399" s="1" t="n">
        <v>45211</v>
      </c>
      <c r="C9399" s="1" t="n">
        <v>45715</v>
      </c>
      <c r="D9399" t="inlineStr">
        <is>
          <t>KALMAR LÄN</t>
        </is>
      </c>
      <c r="E9399" t="inlineStr">
        <is>
          <t>VÄSTERVIK</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49355-2023</t>
        </is>
      </c>
      <c r="B9400" s="1" t="n">
        <v>45211</v>
      </c>
      <c r="C9400" s="1" t="n">
        <v>45715</v>
      </c>
      <c r="D9400" t="inlineStr">
        <is>
          <t>KALMAR LÄN</t>
        </is>
      </c>
      <c r="E9400" t="inlineStr">
        <is>
          <t>VÄSTERVIK</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49369-2023</t>
        </is>
      </c>
      <c r="B9401" s="1" t="n">
        <v>45211</v>
      </c>
      <c r="C9401" s="1" t="n">
        <v>45715</v>
      </c>
      <c r="D9401" t="inlineStr">
        <is>
          <t>KALMAR LÄN</t>
        </is>
      </c>
      <c r="E9401" t="inlineStr">
        <is>
          <t>VÄSTERVIK</t>
        </is>
      </c>
      <c r="F9401" t="inlineStr">
        <is>
          <t>Holmen skog AB</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49405-2023</t>
        </is>
      </c>
      <c r="B9402" s="1" t="n">
        <v>45211</v>
      </c>
      <c r="C9402" s="1" t="n">
        <v>45715</v>
      </c>
      <c r="D9402" t="inlineStr">
        <is>
          <t>KALMAR LÄN</t>
        </is>
      </c>
      <c r="E9402" t="inlineStr">
        <is>
          <t>NYBRO</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49408-2023</t>
        </is>
      </c>
      <c r="B9403" s="1" t="n">
        <v>45211</v>
      </c>
      <c r="C9403" s="1" t="n">
        <v>45715</v>
      </c>
      <c r="D9403" t="inlineStr">
        <is>
          <t>KALMAR LÄN</t>
        </is>
      </c>
      <c r="E9403" t="inlineStr">
        <is>
          <t>VIMMERBY</t>
        </is>
      </c>
      <c r="G9403" t="n">
        <v>13.1</v>
      </c>
      <c r="H9403" t="n">
        <v>0</v>
      </c>
      <c r="I9403" t="n">
        <v>0</v>
      </c>
      <c r="J9403" t="n">
        <v>0</v>
      </c>
      <c r="K9403" t="n">
        <v>0</v>
      </c>
      <c r="L9403" t="n">
        <v>0</v>
      </c>
      <c r="M9403" t="n">
        <v>0</v>
      </c>
      <c r="N9403" t="n">
        <v>0</v>
      </c>
      <c r="O9403" t="n">
        <v>0</v>
      </c>
      <c r="P9403" t="n">
        <v>0</v>
      </c>
      <c r="Q9403" t="n">
        <v>0</v>
      </c>
      <c r="R9403" s="2" t="inlineStr"/>
    </row>
    <row r="9404" ht="15" customHeight="1">
      <c r="A9404" t="inlineStr">
        <is>
          <t>A 49398-2023</t>
        </is>
      </c>
      <c r="B9404" s="1" t="n">
        <v>45211</v>
      </c>
      <c r="C9404" s="1" t="n">
        <v>45715</v>
      </c>
      <c r="D9404" t="inlineStr">
        <is>
          <t>KALMAR LÄN</t>
        </is>
      </c>
      <c r="E9404" t="inlineStr">
        <is>
          <t>NYBRO</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49458-2023</t>
        </is>
      </c>
      <c r="B9405" s="1" t="n">
        <v>45211</v>
      </c>
      <c r="C9405" s="1" t="n">
        <v>45715</v>
      </c>
      <c r="D9405" t="inlineStr">
        <is>
          <t>KALMAR LÄN</t>
        </is>
      </c>
      <c r="E9405" t="inlineStr">
        <is>
          <t>VIMMERBY</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49452-2023</t>
        </is>
      </c>
      <c r="B9406" s="1" t="n">
        <v>45211</v>
      </c>
      <c r="C9406" s="1" t="n">
        <v>45715</v>
      </c>
      <c r="D9406" t="inlineStr">
        <is>
          <t>KALMAR LÄN</t>
        </is>
      </c>
      <c r="E9406" t="inlineStr">
        <is>
          <t>VÄSTERVIK</t>
        </is>
      </c>
      <c r="F9406" t="inlineStr">
        <is>
          <t>Övriga Aktiebolag</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49461-2023</t>
        </is>
      </c>
      <c r="B9407" s="1" t="n">
        <v>45211</v>
      </c>
      <c r="C9407" s="1" t="n">
        <v>45715</v>
      </c>
      <c r="D9407" t="inlineStr">
        <is>
          <t>KALMAR LÄN</t>
        </is>
      </c>
      <c r="E9407" t="inlineStr">
        <is>
          <t>VIMMERBY</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49474-2023</t>
        </is>
      </c>
      <c r="B9408" s="1" t="n">
        <v>45211</v>
      </c>
      <c r="C9408" s="1" t="n">
        <v>45715</v>
      </c>
      <c r="D9408" t="inlineStr">
        <is>
          <t>KALMAR LÄN</t>
        </is>
      </c>
      <c r="E9408" t="inlineStr">
        <is>
          <t>VIMMERBY</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49479-2023</t>
        </is>
      </c>
      <c r="B9409" s="1" t="n">
        <v>45211</v>
      </c>
      <c r="C9409" s="1" t="n">
        <v>45715</v>
      </c>
      <c r="D9409" t="inlineStr">
        <is>
          <t>KALMAR LÄN</t>
        </is>
      </c>
      <c r="E9409" t="inlineStr">
        <is>
          <t>VÄSTERVIK</t>
        </is>
      </c>
      <c r="F9409" t="inlineStr">
        <is>
          <t>Övriga Aktiebolag</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49584-2023</t>
        </is>
      </c>
      <c r="B9410" s="1" t="n">
        <v>45211</v>
      </c>
      <c r="C9410" s="1" t="n">
        <v>45715</v>
      </c>
      <c r="D9410" t="inlineStr">
        <is>
          <t>KALMAR LÄN</t>
        </is>
      </c>
      <c r="E9410" t="inlineStr">
        <is>
          <t>EMMABODA</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49586-2023</t>
        </is>
      </c>
      <c r="B9411" s="1" t="n">
        <v>45211</v>
      </c>
      <c r="C9411" s="1" t="n">
        <v>45715</v>
      </c>
      <c r="D9411" t="inlineStr">
        <is>
          <t>KALMAR LÄN</t>
        </is>
      </c>
      <c r="E9411" t="inlineStr">
        <is>
          <t>EMMABODA</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49507-2023</t>
        </is>
      </c>
      <c r="B9412" s="1" t="n">
        <v>45211</v>
      </c>
      <c r="C9412" s="1" t="n">
        <v>45715</v>
      </c>
      <c r="D9412" t="inlineStr">
        <is>
          <t>KALMAR LÄN</t>
        </is>
      </c>
      <c r="E9412" t="inlineStr">
        <is>
          <t>VÄSTERVIK</t>
        </is>
      </c>
      <c r="F9412" t="inlineStr">
        <is>
          <t>Övriga Aktiebolag</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49516-2023</t>
        </is>
      </c>
      <c r="B9413" s="1" t="n">
        <v>45211</v>
      </c>
      <c r="C9413" s="1" t="n">
        <v>45715</v>
      </c>
      <c r="D9413" t="inlineStr">
        <is>
          <t>KALMAR LÄN</t>
        </is>
      </c>
      <c r="E9413" t="inlineStr">
        <is>
          <t>VÄSTERVIK</t>
        </is>
      </c>
      <c r="F9413" t="inlineStr">
        <is>
          <t>Övriga Aktiebolag</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49340-2023</t>
        </is>
      </c>
      <c r="B9414" s="1" t="n">
        <v>45211</v>
      </c>
      <c r="C9414" s="1" t="n">
        <v>45715</v>
      </c>
      <c r="D9414" t="inlineStr">
        <is>
          <t>KALMAR LÄN</t>
        </is>
      </c>
      <c r="E9414" t="inlineStr">
        <is>
          <t>NYBRO</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49364-2023</t>
        </is>
      </c>
      <c r="B9415" s="1" t="n">
        <v>45211</v>
      </c>
      <c r="C9415" s="1" t="n">
        <v>45715</v>
      </c>
      <c r="D9415" t="inlineStr">
        <is>
          <t>KALMAR LÄN</t>
        </is>
      </c>
      <c r="E9415" t="inlineStr">
        <is>
          <t>NYBRO</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49403-2023</t>
        </is>
      </c>
      <c r="B9416" s="1" t="n">
        <v>45211</v>
      </c>
      <c r="C9416" s="1" t="n">
        <v>45715</v>
      </c>
      <c r="D9416" t="inlineStr">
        <is>
          <t>KALMAR LÄN</t>
        </is>
      </c>
      <c r="E9416" t="inlineStr">
        <is>
          <t>NYBRO</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49442-2023</t>
        </is>
      </c>
      <c r="B9417" s="1" t="n">
        <v>45211</v>
      </c>
      <c r="C9417" s="1" t="n">
        <v>45715</v>
      </c>
      <c r="D9417" t="inlineStr">
        <is>
          <t>KALMAR LÄN</t>
        </is>
      </c>
      <c r="E9417" t="inlineStr">
        <is>
          <t>VÄSTERVIK</t>
        </is>
      </c>
      <c r="F9417" t="inlineStr">
        <is>
          <t>Övriga Aktiebolag</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49468-2023</t>
        </is>
      </c>
      <c r="B9418" s="1" t="n">
        <v>45211</v>
      </c>
      <c r="C9418" s="1" t="n">
        <v>45715</v>
      </c>
      <c r="D9418" t="inlineStr">
        <is>
          <t>KALMAR LÄN</t>
        </is>
      </c>
      <c r="E9418" t="inlineStr">
        <is>
          <t>VÄSTERVIK</t>
        </is>
      </c>
      <c r="F9418" t="inlineStr">
        <is>
          <t>Övriga Aktiebolag</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49488-2023</t>
        </is>
      </c>
      <c r="B9419" s="1" t="n">
        <v>45211</v>
      </c>
      <c r="C9419" s="1" t="n">
        <v>45715</v>
      </c>
      <c r="D9419" t="inlineStr">
        <is>
          <t>KALMAR LÄN</t>
        </is>
      </c>
      <c r="E9419" t="inlineStr">
        <is>
          <t>VIMMERBY</t>
        </is>
      </c>
      <c r="F9419" t="inlineStr">
        <is>
          <t>Sveaskog</t>
        </is>
      </c>
      <c r="G9419" t="n">
        <v>6.2</v>
      </c>
      <c r="H9419" t="n">
        <v>0</v>
      </c>
      <c r="I9419" t="n">
        <v>0</v>
      </c>
      <c r="J9419" t="n">
        <v>0</v>
      </c>
      <c r="K9419" t="n">
        <v>0</v>
      </c>
      <c r="L9419" t="n">
        <v>0</v>
      </c>
      <c r="M9419" t="n">
        <v>0</v>
      </c>
      <c r="N9419" t="n">
        <v>0</v>
      </c>
      <c r="O9419" t="n">
        <v>0</v>
      </c>
      <c r="P9419" t="n">
        <v>0</v>
      </c>
      <c r="Q9419" t="n">
        <v>0</v>
      </c>
      <c r="R9419" s="2" t="inlineStr"/>
    </row>
    <row r="9420" ht="15" customHeight="1">
      <c r="A9420" t="inlineStr">
        <is>
          <t>A 49570-2023</t>
        </is>
      </c>
      <c r="B9420" s="1" t="n">
        <v>45211</v>
      </c>
      <c r="C9420" s="1" t="n">
        <v>45715</v>
      </c>
      <c r="D9420" t="inlineStr">
        <is>
          <t>KALMAR LÄN</t>
        </is>
      </c>
      <c r="E9420" t="inlineStr">
        <is>
          <t>EMMABODA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49580-2023</t>
        </is>
      </c>
      <c r="B9421" s="1" t="n">
        <v>45211</v>
      </c>
      <c r="C9421" s="1" t="n">
        <v>45715</v>
      </c>
      <c r="D9421" t="inlineStr">
        <is>
          <t>KALMAR LÄN</t>
        </is>
      </c>
      <c r="E9421" t="inlineStr">
        <is>
          <t>VÄSTERVIK</t>
        </is>
      </c>
      <c r="F9421" t="inlineStr">
        <is>
          <t>Övriga Aktiebolag</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49623-2023</t>
        </is>
      </c>
      <c r="B9422" s="1" t="n">
        <v>45211</v>
      </c>
      <c r="C9422" s="1" t="n">
        <v>45715</v>
      </c>
      <c r="D9422" t="inlineStr">
        <is>
          <t>KALMAR LÄN</t>
        </is>
      </c>
      <c r="E9422" t="inlineStr">
        <is>
          <t>EMMABODA</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49627-2023</t>
        </is>
      </c>
      <c r="B9423" s="1" t="n">
        <v>45211</v>
      </c>
      <c r="C9423" s="1" t="n">
        <v>45715</v>
      </c>
      <c r="D9423" t="inlineStr">
        <is>
          <t>KALMAR LÄN</t>
        </is>
      </c>
      <c r="E9423" t="inlineStr">
        <is>
          <t>EMMABODA</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49613-2023</t>
        </is>
      </c>
      <c r="B9424" s="1" t="n">
        <v>45211</v>
      </c>
      <c r="C9424" s="1" t="n">
        <v>45715</v>
      </c>
      <c r="D9424" t="inlineStr">
        <is>
          <t>KALMAR LÄN</t>
        </is>
      </c>
      <c r="E9424" t="inlineStr">
        <is>
          <t>EMMABODA</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49625-2023</t>
        </is>
      </c>
      <c r="B9425" s="1" t="n">
        <v>45211</v>
      </c>
      <c r="C9425" s="1" t="n">
        <v>45715</v>
      </c>
      <c r="D9425" t="inlineStr">
        <is>
          <t>KALMAR LÄN</t>
        </is>
      </c>
      <c r="E9425" t="inlineStr">
        <is>
          <t>EMMABODA</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49626-2023</t>
        </is>
      </c>
      <c r="B9426" s="1" t="n">
        <v>45211</v>
      </c>
      <c r="C9426" s="1" t="n">
        <v>45715</v>
      </c>
      <c r="D9426" t="inlineStr">
        <is>
          <t>KALMAR LÄN</t>
        </is>
      </c>
      <c r="E9426" t="inlineStr">
        <is>
          <t>EMMABODA</t>
        </is>
      </c>
      <c r="G9426" t="n">
        <v>0</v>
      </c>
      <c r="H9426" t="n">
        <v>0</v>
      </c>
      <c r="I9426" t="n">
        <v>0</v>
      </c>
      <c r="J9426" t="n">
        <v>0</v>
      </c>
      <c r="K9426" t="n">
        <v>0</v>
      </c>
      <c r="L9426" t="n">
        <v>0</v>
      </c>
      <c r="M9426" t="n">
        <v>0</v>
      </c>
      <c r="N9426" t="n">
        <v>0</v>
      </c>
      <c r="O9426" t="n">
        <v>0</v>
      </c>
      <c r="P9426" t="n">
        <v>0</v>
      </c>
      <c r="Q9426" t="n">
        <v>0</v>
      </c>
      <c r="R9426" s="2" t="inlineStr"/>
    </row>
    <row r="9427" ht="15" customHeight="1">
      <c r="A9427" t="inlineStr">
        <is>
          <t>A 49624-2023</t>
        </is>
      </c>
      <c r="B9427" s="1" t="n">
        <v>45211</v>
      </c>
      <c r="C9427" s="1" t="n">
        <v>45715</v>
      </c>
      <c r="D9427" t="inlineStr">
        <is>
          <t>KALMAR LÄN</t>
        </is>
      </c>
      <c r="E9427" t="inlineStr">
        <is>
          <t>EMMABODA</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51065-2023</t>
        </is>
      </c>
      <c r="B9428" s="1" t="n">
        <v>45211</v>
      </c>
      <c r="C9428" s="1" t="n">
        <v>45715</v>
      </c>
      <c r="D9428" t="inlineStr">
        <is>
          <t>KALMAR LÄN</t>
        </is>
      </c>
      <c r="E9428" t="inlineStr">
        <is>
          <t>HULTSFRED</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51067-2023</t>
        </is>
      </c>
      <c r="B9429" s="1" t="n">
        <v>45211</v>
      </c>
      <c r="C9429" s="1" t="n">
        <v>45715</v>
      </c>
      <c r="D9429" t="inlineStr">
        <is>
          <t>KALMAR LÄN</t>
        </is>
      </c>
      <c r="E9429" t="inlineStr">
        <is>
          <t>HULTSFRED</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49711-2023</t>
        </is>
      </c>
      <c r="B9430" s="1" t="n">
        <v>45212</v>
      </c>
      <c r="C9430" s="1" t="n">
        <v>45715</v>
      </c>
      <c r="D9430" t="inlineStr">
        <is>
          <t>KALMAR LÄN</t>
        </is>
      </c>
      <c r="E9430" t="inlineStr">
        <is>
          <t>KALMAR</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49756-2023</t>
        </is>
      </c>
      <c r="B9431" s="1" t="n">
        <v>45212</v>
      </c>
      <c r="C9431" s="1" t="n">
        <v>45715</v>
      </c>
      <c r="D9431" t="inlineStr">
        <is>
          <t>KALMAR LÄN</t>
        </is>
      </c>
      <c r="E9431" t="inlineStr">
        <is>
          <t>VIMMERBY</t>
        </is>
      </c>
      <c r="G9431" t="n">
        <v>5.8</v>
      </c>
      <c r="H9431" t="n">
        <v>0</v>
      </c>
      <c r="I9431" t="n">
        <v>0</v>
      </c>
      <c r="J9431" t="n">
        <v>0</v>
      </c>
      <c r="K9431" t="n">
        <v>0</v>
      </c>
      <c r="L9431" t="n">
        <v>0</v>
      </c>
      <c r="M9431" t="n">
        <v>0</v>
      </c>
      <c r="N9431" t="n">
        <v>0</v>
      </c>
      <c r="O9431" t="n">
        <v>0</v>
      </c>
      <c r="P9431" t="n">
        <v>0</v>
      </c>
      <c r="Q9431" t="n">
        <v>0</v>
      </c>
      <c r="R9431" s="2" t="inlineStr"/>
    </row>
    <row r="9432" ht="15" customHeight="1">
      <c r="A9432" t="inlineStr">
        <is>
          <t>A 49762-2023</t>
        </is>
      </c>
      <c r="B9432" s="1" t="n">
        <v>45212</v>
      </c>
      <c r="C9432" s="1" t="n">
        <v>45715</v>
      </c>
      <c r="D9432" t="inlineStr">
        <is>
          <t>KALMAR LÄN</t>
        </is>
      </c>
      <c r="E9432" t="inlineStr">
        <is>
          <t>KALMAR</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49710-2023</t>
        </is>
      </c>
      <c r="B9433" s="1" t="n">
        <v>45212</v>
      </c>
      <c r="C9433" s="1" t="n">
        <v>45715</v>
      </c>
      <c r="D9433" t="inlineStr">
        <is>
          <t>KALMAR LÄN</t>
        </is>
      </c>
      <c r="E9433" t="inlineStr">
        <is>
          <t>KALMAR</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49817-2023</t>
        </is>
      </c>
      <c r="B9434" s="1" t="n">
        <v>45212</v>
      </c>
      <c r="C9434" s="1" t="n">
        <v>45715</v>
      </c>
      <c r="D9434" t="inlineStr">
        <is>
          <t>KALMAR LÄN</t>
        </is>
      </c>
      <c r="E9434" t="inlineStr">
        <is>
          <t>OSKARSHAMN</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49819-2023</t>
        </is>
      </c>
      <c r="B9435" s="1" t="n">
        <v>45212</v>
      </c>
      <c r="C9435" s="1" t="n">
        <v>45715</v>
      </c>
      <c r="D9435" t="inlineStr">
        <is>
          <t>KALMAR LÄN</t>
        </is>
      </c>
      <c r="E9435" t="inlineStr">
        <is>
          <t>OSKARSHAMN</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49757-2023</t>
        </is>
      </c>
      <c r="B9436" s="1" t="n">
        <v>45212</v>
      </c>
      <c r="C9436" s="1" t="n">
        <v>45715</v>
      </c>
      <c r="D9436" t="inlineStr">
        <is>
          <t>KALMAR LÄN</t>
        </is>
      </c>
      <c r="E9436" t="inlineStr">
        <is>
          <t>KALMAR</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49821-2023</t>
        </is>
      </c>
      <c r="B9437" s="1" t="n">
        <v>45212</v>
      </c>
      <c r="C9437" s="1" t="n">
        <v>45715</v>
      </c>
      <c r="D9437" t="inlineStr">
        <is>
          <t>KALMAR LÄN</t>
        </is>
      </c>
      <c r="E9437" t="inlineStr">
        <is>
          <t>OSKARSHAMN</t>
        </is>
      </c>
      <c r="G9437" t="n">
        <v>5.6</v>
      </c>
      <c r="H9437" t="n">
        <v>0</v>
      </c>
      <c r="I9437" t="n">
        <v>0</v>
      </c>
      <c r="J9437" t="n">
        <v>0</v>
      </c>
      <c r="K9437" t="n">
        <v>0</v>
      </c>
      <c r="L9437" t="n">
        <v>0</v>
      </c>
      <c r="M9437" t="n">
        <v>0</v>
      </c>
      <c r="N9437" t="n">
        <v>0</v>
      </c>
      <c r="O9437" t="n">
        <v>0</v>
      </c>
      <c r="P9437" t="n">
        <v>0</v>
      </c>
      <c r="Q9437" t="n">
        <v>0</v>
      </c>
      <c r="R9437" s="2" t="inlineStr"/>
    </row>
    <row r="9438" ht="15" customHeight="1">
      <c r="A9438" t="inlineStr">
        <is>
          <t>A 49843-2023</t>
        </is>
      </c>
      <c r="B9438" s="1" t="n">
        <v>45212</v>
      </c>
      <c r="C9438" s="1" t="n">
        <v>45715</v>
      </c>
      <c r="D9438" t="inlineStr">
        <is>
          <t>KALMAR LÄN</t>
        </is>
      </c>
      <c r="E9438" t="inlineStr">
        <is>
          <t>OSKARSHAMN</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49844-2023</t>
        </is>
      </c>
      <c r="B9439" s="1" t="n">
        <v>45212</v>
      </c>
      <c r="C9439" s="1" t="n">
        <v>45715</v>
      </c>
      <c r="D9439" t="inlineStr">
        <is>
          <t>KALMAR LÄN</t>
        </is>
      </c>
      <c r="E9439" t="inlineStr">
        <is>
          <t>OSKARSHAMN</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49842-2023</t>
        </is>
      </c>
      <c r="B9440" s="1" t="n">
        <v>45212</v>
      </c>
      <c r="C9440" s="1" t="n">
        <v>45715</v>
      </c>
      <c r="D9440" t="inlineStr">
        <is>
          <t>KALMAR LÄN</t>
        </is>
      </c>
      <c r="E9440" t="inlineStr">
        <is>
          <t>OSKARSHAMN</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49841-2023</t>
        </is>
      </c>
      <c r="B9441" s="1" t="n">
        <v>45212</v>
      </c>
      <c r="C9441" s="1" t="n">
        <v>45715</v>
      </c>
      <c r="D9441" t="inlineStr">
        <is>
          <t>KALMAR LÄN</t>
        </is>
      </c>
      <c r="E9441" t="inlineStr">
        <is>
          <t>OSKARSHAMN</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49895-2023</t>
        </is>
      </c>
      <c r="B9442" s="1" t="n">
        <v>45213</v>
      </c>
      <c r="C9442" s="1" t="n">
        <v>45715</v>
      </c>
      <c r="D9442" t="inlineStr">
        <is>
          <t>KALMAR LÄN</t>
        </is>
      </c>
      <c r="E9442" t="inlineStr">
        <is>
          <t>NYBRO</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49963-2023</t>
        </is>
      </c>
      <c r="B9443" s="1" t="n">
        <v>45215</v>
      </c>
      <c r="C9443" s="1" t="n">
        <v>45715</v>
      </c>
      <c r="D9443" t="inlineStr">
        <is>
          <t>KALMAR LÄN</t>
        </is>
      </c>
      <c r="E9443" t="inlineStr">
        <is>
          <t>OSKARSHAMN</t>
        </is>
      </c>
      <c r="G9443" t="n">
        <v>7.9</v>
      </c>
      <c r="H9443" t="n">
        <v>0</v>
      </c>
      <c r="I9443" t="n">
        <v>0</v>
      </c>
      <c r="J9443" t="n">
        <v>0</v>
      </c>
      <c r="K9443" t="n">
        <v>0</v>
      </c>
      <c r="L9443" t="n">
        <v>0</v>
      </c>
      <c r="M9443" t="n">
        <v>0</v>
      </c>
      <c r="N9443" t="n">
        <v>0</v>
      </c>
      <c r="O9443" t="n">
        <v>0</v>
      </c>
      <c r="P9443" t="n">
        <v>0</v>
      </c>
      <c r="Q9443" t="n">
        <v>0</v>
      </c>
      <c r="R9443" s="2" t="inlineStr"/>
    </row>
    <row r="9444" ht="15" customHeight="1">
      <c r="A9444" t="inlineStr">
        <is>
          <t>A 49953-2023</t>
        </is>
      </c>
      <c r="B9444" s="1" t="n">
        <v>45215</v>
      </c>
      <c r="C9444" s="1" t="n">
        <v>45715</v>
      </c>
      <c r="D9444" t="inlineStr">
        <is>
          <t>KALMAR LÄN</t>
        </is>
      </c>
      <c r="E9444" t="inlineStr">
        <is>
          <t>EMMABODA</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50042-2023</t>
        </is>
      </c>
      <c r="B9445" s="1" t="n">
        <v>45215</v>
      </c>
      <c r="C9445" s="1" t="n">
        <v>45715</v>
      </c>
      <c r="D9445" t="inlineStr">
        <is>
          <t>KALMAR LÄN</t>
        </is>
      </c>
      <c r="E9445" t="inlineStr">
        <is>
          <t>VÄSTERVIK</t>
        </is>
      </c>
      <c r="F9445" t="inlineStr">
        <is>
          <t>Holmen skog AB</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50055-2023</t>
        </is>
      </c>
      <c r="B9446" s="1" t="n">
        <v>45215</v>
      </c>
      <c r="C9446" s="1" t="n">
        <v>45715</v>
      </c>
      <c r="D9446" t="inlineStr">
        <is>
          <t>KALMAR LÄN</t>
        </is>
      </c>
      <c r="E9446" t="inlineStr">
        <is>
          <t>KALMAR</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50087-2023</t>
        </is>
      </c>
      <c r="B9447" s="1" t="n">
        <v>45215</v>
      </c>
      <c r="C9447" s="1" t="n">
        <v>45715</v>
      </c>
      <c r="D9447" t="inlineStr">
        <is>
          <t>KALMAR LÄN</t>
        </is>
      </c>
      <c r="E9447" t="inlineStr">
        <is>
          <t>VIMMERBY</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50127-2023</t>
        </is>
      </c>
      <c r="B9448" s="1" t="n">
        <v>45215</v>
      </c>
      <c r="C9448" s="1" t="n">
        <v>45715</v>
      </c>
      <c r="D9448" t="inlineStr">
        <is>
          <t>KALMAR LÄN</t>
        </is>
      </c>
      <c r="E9448" t="inlineStr">
        <is>
          <t>VÄSTERVIK</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50088-2023</t>
        </is>
      </c>
      <c r="B9449" s="1" t="n">
        <v>45215</v>
      </c>
      <c r="C9449" s="1" t="n">
        <v>45715</v>
      </c>
      <c r="D9449" t="inlineStr">
        <is>
          <t>KALMAR LÄN</t>
        </is>
      </c>
      <c r="E9449" t="inlineStr">
        <is>
          <t>VIMMERBY</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50093-2023</t>
        </is>
      </c>
      <c r="B9450" s="1" t="n">
        <v>45215</v>
      </c>
      <c r="C9450" s="1" t="n">
        <v>45715</v>
      </c>
      <c r="D9450" t="inlineStr">
        <is>
          <t>KALMAR LÄN</t>
        </is>
      </c>
      <c r="E9450" t="inlineStr">
        <is>
          <t>VIMMERBY</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50001-2023</t>
        </is>
      </c>
      <c r="B9451" s="1" t="n">
        <v>45215</v>
      </c>
      <c r="C9451" s="1" t="n">
        <v>45715</v>
      </c>
      <c r="D9451" t="inlineStr">
        <is>
          <t>KALMAR LÄN</t>
        </is>
      </c>
      <c r="E9451" t="inlineStr">
        <is>
          <t>VÄSTERVIK</t>
        </is>
      </c>
      <c r="F9451" t="inlineStr">
        <is>
          <t>Holmen skog AB</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50045-2023</t>
        </is>
      </c>
      <c r="B9452" s="1" t="n">
        <v>45215</v>
      </c>
      <c r="C9452" s="1" t="n">
        <v>45715</v>
      </c>
      <c r="D9452" t="inlineStr">
        <is>
          <t>KALMAR LÄN</t>
        </is>
      </c>
      <c r="E9452" t="inlineStr">
        <is>
          <t>VÄSTERVIK</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50086-2023</t>
        </is>
      </c>
      <c r="B9453" s="1" t="n">
        <v>45215</v>
      </c>
      <c r="C9453" s="1" t="n">
        <v>45715</v>
      </c>
      <c r="D9453" t="inlineStr">
        <is>
          <t>KALMAR LÄN</t>
        </is>
      </c>
      <c r="E9453" t="inlineStr">
        <is>
          <t>VÄSTERVIK</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50091-2023</t>
        </is>
      </c>
      <c r="B9454" s="1" t="n">
        <v>45215</v>
      </c>
      <c r="C9454" s="1" t="n">
        <v>45715</v>
      </c>
      <c r="D9454" t="inlineStr">
        <is>
          <t>KALMAR LÄN</t>
        </is>
      </c>
      <c r="E9454" t="inlineStr">
        <is>
          <t>VIMMERBY</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50085-2023</t>
        </is>
      </c>
      <c r="B9455" s="1" t="n">
        <v>45215</v>
      </c>
      <c r="C9455" s="1" t="n">
        <v>45715</v>
      </c>
      <c r="D9455" t="inlineStr">
        <is>
          <t>KALMAR LÄN</t>
        </is>
      </c>
      <c r="E9455" t="inlineStr">
        <is>
          <t>VIMMERBY</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50317-2023</t>
        </is>
      </c>
      <c r="B9456" s="1" t="n">
        <v>45216</v>
      </c>
      <c r="C9456" s="1" t="n">
        <v>45715</v>
      </c>
      <c r="D9456" t="inlineStr">
        <is>
          <t>KALMAR LÄN</t>
        </is>
      </c>
      <c r="E9456" t="inlineStr">
        <is>
          <t>MÖNSTERÅS</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50320-2023</t>
        </is>
      </c>
      <c r="B9457" s="1" t="n">
        <v>45216</v>
      </c>
      <c r="C9457" s="1" t="n">
        <v>45715</v>
      </c>
      <c r="D9457" t="inlineStr">
        <is>
          <t>KALMAR LÄN</t>
        </is>
      </c>
      <c r="E9457" t="inlineStr">
        <is>
          <t>HULTSFRED</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50449-2023</t>
        </is>
      </c>
      <c r="B9458" s="1" t="n">
        <v>45216</v>
      </c>
      <c r="C9458" s="1" t="n">
        <v>45715</v>
      </c>
      <c r="D9458" t="inlineStr">
        <is>
          <t>KALMAR LÄN</t>
        </is>
      </c>
      <c r="E9458" t="inlineStr">
        <is>
          <t>EMMABODA</t>
        </is>
      </c>
      <c r="G9458" t="n">
        <v>4.3</v>
      </c>
      <c r="H9458" t="n">
        <v>0</v>
      </c>
      <c r="I9458" t="n">
        <v>0</v>
      </c>
      <c r="J9458" t="n">
        <v>0</v>
      </c>
      <c r="K9458" t="n">
        <v>0</v>
      </c>
      <c r="L9458" t="n">
        <v>0</v>
      </c>
      <c r="M9458" t="n">
        <v>0</v>
      </c>
      <c r="N9458" t="n">
        <v>0</v>
      </c>
      <c r="O9458" t="n">
        <v>0</v>
      </c>
      <c r="P9458" t="n">
        <v>0</v>
      </c>
      <c r="Q9458" t="n">
        <v>0</v>
      </c>
      <c r="R9458" s="2" t="inlineStr"/>
    </row>
    <row r="9459" ht="15" customHeight="1">
      <c r="A9459" t="inlineStr">
        <is>
          <t>A 50388-2023</t>
        </is>
      </c>
      <c r="B9459" s="1" t="n">
        <v>45216</v>
      </c>
      <c r="C9459" s="1" t="n">
        <v>45715</v>
      </c>
      <c r="D9459" t="inlineStr">
        <is>
          <t>KALMAR LÄN</t>
        </is>
      </c>
      <c r="E9459" t="inlineStr">
        <is>
          <t>MÖNSTERÅS</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50352-2023</t>
        </is>
      </c>
      <c r="B9460" s="1" t="n">
        <v>45216</v>
      </c>
      <c r="C9460" s="1" t="n">
        <v>45715</v>
      </c>
      <c r="D9460" t="inlineStr">
        <is>
          <t>KALMAR LÄN</t>
        </is>
      </c>
      <c r="E9460" t="inlineStr">
        <is>
          <t>MÖNSTERÅS</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50334-2023</t>
        </is>
      </c>
      <c r="B9461" s="1" t="n">
        <v>45216</v>
      </c>
      <c r="C9461" s="1" t="n">
        <v>45715</v>
      </c>
      <c r="D9461" t="inlineStr">
        <is>
          <t>KALMAR LÄN</t>
        </is>
      </c>
      <c r="E9461" t="inlineStr">
        <is>
          <t>HULTSFRED</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52083-2023</t>
        </is>
      </c>
      <c r="B9462" s="1" t="n">
        <v>45216</v>
      </c>
      <c r="C9462" s="1" t="n">
        <v>45715</v>
      </c>
      <c r="D9462" t="inlineStr">
        <is>
          <t>KALMAR LÄN</t>
        </is>
      </c>
      <c r="E9462" t="inlineStr">
        <is>
          <t>EMMABODA</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50471-2023</t>
        </is>
      </c>
      <c r="B9463" s="1" t="n">
        <v>45216</v>
      </c>
      <c r="C9463" s="1" t="n">
        <v>45715</v>
      </c>
      <c r="D9463" t="inlineStr">
        <is>
          <t>KALMAR LÄN</t>
        </is>
      </c>
      <c r="E9463" t="inlineStr">
        <is>
          <t>OSKARSHAMN</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52043-2023</t>
        </is>
      </c>
      <c r="B9464" s="1" t="n">
        <v>45216</v>
      </c>
      <c r="C9464" s="1" t="n">
        <v>45715</v>
      </c>
      <c r="D9464" t="inlineStr">
        <is>
          <t>KALMAR LÄN</t>
        </is>
      </c>
      <c r="E9464" t="inlineStr">
        <is>
          <t>VÄSTERVIK</t>
        </is>
      </c>
      <c r="G9464" t="n">
        <v>7.2</v>
      </c>
      <c r="H9464" t="n">
        <v>0</v>
      </c>
      <c r="I9464" t="n">
        <v>0</v>
      </c>
      <c r="J9464" t="n">
        <v>0</v>
      </c>
      <c r="K9464" t="n">
        <v>0</v>
      </c>
      <c r="L9464" t="n">
        <v>0</v>
      </c>
      <c r="M9464" t="n">
        <v>0</v>
      </c>
      <c r="N9464" t="n">
        <v>0</v>
      </c>
      <c r="O9464" t="n">
        <v>0</v>
      </c>
      <c r="P9464" t="n">
        <v>0</v>
      </c>
      <c r="Q9464" t="n">
        <v>0</v>
      </c>
      <c r="R9464" s="2" t="inlineStr"/>
    </row>
    <row r="9465" ht="15" customHeight="1">
      <c r="A9465" t="inlineStr">
        <is>
          <t>A 52049-2023</t>
        </is>
      </c>
      <c r="B9465" s="1" t="n">
        <v>45216</v>
      </c>
      <c r="C9465" s="1" t="n">
        <v>45715</v>
      </c>
      <c r="D9465" t="inlineStr">
        <is>
          <t>KALMAR LÄN</t>
        </is>
      </c>
      <c r="E9465" t="inlineStr">
        <is>
          <t>VÄSTERVIK</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51908-2023</t>
        </is>
      </c>
      <c r="B9466" s="1" t="n">
        <v>45216</v>
      </c>
      <c r="C9466" s="1" t="n">
        <v>45715</v>
      </c>
      <c r="D9466" t="inlineStr">
        <is>
          <t>KALMAR LÄN</t>
        </is>
      </c>
      <c r="E9466" t="inlineStr">
        <is>
          <t>NYBRO</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52035-2023</t>
        </is>
      </c>
      <c r="B9467" s="1" t="n">
        <v>45216</v>
      </c>
      <c r="C9467" s="1" t="n">
        <v>45715</v>
      </c>
      <c r="D9467" t="inlineStr">
        <is>
          <t>KALMAR LÄN</t>
        </is>
      </c>
      <c r="E9467" t="inlineStr">
        <is>
          <t>VÄSTERVIK</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52080-2023</t>
        </is>
      </c>
      <c r="B9468" s="1" t="n">
        <v>45216</v>
      </c>
      <c r="C9468" s="1" t="n">
        <v>45715</v>
      </c>
      <c r="D9468" t="inlineStr">
        <is>
          <t>KALMAR LÄN</t>
        </is>
      </c>
      <c r="E9468" t="inlineStr">
        <is>
          <t>EMMABODA</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50341-2023</t>
        </is>
      </c>
      <c r="B9469" s="1" t="n">
        <v>45216</v>
      </c>
      <c r="C9469" s="1" t="n">
        <v>45715</v>
      </c>
      <c r="D9469" t="inlineStr">
        <is>
          <t>KALMAR LÄN</t>
        </is>
      </c>
      <c r="E9469" t="inlineStr">
        <is>
          <t>HULTSFRED</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50648-2023</t>
        </is>
      </c>
      <c r="B9470" s="1" t="n">
        <v>45217</v>
      </c>
      <c r="C9470" s="1" t="n">
        <v>45715</v>
      </c>
      <c r="D9470" t="inlineStr">
        <is>
          <t>KALMAR LÄN</t>
        </is>
      </c>
      <c r="E9470" t="inlineStr">
        <is>
          <t>VIMMERBY</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50727-2023</t>
        </is>
      </c>
      <c r="B9471" s="1" t="n">
        <v>45217</v>
      </c>
      <c r="C9471" s="1" t="n">
        <v>45715</v>
      </c>
      <c r="D9471" t="inlineStr">
        <is>
          <t>KALMAR LÄN</t>
        </is>
      </c>
      <c r="E9471" t="inlineStr">
        <is>
          <t>HÖGSBY</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50779-2023</t>
        </is>
      </c>
      <c r="B9472" s="1" t="n">
        <v>45217</v>
      </c>
      <c r="C9472" s="1" t="n">
        <v>45715</v>
      </c>
      <c r="D9472" t="inlineStr">
        <is>
          <t>KALMAR LÄN</t>
        </is>
      </c>
      <c r="E9472" t="inlineStr">
        <is>
          <t>OSKARSHAMN</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50783-2023</t>
        </is>
      </c>
      <c r="B9473" s="1" t="n">
        <v>45217</v>
      </c>
      <c r="C9473" s="1" t="n">
        <v>45715</v>
      </c>
      <c r="D9473" t="inlineStr">
        <is>
          <t>KALMAR LÄN</t>
        </is>
      </c>
      <c r="E9473" t="inlineStr">
        <is>
          <t>NYBRO</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50598-2023</t>
        </is>
      </c>
      <c r="B9474" s="1" t="n">
        <v>45217</v>
      </c>
      <c r="C9474" s="1" t="n">
        <v>45715</v>
      </c>
      <c r="D9474" t="inlineStr">
        <is>
          <t>KALMAR LÄN</t>
        </is>
      </c>
      <c r="E9474" t="inlineStr">
        <is>
          <t>EMMABODA</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50653-2023</t>
        </is>
      </c>
      <c r="B9475" s="1" t="n">
        <v>45217</v>
      </c>
      <c r="C9475" s="1" t="n">
        <v>45715</v>
      </c>
      <c r="D9475" t="inlineStr">
        <is>
          <t>KALMAR LÄN</t>
        </is>
      </c>
      <c r="E9475" t="inlineStr">
        <is>
          <t>EMMABODA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50547-2023</t>
        </is>
      </c>
      <c r="B9476" s="1" t="n">
        <v>45217</v>
      </c>
      <c r="C9476" s="1" t="n">
        <v>45715</v>
      </c>
      <c r="D9476" t="inlineStr">
        <is>
          <t>KALMAR LÄN</t>
        </is>
      </c>
      <c r="E9476" t="inlineStr">
        <is>
          <t>EMMABODA</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50662-2023</t>
        </is>
      </c>
      <c r="B9477" s="1" t="n">
        <v>45217</v>
      </c>
      <c r="C9477" s="1" t="n">
        <v>45715</v>
      </c>
      <c r="D9477" t="inlineStr">
        <is>
          <t>KALMAR LÄN</t>
        </is>
      </c>
      <c r="E9477" t="inlineStr">
        <is>
          <t>NYBRO</t>
        </is>
      </c>
      <c r="G9477" t="n">
        <v>7.4</v>
      </c>
      <c r="H9477" t="n">
        <v>0</v>
      </c>
      <c r="I9477" t="n">
        <v>0</v>
      </c>
      <c r="J9477" t="n">
        <v>0</v>
      </c>
      <c r="K9477" t="n">
        <v>0</v>
      </c>
      <c r="L9477" t="n">
        <v>0</v>
      </c>
      <c r="M9477" t="n">
        <v>0</v>
      </c>
      <c r="N9477" t="n">
        <v>0</v>
      </c>
      <c r="O9477" t="n">
        <v>0</v>
      </c>
      <c r="P9477" t="n">
        <v>0</v>
      </c>
      <c r="Q9477" t="n">
        <v>0</v>
      </c>
      <c r="R9477" s="2" t="inlineStr"/>
    </row>
    <row r="9478" ht="15" customHeight="1">
      <c r="A9478" t="inlineStr">
        <is>
          <t>A 50713-2023</t>
        </is>
      </c>
      <c r="B9478" s="1" t="n">
        <v>45217</v>
      </c>
      <c r="C9478" s="1" t="n">
        <v>45715</v>
      </c>
      <c r="D9478" t="inlineStr">
        <is>
          <t>KALMAR LÄN</t>
        </is>
      </c>
      <c r="E9478" t="inlineStr">
        <is>
          <t>HÖGSBY</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50775-2023</t>
        </is>
      </c>
      <c r="B9479" s="1" t="n">
        <v>45217</v>
      </c>
      <c r="C9479" s="1" t="n">
        <v>45715</v>
      </c>
      <c r="D9479" t="inlineStr">
        <is>
          <t>KALMAR LÄN</t>
        </is>
      </c>
      <c r="E9479" t="inlineStr">
        <is>
          <t>NYBRO</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52359-2023</t>
        </is>
      </c>
      <c r="B9480" s="1" t="n">
        <v>45217</v>
      </c>
      <c r="C9480" s="1" t="n">
        <v>45715</v>
      </c>
      <c r="D9480" t="inlineStr">
        <is>
          <t>KALMAR LÄN</t>
        </is>
      </c>
      <c r="E9480" t="inlineStr">
        <is>
          <t>HÖGSBY</t>
        </is>
      </c>
      <c r="F9480" t="inlineStr">
        <is>
          <t>Kommuner</t>
        </is>
      </c>
      <c r="G9480" t="n">
        <v>6.2</v>
      </c>
      <c r="H9480" t="n">
        <v>0</v>
      </c>
      <c r="I9480" t="n">
        <v>0</v>
      </c>
      <c r="J9480" t="n">
        <v>0</v>
      </c>
      <c r="K9480" t="n">
        <v>0</v>
      </c>
      <c r="L9480" t="n">
        <v>0</v>
      </c>
      <c r="M9480" t="n">
        <v>0</v>
      </c>
      <c r="N9480" t="n">
        <v>0</v>
      </c>
      <c r="O9480" t="n">
        <v>0</v>
      </c>
      <c r="P9480" t="n">
        <v>0</v>
      </c>
      <c r="Q9480" t="n">
        <v>0</v>
      </c>
      <c r="R9480" s="2" t="inlineStr"/>
    </row>
    <row r="9481" ht="15" customHeight="1">
      <c r="A9481" t="inlineStr">
        <is>
          <t>A 52206-2023</t>
        </is>
      </c>
      <c r="B9481" s="1" t="n">
        <v>45217</v>
      </c>
      <c r="C9481" s="1" t="n">
        <v>45715</v>
      </c>
      <c r="D9481" t="inlineStr">
        <is>
          <t>KALMAR LÄN</t>
        </is>
      </c>
      <c r="E9481" t="inlineStr">
        <is>
          <t>EMMABODA</t>
        </is>
      </c>
      <c r="G9481" t="n">
        <v>4.1</v>
      </c>
      <c r="H9481" t="n">
        <v>0</v>
      </c>
      <c r="I9481" t="n">
        <v>0</v>
      </c>
      <c r="J9481" t="n">
        <v>0</v>
      </c>
      <c r="K9481" t="n">
        <v>0</v>
      </c>
      <c r="L9481" t="n">
        <v>0</v>
      </c>
      <c r="M9481" t="n">
        <v>0</v>
      </c>
      <c r="N9481" t="n">
        <v>0</v>
      </c>
      <c r="O9481" t="n">
        <v>0</v>
      </c>
      <c r="P9481" t="n">
        <v>0</v>
      </c>
      <c r="Q9481" t="n">
        <v>0</v>
      </c>
      <c r="R9481" s="2" t="inlineStr"/>
    </row>
    <row r="9482" ht="15" customHeight="1">
      <c r="A9482" t="inlineStr">
        <is>
          <t>A 52368-2023</t>
        </is>
      </c>
      <c r="B9482" s="1" t="n">
        <v>45217</v>
      </c>
      <c r="C9482" s="1" t="n">
        <v>45715</v>
      </c>
      <c r="D9482" t="inlineStr">
        <is>
          <t>KALMAR LÄN</t>
        </is>
      </c>
      <c r="E9482" t="inlineStr">
        <is>
          <t>HULTSFRED</t>
        </is>
      </c>
      <c r="F9482" t="inlineStr">
        <is>
          <t>Kommuner</t>
        </is>
      </c>
      <c r="G9482" t="n">
        <v>5</v>
      </c>
      <c r="H9482" t="n">
        <v>0</v>
      </c>
      <c r="I9482" t="n">
        <v>0</v>
      </c>
      <c r="J9482" t="n">
        <v>0</v>
      </c>
      <c r="K9482" t="n">
        <v>0</v>
      </c>
      <c r="L9482" t="n">
        <v>0</v>
      </c>
      <c r="M9482" t="n">
        <v>0</v>
      </c>
      <c r="N9482" t="n">
        <v>0</v>
      </c>
      <c r="O9482" t="n">
        <v>0</v>
      </c>
      <c r="P9482" t="n">
        <v>0</v>
      </c>
      <c r="Q9482" t="n">
        <v>0</v>
      </c>
      <c r="R9482" s="2" t="inlineStr"/>
    </row>
    <row r="9483" ht="15" customHeight="1">
      <c r="A9483" t="inlineStr">
        <is>
          <t>A 52257-2023</t>
        </is>
      </c>
      <c r="B9483" s="1" t="n">
        <v>45217</v>
      </c>
      <c r="C9483" s="1" t="n">
        <v>45715</v>
      </c>
      <c r="D9483" t="inlineStr">
        <is>
          <t>KALMAR LÄN</t>
        </is>
      </c>
      <c r="E9483" t="inlineStr">
        <is>
          <t>VIMMERBY</t>
        </is>
      </c>
      <c r="G9483" t="n">
        <v>6.3</v>
      </c>
      <c r="H9483" t="n">
        <v>0</v>
      </c>
      <c r="I9483" t="n">
        <v>0</v>
      </c>
      <c r="J9483" t="n">
        <v>0</v>
      </c>
      <c r="K9483" t="n">
        <v>0</v>
      </c>
      <c r="L9483" t="n">
        <v>0</v>
      </c>
      <c r="M9483" t="n">
        <v>0</v>
      </c>
      <c r="N9483" t="n">
        <v>0</v>
      </c>
      <c r="O9483" t="n">
        <v>0</v>
      </c>
      <c r="P9483" t="n">
        <v>0</v>
      </c>
      <c r="Q9483" t="n">
        <v>0</v>
      </c>
      <c r="R9483" s="2" t="inlineStr"/>
    </row>
    <row r="9484" ht="15" customHeight="1">
      <c r="A9484" t="inlineStr">
        <is>
          <t>A 52370-2023</t>
        </is>
      </c>
      <c r="B9484" s="1" t="n">
        <v>45217</v>
      </c>
      <c r="C9484" s="1" t="n">
        <v>45715</v>
      </c>
      <c r="D9484" t="inlineStr">
        <is>
          <t>KALMAR LÄN</t>
        </is>
      </c>
      <c r="E9484" t="inlineStr">
        <is>
          <t>HULTSFRED</t>
        </is>
      </c>
      <c r="F9484" t="inlineStr">
        <is>
          <t>Kommuner</t>
        </is>
      </c>
      <c r="G9484" t="n">
        <v>3.6</v>
      </c>
      <c r="H9484" t="n">
        <v>0</v>
      </c>
      <c r="I9484" t="n">
        <v>0</v>
      </c>
      <c r="J9484" t="n">
        <v>0</v>
      </c>
      <c r="K9484" t="n">
        <v>0</v>
      </c>
      <c r="L9484" t="n">
        <v>0</v>
      </c>
      <c r="M9484" t="n">
        <v>0</v>
      </c>
      <c r="N9484" t="n">
        <v>0</v>
      </c>
      <c r="O9484" t="n">
        <v>0</v>
      </c>
      <c r="P9484" t="n">
        <v>0</v>
      </c>
      <c r="Q9484" t="n">
        <v>0</v>
      </c>
      <c r="R9484" s="2" t="inlineStr"/>
    </row>
    <row r="9485" ht="15" customHeight="1">
      <c r="A9485" t="inlineStr">
        <is>
          <t>A 50882-2023</t>
        </is>
      </c>
      <c r="B9485" s="1" t="n">
        <v>45218</v>
      </c>
      <c r="C9485" s="1" t="n">
        <v>45715</v>
      </c>
      <c r="D9485" t="inlineStr">
        <is>
          <t>KALMAR LÄN</t>
        </is>
      </c>
      <c r="E9485" t="inlineStr">
        <is>
          <t>NYBRO</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50914-2023</t>
        </is>
      </c>
      <c r="B9486" s="1" t="n">
        <v>45218</v>
      </c>
      <c r="C9486" s="1" t="n">
        <v>45715</v>
      </c>
      <c r="D9486" t="inlineStr">
        <is>
          <t>KALMAR LÄN</t>
        </is>
      </c>
      <c r="E9486" t="inlineStr">
        <is>
          <t>MÖNSTERÅS</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50894-2023</t>
        </is>
      </c>
      <c r="B9487" s="1" t="n">
        <v>45218</v>
      </c>
      <c r="C9487" s="1" t="n">
        <v>45715</v>
      </c>
      <c r="D9487" t="inlineStr">
        <is>
          <t>KALMAR LÄN</t>
        </is>
      </c>
      <c r="E9487" t="inlineStr">
        <is>
          <t>HULTSFRED</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50915-2023</t>
        </is>
      </c>
      <c r="B9488" s="1" t="n">
        <v>45218</v>
      </c>
      <c r="C9488" s="1" t="n">
        <v>45715</v>
      </c>
      <c r="D9488" t="inlineStr">
        <is>
          <t>KALMAR LÄN</t>
        </is>
      </c>
      <c r="E9488" t="inlineStr">
        <is>
          <t>NYBRO</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50930-2023</t>
        </is>
      </c>
      <c r="B9489" s="1" t="n">
        <v>45218</v>
      </c>
      <c r="C9489" s="1" t="n">
        <v>45715</v>
      </c>
      <c r="D9489" t="inlineStr">
        <is>
          <t>KALMAR LÄN</t>
        </is>
      </c>
      <c r="E9489" t="inlineStr">
        <is>
          <t>HULTSFRED</t>
        </is>
      </c>
      <c r="F9489" t="inlineStr">
        <is>
          <t>Övriga Aktiebolag</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50937-2023</t>
        </is>
      </c>
      <c r="B9490" s="1" t="n">
        <v>45218</v>
      </c>
      <c r="C9490" s="1" t="n">
        <v>45715</v>
      </c>
      <c r="D9490" t="inlineStr">
        <is>
          <t>KALMAR LÄN</t>
        </is>
      </c>
      <c r="E9490" t="inlineStr">
        <is>
          <t>KALMAR</t>
        </is>
      </c>
      <c r="G9490" t="n">
        <v>14.8</v>
      </c>
      <c r="H9490" t="n">
        <v>0</v>
      </c>
      <c r="I9490" t="n">
        <v>0</v>
      </c>
      <c r="J9490" t="n">
        <v>0</v>
      </c>
      <c r="K9490" t="n">
        <v>0</v>
      </c>
      <c r="L9490" t="n">
        <v>0</v>
      </c>
      <c r="M9490" t="n">
        <v>0</v>
      </c>
      <c r="N9490" t="n">
        <v>0</v>
      </c>
      <c r="O9490" t="n">
        <v>0</v>
      </c>
      <c r="P9490" t="n">
        <v>0</v>
      </c>
      <c r="Q9490" t="n">
        <v>0</v>
      </c>
      <c r="R9490" s="2" t="inlineStr"/>
    </row>
    <row r="9491" ht="15" customHeight="1">
      <c r="A9491" t="inlineStr">
        <is>
          <t>A 50952-2023</t>
        </is>
      </c>
      <c r="B9491" s="1" t="n">
        <v>45218</v>
      </c>
      <c r="C9491" s="1" t="n">
        <v>45715</v>
      </c>
      <c r="D9491" t="inlineStr">
        <is>
          <t>KALMAR LÄN</t>
        </is>
      </c>
      <c r="E9491" t="inlineStr">
        <is>
          <t>KALMAR</t>
        </is>
      </c>
      <c r="G9491" t="n">
        <v>4.1</v>
      </c>
      <c r="H9491" t="n">
        <v>0</v>
      </c>
      <c r="I9491" t="n">
        <v>0</v>
      </c>
      <c r="J9491" t="n">
        <v>0</v>
      </c>
      <c r="K9491" t="n">
        <v>0</v>
      </c>
      <c r="L9491" t="n">
        <v>0</v>
      </c>
      <c r="M9491" t="n">
        <v>0</v>
      </c>
      <c r="N9491" t="n">
        <v>0</v>
      </c>
      <c r="O9491" t="n">
        <v>0</v>
      </c>
      <c r="P9491" t="n">
        <v>0</v>
      </c>
      <c r="Q9491" t="n">
        <v>0</v>
      </c>
      <c r="R9491" s="2" t="inlineStr"/>
    </row>
    <row r="9492" ht="15" customHeight="1">
      <c r="A9492" t="inlineStr">
        <is>
          <t>A 50884-2023</t>
        </is>
      </c>
      <c r="B9492" s="1" t="n">
        <v>45218</v>
      </c>
      <c r="C9492" s="1" t="n">
        <v>45715</v>
      </c>
      <c r="D9492" t="inlineStr">
        <is>
          <t>KALMAR LÄN</t>
        </is>
      </c>
      <c r="E9492" t="inlineStr">
        <is>
          <t>HULTSFRED</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50905-2023</t>
        </is>
      </c>
      <c r="B9493" s="1" t="n">
        <v>45218</v>
      </c>
      <c r="C9493" s="1" t="n">
        <v>45715</v>
      </c>
      <c r="D9493" t="inlineStr">
        <is>
          <t>KALMAR LÄN</t>
        </is>
      </c>
      <c r="E9493" t="inlineStr">
        <is>
          <t>NYBRO</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50913-2023</t>
        </is>
      </c>
      <c r="B9494" s="1" t="n">
        <v>45218</v>
      </c>
      <c r="C9494" s="1" t="n">
        <v>45715</v>
      </c>
      <c r="D9494" t="inlineStr">
        <is>
          <t>KALMAR LÄN</t>
        </is>
      </c>
      <c r="E9494" t="inlineStr">
        <is>
          <t>MÖNSTERÅS</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50934-2023</t>
        </is>
      </c>
      <c r="B9495" s="1" t="n">
        <v>45218</v>
      </c>
      <c r="C9495" s="1" t="n">
        <v>45715</v>
      </c>
      <c r="D9495" t="inlineStr">
        <is>
          <t>KALMAR LÄN</t>
        </is>
      </c>
      <c r="E9495" t="inlineStr">
        <is>
          <t>VIMMERBY</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50969-2023</t>
        </is>
      </c>
      <c r="B9496" s="1" t="n">
        <v>45218</v>
      </c>
      <c r="C9496" s="1" t="n">
        <v>45715</v>
      </c>
      <c r="D9496" t="inlineStr">
        <is>
          <t>KALMAR LÄN</t>
        </is>
      </c>
      <c r="E9496" t="inlineStr">
        <is>
          <t>HÖGSBY</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51053-2023</t>
        </is>
      </c>
      <c r="B9497" s="1" t="n">
        <v>45218</v>
      </c>
      <c r="C9497" s="1" t="n">
        <v>45715</v>
      </c>
      <c r="D9497" t="inlineStr">
        <is>
          <t>KALMAR LÄN</t>
        </is>
      </c>
      <c r="E9497" t="inlineStr">
        <is>
          <t>NYBRO</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51009-2023</t>
        </is>
      </c>
      <c r="B9498" s="1" t="n">
        <v>45218</v>
      </c>
      <c r="C9498" s="1" t="n">
        <v>45715</v>
      </c>
      <c r="D9498" t="inlineStr">
        <is>
          <t>KALMAR LÄN</t>
        </is>
      </c>
      <c r="E9498" t="inlineStr">
        <is>
          <t>OSKARSHAMN</t>
        </is>
      </c>
      <c r="G9498" t="n">
        <v>4.7</v>
      </c>
      <c r="H9498" t="n">
        <v>0</v>
      </c>
      <c r="I9498" t="n">
        <v>0</v>
      </c>
      <c r="J9498" t="n">
        <v>0</v>
      </c>
      <c r="K9498" t="n">
        <v>0</v>
      </c>
      <c r="L9498" t="n">
        <v>0</v>
      </c>
      <c r="M9498" t="n">
        <v>0</v>
      </c>
      <c r="N9498" t="n">
        <v>0</v>
      </c>
      <c r="O9498" t="n">
        <v>0</v>
      </c>
      <c r="P9498" t="n">
        <v>0</v>
      </c>
      <c r="Q9498" t="n">
        <v>0</v>
      </c>
      <c r="R9498" s="2" t="inlineStr"/>
    </row>
    <row r="9499" ht="15" customHeight="1">
      <c r="A9499" t="inlineStr">
        <is>
          <t>A 51025-2023</t>
        </is>
      </c>
      <c r="B9499" s="1" t="n">
        <v>45218</v>
      </c>
      <c r="C9499" s="1" t="n">
        <v>45715</v>
      </c>
      <c r="D9499" t="inlineStr">
        <is>
          <t>KALMAR LÄN</t>
        </is>
      </c>
      <c r="E9499" t="inlineStr">
        <is>
          <t>OSKARSHAMN</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51034-2023</t>
        </is>
      </c>
      <c r="B9500" s="1" t="n">
        <v>45218</v>
      </c>
      <c r="C9500" s="1" t="n">
        <v>45715</v>
      </c>
      <c r="D9500" t="inlineStr">
        <is>
          <t>KALMAR LÄN</t>
        </is>
      </c>
      <c r="E9500" t="inlineStr">
        <is>
          <t>HÖGSBY</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50938-2023</t>
        </is>
      </c>
      <c r="B9501" s="1" t="n">
        <v>45218</v>
      </c>
      <c r="C9501" s="1" t="n">
        <v>45715</v>
      </c>
      <c r="D9501" t="inlineStr">
        <is>
          <t>KALMAR LÄN</t>
        </is>
      </c>
      <c r="E9501" t="inlineStr">
        <is>
          <t>KALMAR</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51278-2023</t>
        </is>
      </c>
      <c r="B9502" s="1" t="n">
        <v>45219</v>
      </c>
      <c r="C9502" s="1" t="n">
        <v>45715</v>
      </c>
      <c r="D9502" t="inlineStr">
        <is>
          <t>KALMAR LÄN</t>
        </is>
      </c>
      <c r="E9502" t="inlineStr">
        <is>
          <t>TORSÅS</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51264-2023</t>
        </is>
      </c>
      <c r="B9503" s="1" t="n">
        <v>45219</v>
      </c>
      <c r="C9503" s="1" t="n">
        <v>45715</v>
      </c>
      <c r="D9503" t="inlineStr">
        <is>
          <t>KALMAR LÄN</t>
        </is>
      </c>
      <c r="E9503" t="inlineStr">
        <is>
          <t>KALMAR</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51408-2023</t>
        </is>
      </c>
      <c r="B9504" s="1" t="n">
        <v>45219</v>
      </c>
      <c r="C9504" s="1" t="n">
        <v>45715</v>
      </c>
      <c r="D9504" t="inlineStr">
        <is>
          <t>KALMAR LÄN</t>
        </is>
      </c>
      <c r="E9504" t="inlineStr">
        <is>
          <t>VIMMERBY</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51267-2023</t>
        </is>
      </c>
      <c r="B9505" s="1" t="n">
        <v>45219</v>
      </c>
      <c r="C9505" s="1" t="n">
        <v>45715</v>
      </c>
      <c r="D9505" t="inlineStr">
        <is>
          <t>KALMAR LÄN</t>
        </is>
      </c>
      <c r="E9505" t="inlineStr">
        <is>
          <t>TORSÅS</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51129-2023</t>
        </is>
      </c>
      <c r="B9506" s="1" t="n">
        <v>45219</v>
      </c>
      <c r="C9506" s="1" t="n">
        <v>45715</v>
      </c>
      <c r="D9506" t="inlineStr">
        <is>
          <t>KALMAR LÄN</t>
        </is>
      </c>
      <c r="E9506" t="inlineStr">
        <is>
          <t>EMMABODA</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51126-2023</t>
        </is>
      </c>
      <c r="B9507" s="1" t="n">
        <v>45219</v>
      </c>
      <c r="C9507" s="1" t="n">
        <v>45715</v>
      </c>
      <c r="D9507" t="inlineStr">
        <is>
          <t>KALMAR LÄN</t>
        </is>
      </c>
      <c r="E9507" t="inlineStr">
        <is>
          <t>NYBRO</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51177-2023</t>
        </is>
      </c>
      <c r="B9508" s="1" t="n">
        <v>45219</v>
      </c>
      <c r="C9508" s="1" t="n">
        <v>45715</v>
      </c>
      <c r="D9508" t="inlineStr">
        <is>
          <t>KALMAR LÄN</t>
        </is>
      </c>
      <c r="E9508" t="inlineStr">
        <is>
          <t>KALMAR</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51152-2023</t>
        </is>
      </c>
      <c r="B9509" s="1" t="n">
        <v>45219</v>
      </c>
      <c r="C9509" s="1" t="n">
        <v>45715</v>
      </c>
      <c r="D9509" t="inlineStr">
        <is>
          <t>KALMAR LÄN</t>
        </is>
      </c>
      <c r="E9509" t="inlineStr">
        <is>
          <t>KALMAR</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51263-2023</t>
        </is>
      </c>
      <c r="B9510" s="1" t="n">
        <v>45219</v>
      </c>
      <c r="C9510" s="1" t="n">
        <v>45715</v>
      </c>
      <c r="D9510" t="inlineStr">
        <is>
          <t>KALMAR LÄN</t>
        </is>
      </c>
      <c r="E9510" t="inlineStr">
        <is>
          <t>TORSÅS</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51275-2023</t>
        </is>
      </c>
      <c r="B9511" s="1" t="n">
        <v>45219</v>
      </c>
      <c r="C9511" s="1" t="n">
        <v>45715</v>
      </c>
      <c r="D9511" t="inlineStr">
        <is>
          <t>KALMAR LÄN</t>
        </is>
      </c>
      <c r="E9511" t="inlineStr">
        <is>
          <t>TORSÅS</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51274-2023</t>
        </is>
      </c>
      <c r="B9512" s="1" t="n">
        <v>45219</v>
      </c>
      <c r="C9512" s="1" t="n">
        <v>45715</v>
      </c>
      <c r="D9512" t="inlineStr">
        <is>
          <t>KALMAR LÄN</t>
        </is>
      </c>
      <c r="E9512" t="inlineStr">
        <is>
          <t>TORSÅS</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51155-2023</t>
        </is>
      </c>
      <c r="B9513" s="1" t="n">
        <v>45219</v>
      </c>
      <c r="C9513" s="1" t="n">
        <v>45715</v>
      </c>
      <c r="D9513" t="inlineStr">
        <is>
          <t>KALMAR LÄN</t>
        </is>
      </c>
      <c r="E9513" t="inlineStr">
        <is>
          <t>KALMAR</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51276-2023</t>
        </is>
      </c>
      <c r="B9514" s="1" t="n">
        <v>45219</v>
      </c>
      <c r="C9514" s="1" t="n">
        <v>45715</v>
      </c>
      <c r="D9514" t="inlineStr">
        <is>
          <t>KALMAR LÄN</t>
        </is>
      </c>
      <c r="E9514" t="inlineStr">
        <is>
          <t>TORSÅS</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51135-2023</t>
        </is>
      </c>
      <c r="B9515" s="1" t="n">
        <v>45219</v>
      </c>
      <c r="C9515" s="1" t="n">
        <v>45715</v>
      </c>
      <c r="D9515" t="inlineStr">
        <is>
          <t>KALMAR LÄN</t>
        </is>
      </c>
      <c r="E9515" t="inlineStr">
        <is>
          <t>EMMABODA</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51187-2023</t>
        </is>
      </c>
      <c r="B9516" s="1" t="n">
        <v>45219</v>
      </c>
      <c r="C9516" s="1" t="n">
        <v>45715</v>
      </c>
      <c r="D9516" t="inlineStr">
        <is>
          <t>KALMAR LÄN</t>
        </is>
      </c>
      <c r="E9516" t="inlineStr">
        <is>
          <t>VIMMERBY</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51488-2023</t>
        </is>
      </c>
      <c r="B9517" s="1" t="n">
        <v>45222</v>
      </c>
      <c r="C9517" s="1" t="n">
        <v>45715</v>
      </c>
      <c r="D9517" t="inlineStr">
        <is>
          <t>KALMAR LÄN</t>
        </is>
      </c>
      <c r="E9517" t="inlineStr">
        <is>
          <t>EMMABODA</t>
        </is>
      </c>
      <c r="G9517" t="n">
        <v>0</v>
      </c>
      <c r="H9517" t="n">
        <v>0</v>
      </c>
      <c r="I9517" t="n">
        <v>0</v>
      </c>
      <c r="J9517" t="n">
        <v>0</v>
      </c>
      <c r="K9517" t="n">
        <v>0</v>
      </c>
      <c r="L9517" t="n">
        <v>0</v>
      </c>
      <c r="M9517" t="n">
        <v>0</v>
      </c>
      <c r="N9517" t="n">
        <v>0</v>
      </c>
      <c r="O9517" t="n">
        <v>0</v>
      </c>
      <c r="P9517" t="n">
        <v>0</v>
      </c>
      <c r="Q9517" t="n">
        <v>0</v>
      </c>
      <c r="R9517" s="2" t="inlineStr"/>
    </row>
    <row r="9518" ht="15" customHeight="1">
      <c r="A9518" t="inlineStr">
        <is>
          <t>A 51524-2023</t>
        </is>
      </c>
      <c r="B9518" s="1" t="n">
        <v>45222</v>
      </c>
      <c r="C9518" s="1" t="n">
        <v>45715</v>
      </c>
      <c r="D9518" t="inlineStr">
        <is>
          <t>KALMAR LÄN</t>
        </is>
      </c>
      <c r="E9518" t="inlineStr">
        <is>
          <t>VÄSTERVIK</t>
        </is>
      </c>
      <c r="G9518" t="n">
        <v>5.7</v>
      </c>
      <c r="H9518" t="n">
        <v>0</v>
      </c>
      <c r="I9518" t="n">
        <v>0</v>
      </c>
      <c r="J9518" t="n">
        <v>0</v>
      </c>
      <c r="K9518" t="n">
        <v>0</v>
      </c>
      <c r="L9518" t="n">
        <v>0</v>
      </c>
      <c r="M9518" t="n">
        <v>0</v>
      </c>
      <c r="N9518" t="n">
        <v>0</v>
      </c>
      <c r="O9518" t="n">
        <v>0</v>
      </c>
      <c r="P9518" t="n">
        <v>0</v>
      </c>
      <c r="Q9518" t="n">
        <v>0</v>
      </c>
      <c r="R9518" s="2" t="inlineStr"/>
    </row>
    <row r="9519" ht="15" customHeight="1">
      <c r="A9519" t="inlineStr">
        <is>
          <t>A 51582-2023</t>
        </is>
      </c>
      <c r="B9519" s="1" t="n">
        <v>45222</v>
      </c>
      <c r="C9519" s="1" t="n">
        <v>45715</v>
      </c>
      <c r="D9519" t="inlineStr">
        <is>
          <t>KALMAR LÄN</t>
        </is>
      </c>
      <c r="E9519" t="inlineStr">
        <is>
          <t>NYBRO</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51614-2023</t>
        </is>
      </c>
      <c r="B9520" s="1" t="n">
        <v>45222</v>
      </c>
      <c r="C9520" s="1" t="n">
        <v>45715</v>
      </c>
      <c r="D9520" t="inlineStr">
        <is>
          <t>KALMAR LÄN</t>
        </is>
      </c>
      <c r="E9520" t="inlineStr">
        <is>
          <t>KALMAR</t>
        </is>
      </c>
      <c r="G9520" t="n">
        <v>9.300000000000001</v>
      </c>
      <c r="H9520" t="n">
        <v>0</v>
      </c>
      <c r="I9520" t="n">
        <v>0</v>
      </c>
      <c r="J9520" t="n">
        <v>0</v>
      </c>
      <c r="K9520" t="n">
        <v>0</v>
      </c>
      <c r="L9520" t="n">
        <v>0</v>
      </c>
      <c r="M9520" t="n">
        <v>0</v>
      </c>
      <c r="N9520" t="n">
        <v>0</v>
      </c>
      <c r="O9520" t="n">
        <v>0</v>
      </c>
      <c r="P9520" t="n">
        <v>0</v>
      </c>
      <c r="Q9520" t="n">
        <v>0</v>
      </c>
      <c r="R9520" s="2" t="inlineStr"/>
    </row>
    <row r="9521" ht="15" customHeight="1">
      <c r="A9521" t="inlineStr">
        <is>
          <t>A 51640-2023</t>
        </is>
      </c>
      <c r="B9521" s="1" t="n">
        <v>45222</v>
      </c>
      <c r="C9521" s="1" t="n">
        <v>45715</v>
      </c>
      <c r="D9521" t="inlineStr">
        <is>
          <t>KALMAR LÄN</t>
        </is>
      </c>
      <c r="E9521" t="inlineStr">
        <is>
          <t>VÄSTERVIK</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51771-2023</t>
        </is>
      </c>
      <c r="B9522" s="1" t="n">
        <v>45222</v>
      </c>
      <c r="C9522" s="1" t="n">
        <v>45715</v>
      </c>
      <c r="D9522" t="inlineStr">
        <is>
          <t>KALMAR LÄN</t>
        </is>
      </c>
      <c r="E9522" t="inlineStr">
        <is>
          <t>TORSÅS</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51775-2023</t>
        </is>
      </c>
      <c r="B9523" s="1" t="n">
        <v>45222</v>
      </c>
      <c r="C9523" s="1" t="n">
        <v>45715</v>
      </c>
      <c r="D9523" t="inlineStr">
        <is>
          <t>KALMAR LÄN</t>
        </is>
      </c>
      <c r="E9523" t="inlineStr">
        <is>
          <t>VIMMERBY</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51552-2023</t>
        </is>
      </c>
      <c r="B9524" s="1" t="n">
        <v>45222</v>
      </c>
      <c r="C9524" s="1" t="n">
        <v>45715</v>
      </c>
      <c r="D9524" t="inlineStr">
        <is>
          <t>KALMAR LÄN</t>
        </is>
      </c>
      <c r="E9524" t="inlineStr">
        <is>
          <t>VIMMERBY</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51605-2023</t>
        </is>
      </c>
      <c r="B9525" s="1" t="n">
        <v>45222</v>
      </c>
      <c r="C9525" s="1" t="n">
        <v>45715</v>
      </c>
      <c r="D9525" t="inlineStr">
        <is>
          <t>KALMAR LÄN</t>
        </is>
      </c>
      <c r="E9525" t="inlineStr">
        <is>
          <t>TORSÅS</t>
        </is>
      </c>
      <c r="G9525" t="n">
        <v>4.9</v>
      </c>
      <c r="H9525" t="n">
        <v>0</v>
      </c>
      <c r="I9525" t="n">
        <v>0</v>
      </c>
      <c r="J9525" t="n">
        <v>0</v>
      </c>
      <c r="K9525" t="n">
        <v>0</v>
      </c>
      <c r="L9525" t="n">
        <v>0</v>
      </c>
      <c r="M9525" t="n">
        <v>0</v>
      </c>
      <c r="N9525" t="n">
        <v>0</v>
      </c>
      <c r="O9525" t="n">
        <v>0</v>
      </c>
      <c r="P9525" t="n">
        <v>0</v>
      </c>
      <c r="Q9525" t="n">
        <v>0</v>
      </c>
      <c r="R9525" s="2" t="inlineStr"/>
    </row>
    <row r="9526" ht="15" customHeight="1">
      <c r="A9526" t="inlineStr">
        <is>
          <t>A 51610-2023</t>
        </is>
      </c>
      <c r="B9526" s="1" t="n">
        <v>45222</v>
      </c>
      <c r="C9526" s="1" t="n">
        <v>45715</v>
      </c>
      <c r="D9526" t="inlineStr">
        <is>
          <t>KALMAR LÄN</t>
        </is>
      </c>
      <c r="E9526" t="inlineStr">
        <is>
          <t>TORSÅS</t>
        </is>
      </c>
      <c r="G9526" t="n">
        <v>6.3</v>
      </c>
      <c r="H9526" t="n">
        <v>0</v>
      </c>
      <c r="I9526" t="n">
        <v>0</v>
      </c>
      <c r="J9526" t="n">
        <v>0</v>
      </c>
      <c r="K9526" t="n">
        <v>0</v>
      </c>
      <c r="L9526" t="n">
        <v>0</v>
      </c>
      <c r="M9526" t="n">
        <v>0</v>
      </c>
      <c r="N9526" t="n">
        <v>0</v>
      </c>
      <c r="O9526" t="n">
        <v>0</v>
      </c>
      <c r="P9526" t="n">
        <v>0</v>
      </c>
      <c r="Q9526" t="n">
        <v>0</v>
      </c>
      <c r="R9526" s="2" t="inlineStr"/>
    </row>
    <row r="9527" ht="15" customHeight="1">
      <c r="A9527" t="inlineStr">
        <is>
          <t>A 51619-2023</t>
        </is>
      </c>
      <c r="B9527" s="1" t="n">
        <v>45222</v>
      </c>
      <c r="C9527" s="1" t="n">
        <v>45715</v>
      </c>
      <c r="D9527" t="inlineStr">
        <is>
          <t>KALMAR LÄN</t>
        </is>
      </c>
      <c r="E9527" t="inlineStr">
        <is>
          <t>HÖGSBY</t>
        </is>
      </c>
      <c r="F9527" t="inlineStr">
        <is>
          <t>Sveaskog</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51645-2023</t>
        </is>
      </c>
      <c r="B9528" s="1" t="n">
        <v>45222</v>
      </c>
      <c r="C9528" s="1" t="n">
        <v>45715</v>
      </c>
      <c r="D9528" t="inlineStr">
        <is>
          <t>KALMAR LÄN</t>
        </is>
      </c>
      <c r="E9528" t="inlineStr">
        <is>
          <t>VÄSTERVIK</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51624-2023</t>
        </is>
      </c>
      <c r="B9529" s="1" t="n">
        <v>45222</v>
      </c>
      <c r="C9529" s="1" t="n">
        <v>45715</v>
      </c>
      <c r="D9529" t="inlineStr">
        <is>
          <t>KALMAR LÄN</t>
        </is>
      </c>
      <c r="E9529" t="inlineStr">
        <is>
          <t>HÖGSBY</t>
        </is>
      </c>
      <c r="F9529" t="inlineStr">
        <is>
          <t>Sveaskog</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51647-2023</t>
        </is>
      </c>
      <c r="B9530" s="1" t="n">
        <v>45222</v>
      </c>
      <c r="C9530" s="1" t="n">
        <v>45715</v>
      </c>
      <c r="D9530" t="inlineStr">
        <is>
          <t>KALMAR LÄN</t>
        </is>
      </c>
      <c r="E9530" t="inlineStr">
        <is>
          <t>TORSÅS</t>
        </is>
      </c>
      <c r="G9530" t="n">
        <v>3.8</v>
      </c>
      <c r="H9530" t="n">
        <v>0</v>
      </c>
      <c r="I9530" t="n">
        <v>0</v>
      </c>
      <c r="J9530" t="n">
        <v>0</v>
      </c>
      <c r="K9530" t="n">
        <v>0</v>
      </c>
      <c r="L9530" t="n">
        <v>0</v>
      </c>
      <c r="M9530" t="n">
        <v>0</v>
      </c>
      <c r="N9530" t="n">
        <v>0</v>
      </c>
      <c r="O9530" t="n">
        <v>0</v>
      </c>
      <c r="P9530" t="n">
        <v>0</v>
      </c>
      <c r="Q9530" t="n">
        <v>0</v>
      </c>
      <c r="R9530" s="2" t="inlineStr"/>
    </row>
    <row r="9531" ht="15" customHeight="1">
      <c r="A9531" t="inlineStr">
        <is>
          <t>A 51781-2023</t>
        </is>
      </c>
      <c r="B9531" s="1" t="n">
        <v>45222</v>
      </c>
      <c r="C9531" s="1" t="n">
        <v>45715</v>
      </c>
      <c r="D9531" t="inlineStr">
        <is>
          <t>KALMAR LÄN</t>
        </is>
      </c>
      <c r="E9531" t="inlineStr">
        <is>
          <t>TORSÅS</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51581-2023</t>
        </is>
      </c>
      <c r="B9532" s="1" t="n">
        <v>45222</v>
      </c>
      <c r="C9532" s="1" t="n">
        <v>45715</v>
      </c>
      <c r="D9532" t="inlineStr">
        <is>
          <t>KALMAR LÄN</t>
        </is>
      </c>
      <c r="E9532" t="inlineStr">
        <is>
          <t>VÄSTERVIK</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51607-2023</t>
        </is>
      </c>
      <c r="B9533" s="1" t="n">
        <v>45222</v>
      </c>
      <c r="C9533" s="1" t="n">
        <v>45715</v>
      </c>
      <c r="D9533" t="inlineStr">
        <is>
          <t>KALMAR LÄN</t>
        </is>
      </c>
      <c r="E9533" t="inlineStr">
        <is>
          <t>TORSÅS</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51617-2023</t>
        </is>
      </c>
      <c r="B9534" s="1" t="n">
        <v>45222</v>
      </c>
      <c r="C9534" s="1" t="n">
        <v>45715</v>
      </c>
      <c r="D9534" t="inlineStr">
        <is>
          <t>KALMAR LÄN</t>
        </is>
      </c>
      <c r="E9534" t="inlineStr">
        <is>
          <t>EMMABODA</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51621-2023</t>
        </is>
      </c>
      <c r="B9535" s="1" t="n">
        <v>45222</v>
      </c>
      <c r="C9535" s="1" t="n">
        <v>45715</v>
      </c>
      <c r="D9535" t="inlineStr">
        <is>
          <t>KALMAR LÄN</t>
        </is>
      </c>
      <c r="E9535" t="inlineStr">
        <is>
          <t>HÖGSBY</t>
        </is>
      </c>
      <c r="F9535" t="inlineStr">
        <is>
          <t>Sveaskog</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53237-2023</t>
        </is>
      </c>
      <c r="B9536" s="1" t="n">
        <v>45222</v>
      </c>
      <c r="C9536" s="1" t="n">
        <v>45715</v>
      </c>
      <c r="D9536" t="inlineStr">
        <is>
          <t>KALMAR LÄN</t>
        </is>
      </c>
      <c r="E9536" t="inlineStr">
        <is>
          <t>MÖNSTERÅS</t>
        </is>
      </c>
      <c r="F9536" t="inlineStr">
        <is>
          <t>Övriga Aktiebolag</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51847-2023</t>
        </is>
      </c>
      <c r="B9537" s="1" t="n">
        <v>45223</v>
      </c>
      <c r="C9537" s="1" t="n">
        <v>45715</v>
      </c>
      <c r="D9537" t="inlineStr">
        <is>
          <t>KALMAR LÄN</t>
        </is>
      </c>
      <c r="E9537" t="inlineStr">
        <is>
          <t>HULTSFRED</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51927-2023</t>
        </is>
      </c>
      <c r="B9538" s="1" t="n">
        <v>45223</v>
      </c>
      <c r="C9538" s="1" t="n">
        <v>45715</v>
      </c>
      <c r="D9538" t="inlineStr">
        <is>
          <t>KALMAR LÄN</t>
        </is>
      </c>
      <c r="E9538" t="inlineStr">
        <is>
          <t>HULTSFRED</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51961-2023</t>
        </is>
      </c>
      <c r="B9539" s="1" t="n">
        <v>45223</v>
      </c>
      <c r="C9539" s="1" t="n">
        <v>45715</v>
      </c>
      <c r="D9539" t="inlineStr">
        <is>
          <t>KALMAR LÄN</t>
        </is>
      </c>
      <c r="E9539" t="inlineStr">
        <is>
          <t>OSKARSHAMN</t>
        </is>
      </c>
      <c r="G9539" t="n">
        <v>7.7</v>
      </c>
      <c r="H9539" t="n">
        <v>0</v>
      </c>
      <c r="I9539" t="n">
        <v>0</v>
      </c>
      <c r="J9539" t="n">
        <v>0</v>
      </c>
      <c r="K9539" t="n">
        <v>0</v>
      </c>
      <c r="L9539" t="n">
        <v>0</v>
      </c>
      <c r="M9539" t="n">
        <v>0</v>
      </c>
      <c r="N9539" t="n">
        <v>0</v>
      </c>
      <c r="O9539" t="n">
        <v>0</v>
      </c>
      <c r="P9539" t="n">
        <v>0</v>
      </c>
      <c r="Q9539" t="n">
        <v>0</v>
      </c>
      <c r="R9539" s="2" t="inlineStr"/>
    </row>
    <row r="9540" ht="15" customHeight="1">
      <c r="A9540" t="inlineStr">
        <is>
          <t>A 51966-2023</t>
        </is>
      </c>
      <c r="B9540" s="1" t="n">
        <v>45223</v>
      </c>
      <c r="C9540" s="1" t="n">
        <v>45715</v>
      </c>
      <c r="D9540" t="inlineStr">
        <is>
          <t>KALMAR LÄN</t>
        </is>
      </c>
      <c r="E9540" t="inlineStr">
        <is>
          <t>KALMAR</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51999-2023</t>
        </is>
      </c>
      <c r="B9541" s="1" t="n">
        <v>45223</v>
      </c>
      <c r="C9541" s="1" t="n">
        <v>45715</v>
      </c>
      <c r="D9541" t="inlineStr">
        <is>
          <t>KALMAR LÄN</t>
        </is>
      </c>
      <c r="E9541" t="inlineStr">
        <is>
          <t>KALMAR</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52072-2023</t>
        </is>
      </c>
      <c r="B9542" s="1" t="n">
        <v>45223</v>
      </c>
      <c r="C9542" s="1" t="n">
        <v>45715</v>
      </c>
      <c r="D9542" t="inlineStr">
        <is>
          <t>KALMAR LÄN</t>
        </is>
      </c>
      <c r="E9542" t="inlineStr">
        <is>
          <t>TORSÅS</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51971-2023</t>
        </is>
      </c>
      <c r="B9543" s="1" t="n">
        <v>45223</v>
      </c>
      <c r="C9543" s="1" t="n">
        <v>45715</v>
      </c>
      <c r="D9543" t="inlineStr">
        <is>
          <t>KALMAR LÄN</t>
        </is>
      </c>
      <c r="E9543" t="inlineStr">
        <is>
          <t>OSKARSHAMN</t>
        </is>
      </c>
      <c r="G9543" t="n">
        <v>4.3</v>
      </c>
      <c r="H9543" t="n">
        <v>0</v>
      </c>
      <c r="I9543" t="n">
        <v>0</v>
      </c>
      <c r="J9543" t="n">
        <v>0</v>
      </c>
      <c r="K9543" t="n">
        <v>0</v>
      </c>
      <c r="L9543" t="n">
        <v>0</v>
      </c>
      <c r="M9543" t="n">
        <v>0</v>
      </c>
      <c r="N9543" t="n">
        <v>0</v>
      </c>
      <c r="O9543" t="n">
        <v>0</v>
      </c>
      <c r="P9543" t="n">
        <v>0</v>
      </c>
      <c r="Q9543" t="n">
        <v>0</v>
      </c>
      <c r="R9543" s="2" t="inlineStr"/>
    </row>
    <row r="9544" ht="15" customHeight="1">
      <c r="A9544" t="inlineStr">
        <is>
          <t>A 52071-2023</t>
        </is>
      </c>
      <c r="B9544" s="1" t="n">
        <v>45223</v>
      </c>
      <c r="C9544" s="1" t="n">
        <v>45715</v>
      </c>
      <c r="D9544" t="inlineStr">
        <is>
          <t>KALMAR LÄN</t>
        </is>
      </c>
      <c r="E9544" t="inlineStr">
        <is>
          <t>TORSÅS</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51993-2023</t>
        </is>
      </c>
      <c r="B9545" s="1" t="n">
        <v>45223</v>
      </c>
      <c r="C9545" s="1" t="n">
        <v>45715</v>
      </c>
      <c r="D9545" t="inlineStr">
        <is>
          <t>KALMAR LÄN</t>
        </is>
      </c>
      <c r="E9545" t="inlineStr">
        <is>
          <t>OSKARSHAMN</t>
        </is>
      </c>
      <c r="G9545" t="n">
        <v>15.3</v>
      </c>
      <c r="H9545" t="n">
        <v>0</v>
      </c>
      <c r="I9545" t="n">
        <v>0</v>
      </c>
      <c r="J9545" t="n">
        <v>0</v>
      </c>
      <c r="K9545" t="n">
        <v>0</v>
      </c>
      <c r="L9545" t="n">
        <v>0</v>
      </c>
      <c r="M9545" t="n">
        <v>0</v>
      </c>
      <c r="N9545" t="n">
        <v>0</v>
      </c>
      <c r="O9545" t="n">
        <v>0</v>
      </c>
      <c r="P9545" t="n">
        <v>0</v>
      </c>
      <c r="Q9545" t="n">
        <v>0</v>
      </c>
      <c r="R9545" s="2" t="inlineStr"/>
    </row>
    <row r="9546" ht="15" customHeight="1">
      <c r="A9546" t="inlineStr">
        <is>
          <t>A 53614-2023</t>
        </is>
      </c>
      <c r="B9546" s="1" t="n">
        <v>45223</v>
      </c>
      <c r="C9546" s="1" t="n">
        <v>45715</v>
      </c>
      <c r="D9546" t="inlineStr">
        <is>
          <t>KALMAR LÄN</t>
        </is>
      </c>
      <c r="E9546" t="inlineStr">
        <is>
          <t>NYBRO</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53620-2023</t>
        </is>
      </c>
      <c r="B9547" s="1" t="n">
        <v>45223</v>
      </c>
      <c r="C9547" s="1" t="n">
        <v>45715</v>
      </c>
      <c r="D9547" t="inlineStr">
        <is>
          <t>KALMAR LÄN</t>
        </is>
      </c>
      <c r="E9547" t="inlineStr">
        <is>
          <t>NYBRO</t>
        </is>
      </c>
      <c r="G9547" t="n">
        <v>4.7</v>
      </c>
      <c r="H9547" t="n">
        <v>0</v>
      </c>
      <c r="I9547" t="n">
        <v>0</v>
      </c>
      <c r="J9547" t="n">
        <v>0</v>
      </c>
      <c r="K9547" t="n">
        <v>0</v>
      </c>
      <c r="L9547" t="n">
        <v>0</v>
      </c>
      <c r="M9547" t="n">
        <v>0</v>
      </c>
      <c r="N9547" t="n">
        <v>0</v>
      </c>
      <c r="O9547" t="n">
        <v>0</v>
      </c>
      <c r="P9547" t="n">
        <v>0</v>
      </c>
      <c r="Q9547" t="n">
        <v>0</v>
      </c>
      <c r="R9547" s="2" t="inlineStr"/>
    </row>
    <row r="9548" ht="15" customHeight="1">
      <c r="A9548" t="inlineStr">
        <is>
          <t>A 52189-2023</t>
        </is>
      </c>
      <c r="B9548" s="1" t="n">
        <v>45224</v>
      </c>
      <c r="C9548" s="1" t="n">
        <v>45715</v>
      </c>
      <c r="D9548" t="inlineStr">
        <is>
          <t>KALMAR LÄN</t>
        </is>
      </c>
      <c r="E9548" t="inlineStr">
        <is>
          <t>VÄSTERVIK</t>
        </is>
      </c>
      <c r="F9548" t="inlineStr">
        <is>
          <t>Sveaskog</t>
        </is>
      </c>
      <c r="G9548" t="n">
        <v>5.9</v>
      </c>
      <c r="H9548" t="n">
        <v>0</v>
      </c>
      <c r="I9548" t="n">
        <v>0</v>
      </c>
      <c r="J9548" t="n">
        <v>0</v>
      </c>
      <c r="K9548" t="n">
        <v>0</v>
      </c>
      <c r="L9548" t="n">
        <v>0</v>
      </c>
      <c r="M9548" t="n">
        <v>0</v>
      </c>
      <c r="N9548" t="n">
        <v>0</v>
      </c>
      <c r="O9548" t="n">
        <v>0</v>
      </c>
      <c r="P9548" t="n">
        <v>0</v>
      </c>
      <c r="Q9548" t="n">
        <v>0</v>
      </c>
      <c r="R9548" s="2" t="inlineStr"/>
    </row>
    <row r="9549" ht="15" customHeight="1">
      <c r="A9549" t="inlineStr">
        <is>
          <t>A 52202-2023</t>
        </is>
      </c>
      <c r="B9549" s="1" t="n">
        <v>45224</v>
      </c>
      <c r="C9549" s="1" t="n">
        <v>45715</v>
      </c>
      <c r="D9549" t="inlineStr">
        <is>
          <t>KALMAR LÄN</t>
        </is>
      </c>
      <c r="E9549" t="inlineStr">
        <is>
          <t>OSKARSHAMN</t>
        </is>
      </c>
      <c r="G9549" t="n">
        <v>9.1</v>
      </c>
      <c r="H9549" t="n">
        <v>0</v>
      </c>
      <c r="I9549" t="n">
        <v>0</v>
      </c>
      <c r="J9549" t="n">
        <v>0</v>
      </c>
      <c r="K9549" t="n">
        <v>0</v>
      </c>
      <c r="L9549" t="n">
        <v>0</v>
      </c>
      <c r="M9549" t="n">
        <v>0</v>
      </c>
      <c r="N9549" t="n">
        <v>0</v>
      </c>
      <c r="O9549" t="n">
        <v>0</v>
      </c>
      <c r="P9549" t="n">
        <v>0</v>
      </c>
      <c r="Q9549" t="n">
        <v>0</v>
      </c>
      <c r="R9549" s="2" t="inlineStr"/>
    </row>
    <row r="9550" ht="15" customHeight="1">
      <c r="A9550" t="inlineStr">
        <is>
          <t>A 52212-2023</t>
        </is>
      </c>
      <c r="B9550" s="1" t="n">
        <v>45224</v>
      </c>
      <c r="C9550" s="1" t="n">
        <v>45715</v>
      </c>
      <c r="D9550" t="inlineStr">
        <is>
          <t>KALMAR LÄN</t>
        </is>
      </c>
      <c r="E9550" t="inlineStr">
        <is>
          <t>OSKARSHAMN</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52252-2023</t>
        </is>
      </c>
      <c r="B9551" s="1" t="n">
        <v>45224</v>
      </c>
      <c r="C9551" s="1" t="n">
        <v>45715</v>
      </c>
      <c r="D9551" t="inlineStr">
        <is>
          <t>KALMAR LÄN</t>
        </is>
      </c>
      <c r="E9551" t="inlineStr">
        <is>
          <t>TORSÅS</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52279-2023</t>
        </is>
      </c>
      <c r="B9552" s="1" t="n">
        <v>45224</v>
      </c>
      <c r="C9552" s="1" t="n">
        <v>45715</v>
      </c>
      <c r="D9552" t="inlineStr">
        <is>
          <t>KALMAR LÄN</t>
        </is>
      </c>
      <c r="E9552" t="inlineStr">
        <is>
          <t>VIMMERBY</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52294-2023</t>
        </is>
      </c>
      <c r="B9553" s="1" t="n">
        <v>45224</v>
      </c>
      <c r="C9553" s="1" t="n">
        <v>45715</v>
      </c>
      <c r="D9553" t="inlineStr">
        <is>
          <t>KALMAR LÄN</t>
        </is>
      </c>
      <c r="E9553" t="inlineStr">
        <is>
          <t>VIMMERBY</t>
        </is>
      </c>
      <c r="F9553" t="inlineStr">
        <is>
          <t>Sveaskog</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52325-2023</t>
        </is>
      </c>
      <c r="B9554" s="1" t="n">
        <v>45224</v>
      </c>
      <c r="C9554" s="1" t="n">
        <v>45715</v>
      </c>
      <c r="D9554" t="inlineStr">
        <is>
          <t>KALMAR LÄN</t>
        </is>
      </c>
      <c r="E9554" t="inlineStr">
        <is>
          <t>VÄSTERVIK</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52204-2023</t>
        </is>
      </c>
      <c r="B9555" s="1" t="n">
        <v>45224</v>
      </c>
      <c r="C9555" s="1" t="n">
        <v>45715</v>
      </c>
      <c r="D9555" t="inlineStr">
        <is>
          <t>KALMAR LÄN</t>
        </is>
      </c>
      <c r="E9555" t="inlineStr">
        <is>
          <t>OSKARSHAMN</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52214-2023</t>
        </is>
      </c>
      <c r="B9556" s="1" t="n">
        <v>45224</v>
      </c>
      <c r="C9556" s="1" t="n">
        <v>45715</v>
      </c>
      <c r="D9556" t="inlineStr">
        <is>
          <t>KALMAR LÄN</t>
        </is>
      </c>
      <c r="E9556" t="inlineStr">
        <is>
          <t>OSKARSHAMN</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52319-2023</t>
        </is>
      </c>
      <c r="B9557" s="1" t="n">
        <v>45224</v>
      </c>
      <c r="C9557" s="1" t="n">
        <v>45715</v>
      </c>
      <c r="D9557" t="inlineStr">
        <is>
          <t>KALMAR LÄN</t>
        </is>
      </c>
      <c r="E9557" t="inlineStr">
        <is>
          <t>NYBRO</t>
        </is>
      </c>
      <c r="G9557" t="n">
        <v>5.5</v>
      </c>
      <c r="H9557" t="n">
        <v>0</v>
      </c>
      <c r="I9557" t="n">
        <v>0</v>
      </c>
      <c r="J9557" t="n">
        <v>0</v>
      </c>
      <c r="K9557" t="n">
        <v>0</v>
      </c>
      <c r="L9557" t="n">
        <v>0</v>
      </c>
      <c r="M9557" t="n">
        <v>0</v>
      </c>
      <c r="N9557" t="n">
        <v>0</v>
      </c>
      <c r="O9557" t="n">
        <v>0</v>
      </c>
      <c r="P9557" t="n">
        <v>0</v>
      </c>
      <c r="Q9557" t="n">
        <v>0</v>
      </c>
      <c r="R9557" s="2" t="inlineStr"/>
    </row>
    <row r="9558" ht="15" customHeight="1">
      <c r="A9558" t="inlineStr">
        <is>
          <t>A 52327-2023</t>
        </is>
      </c>
      <c r="B9558" s="1" t="n">
        <v>45224</v>
      </c>
      <c r="C9558" s="1" t="n">
        <v>45715</v>
      </c>
      <c r="D9558" t="inlineStr">
        <is>
          <t>KALMAR LÄN</t>
        </is>
      </c>
      <c r="E9558" t="inlineStr">
        <is>
          <t>VIMMERBY</t>
        </is>
      </c>
      <c r="F9558" t="inlineStr">
        <is>
          <t>Sveaskog</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52208-2023</t>
        </is>
      </c>
      <c r="B9559" s="1" t="n">
        <v>45224</v>
      </c>
      <c r="C9559" s="1" t="n">
        <v>45715</v>
      </c>
      <c r="D9559" t="inlineStr">
        <is>
          <t>KALMAR LÄN</t>
        </is>
      </c>
      <c r="E9559" t="inlineStr">
        <is>
          <t>VIMMERBY</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52178-2023</t>
        </is>
      </c>
      <c r="B9560" s="1" t="n">
        <v>45224</v>
      </c>
      <c r="C9560" s="1" t="n">
        <v>45715</v>
      </c>
      <c r="D9560" t="inlineStr">
        <is>
          <t>KALMAR LÄN</t>
        </is>
      </c>
      <c r="E9560" t="inlineStr">
        <is>
          <t>HÖGSBY</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52183-2023</t>
        </is>
      </c>
      <c r="B9561" s="1" t="n">
        <v>45224</v>
      </c>
      <c r="C9561" s="1" t="n">
        <v>45715</v>
      </c>
      <c r="D9561" t="inlineStr">
        <is>
          <t>KALMAR LÄN</t>
        </is>
      </c>
      <c r="E9561" t="inlineStr">
        <is>
          <t>HULTSFRED</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52324-2023</t>
        </is>
      </c>
      <c r="B9562" s="1" t="n">
        <v>45224</v>
      </c>
      <c r="C9562" s="1" t="n">
        <v>45715</v>
      </c>
      <c r="D9562" t="inlineStr">
        <is>
          <t>KALMAR LÄN</t>
        </is>
      </c>
      <c r="E9562" t="inlineStr">
        <is>
          <t>VIMMERBY</t>
        </is>
      </c>
      <c r="F9562" t="inlineStr">
        <is>
          <t>Sveaskog</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53564-2023</t>
        </is>
      </c>
      <c r="B9563" s="1" t="n">
        <v>45224</v>
      </c>
      <c r="C9563" s="1" t="n">
        <v>45715</v>
      </c>
      <c r="D9563" t="inlineStr">
        <is>
          <t>KALMAR LÄN</t>
        </is>
      </c>
      <c r="E9563" t="inlineStr">
        <is>
          <t>OSKARSHAMN</t>
        </is>
      </c>
      <c r="G9563" t="n">
        <v>5.3</v>
      </c>
      <c r="H9563" t="n">
        <v>0</v>
      </c>
      <c r="I9563" t="n">
        <v>0</v>
      </c>
      <c r="J9563" t="n">
        <v>0</v>
      </c>
      <c r="K9563" t="n">
        <v>0</v>
      </c>
      <c r="L9563" t="n">
        <v>0</v>
      </c>
      <c r="M9563" t="n">
        <v>0</v>
      </c>
      <c r="N9563" t="n">
        <v>0</v>
      </c>
      <c r="O9563" t="n">
        <v>0</v>
      </c>
      <c r="P9563" t="n">
        <v>0</v>
      </c>
      <c r="Q9563" t="n">
        <v>0</v>
      </c>
      <c r="R9563" s="2" t="inlineStr"/>
    </row>
    <row r="9564" ht="15" customHeight="1">
      <c r="A9564" t="inlineStr">
        <is>
          <t>A 52387-2023</t>
        </is>
      </c>
      <c r="B9564" s="1" t="n">
        <v>45224</v>
      </c>
      <c r="C9564" s="1" t="n">
        <v>45715</v>
      </c>
      <c r="D9564" t="inlineStr">
        <is>
          <t>KALMAR LÄN</t>
        </is>
      </c>
      <c r="E9564" t="inlineStr">
        <is>
          <t>NYBRO</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52411-2023</t>
        </is>
      </c>
      <c r="B9565" s="1" t="n">
        <v>45225</v>
      </c>
      <c r="C9565" s="1" t="n">
        <v>45715</v>
      </c>
      <c r="D9565" t="inlineStr">
        <is>
          <t>KALMAR LÄN</t>
        </is>
      </c>
      <c r="E9565" t="inlineStr">
        <is>
          <t>VIMMERBY</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52459-2023</t>
        </is>
      </c>
      <c r="B9566" s="1" t="n">
        <v>45225</v>
      </c>
      <c r="C9566" s="1" t="n">
        <v>45715</v>
      </c>
      <c r="D9566" t="inlineStr">
        <is>
          <t>KALMAR LÄN</t>
        </is>
      </c>
      <c r="E9566" t="inlineStr">
        <is>
          <t>NYBRO</t>
        </is>
      </c>
      <c r="G9566" t="n">
        <v>6.5</v>
      </c>
      <c r="H9566" t="n">
        <v>0</v>
      </c>
      <c r="I9566" t="n">
        <v>0</v>
      </c>
      <c r="J9566" t="n">
        <v>0</v>
      </c>
      <c r="K9566" t="n">
        <v>0</v>
      </c>
      <c r="L9566" t="n">
        <v>0</v>
      </c>
      <c r="M9566" t="n">
        <v>0</v>
      </c>
      <c r="N9566" t="n">
        <v>0</v>
      </c>
      <c r="O9566" t="n">
        <v>0</v>
      </c>
      <c r="P9566" t="n">
        <v>0</v>
      </c>
      <c r="Q9566" t="n">
        <v>0</v>
      </c>
      <c r="R9566" s="2" t="inlineStr"/>
    </row>
    <row r="9567" ht="15" customHeight="1">
      <c r="A9567" t="inlineStr">
        <is>
          <t>A 52594-2023</t>
        </is>
      </c>
      <c r="B9567" s="1" t="n">
        <v>45225</v>
      </c>
      <c r="C9567" s="1" t="n">
        <v>45715</v>
      </c>
      <c r="D9567" t="inlineStr">
        <is>
          <t>KALMAR LÄN</t>
        </is>
      </c>
      <c r="E9567" t="inlineStr">
        <is>
          <t>TORSÅS</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52468-2023</t>
        </is>
      </c>
      <c r="B9568" s="1" t="n">
        <v>45225</v>
      </c>
      <c r="C9568" s="1" t="n">
        <v>45715</v>
      </c>
      <c r="D9568" t="inlineStr">
        <is>
          <t>KALMAR LÄN</t>
        </is>
      </c>
      <c r="E9568" t="inlineStr">
        <is>
          <t>VÄSTERVIK</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52588-2023</t>
        </is>
      </c>
      <c r="B9569" s="1" t="n">
        <v>45225</v>
      </c>
      <c r="C9569" s="1" t="n">
        <v>45715</v>
      </c>
      <c r="D9569" t="inlineStr">
        <is>
          <t>KALMAR LÄN</t>
        </is>
      </c>
      <c r="E9569" t="inlineStr">
        <is>
          <t>VIMMERBY</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52598-2023</t>
        </is>
      </c>
      <c r="B9570" s="1" t="n">
        <v>45225</v>
      </c>
      <c r="C9570" s="1" t="n">
        <v>45715</v>
      </c>
      <c r="D9570" t="inlineStr">
        <is>
          <t>KALMAR LÄN</t>
        </is>
      </c>
      <c r="E9570" t="inlineStr">
        <is>
          <t>TORSÅS</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52610-2023</t>
        </is>
      </c>
      <c r="B9571" s="1" t="n">
        <v>45225</v>
      </c>
      <c r="C9571" s="1" t="n">
        <v>45715</v>
      </c>
      <c r="D9571" t="inlineStr">
        <is>
          <t>KALMAR LÄN</t>
        </is>
      </c>
      <c r="E9571" t="inlineStr">
        <is>
          <t>EMMABODA</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52616-2023</t>
        </is>
      </c>
      <c r="B9572" s="1" t="n">
        <v>45225</v>
      </c>
      <c r="C9572" s="1" t="n">
        <v>45715</v>
      </c>
      <c r="D9572" t="inlineStr">
        <is>
          <t>KALMAR LÄN</t>
        </is>
      </c>
      <c r="E9572" t="inlineStr">
        <is>
          <t>VIMMERBY</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52623-2023</t>
        </is>
      </c>
      <c r="B9573" s="1" t="n">
        <v>45225</v>
      </c>
      <c r="C9573" s="1" t="n">
        <v>45715</v>
      </c>
      <c r="D9573" t="inlineStr">
        <is>
          <t>KALMAR LÄN</t>
        </is>
      </c>
      <c r="E9573" t="inlineStr">
        <is>
          <t>VIMMERBY</t>
        </is>
      </c>
      <c r="G9573" t="n">
        <v>5</v>
      </c>
      <c r="H9573" t="n">
        <v>0</v>
      </c>
      <c r="I9573" t="n">
        <v>0</v>
      </c>
      <c r="J9573" t="n">
        <v>0</v>
      </c>
      <c r="K9573" t="n">
        <v>0</v>
      </c>
      <c r="L9573" t="n">
        <v>0</v>
      </c>
      <c r="M9573" t="n">
        <v>0</v>
      </c>
      <c r="N9573" t="n">
        <v>0</v>
      </c>
      <c r="O9573" t="n">
        <v>0</v>
      </c>
      <c r="P9573" t="n">
        <v>0</v>
      </c>
      <c r="Q9573" t="n">
        <v>0</v>
      </c>
      <c r="R9573" s="2" t="inlineStr"/>
    </row>
    <row r="9574" ht="15" customHeight="1">
      <c r="A9574" t="inlineStr">
        <is>
          <t>A 52691-2023</t>
        </is>
      </c>
      <c r="B9574" s="1" t="n">
        <v>45225</v>
      </c>
      <c r="C9574" s="1" t="n">
        <v>45715</v>
      </c>
      <c r="D9574" t="inlineStr">
        <is>
          <t>KALMAR LÄN</t>
        </is>
      </c>
      <c r="E9574" t="inlineStr">
        <is>
          <t>HULTSFRED</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52693-2023</t>
        </is>
      </c>
      <c r="B9575" s="1" t="n">
        <v>45225</v>
      </c>
      <c r="C9575" s="1" t="n">
        <v>45715</v>
      </c>
      <c r="D9575" t="inlineStr">
        <is>
          <t>KALMAR LÄN</t>
        </is>
      </c>
      <c r="E9575" t="inlineStr">
        <is>
          <t>HULTSFRED</t>
        </is>
      </c>
      <c r="G9575" t="n">
        <v>4.8</v>
      </c>
      <c r="H9575" t="n">
        <v>0</v>
      </c>
      <c r="I9575" t="n">
        <v>0</v>
      </c>
      <c r="J9575" t="n">
        <v>0</v>
      </c>
      <c r="K9575" t="n">
        <v>0</v>
      </c>
      <c r="L9575" t="n">
        <v>0</v>
      </c>
      <c r="M9575" t="n">
        <v>0</v>
      </c>
      <c r="N9575" t="n">
        <v>0</v>
      </c>
      <c r="O9575" t="n">
        <v>0</v>
      </c>
      <c r="P9575" t="n">
        <v>0</v>
      </c>
      <c r="Q9575" t="n">
        <v>0</v>
      </c>
      <c r="R9575" s="2" t="inlineStr"/>
    </row>
    <row r="9576" ht="15" customHeight="1">
      <c r="A9576" t="inlineStr">
        <is>
          <t>A 52703-2023</t>
        </is>
      </c>
      <c r="B9576" s="1" t="n">
        <v>45225</v>
      </c>
      <c r="C9576" s="1" t="n">
        <v>45715</v>
      </c>
      <c r="D9576" t="inlineStr">
        <is>
          <t>KALMAR LÄN</t>
        </is>
      </c>
      <c r="E9576" t="inlineStr">
        <is>
          <t>VIMMERBY</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52688-2023</t>
        </is>
      </c>
      <c r="B9577" s="1" t="n">
        <v>45225</v>
      </c>
      <c r="C9577" s="1" t="n">
        <v>45715</v>
      </c>
      <c r="D9577" t="inlineStr">
        <is>
          <t>KALMAR LÄN</t>
        </is>
      </c>
      <c r="E9577" t="inlineStr">
        <is>
          <t>HULTSFRED</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54323-2023</t>
        </is>
      </c>
      <c r="B9578" s="1" t="n">
        <v>45225</v>
      </c>
      <c r="C9578" s="1" t="n">
        <v>45715</v>
      </c>
      <c r="D9578" t="inlineStr">
        <is>
          <t>KALMAR LÄN</t>
        </is>
      </c>
      <c r="E9578" t="inlineStr">
        <is>
          <t>NYBRO</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54172-2023</t>
        </is>
      </c>
      <c r="B9579" s="1" t="n">
        <v>45225</v>
      </c>
      <c r="C9579" s="1" t="n">
        <v>45715</v>
      </c>
      <c r="D9579" t="inlineStr">
        <is>
          <t>KALMAR LÄN</t>
        </is>
      </c>
      <c r="E9579" t="inlineStr">
        <is>
          <t>OSKARSHAMN</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53017-2023</t>
        </is>
      </c>
      <c r="B9580" s="1" t="n">
        <v>45226</v>
      </c>
      <c r="C9580" s="1" t="n">
        <v>45715</v>
      </c>
      <c r="D9580" t="inlineStr">
        <is>
          <t>KALMAR LÄN</t>
        </is>
      </c>
      <c r="E9580" t="inlineStr">
        <is>
          <t>KALMAR</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52915-2023</t>
        </is>
      </c>
      <c r="B9581" s="1" t="n">
        <v>45226</v>
      </c>
      <c r="C9581" s="1" t="n">
        <v>45715</v>
      </c>
      <c r="D9581" t="inlineStr">
        <is>
          <t>KALMAR LÄN</t>
        </is>
      </c>
      <c r="E9581" t="inlineStr">
        <is>
          <t>HULTSFRED</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52898-2023</t>
        </is>
      </c>
      <c r="B9582" s="1" t="n">
        <v>45226</v>
      </c>
      <c r="C9582" s="1" t="n">
        <v>45715</v>
      </c>
      <c r="D9582" t="inlineStr">
        <is>
          <t>KALMAR LÄN</t>
        </is>
      </c>
      <c r="E9582" t="inlineStr">
        <is>
          <t>TORSÅS</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52937-2023</t>
        </is>
      </c>
      <c r="B9583" s="1" t="n">
        <v>45226</v>
      </c>
      <c r="C9583" s="1" t="n">
        <v>45715</v>
      </c>
      <c r="D9583" t="inlineStr">
        <is>
          <t>KALMAR LÄN</t>
        </is>
      </c>
      <c r="E9583" t="inlineStr">
        <is>
          <t>TORSÅS</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53029-2023</t>
        </is>
      </c>
      <c r="B9584" s="1" t="n">
        <v>45226</v>
      </c>
      <c r="C9584" s="1" t="n">
        <v>45715</v>
      </c>
      <c r="D9584" t="inlineStr">
        <is>
          <t>KALMAR LÄN</t>
        </is>
      </c>
      <c r="E9584" t="inlineStr">
        <is>
          <t>NYBRO</t>
        </is>
      </c>
      <c r="F9584" t="inlineStr">
        <is>
          <t>Kommuner</t>
        </is>
      </c>
      <c r="G9584" t="n">
        <v>4.5</v>
      </c>
      <c r="H9584" t="n">
        <v>0</v>
      </c>
      <c r="I9584" t="n">
        <v>0</v>
      </c>
      <c r="J9584" t="n">
        <v>0</v>
      </c>
      <c r="K9584" t="n">
        <v>0</v>
      </c>
      <c r="L9584" t="n">
        <v>0</v>
      </c>
      <c r="M9584" t="n">
        <v>0</v>
      </c>
      <c r="N9584" t="n">
        <v>0</v>
      </c>
      <c r="O9584" t="n">
        <v>0</v>
      </c>
      <c r="P9584" t="n">
        <v>0</v>
      </c>
      <c r="Q9584" t="n">
        <v>0</v>
      </c>
      <c r="R9584" s="2" t="inlineStr"/>
    </row>
    <row r="9585" ht="15" customHeight="1">
      <c r="A9585" t="inlineStr">
        <is>
          <t>A 52845-2023</t>
        </is>
      </c>
      <c r="B9585" s="1" t="n">
        <v>45226</v>
      </c>
      <c r="C9585" s="1" t="n">
        <v>45715</v>
      </c>
      <c r="D9585" t="inlineStr">
        <is>
          <t>KALMAR LÄN</t>
        </is>
      </c>
      <c r="E9585" t="inlineStr">
        <is>
          <t>VÄSTERVIK</t>
        </is>
      </c>
      <c r="F9585" t="inlineStr">
        <is>
          <t>Holmen skog AB</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52813-2023</t>
        </is>
      </c>
      <c r="B9586" s="1" t="n">
        <v>45226</v>
      </c>
      <c r="C9586" s="1" t="n">
        <v>45715</v>
      </c>
      <c r="D9586" t="inlineStr">
        <is>
          <t>KALMAR LÄN</t>
        </is>
      </c>
      <c r="E9586" t="inlineStr">
        <is>
          <t>EMMABODA</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52844-2023</t>
        </is>
      </c>
      <c r="B9587" s="1" t="n">
        <v>45226</v>
      </c>
      <c r="C9587" s="1" t="n">
        <v>45715</v>
      </c>
      <c r="D9587" t="inlineStr">
        <is>
          <t>KALMAR LÄN</t>
        </is>
      </c>
      <c r="E9587" t="inlineStr">
        <is>
          <t>VÄSTERVIK</t>
        </is>
      </c>
      <c r="F9587" t="inlineStr">
        <is>
          <t>Holmen skog AB</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53079-2023</t>
        </is>
      </c>
      <c r="B9588" s="1" t="n">
        <v>45227</v>
      </c>
      <c r="C9588" s="1" t="n">
        <v>45715</v>
      </c>
      <c r="D9588" t="inlineStr">
        <is>
          <t>KALMAR LÄN</t>
        </is>
      </c>
      <c r="E9588" t="inlineStr">
        <is>
          <t>NYBRO</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53078-2023</t>
        </is>
      </c>
      <c r="B9589" s="1" t="n">
        <v>45227</v>
      </c>
      <c r="C9589" s="1" t="n">
        <v>45715</v>
      </c>
      <c r="D9589" t="inlineStr">
        <is>
          <t>KALMAR LÄN</t>
        </is>
      </c>
      <c r="E9589" t="inlineStr">
        <is>
          <t>NYBRO</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53095-2023</t>
        </is>
      </c>
      <c r="B9590" s="1" t="n">
        <v>45227</v>
      </c>
      <c r="C9590" s="1" t="n">
        <v>45715</v>
      </c>
      <c r="D9590" t="inlineStr">
        <is>
          <t>KALMAR LÄN</t>
        </is>
      </c>
      <c r="E9590" t="inlineStr">
        <is>
          <t>HULTSFRED</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53080-2023</t>
        </is>
      </c>
      <c r="B9591" s="1" t="n">
        <v>45227</v>
      </c>
      <c r="C9591" s="1" t="n">
        <v>45715</v>
      </c>
      <c r="D9591" t="inlineStr">
        <is>
          <t>KALMAR LÄN</t>
        </is>
      </c>
      <c r="E9591" t="inlineStr">
        <is>
          <t>NYBRO</t>
        </is>
      </c>
      <c r="G9591" t="n">
        <v>9.4</v>
      </c>
      <c r="H9591" t="n">
        <v>0</v>
      </c>
      <c r="I9591" t="n">
        <v>0</v>
      </c>
      <c r="J9591" t="n">
        <v>0</v>
      </c>
      <c r="K9591" t="n">
        <v>0</v>
      </c>
      <c r="L9591" t="n">
        <v>0</v>
      </c>
      <c r="M9591" t="n">
        <v>0</v>
      </c>
      <c r="N9591" t="n">
        <v>0</v>
      </c>
      <c r="O9591" t="n">
        <v>0</v>
      </c>
      <c r="P9591" t="n">
        <v>0</v>
      </c>
      <c r="Q9591" t="n">
        <v>0</v>
      </c>
      <c r="R9591" s="2" t="inlineStr"/>
    </row>
    <row r="9592" ht="15" customHeight="1">
      <c r="A9592" t="inlineStr">
        <is>
          <t>A 53069-2023</t>
        </is>
      </c>
      <c r="B9592" s="1" t="n">
        <v>45227</v>
      </c>
      <c r="C9592" s="1" t="n">
        <v>45715</v>
      </c>
      <c r="D9592" t="inlineStr">
        <is>
          <t>KALMAR LÄN</t>
        </is>
      </c>
      <c r="E9592" t="inlineStr">
        <is>
          <t>NYBRO</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53108-2023</t>
        </is>
      </c>
      <c r="B9593" s="1" t="n">
        <v>45228</v>
      </c>
      <c r="C9593" s="1" t="n">
        <v>45715</v>
      </c>
      <c r="D9593" t="inlineStr">
        <is>
          <t>KALMAR LÄN</t>
        </is>
      </c>
      <c r="E9593" t="inlineStr">
        <is>
          <t>HÖGSBY</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53109-2023</t>
        </is>
      </c>
      <c r="B9594" s="1" t="n">
        <v>45228</v>
      </c>
      <c r="C9594" s="1" t="n">
        <v>45715</v>
      </c>
      <c r="D9594" t="inlineStr">
        <is>
          <t>KALMAR LÄN</t>
        </is>
      </c>
      <c r="E9594" t="inlineStr">
        <is>
          <t>HÖGSBY</t>
        </is>
      </c>
      <c r="G9594" t="n">
        <v>7.3</v>
      </c>
      <c r="H9594" t="n">
        <v>0</v>
      </c>
      <c r="I9594" t="n">
        <v>0</v>
      </c>
      <c r="J9594" t="n">
        <v>0</v>
      </c>
      <c r="K9594" t="n">
        <v>0</v>
      </c>
      <c r="L9594" t="n">
        <v>0</v>
      </c>
      <c r="M9594" t="n">
        <v>0</v>
      </c>
      <c r="N9594" t="n">
        <v>0</v>
      </c>
      <c r="O9594" t="n">
        <v>0</v>
      </c>
      <c r="P9594" t="n">
        <v>0</v>
      </c>
      <c r="Q9594" t="n">
        <v>0</v>
      </c>
      <c r="R9594" s="2" t="inlineStr"/>
    </row>
    <row r="9595" ht="15" customHeight="1">
      <c r="A9595" t="inlineStr">
        <is>
          <t>A 53199-2023</t>
        </is>
      </c>
      <c r="B9595" s="1" t="n">
        <v>45229</v>
      </c>
      <c r="C9595" s="1" t="n">
        <v>45715</v>
      </c>
      <c r="D9595" t="inlineStr">
        <is>
          <t>KALMAR LÄN</t>
        </is>
      </c>
      <c r="E9595" t="inlineStr">
        <is>
          <t>KALMAR</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53220-2023</t>
        </is>
      </c>
      <c r="B9596" s="1" t="n">
        <v>45229</v>
      </c>
      <c r="C9596" s="1" t="n">
        <v>45715</v>
      </c>
      <c r="D9596" t="inlineStr">
        <is>
          <t>KALMAR LÄN</t>
        </is>
      </c>
      <c r="E9596" t="inlineStr">
        <is>
          <t>VIMMERBY</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53236-2023</t>
        </is>
      </c>
      <c r="B9597" s="1" t="n">
        <v>45229</v>
      </c>
      <c r="C9597" s="1" t="n">
        <v>45715</v>
      </c>
      <c r="D9597" t="inlineStr">
        <is>
          <t>KALMAR LÄN</t>
        </is>
      </c>
      <c r="E9597" t="inlineStr">
        <is>
          <t>MÖNSTERÅS</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53252-2023</t>
        </is>
      </c>
      <c r="B9598" s="1" t="n">
        <v>45229</v>
      </c>
      <c r="C9598" s="1" t="n">
        <v>45715</v>
      </c>
      <c r="D9598" t="inlineStr">
        <is>
          <t>KALMAR LÄN</t>
        </is>
      </c>
      <c r="E9598" t="inlineStr">
        <is>
          <t>EMMABODA</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53206-2023</t>
        </is>
      </c>
      <c r="B9599" s="1" t="n">
        <v>45229</v>
      </c>
      <c r="C9599" s="1" t="n">
        <v>45715</v>
      </c>
      <c r="D9599" t="inlineStr">
        <is>
          <t>KALMAR LÄN</t>
        </is>
      </c>
      <c r="E9599" t="inlineStr">
        <is>
          <t>HULTSFRED</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53212-2023</t>
        </is>
      </c>
      <c r="B9600" s="1" t="n">
        <v>45229</v>
      </c>
      <c r="C9600" s="1" t="n">
        <v>45715</v>
      </c>
      <c r="D9600" t="inlineStr">
        <is>
          <t>KALMAR LÄN</t>
        </is>
      </c>
      <c r="E9600" t="inlineStr">
        <is>
          <t>KALMAR</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53389-2023</t>
        </is>
      </c>
      <c r="B9601" s="1" t="n">
        <v>45229</v>
      </c>
      <c r="C9601" s="1" t="n">
        <v>45715</v>
      </c>
      <c r="D9601" t="inlineStr">
        <is>
          <t>KALMAR LÄN</t>
        </is>
      </c>
      <c r="E9601" t="inlineStr">
        <is>
          <t>KALMAR</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53373-2023</t>
        </is>
      </c>
      <c r="B9602" s="1" t="n">
        <v>45229</v>
      </c>
      <c r="C9602" s="1" t="n">
        <v>45715</v>
      </c>
      <c r="D9602" t="inlineStr">
        <is>
          <t>KALMAR LÄN</t>
        </is>
      </c>
      <c r="E9602" t="inlineStr">
        <is>
          <t>EMMABODA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53381-2023</t>
        </is>
      </c>
      <c r="B9603" s="1" t="n">
        <v>45229</v>
      </c>
      <c r="C9603" s="1" t="n">
        <v>45715</v>
      </c>
      <c r="D9603" t="inlineStr">
        <is>
          <t>KALMAR LÄN</t>
        </is>
      </c>
      <c r="E9603" t="inlineStr">
        <is>
          <t>EMMABODA</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53397-2023</t>
        </is>
      </c>
      <c r="B9604" s="1" t="n">
        <v>45229</v>
      </c>
      <c r="C9604" s="1" t="n">
        <v>45715</v>
      </c>
      <c r="D9604" t="inlineStr">
        <is>
          <t>KALMAR LÄN</t>
        </is>
      </c>
      <c r="E9604" t="inlineStr">
        <is>
          <t>KALMAR</t>
        </is>
      </c>
      <c r="G9604" t="n">
        <v>4.9</v>
      </c>
      <c r="H9604" t="n">
        <v>0</v>
      </c>
      <c r="I9604" t="n">
        <v>0</v>
      </c>
      <c r="J9604" t="n">
        <v>0</v>
      </c>
      <c r="K9604" t="n">
        <v>0</v>
      </c>
      <c r="L9604" t="n">
        <v>0</v>
      </c>
      <c r="M9604" t="n">
        <v>0</v>
      </c>
      <c r="N9604" t="n">
        <v>0</v>
      </c>
      <c r="O9604" t="n">
        <v>0</v>
      </c>
      <c r="P9604" t="n">
        <v>0</v>
      </c>
      <c r="Q9604" t="n">
        <v>0</v>
      </c>
      <c r="R9604" s="2" t="inlineStr"/>
    </row>
    <row r="9605" ht="15" customHeight="1">
      <c r="A9605" t="inlineStr">
        <is>
          <t>A 53388-2023</t>
        </is>
      </c>
      <c r="B9605" s="1" t="n">
        <v>45229</v>
      </c>
      <c r="C9605" s="1" t="n">
        <v>45715</v>
      </c>
      <c r="D9605" t="inlineStr">
        <is>
          <t>KALMAR LÄN</t>
        </is>
      </c>
      <c r="E9605" t="inlineStr">
        <is>
          <t>KALMAR</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53191-2023</t>
        </is>
      </c>
      <c r="B9606" s="1" t="n">
        <v>45229</v>
      </c>
      <c r="C9606" s="1" t="n">
        <v>45715</v>
      </c>
      <c r="D9606" t="inlineStr">
        <is>
          <t>KALMAR LÄN</t>
        </is>
      </c>
      <c r="E9606" t="inlineStr">
        <is>
          <t>HULTSFRED</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53196-2023</t>
        </is>
      </c>
      <c r="B9607" s="1" t="n">
        <v>45229</v>
      </c>
      <c r="C9607" s="1" t="n">
        <v>45715</v>
      </c>
      <c r="D9607" t="inlineStr">
        <is>
          <t>KALMAR LÄN</t>
        </is>
      </c>
      <c r="E9607" t="inlineStr">
        <is>
          <t>KALMAR</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53233-2023</t>
        </is>
      </c>
      <c r="B9608" s="1" t="n">
        <v>45229</v>
      </c>
      <c r="C9608" s="1" t="n">
        <v>45715</v>
      </c>
      <c r="D9608" t="inlineStr">
        <is>
          <t>KALMAR LÄN</t>
        </is>
      </c>
      <c r="E9608" t="inlineStr">
        <is>
          <t>MÖNSTERÅS</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53238-2023</t>
        </is>
      </c>
      <c r="B9609" s="1" t="n">
        <v>45229</v>
      </c>
      <c r="C9609" s="1" t="n">
        <v>45715</v>
      </c>
      <c r="D9609" t="inlineStr">
        <is>
          <t>KALMAR LÄN</t>
        </is>
      </c>
      <c r="E9609" t="inlineStr">
        <is>
          <t>MÖNSTERÅS</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53274-2023</t>
        </is>
      </c>
      <c r="B9610" s="1" t="n">
        <v>45229</v>
      </c>
      <c r="C9610" s="1" t="n">
        <v>45715</v>
      </c>
      <c r="D9610" t="inlineStr">
        <is>
          <t>KALMAR LÄN</t>
        </is>
      </c>
      <c r="E9610" t="inlineStr">
        <is>
          <t>HULTSFRED</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53283-2023</t>
        </is>
      </c>
      <c r="B9611" s="1" t="n">
        <v>45229</v>
      </c>
      <c r="C9611" s="1" t="n">
        <v>45715</v>
      </c>
      <c r="D9611" t="inlineStr">
        <is>
          <t>KALMAR LÄN</t>
        </is>
      </c>
      <c r="E9611" t="inlineStr">
        <is>
          <t>HULTSFRED</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53738-2023</t>
        </is>
      </c>
      <c r="B9612" s="1" t="n">
        <v>45230</v>
      </c>
      <c r="C9612" s="1" t="n">
        <v>45715</v>
      </c>
      <c r="D9612" t="inlineStr">
        <is>
          <t>KALMAR LÄN</t>
        </is>
      </c>
      <c r="E9612" t="inlineStr">
        <is>
          <t>MÖNSTERÅS</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53618-2023</t>
        </is>
      </c>
      <c r="B9613" s="1" t="n">
        <v>45230</v>
      </c>
      <c r="C9613" s="1" t="n">
        <v>45715</v>
      </c>
      <c r="D9613" t="inlineStr">
        <is>
          <t>KALMAR LÄN</t>
        </is>
      </c>
      <c r="E9613" t="inlineStr">
        <is>
          <t>NYBRO</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53608-2023</t>
        </is>
      </c>
      <c r="B9614" s="1" t="n">
        <v>45230</v>
      </c>
      <c r="C9614" s="1" t="n">
        <v>45715</v>
      </c>
      <c r="D9614" t="inlineStr">
        <is>
          <t>KALMAR LÄN</t>
        </is>
      </c>
      <c r="E9614" t="inlineStr">
        <is>
          <t>KALMAR</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53649-2023</t>
        </is>
      </c>
      <c r="B9615" s="1" t="n">
        <v>45230</v>
      </c>
      <c r="C9615" s="1" t="n">
        <v>45715</v>
      </c>
      <c r="D9615" t="inlineStr">
        <is>
          <t>KALMAR LÄN</t>
        </is>
      </c>
      <c r="E9615" t="inlineStr">
        <is>
          <t>NYBRO</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53672-2023</t>
        </is>
      </c>
      <c r="B9616" s="1" t="n">
        <v>45230</v>
      </c>
      <c r="C9616" s="1" t="n">
        <v>45715</v>
      </c>
      <c r="D9616" t="inlineStr">
        <is>
          <t>KALMAR LÄN</t>
        </is>
      </c>
      <c r="E9616" t="inlineStr">
        <is>
          <t>NYBRO</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53704-2023</t>
        </is>
      </c>
      <c r="B9617" s="1" t="n">
        <v>45230</v>
      </c>
      <c r="C9617" s="1" t="n">
        <v>45715</v>
      </c>
      <c r="D9617" t="inlineStr">
        <is>
          <t>KALMAR LÄN</t>
        </is>
      </c>
      <c r="E9617" t="inlineStr">
        <is>
          <t>EMMABODA</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53650-2023</t>
        </is>
      </c>
      <c r="B9618" s="1" t="n">
        <v>45230</v>
      </c>
      <c r="C9618" s="1" t="n">
        <v>45715</v>
      </c>
      <c r="D9618" t="inlineStr">
        <is>
          <t>KALMAR LÄN</t>
        </is>
      </c>
      <c r="E9618" t="inlineStr">
        <is>
          <t>NYBRO</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53610-2023</t>
        </is>
      </c>
      <c r="B9619" s="1" t="n">
        <v>45230</v>
      </c>
      <c r="C9619" s="1" t="n">
        <v>45715</v>
      </c>
      <c r="D9619" t="inlineStr">
        <is>
          <t>KALMAR LÄN</t>
        </is>
      </c>
      <c r="E9619" t="inlineStr">
        <is>
          <t>KALMAR</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53684-2023</t>
        </is>
      </c>
      <c r="B9620" s="1" t="n">
        <v>45230</v>
      </c>
      <c r="C9620" s="1" t="n">
        <v>45715</v>
      </c>
      <c r="D9620" t="inlineStr">
        <is>
          <t>KALMAR LÄN</t>
        </is>
      </c>
      <c r="E9620" t="inlineStr">
        <is>
          <t>EMMABODA</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53655-2023</t>
        </is>
      </c>
      <c r="B9621" s="1" t="n">
        <v>45230</v>
      </c>
      <c r="C9621" s="1" t="n">
        <v>45715</v>
      </c>
      <c r="D9621" t="inlineStr">
        <is>
          <t>KALMAR LÄN</t>
        </is>
      </c>
      <c r="E9621" t="inlineStr">
        <is>
          <t>NYBRO</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53686-2023</t>
        </is>
      </c>
      <c r="B9622" s="1" t="n">
        <v>45230</v>
      </c>
      <c r="C9622" s="1" t="n">
        <v>45715</v>
      </c>
      <c r="D9622" t="inlineStr">
        <is>
          <t>KALMAR LÄN</t>
        </is>
      </c>
      <c r="E9622" t="inlineStr">
        <is>
          <t>EMMABODA</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53491-2023</t>
        </is>
      </c>
      <c r="B9623" s="1" t="n">
        <v>45230</v>
      </c>
      <c r="C9623" s="1" t="n">
        <v>45715</v>
      </c>
      <c r="D9623" t="inlineStr">
        <is>
          <t>KALMAR LÄN</t>
        </is>
      </c>
      <c r="E9623" t="inlineStr">
        <is>
          <t>OSKARSHAMN</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55062-2023</t>
        </is>
      </c>
      <c r="B9624" s="1" t="n">
        <v>45230</v>
      </c>
      <c r="C9624" s="1" t="n">
        <v>45715</v>
      </c>
      <c r="D9624" t="inlineStr">
        <is>
          <t>KALMAR LÄN</t>
        </is>
      </c>
      <c r="E9624" t="inlineStr">
        <is>
          <t>HÖGSBY</t>
        </is>
      </c>
      <c r="G9624" t="n">
        <v>12.2</v>
      </c>
      <c r="H9624" t="n">
        <v>0</v>
      </c>
      <c r="I9624" t="n">
        <v>0</v>
      </c>
      <c r="J9624" t="n">
        <v>0</v>
      </c>
      <c r="K9624" t="n">
        <v>0</v>
      </c>
      <c r="L9624" t="n">
        <v>0</v>
      </c>
      <c r="M9624" t="n">
        <v>0</v>
      </c>
      <c r="N9624" t="n">
        <v>0</v>
      </c>
      <c r="O9624" t="n">
        <v>0</v>
      </c>
      <c r="P9624" t="n">
        <v>0</v>
      </c>
      <c r="Q9624" t="n">
        <v>0</v>
      </c>
      <c r="R9624" s="2" t="inlineStr"/>
    </row>
    <row r="9625" ht="15" customHeight="1">
      <c r="A9625" t="inlineStr">
        <is>
          <t>A 53833-2023</t>
        </is>
      </c>
      <c r="B9625" s="1" t="n">
        <v>45231</v>
      </c>
      <c r="C9625" s="1" t="n">
        <v>45715</v>
      </c>
      <c r="D9625" t="inlineStr">
        <is>
          <t>KALMAR LÄN</t>
        </is>
      </c>
      <c r="E9625" t="inlineStr">
        <is>
          <t>NYBRO</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53928-2023</t>
        </is>
      </c>
      <c r="B9626" s="1" t="n">
        <v>45231</v>
      </c>
      <c r="C9626" s="1" t="n">
        <v>45715</v>
      </c>
      <c r="D9626" t="inlineStr">
        <is>
          <t>KALMAR LÄN</t>
        </is>
      </c>
      <c r="E9626" t="inlineStr">
        <is>
          <t>NYBRO</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53953-2023</t>
        </is>
      </c>
      <c r="B9627" s="1" t="n">
        <v>45231</v>
      </c>
      <c r="C9627" s="1" t="n">
        <v>45715</v>
      </c>
      <c r="D9627" t="inlineStr">
        <is>
          <t>KALMAR LÄN</t>
        </is>
      </c>
      <c r="E9627" t="inlineStr">
        <is>
          <t>OSKARSHAMN</t>
        </is>
      </c>
      <c r="G9627" t="n">
        <v>17.9</v>
      </c>
      <c r="H9627" t="n">
        <v>0</v>
      </c>
      <c r="I9627" t="n">
        <v>0</v>
      </c>
      <c r="J9627" t="n">
        <v>0</v>
      </c>
      <c r="K9627" t="n">
        <v>0</v>
      </c>
      <c r="L9627" t="n">
        <v>0</v>
      </c>
      <c r="M9627" t="n">
        <v>0</v>
      </c>
      <c r="N9627" t="n">
        <v>0</v>
      </c>
      <c r="O9627" t="n">
        <v>0</v>
      </c>
      <c r="P9627" t="n">
        <v>0</v>
      </c>
      <c r="Q9627" t="n">
        <v>0</v>
      </c>
      <c r="R9627" s="2" t="inlineStr"/>
    </row>
    <row r="9628" ht="15" customHeight="1">
      <c r="A9628" t="inlineStr">
        <is>
          <t>A 53959-2023</t>
        </is>
      </c>
      <c r="B9628" s="1" t="n">
        <v>45231</v>
      </c>
      <c r="C9628" s="1" t="n">
        <v>45715</v>
      </c>
      <c r="D9628" t="inlineStr">
        <is>
          <t>KALMAR LÄN</t>
        </is>
      </c>
      <c r="E9628" t="inlineStr">
        <is>
          <t>OSKARSHAMN</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55255-2023</t>
        </is>
      </c>
      <c r="B9629" s="1" t="n">
        <v>45231</v>
      </c>
      <c r="C9629" s="1" t="n">
        <v>45715</v>
      </c>
      <c r="D9629" t="inlineStr">
        <is>
          <t>KALMAR LÄN</t>
        </is>
      </c>
      <c r="E9629" t="inlineStr">
        <is>
          <t>NYBRO</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53931-2023</t>
        </is>
      </c>
      <c r="B9630" s="1" t="n">
        <v>45231</v>
      </c>
      <c r="C9630" s="1" t="n">
        <v>45715</v>
      </c>
      <c r="D9630" t="inlineStr">
        <is>
          <t>KALMAR LÄN</t>
        </is>
      </c>
      <c r="E9630" t="inlineStr">
        <is>
          <t>NYBRO</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54084-2023</t>
        </is>
      </c>
      <c r="B9631" s="1" t="n">
        <v>45232</v>
      </c>
      <c r="C9631" s="1" t="n">
        <v>45715</v>
      </c>
      <c r="D9631" t="inlineStr">
        <is>
          <t>KALMAR LÄN</t>
        </is>
      </c>
      <c r="E9631" t="inlineStr">
        <is>
          <t>VIMMERBY</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54124-2023</t>
        </is>
      </c>
      <c r="B9632" s="1" t="n">
        <v>45232</v>
      </c>
      <c r="C9632" s="1" t="n">
        <v>45715</v>
      </c>
      <c r="D9632" t="inlineStr">
        <is>
          <t>KALMAR LÄN</t>
        </is>
      </c>
      <c r="E9632" t="inlineStr">
        <is>
          <t>VÄSTERVIK</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54230-2023</t>
        </is>
      </c>
      <c r="B9633" s="1" t="n">
        <v>45232</v>
      </c>
      <c r="C9633" s="1" t="n">
        <v>45715</v>
      </c>
      <c r="D9633" t="inlineStr">
        <is>
          <t>KALMAR LÄN</t>
        </is>
      </c>
      <c r="E9633" t="inlineStr">
        <is>
          <t>EMMABODA</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54086-2023</t>
        </is>
      </c>
      <c r="B9634" s="1" t="n">
        <v>45232</v>
      </c>
      <c r="C9634" s="1" t="n">
        <v>45715</v>
      </c>
      <c r="D9634" t="inlineStr">
        <is>
          <t>KALMAR LÄN</t>
        </is>
      </c>
      <c r="E9634" t="inlineStr">
        <is>
          <t>VIMMERBY</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54247-2023</t>
        </is>
      </c>
      <c r="B9635" s="1" t="n">
        <v>45232</v>
      </c>
      <c r="C9635" s="1" t="n">
        <v>45715</v>
      </c>
      <c r="D9635" t="inlineStr">
        <is>
          <t>KALMAR LÄN</t>
        </is>
      </c>
      <c r="E9635" t="inlineStr">
        <is>
          <t>KALMAR</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54135-2023</t>
        </is>
      </c>
      <c r="B9636" s="1" t="n">
        <v>45232</v>
      </c>
      <c r="C9636" s="1" t="n">
        <v>45715</v>
      </c>
      <c r="D9636" t="inlineStr">
        <is>
          <t>KALMAR LÄN</t>
        </is>
      </c>
      <c r="E9636" t="inlineStr">
        <is>
          <t>VÄSTERVIK</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54245-2023</t>
        </is>
      </c>
      <c r="B9637" s="1" t="n">
        <v>45232</v>
      </c>
      <c r="C9637" s="1" t="n">
        <v>45715</v>
      </c>
      <c r="D9637" t="inlineStr">
        <is>
          <t>KALMAR LÄN</t>
        </is>
      </c>
      <c r="E9637" t="inlineStr">
        <is>
          <t>KALMAR</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54232-2023</t>
        </is>
      </c>
      <c r="B9638" s="1" t="n">
        <v>45232</v>
      </c>
      <c r="C9638" s="1" t="n">
        <v>45715</v>
      </c>
      <c r="D9638" t="inlineStr">
        <is>
          <t>KALMAR LÄN</t>
        </is>
      </c>
      <c r="E9638" t="inlineStr">
        <is>
          <t>VÄSTERVIK</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55716-2023</t>
        </is>
      </c>
      <c r="B9639" s="1" t="n">
        <v>45232</v>
      </c>
      <c r="C9639" s="1" t="n">
        <v>45715</v>
      </c>
      <c r="D9639" t="inlineStr">
        <is>
          <t>KALMAR LÄN</t>
        </is>
      </c>
      <c r="E9639" t="inlineStr">
        <is>
          <t>VIMMERBY</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54569-2023</t>
        </is>
      </c>
      <c r="B9640" s="1" t="n">
        <v>45233</v>
      </c>
      <c r="C9640" s="1" t="n">
        <v>45715</v>
      </c>
      <c r="D9640" t="inlineStr">
        <is>
          <t>KALMAR LÄN</t>
        </is>
      </c>
      <c r="E9640" t="inlineStr">
        <is>
          <t>VÄSTERVIK</t>
        </is>
      </c>
      <c r="F9640" t="inlineStr">
        <is>
          <t>Holmen skog AB</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54572-2023</t>
        </is>
      </c>
      <c r="B9641" s="1" t="n">
        <v>45233</v>
      </c>
      <c r="C9641" s="1" t="n">
        <v>45715</v>
      </c>
      <c r="D9641" t="inlineStr">
        <is>
          <t>KALMAR LÄN</t>
        </is>
      </c>
      <c r="E9641" t="inlineStr">
        <is>
          <t>KALMAR</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54571-2023</t>
        </is>
      </c>
      <c r="B9642" s="1" t="n">
        <v>45233</v>
      </c>
      <c r="C9642" s="1" t="n">
        <v>45715</v>
      </c>
      <c r="D9642" t="inlineStr">
        <is>
          <t>KALMAR LÄN</t>
        </is>
      </c>
      <c r="E9642" t="inlineStr">
        <is>
          <t>KALMAR</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54522-2023</t>
        </is>
      </c>
      <c r="B9643" s="1" t="n">
        <v>45233</v>
      </c>
      <c r="C9643" s="1" t="n">
        <v>45715</v>
      </c>
      <c r="D9643" t="inlineStr">
        <is>
          <t>KALMAR LÄN</t>
        </is>
      </c>
      <c r="E9643" t="inlineStr">
        <is>
          <t>OSKARSHAMN</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54358-2023</t>
        </is>
      </c>
      <c r="B9644" s="1" t="n">
        <v>45233</v>
      </c>
      <c r="C9644" s="1" t="n">
        <v>45715</v>
      </c>
      <c r="D9644" t="inlineStr">
        <is>
          <t>KALMAR LÄN</t>
        </is>
      </c>
      <c r="E9644" t="inlineStr">
        <is>
          <t>VÄSTERVIK</t>
        </is>
      </c>
      <c r="F9644" t="inlineStr">
        <is>
          <t>Sveaskog</t>
        </is>
      </c>
      <c r="G9644" t="n">
        <v>9.199999999999999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54504-2023</t>
        </is>
      </c>
      <c r="B9645" s="1" t="n">
        <v>45233</v>
      </c>
      <c r="C9645" s="1" t="n">
        <v>45715</v>
      </c>
      <c r="D9645" t="inlineStr">
        <is>
          <t>KALMAR LÄN</t>
        </is>
      </c>
      <c r="E9645" t="inlineStr">
        <is>
          <t>NYBRO</t>
        </is>
      </c>
      <c r="F9645" t="inlineStr">
        <is>
          <t>Sveaskog</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54481-2023</t>
        </is>
      </c>
      <c r="B9646" s="1" t="n">
        <v>45233</v>
      </c>
      <c r="C9646" s="1" t="n">
        <v>45715</v>
      </c>
      <c r="D9646" t="inlineStr">
        <is>
          <t>KALMAR LÄN</t>
        </is>
      </c>
      <c r="E9646" t="inlineStr">
        <is>
          <t>KALMAR</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54570-2023</t>
        </is>
      </c>
      <c r="B9647" s="1" t="n">
        <v>45233</v>
      </c>
      <c r="C9647" s="1" t="n">
        <v>45715</v>
      </c>
      <c r="D9647" t="inlineStr">
        <is>
          <t>KALMAR LÄN</t>
        </is>
      </c>
      <c r="E9647" t="inlineStr">
        <is>
          <t>KALMAR</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54489-2023</t>
        </is>
      </c>
      <c r="B9648" s="1" t="n">
        <v>45233</v>
      </c>
      <c r="C9648" s="1" t="n">
        <v>45715</v>
      </c>
      <c r="D9648" t="inlineStr">
        <is>
          <t>KALMAR LÄN</t>
        </is>
      </c>
      <c r="E9648" t="inlineStr">
        <is>
          <t>TORSÅS</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54480-2023</t>
        </is>
      </c>
      <c r="B9649" s="1" t="n">
        <v>45233</v>
      </c>
      <c r="C9649" s="1" t="n">
        <v>45715</v>
      </c>
      <c r="D9649" t="inlineStr">
        <is>
          <t>KALMAR LÄN</t>
        </is>
      </c>
      <c r="E9649" t="inlineStr">
        <is>
          <t>KALMAR</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54475-2023</t>
        </is>
      </c>
      <c r="B9650" s="1" t="n">
        <v>45233</v>
      </c>
      <c r="C9650" s="1" t="n">
        <v>45715</v>
      </c>
      <c r="D9650" t="inlineStr">
        <is>
          <t>KALMAR LÄN</t>
        </is>
      </c>
      <c r="E9650" t="inlineStr">
        <is>
          <t>KALMAR</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54462-2023</t>
        </is>
      </c>
      <c r="B9651" s="1" t="n">
        <v>45233</v>
      </c>
      <c r="C9651" s="1" t="n">
        <v>45715</v>
      </c>
      <c r="D9651" t="inlineStr">
        <is>
          <t>KALMAR LÄN</t>
        </is>
      </c>
      <c r="E9651" t="inlineStr">
        <is>
          <t>KALMAR</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54512-2023</t>
        </is>
      </c>
      <c r="B9652" s="1" t="n">
        <v>45233</v>
      </c>
      <c r="C9652" s="1" t="n">
        <v>45715</v>
      </c>
      <c r="D9652" t="inlineStr">
        <is>
          <t>KALMAR LÄN</t>
        </is>
      </c>
      <c r="E9652" t="inlineStr">
        <is>
          <t>NYBRO</t>
        </is>
      </c>
      <c r="F9652" t="inlineStr">
        <is>
          <t>Sveaskog</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54468-2023</t>
        </is>
      </c>
      <c r="B9653" s="1" t="n">
        <v>45233</v>
      </c>
      <c r="C9653" s="1" t="n">
        <v>45715</v>
      </c>
      <c r="D9653" t="inlineStr">
        <is>
          <t>KALMAR LÄN</t>
        </is>
      </c>
      <c r="E9653" t="inlineStr">
        <is>
          <t>KALMAR</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54450-2023</t>
        </is>
      </c>
      <c r="B9654" s="1" t="n">
        <v>45233</v>
      </c>
      <c r="C9654" s="1" t="n">
        <v>45715</v>
      </c>
      <c r="D9654" t="inlineStr">
        <is>
          <t>KALMAR LÄN</t>
        </is>
      </c>
      <c r="E9654" t="inlineStr">
        <is>
          <t>KALMAR</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54624-2023</t>
        </is>
      </c>
      <c r="B9655" s="1" t="n">
        <v>45234</v>
      </c>
      <c r="C9655" s="1" t="n">
        <v>45715</v>
      </c>
      <c r="D9655" t="inlineStr">
        <is>
          <t>KALMAR LÄN</t>
        </is>
      </c>
      <c r="E9655" t="inlineStr">
        <is>
          <t>EMMABODA</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54785-2023</t>
        </is>
      </c>
      <c r="B9656" s="1" t="n">
        <v>45236</v>
      </c>
      <c r="C9656" s="1" t="n">
        <v>45715</v>
      </c>
      <c r="D9656" t="inlineStr">
        <is>
          <t>KALMAR LÄN</t>
        </is>
      </c>
      <c r="E9656" t="inlineStr">
        <is>
          <t>VIMMERBY</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54778-2023</t>
        </is>
      </c>
      <c r="B9657" s="1" t="n">
        <v>45236</v>
      </c>
      <c r="C9657" s="1" t="n">
        <v>45715</v>
      </c>
      <c r="D9657" t="inlineStr">
        <is>
          <t>KALMAR LÄN</t>
        </is>
      </c>
      <c r="E9657" t="inlineStr">
        <is>
          <t>VÄSTERVIK</t>
        </is>
      </c>
      <c r="F9657" t="inlineStr">
        <is>
          <t>Holmen skog AB</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54787-2023</t>
        </is>
      </c>
      <c r="B9658" s="1" t="n">
        <v>45236</v>
      </c>
      <c r="C9658" s="1" t="n">
        <v>45715</v>
      </c>
      <c r="D9658" t="inlineStr">
        <is>
          <t>KALMAR LÄN</t>
        </is>
      </c>
      <c r="E9658" t="inlineStr">
        <is>
          <t>VIMMERBY</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54951-2023</t>
        </is>
      </c>
      <c r="B9659" s="1" t="n">
        <v>45236</v>
      </c>
      <c r="C9659" s="1" t="n">
        <v>45715</v>
      </c>
      <c r="D9659" t="inlineStr">
        <is>
          <t>KALMAR LÄN</t>
        </is>
      </c>
      <c r="E9659" t="inlineStr">
        <is>
          <t>VÄSTERVIK</t>
        </is>
      </c>
      <c r="F9659" t="inlineStr">
        <is>
          <t>Övriga Aktiebolag</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55007-2023</t>
        </is>
      </c>
      <c r="B9660" s="1" t="n">
        <v>45237</v>
      </c>
      <c r="C9660" s="1" t="n">
        <v>45715</v>
      </c>
      <c r="D9660" t="inlineStr">
        <is>
          <t>KALMAR LÄN</t>
        </is>
      </c>
      <c r="E9660" t="inlineStr">
        <is>
          <t>VÄSTERVIK</t>
        </is>
      </c>
      <c r="F9660" t="inlineStr">
        <is>
          <t>Holmen skog AB</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54806-2023</t>
        </is>
      </c>
      <c r="B9661" s="1" t="n">
        <v>45236</v>
      </c>
      <c r="C9661" s="1" t="n">
        <v>45715</v>
      </c>
      <c r="D9661" t="inlineStr">
        <is>
          <t>KALMAR LÄN</t>
        </is>
      </c>
      <c r="E9661" t="inlineStr">
        <is>
          <t>KALMAR</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54950-2023</t>
        </is>
      </c>
      <c r="B9662" s="1" t="n">
        <v>45236</v>
      </c>
      <c r="C9662" s="1" t="n">
        <v>45715</v>
      </c>
      <c r="D9662" t="inlineStr">
        <is>
          <t>KALMAR LÄN</t>
        </is>
      </c>
      <c r="E9662" t="inlineStr">
        <is>
          <t>VÄSTERVIK</t>
        </is>
      </c>
      <c r="F9662" t="inlineStr">
        <is>
          <t>Övriga Aktiebolag</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54784-2023</t>
        </is>
      </c>
      <c r="B9663" s="1" t="n">
        <v>45236</v>
      </c>
      <c r="C9663" s="1" t="n">
        <v>45715</v>
      </c>
      <c r="D9663" t="inlineStr">
        <is>
          <t>KALMAR LÄN</t>
        </is>
      </c>
      <c r="E9663" t="inlineStr">
        <is>
          <t>VÄSTERVIK</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54953-2023</t>
        </is>
      </c>
      <c r="B9664" s="1" t="n">
        <v>45236</v>
      </c>
      <c r="C9664" s="1" t="n">
        <v>45715</v>
      </c>
      <c r="D9664" t="inlineStr">
        <is>
          <t>KALMAR LÄN</t>
        </is>
      </c>
      <c r="E9664" t="inlineStr">
        <is>
          <t>VÄSTERVIK</t>
        </is>
      </c>
      <c r="F9664" t="inlineStr">
        <is>
          <t>Övriga Aktiebolag</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55174-2023</t>
        </is>
      </c>
      <c r="B9665" s="1" t="n">
        <v>45237</v>
      </c>
      <c r="C9665" s="1" t="n">
        <v>45715</v>
      </c>
      <c r="D9665" t="inlineStr">
        <is>
          <t>KALMAR LÄN</t>
        </is>
      </c>
      <c r="E9665" t="inlineStr">
        <is>
          <t>EMMABODA</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55026-2023</t>
        </is>
      </c>
      <c r="B9666" s="1" t="n">
        <v>45237</v>
      </c>
      <c r="C9666" s="1" t="n">
        <v>45715</v>
      </c>
      <c r="D9666" t="inlineStr">
        <is>
          <t>KALMAR LÄN</t>
        </is>
      </c>
      <c r="E9666" t="inlineStr">
        <is>
          <t>HULTSFRED</t>
        </is>
      </c>
      <c r="G9666" t="n">
        <v>6.9</v>
      </c>
      <c r="H9666" t="n">
        <v>0</v>
      </c>
      <c r="I9666" t="n">
        <v>0</v>
      </c>
      <c r="J9666" t="n">
        <v>0</v>
      </c>
      <c r="K9666" t="n">
        <v>0</v>
      </c>
      <c r="L9666" t="n">
        <v>0</v>
      </c>
      <c r="M9666" t="n">
        <v>0</v>
      </c>
      <c r="N9666" t="n">
        <v>0</v>
      </c>
      <c r="O9666" t="n">
        <v>0</v>
      </c>
      <c r="P9666" t="n">
        <v>0</v>
      </c>
      <c r="Q9666" t="n">
        <v>0</v>
      </c>
      <c r="R9666" s="2" t="inlineStr"/>
    </row>
    <row r="9667" ht="15" customHeight="1">
      <c r="A9667" t="inlineStr">
        <is>
          <t>A 55085-2023</t>
        </is>
      </c>
      <c r="B9667" s="1" t="n">
        <v>45237</v>
      </c>
      <c r="C9667" s="1" t="n">
        <v>45715</v>
      </c>
      <c r="D9667" t="inlineStr">
        <is>
          <t>KALMAR LÄN</t>
        </is>
      </c>
      <c r="E9667" t="inlineStr">
        <is>
          <t>OSKARSHAMN</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55097-2023</t>
        </is>
      </c>
      <c r="B9668" s="1" t="n">
        <v>45237</v>
      </c>
      <c r="C9668" s="1" t="n">
        <v>45715</v>
      </c>
      <c r="D9668" t="inlineStr">
        <is>
          <t>KALMAR LÄN</t>
        </is>
      </c>
      <c r="E9668" t="inlineStr">
        <is>
          <t>OSKARSHAMN</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55076-2023</t>
        </is>
      </c>
      <c r="B9669" s="1" t="n">
        <v>45237</v>
      </c>
      <c r="C9669" s="1" t="n">
        <v>45715</v>
      </c>
      <c r="D9669" t="inlineStr">
        <is>
          <t>KALMAR LÄN</t>
        </is>
      </c>
      <c r="E9669" t="inlineStr">
        <is>
          <t>NYBRO</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55132-2023</t>
        </is>
      </c>
      <c r="B9670" s="1" t="n">
        <v>45237</v>
      </c>
      <c r="C9670" s="1" t="n">
        <v>45715</v>
      </c>
      <c r="D9670" t="inlineStr">
        <is>
          <t>KALMAR LÄN</t>
        </is>
      </c>
      <c r="E9670" t="inlineStr">
        <is>
          <t>OSKARSHAMN</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55170-2023</t>
        </is>
      </c>
      <c r="B9671" s="1" t="n">
        <v>45237</v>
      </c>
      <c r="C9671" s="1" t="n">
        <v>45715</v>
      </c>
      <c r="D9671" t="inlineStr">
        <is>
          <t>KALMAR LÄN</t>
        </is>
      </c>
      <c r="E9671" t="inlineStr">
        <is>
          <t>EMMABODA</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55236-2023</t>
        </is>
      </c>
      <c r="B9672" s="1" t="n">
        <v>45237</v>
      </c>
      <c r="C9672" s="1" t="n">
        <v>45715</v>
      </c>
      <c r="D9672" t="inlineStr">
        <is>
          <t>KALMAR LÄN</t>
        </is>
      </c>
      <c r="E9672" t="inlineStr">
        <is>
          <t>VIMMERBY</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55030-2023</t>
        </is>
      </c>
      <c r="B9673" s="1" t="n">
        <v>45237</v>
      </c>
      <c r="C9673" s="1" t="n">
        <v>45715</v>
      </c>
      <c r="D9673" t="inlineStr">
        <is>
          <t>KALMAR LÄN</t>
        </is>
      </c>
      <c r="E9673" t="inlineStr">
        <is>
          <t>HULTSFRED</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55075-2023</t>
        </is>
      </c>
      <c r="B9674" s="1" t="n">
        <v>45237</v>
      </c>
      <c r="C9674" s="1" t="n">
        <v>45715</v>
      </c>
      <c r="D9674" t="inlineStr">
        <is>
          <t>KALMAR LÄN</t>
        </is>
      </c>
      <c r="E9674" t="inlineStr">
        <is>
          <t>OSKARSHAMN</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55245-2023</t>
        </is>
      </c>
      <c r="B9675" s="1" t="n">
        <v>45237</v>
      </c>
      <c r="C9675" s="1" t="n">
        <v>45715</v>
      </c>
      <c r="D9675" t="inlineStr">
        <is>
          <t>KALMAR LÄN</t>
        </is>
      </c>
      <c r="E9675" t="inlineStr">
        <is>
          <t>VIMMERBY</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55279-2023</t>
        </is>
      </c>
      <c r="B9676" s="1" t="n">
        <v>45237</v>
      </c>
      <c r="C9676" s="1" t="n">
        <v>45715</v>
      </c>
      <c r="D9676" t="inlineStr">
        <is>
          <t>KALMAR LÄN</t>
        </is>
      </c>
      <c r="E9676" t="inlineStr">
        <is>
          <t>VIMMERBY</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55287-2023</t>
        </is>
      </c>
      <c r="B9677" s="1" t="n">
        <v>45237</v>
      </c>
      <c r="C9677" s="1" t="n">
        <v>45715</v>
      </c>
      <c r="D9677" t="inlineStr">
        <is>
          <t>KALMAR LÄN</t>
        </is>
      </c>
      <c r="E9677" t="inlineStr">
        <is>
          <t>VÄSTERVIK</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55289-2023</t>
        </is>
      </c>
      <c r="B9678" s="1" t="n">
        <v>45237</v>
      </c>
      <c r="C9678" s="1" t="n">
        <v>45715</v>
      </c>
      <c r="D9678" t="inlineStr">
        <is>
          <t>KALMAR LÄN</t>
        </is>
      </c>
      <c r="E9678" t="inlineStr">
        <is>
          <t>VÄSTERVIK</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55302-2023</t>
        </is>
      </c>
      <c r="B9679" s="1" t="n">
        <v>45237</v>
      </c>
      <c r="C9679" s="1" t="n">
        <v>45715</v>
      </c>
      <c r="D9679" t="inlineStr">
        <is>
          <t>KALMAR LÄN</t>
        </is>
      </c>
      <c r="E9679" t="inlineStr">
        <is>
          <t>KALMAR</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55306-2023</t>
        </is>
      </c>
      <c r="B9680" s="1" t="n">
        <v>45237</v>
      </c>
      <c r="C9680" s="1" t="n">
        <v>45715</v>
      </c>
      <c r="D9680" t="inlineStr">
        <is>
          <t>KALMAR LÄN</t>
        </is>
      </c>
      <c r="E9680" t="inlineStr">
        <is>
          <t>OSKARSHAMN</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55405-2023</t>
        </is>
      </c>
      <c r="B9681" s="1" t="n">
        <v>45238</v>
      </c>
      <c r="C9681" s="1" t="n">
        <v>45715</v>
      </c>
      <c r="D9681" t="inlineStr">
        <is>
          <t>KALMAR LÄN</t>
        </is>
      </c>
      <c r="E9681" t="inlineStr">
        <is>
          <t>MÖNSTERÅS</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55457-2023</t>
        </is>
      </c>
      <c r="B9682" s="1" t="n">
        <v>45238</v>
      </c>
      <c r="C9682" s="1" t="n">
        <v>45715</v>
      </c>
      <c r="D9682" t="inlineStr">
        <is>
          <t>KALMAR LÄN</t>
        </is>
      </c>
      <c r="E9682" t="inlineStr">
        <is>
          <t>VIMMERBY</t>
        </is>
      </c>
      <c r="G9682" t="n">
        <v>6.2</v>
      </c>
      <c r="H9682" t="n">
        <v>0</v>
      </c>
      <c r="I9682" t="n">
        <v>0</v>
      </c>
      <c r="J9682" t="n">
        <v>0</v>
      </c>
      <c r="K9682" t="n">
        <v>0</v>
      </c>
      <c r="L9682" t="n">
        <v>0</v>
      </c>
      <c r="M9682" t="n">
        <v>0</v>
      </c>
      <c r="N9682" t="n">
        <v>0</v>
      </c>
      <c r="O9682" t="n">
        <v>0</v>
      </c>
      <c r="P9682" t="n">
        <v>0</v>
      </c>
      <c r="Q9682" t="n">
        <v>0</v>
      </c>
      <c r="R9682" s="2" t="inlineStr"/>
    </row>
    <row r="9683" ht="15" customHeight="1">
      <c r="A9683" t="inlineStr">
        <is>
          <t>A 55465-2023</t>
        </is>
      </c>
      <c r="B9683" s="1" t="n">
        <v>45238</v>
      </c>
      <c r="C9683" s="1" t="n">
        <v>45715</v>
      </c>
      <c r="D9683" t="inlineStr">
        <is>
          <t>KALMAR LÄN</t>
        </is>
      </c>
      <c r="E9683" t="inlineStr">
        <is>
          <t>MÖNSTERÅS</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55470-2023</t>
        </is>
      </c>
      <c r="B9684" s="1" t="n">
        <v>45238</v>
      </c>
      <c r="C9684" s="1" t="n">
        <v>45715</v>
      </c>
      <c r="D9684" t="inlineStr">
        <is>
          <t>KALMAR LÄN</t>
        </is>
      </c>
      <c r="E9684" t="inlineStr">
        <is>
          <t>VIMMERBY</t>
        </is>
      </c>
      <c r="G9684" t="n">
        <v>10.4</v>
      </c>
      <c r="H9684" t="n">
        <v>0</v>
      </c>
      <c r="I9684" t="n">
        <v>0</v>
      </c>
      <c r="J9684" t="n">
        <v>0</v>
      </c>
      <c r="K9684" t="n">
        <v>0</v>
      </c>
      <c r="L9684" t="n">
        <v>0</v>
      </c>
      <c r="M9684" t="n">
        <v>0</v>
      </c>
      <c r="N9684" t="n">
        <v>0</v>
      </c>
      <c r="O9684" t="n">
        <v>0</v>
      </c>
      <c r="P9684" t="n">
        <v>0</v>
      </c>
      <c r="Q9684" t="n">
        <v>0</v>
      </c>
      <c r="R9684" s="2" t="inlineStr"/>
    </row>
    <row r="9685" ht="15" customHeight="1">
      <c r="A9685" t="inlineStr">
        <is>
          <t>A 55513-2023</t>
        </is>
      </c>
      <c r="B9685" s="1" t="n">
        <v>45238</v>
      </c>
      <c r="C9685" s="1" t="n">
        <v>45715</v>
      </c>
      <c r="D9685" t="inlineStr">
        <is>
          <t>KALMAR LÄN</t>
        </is>
      </c>
      <c r="E9685" t="inlineStr">
        <is>
          <t>HULTSFRED</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55524-2023</t>
        </is>
      </c>
      <c r="B9686" s="1" t="n">
        <v>45238</v>
      </c>
      <c r="C9686" s="1" t="n">
        <v>45715</v>
      </c>
      <c r="D9686" t="inlineStr">
        <is>
          <t>KALMAR LÄN</t>
        </is>
      </c>
      <c r="E9686" t="inlineStr">
        <is>
          <t>MÖNSTERÅS</t>
        </is>
      </c>
      <c r="F9686" t="inlineStr">
        <is>
          <t>Övriga Aktiebolag</t>
        </is>
      </c>
      <c r="G9686" t="n">
        <v>8.9</v>
      </c>
      <c r="H9686" t="n">
        <v>0</v>
      </c>
      <c r="I9686" t="n">
        <v>0</v>
      </c>
      <c r="J9686" t="n">
        <v>0</v>
      </c>
      <c r="K9686" t="n">
        <v>0</v>
      </c>
      <c r="L9686" t="n">
        <v>0</v>
      </c>
      <c r="M9686" t="n">
        <v>0</v>
      </c>
      <c r="N9686" t="n">
        <v>0</v>
      </c>
      <c r="O9686" t="n">
        <v>0</v>
      </c>
      <c r="P9686" t="n">
        <v>0</v>
      </c>
      <c r="Q9686" t="n">
        <v>0</v>
      </c>
      <c r="R9686" s="2" t="inlineStr"/>
    </row>
    <row r="9687" ht="15" customHeight="1">
      <c r="A9687" t="inlineStr">
        <is>
          <t>A 55403-2023</t>
        </is>
      </c>
      <c r="B9687" s="1" t="n">
        <v>45238</v>
      </c>
      <c r="C9687" s="1" t="n">
        <v>45715</v>
      </c>
      <c r="D9687" t="inlineStr">
        <is>
          <t>KALMAR LÄN</t>
        </is>
      </c>
      <c r="E9687" t="inlineStr">
        <is>
          <t>VÄSTERVIK</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55436-2023</t>
        </is>
      </c>
      <c r="B9688" s="1" t="n">
        <v>45238</v>
      </c>
      <c r="C9688" s="1" t="n">
        <v>45715</v>
      </c>
      <c r="D9688" t="inlineStr">
        <is>
          <t>KALMAR LÄN</t>
        </is>
      </c>
      <c r="E9688" t="inlineStr">
        <is>
          <t>VIMMERBY</t>
        </is>
      </c>
      <c r="G9688" t="n">
        <v>5.6</v>
      </c>
      <c r="H9688" t="n">
        <v>0</v>
      </c>
      <c r="I9688" t="n">
        <v>0</v>
      </c>
      <c r="J9688" t="n">
        <v>0</v>
      </c>
      <c r="K9688" t="n">
        <v>0</v>
      </c>
      <c r="L9688" t="n">
        <v>0</v>
      </c>
      <c r="M9688" t="n">
        <v>0</v>
      </c>
      <c r="N9688" t="n">
        <v>0</v>
      </c>
      <c r="O9688" t="n">
        <v>0</v>
      </c>
      <c r="P9688" t="n">
        <v>0</v>
      </c>
      <c r="Q9688" t="n">
        <v>0</v>
      </c>
      <c r="R9688" s="2" t="inlineStr"/>
    </row>
    <row r="9689" ht="15" customHeight="1">
      <c r="A9689" t="inlineStr">
        <is>
          <t>A 55573-2023</t>
        </is>
      </c>
      <c r="B9689" s="1" t="n">
        <v>45238</v>
      </c>
      <c r="C9689" s="1" t="n">
        <v>45715</v>
      </c>
      <c r="D9689" t="inlineStr">
        <is>
          <t>KALMAR LÄN</t>
        </is>
      </c>
      <c r="E9689" t="inlineStr">
        <is>
          <t>MÖNSTERÅS</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55510-2023</t>
        </is>
      </c>
      <c r="B9690" s="1" t="n">
        <v>45238</v>
      </c>
      <c r="C9690" s="1" t="n">
        <v>45715</v>
      </c>
      <c r="D9690" t="inlineStr">
        <is>
          <t>KALMAR LÄN</t>
        </is>
      </c>
      <c r="E9690" t="inlineStr">
        <is>
          <t>VIMMERBY</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55515-2023</t>
        </is>
      </c>
      <c r="B9691" s="1" t="n">
        <v>45238</v>
      </c>
      <c r="C9691" s="1" t="n">
        <v>45715</v>
      </c>
      <c r="D9691" t="inlineStr">
        <is>
          <t>KALMAR LÄN</t>
        </is>
      </c>
      <c r="E9691" t="inlineStr">
        <is>
          <t>HULTSFRED</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55411-2023</t>
        </is>
      </c>
      <c r="B9692" s="1" t="n">
        <v>45238</v>
      </c>
      <c r="C9692" s="1" t="n">
        <v>45715</v>
      </c>
      <c r="D9692" t="inlineStr">
        <is>
          <t>KALMAR LÄN</t>
        </is>
      </c>
      <c r="E9692" t="inlineStr">
        <is>
          <t>MÖNSTERÅS</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55445-2023</t>
        </is>
      </c>
      <c r="B9693" s="1" t="n">
        <v>45238</v>
      </c>
      <c r="C9693" s="1" t="n">
        <v>45715</v>
      </c>
      <c r="D9693" t="inlineStr">
        <is>
          <t>KALMAR LÄN</t>
        </is>
      </c>
      <c r="E9693" t="inlineStr">
        <is>
          <t>NYBRO</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55469-2023</t>
        </is>
      </c>
      <c r="B9694" s="1" t="n">
        <v>45238</v>
      </c>
      <c r="C9694" s="1" t="n">
        <v>45715</v>
      </c>
      <c r="D9694" t="inlineStr">
        <is>
          <t>KALMAR LÄN</t>
        </is>
      </c>
      <c r="E9694" t="inlineStr">
        <is>
          <t>HULTSFRED</t>
        </is>
      </c>
      <c r="F9694" t="inlineStr">
        <is>
          <t>Kyrkan</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55578-2023</t>
        </is>
      </c>
      <c r="B9695" s="1" t="n">
        <v>45238</v>
      </c>
      <c r="C9695" s="1" t="n">
        <v>45715</v>
      </c>
      <c r="D9695" t="inlineStr">
        <is>
          <t>KALMAR LÄN</t>
        </is>
      </c>
      <c r="E9695" t="inlineStr">
        <is>
          <t>VÄSTERVIK</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55576-2023</t>
        </is>
      </c>
      <c r="B9696" s="1" t="n">
        <v>45238</v>
      </c>
      <c r="C9696" s="1" t="n">
        <v>45715</v>
      </c>
      <c r="D9696" t="inlineStr">
        <is>
          <t>KALMAR LÄN</t>
        </is>
      </c>
      <c r="E9696" t="inlineStr">
        <is>
          <t>MÖNSTERÅS</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56719-2023</t>
        </is>
      </c>
      <c r="B9697" s="1" t="n">
        <v>45238</v>
      </c>
      <c r="C9697" s="1" t="n">
        <v>45715</v>
      </c>
      <c r="D9697" t="inlineStr">
        <is>
          <t>KALMAR LÄN</t>
        </is>
      </c>
      <c r="E9697" t="inlineStr">
        <is>
          <t>VÄSTERVIK</t>
        </is>
      </c>
      <c r="F9697" t="inlineStr">
        <is>
          <t>Sveaskog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55442-2023</t>
        </is>
      </c>
      <c r="B9698" s="1" t="n">
        <v>45238</v>
      </c>
      <c r="C9698" s="1" t="n">
        <v>45715</v>
      </c>
      <c r="D9698" t="inlineStr">
        <is>
          <t>KALMAR LÄN</t>
        </is>
      </c>
      <c r="E9698" t="inlineStr">
        <is>
          <t>VIMMERBY</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55458-2023</t>
        </is>
      </c>
      <c r="B9699" s="1" t="n">
        <v>45238</v>
      </c>
      <c r="C9699" s="1" t="n">
        <v>45715</v>
      </c>
      <c r="D9699" t="inlineStr">
        <is>
          <t>KALMAR LÄN</t>
        </is>
      </c>
      <c r="E9699" t="inlineStr">
        <is>
          <t>HULTSFRED</t>
        </is>
      </c>
      <c r="F9699" t="inlineStr">
        <is>
          <t>Kyrkan</t>
        </is>
      </c>
      <c r="G9699" t="n">
        <v>7.4</v>
      </c>
      <c r="H9699" t="n">
        <v>0</v>
      </c>
      <c r="I9699" t="n">
        <v>0</v>
      </c>
      <c r="J9699" t="n">
        <v>0</v>
      </c>
      <c r="K9699" t="n">
        <v>0</v>
      </c>
      <c r="L9699" t="n">
        <v>0</v>
      </c>
      <c r="M9699" t="n">
        <v>0</v>
      </c>
      <c r="N9699" t="n">
        <v>0</v>
      </c>
      <c r="O9699" t="n">
        <v>0</v>
      </c>
      <c r="P9699" t="n">
        <v>0</v>
      </c>
      <c r="Q9699" t="n">
        <v>0</v>
      </c>
      <c r="R9699" s="2" t="inlineStr"/>
    </row>
    <row r="9700" ht="15" customHeight="1">
      <c r="A9700" t="inlineStr">
        <is>
          <t>A 55462-2023</t>
        </is>
      </c>
      <c r="B9700" s="1" t="n">
        <v>45238</v>
      </c>
      <c r="C9700" s="1" t="n">
        <v>45715</v>
      </c>
      <c r="D9700" t="inlineStr">
        <is>
          <t>KALMAR LÄN</t>
        </is>
      </c>
      <c r="E9700" t="inlineStr">
        <is>
          <t>MÖNSTERÅS</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55495-2023</t>
        </is>
      </c>
      <c r="B9701" s="1" t="n">
        <v>45238</v>
      </c>
      <c r="C9701" s="1" t="n">
        <v>45715</v>
      </c>
      <c r="D9701" t="inlineStr">
        <is>
          <t>KALMAR LÄN</t>
        </is>
      </c>
      <c r="E9701" t="inlineStr">
        <is>
          <t>HULTSFRED</t>
        </is>
      </c>
      <c r="F9701" t="inlineStr">
        <is>
          <t>Kyrkan</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55501-2023</t>
        </is>
      </c>
      <c r="B9702" s="1" t="n">
        <v>45238</v>
      </c>
      <c r="C9702" s="1" t="n">
        <v>45715</v>
      </c>
      <c r="D9702" t="inlineStr">
        <is>
          <t>KALMAR LÄN</t>
        </is>
      </c>
      <c r="E9702" t="inlineStr">
        <is>
          <t>HULTSFRED</t>
        </is>
      </c>
      <c r="F9702" t="inlineStr">
        <is>
          <t>Kyrkan</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55615-2023</t>
        </is>
      </c>
      <c r="B9703" s="1" t="n">
        <v>45238</v>
      </c>
      <c r="C9703" s="1" t="n">
        <v>45715</v>
      </c>
      <c r="D9703" t="inlineStr">
        <is>
          <t>KALMAR LÄN</t>
        </is>
      </c>
      <c r="E9703" t="inlineStr">
        <is>
          <t>EMMABODA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55717-2023</t>
        </is>
      </c>
      <c r="B9704" s="1" t="n">
        <v>45239</v>
      </c>
      <c r="C9704" s="1" t="n">
        <v>45715</v>
      </c>
      <c r="D9704" t="inlineStr">
        <is>
          <t>KALMAR LÄN</t>
        </is>
      </c>
      <c r="E9704" t="inlineStr">
        <is>
          <t>HÖGSBY</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55703-2023</t>
        </is>
      </c>
      <c r="B9705" s="1" t="n">
        <v>45239</v>
      </c>
      <c r="C9705" s="1" t="n">
        <v>45715</v>
      </c>
      <c r="D9705" t="inlineStr">
        <is>
          <t>KALMAR LÄN</t>
        </is>
      </c>
      <c r="E9705" t="inlineStr">
        <is>
          <t>HÖGSBY</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55723-2023</t>
        </is>
      </c>
      <c r="B9706" s="1" t="n">
        <v>45239</v>
      </c>
      <c r="C9706" s="1" t="n">
        <v>45715</v>
      </c>
      <c r="D9706" t="inlineStr">
        <is>
          <t>KALMAR LÄN</t>
        </is>
      </c>
      <c r="E9706" t="inlineStr">
        <is>
          <t>NYBRO</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55697-2023</t>
        </is>
      </c>
      <c r="B9707" s="1" t="n">
        <v>45239</v>
      </c>
      <c r="C9707" s="1" t="n">
        <v>45715</v>
      </c>
      <c r="D9707" t="inlineStr">
        <is>
          <t>KALMAR LÄN</t>
        </is>
      </c>
      <c r="E9707" t="inlineStr">
        <is>
          <t>HÖGSBY</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55894-2023</t>
        </is>
      </c>
      <c r="B9708" s="1" t="n">
        <v>45239</v>
      </c>
      <c r="C9708" s="1" t="n">
        <v>45715</v>
      </c>
      <c r="D9708" t="inlineStr">
        <is>
          <t>KALMAR LÄN</t>
        </is>
      </c>
      <c r="E9708" t="inlineStr">
        <is>
          <t>OSKARSHAMN</t>
        </is>
      </c>
      <c r="G9708" t="n">
        <v>3.8</v>
      </c>
      <c r="H9708" t="n">
        <v>0</v>
      </c>
      <c r="I9708" t="n">
        <v>0</v>
      </c>
      <c r="J9708" t="n">
        <v>0</v>
      </c>
      <c r="K9708" t="n">
        <v>0</v>
      </c>
      <c r="L9708" t="n">
        <v>0</v>
      </c>
      <c r="M9708" t="n">
        <v>0</v>
      </c>
      <c r="N9708" t="n">
        <v>0</v>
      </c>
      <c r="O9708" t="n">
        <v>0</v>
      </c>
      <c r="P9708" t="n">
        <v>0</v>
      </c>
      <c r="Q9708" t="n">
        <v>0</v>
      </c>
      <c r="R9708" s="2" t="inlineStr"/>
    </row>
    <row r="9709" ht="15" customHeight="1">
      <c r="A9709" t="inlineStr">
        <is>
          <t>A 55898-2023</t>
        </is>
      </c>
      <c r="B9709" s="1" t="n">
        <v>45239</v>
      </c>
      <c r="C9709" s="1" t="n">
        <v>45715</v>
      </c>
      <c r="D9709" t="inlineStr">
        <is>
          <t>KALMAR LÄN</t>
        </is>
      </c>
      <c r="E9709" t="inlineStr">
        <is>
          <t>OSKARSHAMN</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55896-2023</t>
        </is>
      </c>
      <c r="B9710" s="1" t="n">
        <v>45239</v>
      </c>
      <c r="C9710" s="1" t="n">
        <v>45715</v>
      </c>
      <c r="D9710" t="inlineStr">
        <is>
          <t>KALMAR LÄN</t>
        </is>
      </c>
      <c r="E9710" t="inlineStr">
        <is>
          <t>OSKARSHAMN</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55906-2023</t>
        </is>
      </c>
      <c r="B9711" s="1" t="n">
        <v>45239</v>
      </c>
      <c r="C9711" s="1" t="n">
        <v>45715</v>
      </c>
      <c r="D9711" t="inlineStr">
        <is>
          <t>KALMAR LÄN</t>
        </is>
      </c>
      <c r="E9711" t="inlineStr">
        <is>
          <t>EMMABODA</t>
        </is>
      </c>
      <c r="G9711" t="n">
        <v>5.5</v>
      </c>
      <c r="H9711" t="n">
        <v>0</v>
      </c>
      <c r="I9711" t="n">
        <v>0</v>
      </c>
      <c r="J9711" t="n">
        <v>0</v>
      </c>
      <c r="K9711" t="n">
        <v>0</v>
      </c>
      <c r="L9711" t="n">
        <v>0</v>
      </c>
      <c r="M9711" t="n">
        <v>0</v>
      </c>
      <c r="N9711" t="n">
        <v>0</v>
      </c>
      <c r="O9711" t="n">
        <v>0</v>
      </c>
      <c r="P9711" t="n">
        <v>0</v>
      </c>
      <c r="Q9711" t="n">
        <v>0</v>
      </c>
      <c r="R9711" s="2" t="inlineStr"/>
    </row>
    <row r="9712" ht="15" customHeight="1">
      <c r="A9712" t="inlineStr">
        <is>
          <t>A 55900-2023</t>
        </is>
      </c>
      <c r="B9712" s="1" t="n">
        <v>45239</v>
      </c>
      <c r="C9712" s="1" t="n">
        <v>45715</v>
      </c>
      <c r="D9712" t="inlineStr">
        <is>
          <t>KALMAR LÄN</t>
        </is>
      </c>
      <c r="E9712" t="inlineStr">
        <is>
          <t>OSKARSHAMN</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55850-2023</t>
        </is>
      </c>
      <c r="B9713" s="1" t="n">
        <v>45239</v>
      </c>
      <c r="C9713" s="1" t="n">
        <v>45715</v>
      </c>
      <c r="D9713" t="inlineStr">
        <is>
          <t>KALMAR LÄN</t>
        </is>
      </c>
      <c r="E9713" t="inlineStr">
        <is>
          <t>EMMABODA</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57139-2023</t>
        </is>
      </c>
      <c r="B9714" s="1" t="n">
        <v>45239</v>
      </c>
      <c r="C9714" s="1" t="n">
        <v>45715</v>
      </c>
      <c r="D9714" t="inlineStr">
        <is>
          <t>KALMAR LÄN</t>
        </is>
      </c>
      <c r="E9714" t="inlineStr">
        <is>
          <t>KALMAR</t>
        </is>
      </c>
      <c r="F9714" t="inlineStr">
        <is>
          <t>Kyrkan</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55674-2023</t>
        </is>
      </c>
      <c r="B9715" s="1" t="n">
        <v>45239</v>
      </c>
      <c r="C9715" s="1" t="n">
        <v>45715</v>
      </c>
      <c r="D9715" t="inlineStr">
        <is>
          <t>KALMAR LÄN</t>
        </is>
      </c>
      <c r="E9715" t="inlineStr">
        <is>
          <t>HULTSFRED</t>
        </is>
      </c>
      <c r="G9715" t="n">
        <v>5.6</v>
      </c>
      <c r="H9715" t="n">
        <v>0</v>
      </c>
      <c r="I9715" t="n">
        <v>0</v>
      </c>
      <c r="J9715" t="n">
        <v>0</v>
      </c>
      <c r="K9715" t="n">
        <v>0</v>
      </c>
      <c r="L9715" t="n">
        <v>0</v>
      </c>
      <c r="M9715" t="n">
        <v>0</v>
      </c>
      <c r="N9715" t="n">
        <v>0</v>
      </c>
      <c r="O9715" t="n">
        <v>0</v>
      </c>
      <c r="P9715" t="n">
        <v>0</v>
      </c>
      <c r="Q9715" t="n">
        <v>0</v>
      </c>
      <c r="R9715" s="2" t="inlineStr"/>
    </row>
    <row r="9716" ht="15" customHeight="1">
      <c r="A9716" t="inlineStr">
        <is>
          <t>A 55702-2023</t>
        </is>
      </c>
      <c r="B9716" s="1" t="n">
        <v>45239</v>
      </c>
      <c r="C9716" s="1" t="n">
        <v>45715</v>
      </c>
      <c r="D9716" t="inlineStr">
        <is>
          <t>KALMAR LÄN</t>
        </is>
      </c>
      <c r="E9716" t="inlineStr">
        <is>
          <t>HÖGSBY</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55830-2023</t>
        </is>
      </c>
      <c r="B9717" s="1" t="n">
        <v>45239</v>
      </c>
      <c r="C9717" s="1" t="n">
        <v>45715</v>
      </c>
      <c r="D9717" t="inlineStr">
        <is>
          <t>KALMAR LÄN</t>
        </is>
      </c>
      <c r="E9717" t="inlineStr">
        <is>
          <t>EMMABODA</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55866-2023</t>
        </is>
      </c>
      <c r="B9718" s="1" t="n">
        <v>45239</v>
      </c>
      <c r="C9718" s="1" t="n">
        <v>45715</v>
      </c>
      <c r="D9718" t="inlineStr">
        <is>
          <t>KALMAR LÄN</t>
        </is>
      </c>
      <c r="E9718" t="inlineStr">
        <is>
          <t>VÄSTERVIK</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56197-2023</t>
        </is>
      </c>
      <c r="B9719" s="1" t="n">
        <v>45240</v>
      </c>
      <c r="C9719" s="1" t="n">
        <v>45715</v>
      </c>
      <c r="D9719" t="inlineStr">
        <is>
          <t>KALMAR LÄN</t>
        </is>
      </c>
      <c r="E9719" t="inlineStr">
        <is>
          <t>OSKARSHAMN</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56189-2023</t>
        </is>
      </c>
      <c r="B9720" s="1" t="n">
        <v>45240</v>
      </c>
      <c r="C9720" s="1" t="n">
        <v>45715</v>
      </c>
      <c r="D9720" t="inlineStr">
        <is>
          <t>KALMAR LÄN</t>
        </is>
      </c>
      <c r="E9720" t="inlineStr">
        <is>
          <t>OSKARSHAMN</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56206-2023</t>
        </is>
      </c>
      <c r="B9721" s="1" t="n">
        <v>45240</v>
      </c>
      <c r="C9721" s="1" t="n">
        <v>45715</v>
      </c>
      <c r="D9721" t="inlineStr">
        <is>
          <t>KALMAR LÄN</t>
        </is>
      </c>
      <c r="E9721" t="inlineStr">
        <is>
          <t>OSKARSHAMN</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56194-2023</t>
        </is>
      </c>
      <c r="B9722" s="1" t="n">
        <v>45240</v>
      </c>
      <c r="C9722" s="1" t="n">
        <v>45715</v>
      </c>
      <c r="D9722" t="inlineStr">
        <is>
          <t>KALMAR LÄN</t>
        </is>
      </c>
      <c r="E9722" t="inlineStr">
        <is>
          <t>OSKARSHAMN</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56103-2023</t>
        </is>
      </c>
      <c r="B9723" s="1" t="n">
        <v>45240</v>
      </c>
      <c r="C9723" s="1" t="n">
        <v>45715</v>
      </c>
      <c r="D9723" t="inlineStr">
        <is>
          <t>KALMAR LÄN</t>
        </is>
      </c>
      <c r="E9723" t="inlineStr">
        <is>
          <t>NYBRO</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56005-2023</t>
        </is>
      </c>
      <c r="B9724" s="1" t="n">
        <v>45240</v>
      </c>
      <c r="C9724" s="1" t="n">
        <v>45715</v>
      </c>
      <c r="D9724" t="inlineStr">
        <is>
          <t>KALMAR LÄN</t>
        </is>
      </c>
      <c r="E9724" t="inlineStr">
        <is>
          <t>OSKARSHAMN</t>
        </is>
      </c>
      <c r="G9724" t="n">
        <v>7.7</v>
      </c>
      <c r="H9724" t="n">
        <v>0</v>
      </c>
      <c r="I9724" t="n">
        <v>0</v>
      </c>
      <c r="J9724" t="n">
        <v>0</v>
      </c>
      <c r="K9724" t="n">
        <v>0</v>
      </c>
      <c r="L9724" t="n">
        <v>0</v>
      </c>
      <c r="M9724" t="n">
        <v>0</v>
      </c>
      <c r="N9724" t="n">
        <v>0</v>
      </c>
      <c r="O9724" t="n">
        <v>0</v>
      </c>
      <c r="P9724" t="n">
        <v>0</v>
      </c>
      <c r="Q9724" t="n">
        <v>0</v>
      </c>
      <c r="R9724" s="2" t="inlineStr"/>
    </row>
    <row r="9725" ht="15" customHeight="1">
      <c r="A9725" t="inlineStr">
        <is>
          <t>A 55995-2023</t>
        </is>
      </c>
      <c r="B9725" s="1" t="n">
        <v>45240</v>
      </c>
      <c r="C9725" s="1" t="n">
        <v>45715</v>
      </c>
      <c r="D9725" t="inlineStr">
        <is>
          <t>KALMAR LÄN</t>
        </is>
      </c>
      <c r="E9725" t="inlineStr">
        <is>
          <t>OSKARSHAMN</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55985-2023</t>
        </is>
      </c>
      <c r="B9726" s="1" t="n">
        <v>45240</v>
      </c>
      <c r="C9726" s="1" t="n">
        <v>45715</v>
      </c>
      <c r="D9726" t="inlineStr">
        <is>
          <t>KALMAR LÄN</t>
        </is>
      </c>
      <c r="E9726" t="inlineStr">
        <is>
          <t>OSKARSHAMN</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55958-2023</t>
        </is>
      </c>
      <c r="B9727" s="1" t="n">
        <v>45240</v>
      </c>
      <c r="C9727" s="1" t="n">
        <v>45715</v>
      </c>
      <c r="D9727" t="inlineStr">
        <is>
          <t>KALMAR LÄN</t>
        </is>
      </c>
      <c r="E9727" t="inlineStr">
        <is>
          <t>VÄSTERVIK</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56204-2023</t>
        </is>
      </c>
      <c r="B9728" s="1" t="n">
        <v>45240</v>
      </c>
      <c r="C9728" s="1" t="n">
        <v>45715</v>
      </c>
      <c r="D9728" t="inlineStr">
        <is>
          <t>KALMAR LÄN</t>
        </is>
      </c>
      <c r="E9728" t="inlineStr">
        <is>
          <t>OSKARSHAMN</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56188-2023</t>
        </is>
      </c>
      <c r="B9729" s="1" t="n">
        <v>45240</v>
      </c>
      <c r="C9729" s="1" t="n">
        <v>45715</v>
      </c>
      <c r="D9729" t="inlineStr">
        <is>
          <t>KALMAR LÄN</t>
        </is>
      </c>
      <c r="E9729" t="inlineStr">
        <is>
          <t>VÄSTERVIK</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56069-2023</t>
        </is>
      </c>
      <c r="B9730" s="1" t="n">
        <v>45240</v>
      </c>
      <c r="C9730" s="1" t="n">
        <v>45715</v>
      </c>
      <c r="D9730" t="inlineStr">
        <is>
          <t>KALMAR LÄN</t>
        </is>
      </c>
      <c r="E9730" t="inlineStr">
        <is>
          <t>NYBRO</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56033-2023</t>
        </is>
      </c>
      <c r="B9731" s="1" t="n">
        <v>45240</v>
      </c>
      <c r="C9731" s="1" t="n">
        <v>45715</v>
      </c>
      <c r="D9731" t="inlineStr">
        <is>
          <t>KALMAR LÄN</t>
        </is>
      </c>
      <c r="E9731" t="inlineStr">
        <is>
          <t>VÄSTERVIK</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55999-2023</t>
        </is>
      </c>
      <c r="B9732" s="1" t="n">
        <v>45240</v>
      </c>
      <c r="C9732" s="1" t="n">
        <v>45715</v>
      </c>
      <c r="D9732" t="inlineStr">
        <is>
          <t>KALMAR LÄN</t>
        </is>
      </c>
      <c r="E9732" t="inlineStr">
        <is>
          <t>OSKARSHAMN</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55993-2023</t>
        </is>
      </c>
      <c r="B9733" s="1" t="n">
        <v>45240</v>
      </c>
      <c r="C9733" s="1" t="n">
        <v>45715</v>
      </c>
      <c r="D9733" t="inlineStr">
        <is>
          <t>KALMAR LÄN</t>
        </is>
      </c>
      <c r="E9733" t="inlineStr">
        <is>
          <t>HULTSFRED</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55967-2023</t>
        </is>
      </c>
      <c r="B9734" s="1" t="n">
        <v>45240</v>
      </c>
      <c r="C9734" s="1" t="n">
        <v>45715</v>
      </c>
      <c r="D9734" t="inlineStr">
        <is>
          <t>KALMAR LÄN</t>
        </is>
      </c>
      <c r="E9734" t="inlineStr">
        <is>
          <t>TORSÅS</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56199-2023</t>
        </is>
      </c>
      <c r="B9735" s="1" t="n">
        <v>45240</v>
      </c>
      <c r="C9735" s="1" t="n">
        <v>45715</v>
      </c>
      <c r="D9735" t="inlineStr">
        <is>
          <t>KALMAR LÄN</t>
        </is>
      </c>
      <c r="E9735" t="inlineStr">
        <is>
          <t>OSKARSHAMN</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56187-2023</t>
        </is>
      </c>
      <c r="B9736" s="1" t="n">
        <v>45240</v>
      </c>
      <c r="C9736" s="1" t="n">
        <v>45715</v>
      </c>
      <c r="D9736" t="inlineStr">
        <is>
          <t>KALMAR LÄN</t>
        </is>
      </c>
      <c r="E9736" t="inlineStr">
        <is>
          <t>VÄSTERVIK</t>
        </is>
      </c>
      <c r="G9736" t="n">
        <v>1.3</v>
      </c>
      <c r="H9736" t="n">
        <v>0</v>
      </c>
      <c r="I9736" t="n">
        <v>0</v>
      </c>
      <c r="J9736" t="n">
        <v>0</v>
      </c>
      <c r="K9736" t="n">
        <v>0</v>
      </c>
      <c r="L9736" t="n">
        <v>0</v>
      </c>
      <c r="M9736" t="n">
        <v>0</v>
      </c>
      <c r="N9736" t="n">
        <v>0</v>
      </c>
      <c r="O9736" t="n">
        <v>0</v>
      </c>
      <c r="P9736" t="n">
        <v>0</v>
      </c>
      <c r="Q9736" t="n">
        <v>0</v>
      </c>
      <c r="R9736" s="2" t="inlineStr"/>
      <c r="U9736">
        <f>HYPERLINK("https://klasma.github.io/Logging_0883/knärot/A 56187-2023 karta knärot.png", "A 56187-2023")</f>
        <v/>
      </c>
      <c r="V9736">
        <f>HYPERLINK("https://klasma.github.io/Logging_0883/klagomål/A 56187-2023 FSC-klagomål.docx", "A 56187-2023")</f>
        <v/>
      </c>
      <c r="W9736">
        <f>HYPERLINK("https://klasma.github.io/Logging_0883/klagomålsmail/A 56187-2023 FSC-klagomål mail.docx", "A 56187-2023")</f>
        <v/>
      </c>
      <c r="X9736">
        <f>HYPERLINK("https://klasma.github.io/Logging_0883/tillsyn/A 56187-2023 tillsynsbegäran.docx", "A 56187-2023")</f>
        <v/>
      </c>
      <c r="Y9736">
        <f>HYPERLINK("https://klasma.github.io/Logging_0883/tillsynsmail/A 56187-2023 tillsynsbegäran mail.docx", "A 56187-2023")</f>
        <v/>
      </c>
    </row>
    <row r="9737" ht="15" customHeight="1">
      <c r="A9737" t="inlineStr">
        <is>
          <t>A 56042-2023</t>
        </is>
      </c>
      <c r="B9737" s="1" t="n">
        <v>45240</v>
      </c>
      <c r="C9737" s="1" t="n">
        <v>45715</v>
      </c>
      <c r="D9737" t="inlineStr">
        <is>
          <t>KALMAR LÄN</t>
        </is>
      </c>
      <c r="E9737" t="inlineStr">
        <is>
          <t>VÄSTERVIK</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55998-2023</t>
        </is>
      </c>
      <c r="B9738" s="1" t="n">
        <v>45240</v>
      </c>
      <c r="C9738" s="1" t="n">
        <v>45715</v>
      </c>
      <c r="D9738" t="inlineStr">
        <is>
          <t>KALMAR LÄN</t>
        </is>
      </c>
      <c r="E9738" t="inlineStr">
        <is>
          <t>OSKARSHAMN</t>
        </is>
      </c>
      <c r="G9738" t="n">
        <v>9.199999999999999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55990-2023</t>
        </is>
      </c>
      <c r="B9739" s="1" t="n">
        <v>45240</v>
      </c>
      <c r="C9739" s="1" t="n">
        <v>45715</v>
      </c>
      <c r="D9739" t="inlineStr">
        <is>
          <t>KALMAR LÄN</t>
        </is>
      </c>
      <c r="E9739" t="inlineStr">
        <is>
          <t>OSKARSHAMN</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56046-2023</t>
        </is>
      </c>
      <c r="B9740" s="1" t="n">
        <v>45240</v>
      </c>
      <c r="C9740" s="1" t="n">
        <v>45715</v>
      </c>
      <c r="D9740" t="inlineStr">
        <is>
          <t>KALMAR LÄN</t>
        </is>
      </c>
      <c r="E9740" t="inlineStr">
        <is>
          <t>VÄSTERVIK</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56000-2023</t>
        </is>
      </c>
      <c r="B9741" s="1" t="n">
        <v>45240</v>
      </c>
      <c r="C9741" s="1" t="n">
        <v>45715</v>
      </c>
      <c r="D9741" t="inlineStr">
        <is>
          <t>KALMAR LÄN</t>
        </is>
      </c>
      <c r="E9741" t="inlineStr">
        <is>
          <t>OSKARSHAMN</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55957-2023</t>
        </is>
      </c>
      <c r="B9742" s="1" t="n">
        <v>45240</v>
      </c>
      <c r="C9742" s="1" t="n">
        <v>45715</v>
      </c>
      <c r="D9742" t="inlineStr">
        <is>
          <t>KALMAR LÄN</t>
        </is>
      </c>
      <c r="E9742" t="inlineStr">
        <is>
          <t>HULTSFRED</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56565-2023</t>
        </is>
      </c>
      <c r="B9743" s="1" t="n">
        <v>45243</v>
      </c>
      <c r="C9743" s="1" t="n">
        <v>45715</v>
      </c>
      <c r="D9743" t="inlineStr">
        <is>
          <t>KALMAR LÄN</t>
        </is>
      </c>
      <c r="E9743" t="inlineStr">
        <is>
          <t>KALMAR</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56613-2023</t>
        </is>
      </c>
      <c r="B9744" s="1" t="n">
        <v>45243</v>
      </c>
      <c r="C9744" s="1" t="n">
        <v>45715</v>
      </c>
      <c r="D9744" t="inlineStr">
        <is>
          <t>KALMAR LÄN</t>
        </is>
      </c>
      <c r="E9744" t="inlineStr">
        <is>
          <t>TORSÅS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56366-2023</t>
        </is>
      </c>
      <c r="B9745" s="1" t="n">
        <v>45243</v>
      </c>
      <c r="C9745" s="1" t="n">
        <v>45715</v>
      </c>
      <c r="D9745" t="inlineStr">
        <is>
          <t>KALMAR LÄN</t>
        </is>
      </c>
      <c r="E9745" t="inlineStr">
        <is>
          <t>TORSÅS</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56510-2023</t>
        </is>
      </c>
      <c r="B9746" s="1" t="n">
        <v>45243</v>
      </c>
      <c r="C9746" s="1" t="n">
        <v>45715</v>
      </c>
      <c r="D9746" t="inlineStr">
        <is>
          <t>KALMAR LÄN</t>
        </is>
      </c>
      <c r="E9746" t="inlineStr">
        <is>
          <t>KALMAR</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56407-2023</t>
        </is>
      </c>
      <c r="B9747" s="1" t="n">
        <v>45243</v>
      </c>
      <c r="C9747" s="1" t="n">
        <v>45715</v>
      </c>
      <c r="D9747" t="inlineStr">
        <is>
          <t>KALMAR LÄN</t>
        </is>
      </c>
      <c r="E9747" t="inlineStr">
        <is>
          <t>EMMABODA</t>
        </is>
      </c>
      <c r="G9747" t="n">
        <v>6.8</v>
      </c>
      <c r="H9747" t="n">
        <v>0</v>
      </c>
      <c r="I9747" t="n">
        <v>0</v>
      </c>
      <c r="J9747" t="n">
        <v>0</v>
      </c>
      <c r="K9747" t="n">
        <v>0</v>
      </c>
      <c r="L9747" t="n">
        <v>0</v>
      </c>
      <c r="M9747" t="n">
        <v>0</v>
      </c>
      <c r="N9747" t="n">
        <v>0</v>
      </c>
      <c r="O9747" t="n">
        <v>0</v>
      </c>
      <c r="P9747" t="n">
        <v>0</v>
      </c>
      <c r="Q9747" t="n">
        <v>0</v>
      </c>
      <c r="R9747" s="2" t="inlineStr"/>
    </row>
    <row r="9748" ht="15" customHeight="1">
      <c r="A9748" t="inlineStr">
        <is>
          <t>A 56657-2023</t>
        </is>
      </c>
      <c r="B9748" s="1" t="n">
        <v>45243</v>
      </c>
      <c r="C9748" s="1" t="n">
        <v>45715</v>
      </c>
      <c r="D9748" t="inlineStr">
        <is>
          <t>KALMAR LÄN</t>
        </is>
      </c>
      <c r="E9748" t="inlineStr">
        <is>
          <t>VIMMERBY</t>
        </is>
      </c>
      <c r="G9748" t="n">
        <v>6.7</v>
      </c>
      <c r="H9748" t="n">
        <v>0</v>
      </c>
      <c r="I9748" t="n">
        <v>0</v>
      </c>
      <c r="J9748" t="n">
        <v>0</v>
      </c>
      <c r="K9748" t="n">
        <v>0</v>
      </c>
      <c r="L9748" t="n">
        <v>0</v>
      </c>
      <c r="M9748" t="n">
        <v>0</v>
      </c>
      <c r="N9748" t="n">
        <v>0</v>
      </c>
      <c r="O9748" t="n">
        <v>0</v>
      </c>
      <c r="P9748" t="n">
        <v>0</v>
      </c>
      <c r="Q9748" t="n">
        <v>0</v>
      </c>
      <c r="R9748" s="2" t="inlineStr"/>
    </row>
    <row r="9749" ht="15" customHeight="1">
      <c r="A9749" t="inlineStr">
        <is>
          <t>A 56659-2023</t>
        </is>
      </c>
      <c r="B9749" s="1" t="n">
        <v>45243</v>
      </c>
      <c r="C9749" s="1" t="n">
        <v>45715</v>
      </c>
      <c r="D9749" t="inlineStr">
        <is>
          <t>KALMAR LÄN</t>
        </is>
      </c>
      <c r="E9749" t="inlineStr">
        <is>
          <t>VIMMERBY</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56705-2023</t>
        </is>
      </c>
      <c r="B9750" s="1" t="n">
        <v>45244</v>
      </c>
      <c r="C9750" s="1" t="n">
        <v>45715</v>
      </c>
      <c r="D9750" t="inlineStr">
        <is>
          <t>KALMAR LÄN</t>
        </is>
      </c>
      <c r="E9750" t="inlineStr">
        <is>
          <t>HÖGSBY</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56748-2023</t>
        </is>
      </c>
      <c r="B9751" s="1" t="n">
        <v>45244</v>
      </c>
      <c r="C9751" s="1" t="n">
        <v>45715</v>
      </c>
      <c r="D9751" t="inlineStr">
        <is>
          <t>KALMAR LÄN</t>
        </is>
      </c>
      <c r="E9751" t="inlineStr">
        <is>
          <t>OSKARSHAMN</t>
        </is>
      </c>
      <c r="G9751" t="n">
        <v>5.2</v>
      </c>
      <c r="H9751" t="n">
        <v>0</v>
      </c>
      <c r="I9751" t="n">
        <v>0</v>
      </c>
      <c r="J9751" t="n">
        <v>0</v>
      </c>
      <c r="K9751" t="n">
        <v>0</v>
      </c>
      <c r="L9751" t="n">
        <v>0</v>
      </c>
      <c r="M9751" t="n">
        <v>0</v>
      </c>
      <c r="N9751" t="n">
        <v>0</v>
      </c>
      <c r="O9751" t="n">
        <v>0</v>
      </c>
      <c r="P9751" t="n">
        <v>0</v>
      </c>
      <c r="Q9751" t="n">
        <v>0</v>
      </c>
      <c r="R9751" s="2" t="inlineStr"/>
    </row>
    <row r="9752" ht="15" customHeight="1">
      <c r="A9752" t="inlineStr">
        <is>
          <t>A 56768-2023</t>
        </is>
      </c>
      <c r="B9752" s="1" t="n">
        <v>45244</v>
      </c>
      <c r="C9752" s="1" t="n">
        <v>45715</v>
      </c>
      <c r="D9752" t="inlineStr">
        <is>
          <t>KALMAR LÄN</t>
        </is>
      </c>
      <c r="E9752" t="inlineStr">
        <is>
          <t>HULTSFRED</t>
        </is>
      </c>
      <c r="G9752" t="n">
        <v>2.4</v>
      </c>
      <c r="H9752" t="n">
        <v>0</v>
      </c>
      <c r="I9752" t="n">
        <v>0</v>
      </c>
      <c r="J9752" t="n">
        <v>0</v>
      </c>
      <c r="K9752" t="n">
        <v>0</v>
      </c>
      <c r="L9752" t="n">
        <v>0</v>
      </c>
      <c r="M9752" t="n">
        <v>0</v>
      </c>
      <c r="N9752" t="n">
        <v>0</v>
      </c>
      <c r="O9752" t="n">
        <v>0</v>
      </c>
      <c r="P9752" t="n">
        <v>0</v>
      </c>
      <c r="Q9752" t="n">
        <v>0</v>
      </c>
      <c r="R9752" s="2" t="inlineStr"/>
      <c r="U9752">
        <f>HYPERLINK("https://klasma.github.io/Logging_0860/knärot/A 56768-2023 karta knärot.png", "A 56768-2023")</f>
        <v/>
      </c>
      <c r="V9752">
        <f>HYPERLINK("https://klasma.github.io/Logging_0860/klagomål/A 56768-2023 FSC-klagomål.docx", "A 56768-2023")</f>
        <v/>
      </c>
      <c r="W9752">
        <f>HYPERLINK("https://klasma.github.io/Logging_0860/klagomålsmail/A 56768-2023 FSC-klagomål mail.docx", "A 56768-2023")</f>
        <v/>
      </c>
      <c r="X9752">
        <f>HYPERLINK("https://klasma.github.io/Logging_0860/tillsyn/A 56768-2023 tillsynsbegäran.docx", "A 56768-2023")</f>
        <v/>
      </c>
      <c r="Y9752">
        <f>HYPERLINK("https://klasma.github.io/Logging_0860/tillsynsmail/A 56768-2023 tillsynsbegäran mail.docx", "A 56768-2023")</f>
        <v/>
      </c>
    </row>
    <row r="9753" ht="15" customHeight="1">
      <c r="A9753" t="inlineStr">
        <is>
          <t>A 56706-2023</t>
        </is>
      </c>
      <c r="B9753" s="1" t="n">
        <v>45244</v>
      </c>
      <c r="C9753" s="1" t="n">
        <v>45715</v>
      </c>
      <c r="D9753" t="inlineStr">
        <is>
          <t>KALMAR LÄN</t>
        </is>
      </c>
      <c r="E9753" t="inlineStr">
        <is>
          <t>HÖGSBY</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56769-2023</t>
        </is>
      </c>
      <c r="B9754" s="1" t="n">
        <v>45244</v>
      </c>
      <c r="C9754" s="1" t="n">
        <v>45715</v>
      </c>
      <c r="D9754" t="inlineStr">
        <is>
          <t>KALMAR LÄN</t>
        </is>
      </c>
      <c r="E9754" t="inlineStr">
        <is>
          <t>OSKARSHAMN</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57019-2023</t>
        </is>
      </c>
      <c r="B9755" s="1" t="n">
        <v>45244</v>
      </c>
      <c r="C9755" s="1" t="n">
        <v>45715</v>
      </c>
      <c r="D9755" t="inlineStr">
        <is>
          <t>KALMAR LÄN</t>
        </is>
      </c>
      <c r="E9755" t="inlineStr">
        <is>
          <t>VÄSTERVIK</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56923-2023</t>
        </is>
      </c>
      <c r="B9756" s="1" t="n">
        <v>45244</v>
      </c>
      <c r="C9756" s="1" t="n">
        <v>45715</v>
      </c>
      <c r="D9756" t="inlineStr">
        <is>
          <t>KALMAR LÄN</t>
        </is>
      </c>
      <c r="E9756" t="inlineStr">
        <is>
          <t>KALMAR</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57036-2023</t>
        </is>
      </c>
      <c r="B9757" s="1" t="n">
        <v>45244</v>
      </c>
      <c r="C9757" s="1" t="n">
        <v>45715</v>
      </c>
      <c r="D9757" t="inlineStr">
        <is>
          <t>KALMAR LÄN</t>
        </is>
      </c>
      <c r="E9757" t="inlineStr">
        <is>
          <t>VIMMERBY</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57040-2023</t>
        </is>
      </c>
      <c r="B9758" s="1" t="n">
        <v>45244</v>
      </c>
      <c r="C9758" s="1" t="n">
        <v>45715</v>
      </c>
      <c r="D9758" t="inlineStr">
        <is>
          <t>KALMAR LÄN</t>
        </is>
      </c>
      <c r="E9758" t="inlineStr">
        <is>
          <t>VIMMERBY</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57882-2023</t>
        </is>
      </c>
      <c r="B9759" s="1" t="n">
        <v>45244</v>
      </c>
      <c r="C9759" s="1" t="n">
        <v>45715</v>
      </c>
      <c r="D9759" t="inlineStr">
        <is>
          <t>KALMAR LÄN</t>
        </is>
      </c>
      <c r="E9759" t="inlineStr">
        <is>
          <t>OSKARSHAMN</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57813-2023</t>
        </is>
      </c>
      <c r="B9760" s="1" t="n">
        <v>45244</v>
      </c>
      <c r="C9760" s="1" t="n">
        <v>45715</v>
      </c>
      <c r="D9760" t="inlineStr">
        <is>
          <t>KALMAR LÄN</t>
        </is>
      </c>
      <c r="E9760" t="inlineStr">
        <is>
          <t>NYBRO</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57823-2023</t>
        </is>
      </c>
      <c r="B9761" s="1" t="n">
        <v>45244</v>
      </c>
      <c r="C9761" s="1" t="n">
        <v>45715</v>
      </c>
      <c r="D9761" t="inlineStr">
        <is>
          <t>KALMAR LÄN</t>
        </is>
      </c>
      <c r="E9761" t="inlineStr">
        <is>
          <t>NYBRO</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57874-2023</t>
        </is>
      </c>
      <c r="B9762" s="1" t="n">
        <v>45244</v>
      </c>
      <c r="C9762" s="1" t="n">
        <v>45715</v>
      </c>
      <c r="D9762" t="inlineStr">
        <is>
          <t>KALMAR LÄN</t>
        </is>
      </c>
      <c r="E9762" t="inlineStr">
        <is>
          <t>OSKARSHAMN</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57809-2023</t>
        </is>
      </c>
      <c r="B9763" s="1" t="n">
        <v>45244</v>
      </c>
      <c r="C9763" s="1" t="n">
        <v>45715</v>
      </c>
      <c r="D9763" t="inlineStr">
        <is>
          <t>KALMAR LÄN</t>
        </is>
      </c>
      <c r="E9763" t="inlineStr">
        <is>
          <t>NYBRO</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57025-2023</t>
        </is>
      </c>
      <c r="B9764" s="1" t="n">
        <v>45244</v>
      </c>
      <c r="C9764" s="1" t="n">
        <v>45715</v>
      </c>
      <c r="D9764" t="inlineStr">
        <is>
          <t>KALMAR LÄN</t>
        </is>
      </c>
      <c r="E9764" t="inlineStr">
        <is>
          <t>VÄSTERVIK</t>
        </is>
      </c>
      <c r="F9764" t="inlineStr">
        <is>
          <t>Sveaskog</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57885-2023</t>
        </is>
      </c>
      <c r="B9765" s="1" t="n">
        <v>45244</v>
      </c>
      <c r="C9765" s="1" t="n">
        <v>45715</v>
      </c>
      <c r="D9765" t="inlineStr">
        <is>
          <t>KALMAR LÄN</t>
        </is>
      </c>
      <c r="E9765" t="inlineStr">
        <is>
          <t>OSKARSHAMN</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57818-2023</t>
        </is>
      </c>
      <c r="B9766" s="1" t="n">
        <v>45244</v>
      </c>
      <c r="C9766" s="1" t="n">
        <v>45715</v>
      </c>
      <c r="D9766" t="inlineStr">
        <is>
          <t>KALMAR LÄN</t>
        </is>
      </c>
      <c r="E9766" t="inlineStr">
        <is>
          <t>NYBRO</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57254-2023</t>
        </is>
      </c>
      <c r="B9767" s="1" t="n">
        <v>45245</v>
      </c>
      <c r="C9767" s="1" t="n">
        <v>45715</v>
      </c>
      <c r="D9767" t="inlineStr">
        <is>
          <t>KALMAR LÄN</t>
        </is>
      </c>
      <c r="E9767" t="inlineStr">
        <is>
          <t>VIMMERBY</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57367-2023</t>
        </is>
      </c>
      <c r="B9768" s="1" t="n">
        <v>45245</v>
      </c>
      <c r="C9768" s="1" t="n">
        <v>45715</v>
      </c>
      <c r="D9768" t="inlineStr">
        <is>
          <t>KALMAR LÄN</t>
        </is>
      </c>
      <c r="E9768" t="inlineStr">
        <is>
          <t>VÄSTERVIK</t>
        </is>
      </c>
      <c r="F9768" t="inlineStr">
        <is>
          <t>Sveaskog</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57088-2023</t>
        </is>
      </c>
      <c r="B9769" s="1" t="n">
        <v>45245</v>
      </c>
      <c r="C9769" s="1" t="n">
        <v>45715</v>
      </c>
      <c r="D9769" t="inlineStr">
        <is>
          <t>KALMAR LÄN</t>
        </is>
      </c>
      <c r="E9769" t="inlineStr">
        <is>
          <t>NYBRO</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57104-2023</t>
        </is>
      </c>
      <c r="B9770" s="1" t="n">
        <v>45245</v>
      </c>
      <c r="C9770" s="1" t="n">
        <v>45715</v>
      </c>
      <c r="D9770" t="inlineStr">
        <is>
          <t>KALMAR LÄN</t>
        </is>
      </c>
      <c r="E9770" t="inlineStr">
        <is>
          <t>OSKARSHAMN</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57114-2023</t>
        </is>
      </c>
      <c r="B9771" s="1" t="n">
        <v>45245</v>
      </c>
      <c r="C9771" s="1" t="n">
        <v>45715</v>
      </c>
      <c r="D9771" t="inlineStr">
        <is>
          <t>KALMAR LÄN</t>
        </is>
      </c>
      <c r="E9771" t="inlineStr">
        <is>
          <t>VIMMERBY</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57162-2023</t>
        </is>
      </c>
      <c r="B9772" s="1" t="n">
        <v>45245</v>
      </c>
      <c r="C9772" s="1" t="n">
        <v>45715</v>
      </c>
      <c r="D9772" t="inlineStr">
        <is>
          <t>KALMAR LÄN</t>
        </is>
      </c>
      <c r="E9772" t="inlineStr">
        <is>
          <t>VÄSTERVIK</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57110-2023</t>
        </is>
      </c>
      <c r="B9773" s="1" t="n">
        <v>45245</v>
      </c>
      <c r="C9773" s="1" t="n">
        <v>45715</v>
      </c>
      <c r="D9773" t="inlineStr">
        <is>
          <t>KALMAR LÄN</t>
        </is>
      </c>
      <c r="E9773" t="inlineStr">
        <is>
          <t>OSKARSHAMN</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57203-2023</t>
        </is>
      </c>
      <c r="B9774" s="1" t="n">
        <v>45245</v>
      </c>
      <c r="C9774" s="1" t="n">
        <v>45715</v>
      </c>
      <c r="D9774" t="inlineStr">
        <is>
          <t>KALMAR LÄN</t>
        </is>
      </c>
      <c r="E9774" t="inlineStr">
        <is>
          <t>EMMABODA</t>
        </is>
      </c>
      <c r="G9774" t="n">
        <v>6.9</v>
      </c>
      <c r="H9774" t="n">
        <v>0</v>
      </c>
      <c r="I9774" t="n">
        <v>0</v>
      </c>
      <c r="J9774" t="n">
        <v>0</v>
      </c>
      <c r="K9774" t="n">
        <v>0</v>
      </c>
      <c r="L9774" t="n">
        <v>0</v>
      </c>
      <c r="M9774" t="n">
        <v>0</v>
      </c>
      <c r="N9774" t="n">
        <v>0</v>
      </c>
      <c r="O9774" t="n">
        <v>0</v>
      </c>
      <c r="P9774" t="n">
        <v>0</v>
      </c>
      <c r="Q9774" t="n">
        <v>0</v>
      </c>
      <c r="R9774" s="2" t="inlineStr"/>
    </row>
    <row r="9775" ht="15" customHeight="1">
      <c r="A9775" t="inlineStr">
        <is>
          <t>A 57264-2023</t>
        </is>
      </c>
      <c r="B9775" s="1" t="n">
        <v>45245</v>
      </c>
      <c r="C9775" s="1" t="n">
        <v>45715</v>
      </c>
      <c r="D9775" t="inlineStr">
        <is>
          <t>KALMAR LÄN</t>
        </is>
      </c>
      <c r="E9775" t="inlineStr">
        <is>
          <t>VIMMERBY</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57311-2023</t>
        </is>
      </c>
      <c r="B9776" s="1" t="n">
        <v>45245</v>
      </c>
      <c r="C9776" s="1" t="n">
        <v>45715</v>
      </c>
      <c r="D9776" t="inlineStr">
        <is>
          <t>KALMAR LÄN</t>
        </is>
      </c>
      <c r="E9776" t="inlineStr">
        <is>
          <t>VIMMERBY</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57256-2023</t>
        </is>
      </c>
      <c r="B9777" s="1" t="n">
        <v>45245</v>
      </c>
      <c r="C9777" s="1" t="n">
        <v>45715</v>
      </c>
      <c r="D9777" t="inlineStr">
        <is>
          <t>KALMAR LÄN</t>
        </is>
      </c>
      <c r="E9777" t="inlineStr">
        <is>
          <t>VIMMERBY</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57269-2023</t>
        </is>
      </c>
      <c r="B9778" s="1" t="n">
        <v>45245</v>
      </c>
      <c r="C9778" s="1" t="n">
        <v>45715</v>
      </c>
      <c r="D9778" t="inlineStr">
        <is>
          <t>KALMAR LÄN</t>
        </is>
      </c>
      <c r="E9778" t="inlineStr">
        <is>
          <t>VIMMERBY</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57317-2023</t>
        </is>
      </c>
      <c r="B9779" s="1" t="n">
        <v>45245</v>
      </c>
      <c r="C9779" s="1" t="n">
        <v>45715</v>
      </c>
      <c r="D9779" t="inlineStr">
        <is>
          <t>KALMAR LÄN</t>
        </is>
      </c>
      <c r="E9779" t="inlineStr">
        <is>
          <t>VIMMERBY</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57369-2023</t>
        </is>
      </c>
      <c r="B9780" s="1" t="n">
        <v>45245</v>
      </c>
      <c r="C9780" s="1" t="n">
        <v>45715</v>
      </c>
      <c r="D9780" t="inlineStr">
        <is>
          <t>KALMAR LÄN</t>
        </is>
      </c>
      <c r="E9780" t="inlineStr">
        <is>
          <t>VÄSTERVIK</t>
        </is>
      </c>
      <c r="F9780" t="inlineStr">
        <is>
          <t>Sveaskog</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57329-2023</t>
        </is>
      </c>
      <c r="B9781" s="1" t="n">
        <v>45245</v>
      </c>
      <c r="C9781" s="1" t="n">
        <v>45715</v>
      </c>
      <c r="D9781" t="inlineStr">
        <is>
          <t>KALMAR LÄN</t>
        </is>
      </c>
      <c r="E9781" t="inlineStr">
        <is>
          <t>VIMMERBY</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57368-2023</t>
        </is>
      </c>
      <c r="B9782" s="1" t="n">
        <v>45245</v>
      </c>
      <c r="C9782" s="1" t="n">
        <v>45715</v>
      </c>
      <c r="D9782" t="inlineStr">
        <is>
          <t>KALMAR LÄN</t>
        </is>
      </c>
      <c r="E9782" t="inlineStr">
        <is>
          <t>VÄSTERVIK</t>
        </is>
      </c>
      <c r="F9782" t="inlineStr">
        <is>
          <t>Sveaskog</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57366-2023</t>
        </is>
      </c>
      <c r="B9783" s="1" t="n">
        <v>45245</v>
      </c>
      <c r="C9783" s="1" t="n">
        <v>45715</v>
      </c>
      <c r="D9783" t="inlineStr">
        <is>
          <t>KALMAR LÄN</t>
        </is>
      </c>
      <c r="E9783" t="inlineStr">
        <is>
          <t>VÄSTERVIK</t>
        </is>
      </c>
      <c r="F9783" t="inlineStr">
        <is>
          <t>Sveaskog</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57673-2023</t>
        </is>
      </c>
      <c r="B9784" s="1" t="n">
        <v>45246</v>
      </c>
      <c r="C9784" s="1" t="n">
        <v>45715</v>
      </c>
      <c r="D9784" t="inlineStr">
        <is>
          <t>KALMAR LÄN</t>
        </is>
      </c>
      <c r="E9784" t="inlineStr">
        <is>
          <t>HÖGSBY</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57708-2023</t>
        </is>
      </c>
      <c r="B9785" s="1" t="n">
        <v>45246</v>
      </c>
      <c r="C9785" s="1" t="n">
        <v>45715</v>
      </c>
      <c r="D9785" t="inlineStr">
        <is>
          <t>KALMAR LÄN</t>
        </is>
      </c>
      <c r="E9785" t="inlineStr">
        <is>
          <t>NYBRO</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57616-2023</t>
        </is>
      </c>
      <c r="B9786" s="1" t="n">
        <v>45246</v>
      </c>
      <c r="C9786" s="1" t="n">
        <v>45715</v>
      </c>
      <c r="D9786" t="inlineStr">
        <is>
          <t>KALMAR LÄN</t>
        </is>
      </c>
      <c r="E9786" t="inlineStr">
        <is>
          <t>KALMAR</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57653-2023</t>
        </is>
      </c>
      <c r="B9787" s="1" t="n">
        <v>45246</v>
      </c>
      <c r="C9787" s="1" t="n">
        <v>45715</v>
      </c>
      <c r="D9787" t="inlineStr">
        <is>
          <t>KALMAR LÄN</t>
        </is>
      </c>
      <c r="E9787" t="inlineStr">
        <is>
          <t>KALMAR</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57696-2023</t>
        </is>
      </c>
      <c r="B9788" s="1" t="n">
        <v>45246</v>
      </c>
      <c r="C9788" s="1" t="n">
        <v>45715</v>
      </c>
      <c r="D9788" t="inlineStr">
        <is>
          <t>KALMAR LÄN</t>
        </is>
      </c>
      <c r="E9788" t="inlineStr">
        <is>
          <t>KALMAR</t>
        </is>
      </c>
      <c r="G9788" t="n">
        <v>4.4</v>
      </c>
      <c r="H9788" t="n">
        <v>0</v>
      </c>
      <c r="I9788" t="n">
        <v>0</v>
      </c>
      <c r="J9788" t="n">
        <v>0</v>
      </c>
      <c r="K9788" t="n">
        <v>0</v>
      </c>
      <c r="L9788" t="n">
        <v>0</v>
      </c>
      <c r="M9788" t="n">
        <v>0</v>
      </c>
      <c r="N9788" t="n">
        <v>0</v>
      </c>
      <c r="O9788" t="n">
        <v>0</v>
      </c>
      <c r="P9788" t="n">
        <v>0</v>
      </c>
      <c r="Q9788" t="n">
        <v>0</v>
      </c>
      <c r="R9788" s="2" t="inlineStr"/>
    </row>
    <row r="9789" ht="15" customHeight="1">
      <c r="A9789" t="inlineStr">
        <is>
          <t>A 57617-2023</t>
        </is>
      </c>
      <c r="B9789" s="1" t="n">
        <v>45246</v>
      </c>
      <c r="C9789" s="1" t="n">
        <v>45715</v>
      </c>
      <c r="D9789" t="inlineStr">
        <is>
          <t>KALMAR LÄN</t>
        </is>
      </c>
      <c r="E9789" t="inlineStr">
        <is>
          <t>KALMAR</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57626-2023</t>
        </is>
      </c>
      <c r="B9790" s="1" t="n">
        <v>45246</v>
      </c>
      <c r="C9790" s="1" t="n">
        <v>45715</v>
      </c>
      <c r="D9790" t="inlineStr">
        <is>
          <t>KALMAR LÄN</t>
        </is>
      </c>
      <c r="E9790" t="inlineStr">
        <is>
          <t>KALMAR</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57630-2023</t>
        </is>
      </c>
      <c r="B9791" s="1" t="n">
        <v>45246</v>
      </c>
      <c r="C9791" s="1" t="n">
        <v>45715</v>
      </c>
      <c r="D9791" t="inlineStr">
        <is>
          <t>KALMAR LÄN</t>
        </is>
      </c>
      <c r="E9791" t="inlineStr">
        <is>
          <t>KALMAR</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57757-2023</t>
        </is>
      </c>
      <c r="B9792" s="1" t="n">
        <v>45246</v>
      </c>
      <c r="C9792" s="1" t="n">
        <v>45715</v>
      </c>
      <c r="D9792" t="inlineStr">
        <is>
          <t>KALMAR LÄN</t>
        </is>
      </c>
      <c r="E9792" t="inlineStr">
        <is>
          <t>VÄSTERVIK</t>
        </is>
      </c>
      <c r="F9792" t="inlineStr">
        <is>
          <t>Sveaskog</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57654-2023</t>
        </is>
      </c>
      <c r="B9793" s="1" t="n">
        <v>45246</v>
      </c>
      <c r="C9793" s="1" t="n">
        <v>45715</v>
      </c>
      <c r="D9793" t="inlineStr">
        <is>
          <t>KALMAR LÄN</t>
        </is>
      </c>
      <c r="E9793" t="inlineStr">
        <is>
          <t>KALMAR</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57658-2023</t>
        </is>
      </c>
      <c r="B9794" s="1" t="n">
        <v>45246</v>
      </c>
      <c r="C9794" s="1" t="n">
        <v>45715</v>
      </c>
      <c r="D9794" t="inlineStr">
        <is>
          <t>KALMAR LÄN</t>
        </is>
      </c>
      <c r="E9794" t="inlineStr">
        <is>
          <t>KALMAR</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57716-2023</t>
        </is>
      </c>
      <c r="B9795" s="1" t="n">
        <v>45246</v>
      </c>
      <c r="C9795" s="1" t="n">
        <v>45715</v>
      </c>
      <c r="D9795" t="inlineStr">
        <is>
          <t>KALMAR LÄN</t>
        </is>
      </c>
      <c r="E9795" t="inlineStr">
        <is>
          <t>NYBRO</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57808-2023</t>
        </is>
      </c>
      <c r="B9796" s="1" t="n">
        <v>45247</v>
      </c>
      <c r="C9796" s="1" t="n">
        <v>45715</v>
      </c>
      <c r="D9796" t="inlineStr">
        <is>
          <t>KALMAR LÄN</t>
        </is>
      </c>
      <c r="E9796" t="inlineStr">
        <is>
          <t>HULTSFRED</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57866-2023</t>
        </is>
      </c>
      <c r="B9797" s="1" t="n">
        <v>45247</v>
      </c>
      <c r="C9797" s="1" t="n">
        <v>45715</v>
      </c>
      <c r="D9797" t="inlineStr">
        <is>
          <t>KALMAR LÄN</t>
        </is>
      </c>
      <c r="E9797" t="inlineStr">
        <is>
          <t>KALMAR</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58047-2023</t>
        </is>
      </c>
      <c r="B9798" s="1" t="n">
        <v>45247</v>
      </c>
      <c r="C9798" s="1" t="n">
        <v>45715</v>
      </c>
      <c r="D9798" t="inlineStr">
        <is>
          <t>KALMAR LÄN</t>
        </is>
      </c>
      <c r="E9798" t="inlineStr">
        <is>
          <t>HÖGSBY</t>
        </is>
      </c>
      <c r="G9798" t="n">
        <v>5.6</v>
      </c>
      <c r="H9798" t="n">
        <v>0</v>
      </c>
      <c r="I9798" t="n">
        <v>0</v>
      </c>
      <c r="J9798" t="n">
        <v>0</v>
      </c>
      <c r="K9798" t="n">
        <v>0</v>
      </c>
      <c r="L9798" t="n">
        <v>0</v>
      </c>
      <c r="M9798" t="n">
        <v>0</v>
      </c>
      <c r="N9798" t="n">
        <v>0</v>
      </c>
      <c r="O9798" t="n">
        <v>0</v>
      </c>
      <c r="P9798" t="n">
        <v>0</v>
      </c>
      <c r="Q9798" t="n">
        <v>0</v>
      </c>
      <c r="R9798" s="2" t="inlineStr"/>
    </row>
    <row r="9799" ht="15" customHeight="1">
      <c r="A9799" t="inlineStr">
        <is>
          <t>A 58023-2023</t>
        </is>
      </c>
      <c r="B9799" s="1" t="n">
        <v>45247</v>
      </c>
      <c r="C9799" s="1" t="n">
        <v>45715</v>
      </c>
      <c r="D9799" t="inlineStr">
        <is>
          <t>KALMAR LÄN</t>
        </is>
      </c>
      <c r="E9799" t="inlineStr">
        <is>
          <t>NYBRO</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58862-2023</t>
        </is>
      </c>
      <c r="B9800" s="1" t="n">
        <v>45247</v>
      </c>
      <c r="C9800" s="1" t="n">
        <v>45715</v>
      </c>
      <c r="D9800" t="inlineStr">
        <is>
          <t>KALMAR LÄN</t>
        </is>
      </c>
      <c r="E9800" t="inlineStr">
        <is>
          <t>HULTSFRED</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58050-2023</t>
        </is>
      </c>
      <c r="B9801" s="1" t="n">
        <v>45247</v>
      </c>
      <c r="C9801" s="1" t="n">
        <v>45715</v>
      </c>
      <c r="D9801" t="inlineStr">
        <is>
          <t>KALMAR LÄN</t>
        </is>
      </c>
      <c r="E9801" t="inlineStr">
        <is>
          <t>HÖGSBY</t>
        </is>
      </c>
      <c r="G9801" t="n">
        <v>4.3</v>
      </c>
      <c r="H9801" t="n">
        <v>0</v>
      </c>
      <c r="I9801" t="n">
        <v>0</v>
      </c>
      <c r="J9801" t="n">
        <v>0</v>
      </c>
      <c r="K9801" t="n">
        <v>0</v>
      </c>
      <c r="L9801" t="n">
        <v>0</v>
      </c>
      <c r="M9801" t="n">
        <v>0</v>
      </c>
      <c r="N9801" t="n">
        <v>0</v>
      </c>
      <c r="O9801" t="n">
        <v>0</v>
      </c>
      <c r="P9801" t="n">
        <v>0</v>
      </c>
      <c r="Q9801" t="n">
        <v>0</v>
      </c>
      <c r="R9801" s="2" t="inlineStr"/>
    </row>
    <row r="9802" ht="15" customHeight="1">
      <c r="A9802" t="inlineStr">
        <is>
          <t>A 58045-2023</t>
        </is>
      </c>
      <c r="B9802" s="1" t="n">
        <v>45247</v>
      </c>
      <c r="C9802" s="1" t="n">
        <v>45715</v>
      </c>
      <c r="D9802" t="inlineStr">
        <is>
          <t>KALMAR LÄN</t>
        </is>
      </c>
      <c r="E9802" t="inlineStr">
        <is>
          <t>HÖGSBY</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58014-2023</t>
        </is>
      </c>
      <c r="B9803" s="1" t="n">
        <v>45247</v>
      </c>
      <c r="C9803" s="1" t="n">
        <v>45715</v>
      </c>
      <c r="D9803" t="inlineStr">
        <is>
          <t>KALMAR LÄN</t>
        </is>
      </c>
      <c r="E9803" t="inlineStr">
        <is>
          <t>NYBRO</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58095-2023</t>
        </is>
      </c>
      <c r="B9804" s="1" t="n">
        <v>45248</v>
      </c>
      <c r="C9804" s="1" t="n">
        <v>45715</v>
      </c>
      <c r="D9804" t="inlineStr">
        <is>
          <t>KALMAR LÄN</t>
        </is>
      </c>
      <c r="E9804" t="inlineStr">
        <is>
          <t>HULTSFRED</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58096-2023</t>
        </is>
      </c>
      <c r="B9805" s="1" t="n">
        <v>45248</v>
      </c>
      <c r="C9805" s="1" t="n">
        <v>45715</v>
      </c>
      <c r="D9805" t="inlineStr">
        <is>
          <t>KALMAR LÄN</t>
        </is>
      </c>
      <c r="E9805" t="inlineStr">
        <is>
          <t>HULTSFRED</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58094-2023</t>
        </is>
      </c>
      <c r="B9806" s="1" t="n">
        <v>45248</v>
      </c>
      <c r="C9806" s="1" t="n">
        <v>45715</v>
      </c>
      <c r="D9806" t="inlineStr">
        <is>
          <t>KALMAR LÄN</t>
        </is>
      </c>
      <c r="E9806" t="inlineStr">
        <is>
          <t>HULTSFRED</t>
        </is>
      </c>
      <c r="G9806" t="n">
        <v>8</v>
      </c>
      <c r="H9806" t="n">
        <v>0</v>
      </c>
      <c r="I9806" t="n">
        <v>0</v>
      </c>
      <c r="J9806" t="n">
        <v>0</v>
      </c>
      <c r="K9806" t="n">
        <v>0</v>
      </c>
      <c r="L9806" t="n">
        <v>0</v>
      </c>
      <c r="M9806" t="n">
        <v>0</v>
      </c>
      <c r="N9806" t="n">
        <v>0</v>
      </c>
      <c r="O9806" t="n">
        <v>0</v>
      </c>
      <c r="P9806" t="n">
        <v>0</v>
      </c>
      <c r="Q9806" t="n">
        <v>0</v>
      </c>
      <c r="R9806" s="2" t="inlineStr"/>
    </row>
    <row r="9807" ht="15" customHeight="1">
      <c r="A9807" t="inlineStr">
        <is>
          <t>A 58111-2023</t>
        </is>
      </c>
      <c r="B9807" s="1" t="n">
        <v>45249</v>
      </c>
      <c r="C9807" s="1" t="n">
        <v>45715</v>
      </c>
      <c r="D9807" t="inlineStr">
        <is>
          <t>KALMAR LÄN</t>
        </is>
      </c>
      <c r="E9807" t="inlineStr">
        <is>
          <t>MÖNSTERÅS</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58143-2023</t>
        </is>
      </c>
      <c r="B9808" s="1" t="n">
        <v>45250</v>
      </c>
      <c r="C9808" s="1" t="n">
        <v>45715</v>
      </c>
      <c r="D9808" t="inlineStr">
        <is>
          <t>KALMAR LÄN</t>
        </is>
      </c>
      <c r="E9808" t="inlineStr">
        <is>
          <t>KALMAR</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58142-2023</t>
        </is>
      </c>
      <c r="B9809" s="1" t="n">
        <v>45250</v>
      </c>
      <c r="C9809" s="1" t="n">
        <v>45715</v>
      </c>
      <c r="D9809" t="inlineStr">
        <is>
          <t>KALMAR LÄN</t>
        </is>
      </c>
      <c r="E9809" t="inlineStr">
        <is>
          <t>MÖNSTERÅS</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58208-2023</t>
        </is>
      </c>
      <c r="B9810" s="1" t="n">
        <v>45250</v>
      </c>
      <c r="C9810" s="1" t="n">
        <v>45715</v>
      </c>
      <c r="D9810" t="inlineStr">
        <is>
          <t>KALMAR LÄN</t>
        </is>
      </c>
      <c r="E9810" t="inlineStr">
        <is>
          <t>HULTSFRED</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58278-2023</t>
        </is>
      </c>
      <c r="B9811" s="1" t="n">
        <v>45250</v>
      </c>
      <c r="C9811" s="1" t="n">
        <v>45715</v>
      </c>
      <c r="D9811" t="inlineStr">
        <is>
          <t>KALMAR LÄN</t>
        </is>
      </c>
      <c r="E9811" t="inlineStr">
        <is>
          <t>VIMMERBY</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58207-2023</t>
        </is>
      </c>
      <c r="B9812" s="1" t="n">
        <v>45250</v>
      </c>
      <c r="C9812" s="1" t="n">
        <v>45715</v>
      </c>
      <c r="D9812" t="inlineStr">
        <is>
          <t>KALMAR LÄN</t>
        </is>
      </c>
      <c r="E9812" t="inlineStr">
        <is>
          <t>HULTSFRED</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58274-2023</t>
        </is>
      </c>
      <c r="B9813" s="1" t="n">
        <v>45250</v>
      </c>
      <c r="C9813" s="1" t="n">
        <v>45715</v>
      </c>
      <c r="D9813" t="inlineStr">
        <is>
          <t>KALMAR LÄN</t>
        </is>
      </c>
      <c r="E9813" t="inlineStr">
        <is>
          <t>TORSÅS</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58279-2023</t>
        </is>
      </c>
      <c r="B9814" s="1" t="n">
        <v>45250</v>
      </c>
      <c r="C9814" s="1" t="n">
        <v>45715</v>
      </c>
      <c r="D9814" t="inlineStr">
        <is>
          <t>KALMAR LÄN</t>
        </is>
      </c>
      <c r="E9814" t="inlineStr">
        <is>
          <t>NYBRO</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58442-2023</t>
        </is>
      </c>
      <c r="B9815" s="1" t="n">
        <v>45250</v>
      </c>
      <c r="C9815" s="1" t="n">
        <v>45715</v>
      </c>
      <c r="D9815" t="inlineStr">
        <is>
          <t>KALMAR LÄN</t>
        </is>
      </c>
      <c r="E9815" t="inlineStr">
        <is>
          <t>TORSÅS</t>
        </is>
      </c>
      <c r="G9815" t="n">
        <v>4.4</v>
      </c>
      <c r="H9815" t="n">
        <v>0</v>
      </c>
      <c r="I9815" t="n">
        <v>0</v>
      </c>
      <c r="J9815" t="n">
        <v>0</v>
      </c>
      <c r="K9815" t="n">
        <v>0</v>
      </c>
      <c r="L9815" t="n">
        <v>0</v>
      </c>
      <c r="M9815" t="n">
        <v>0</v>
      </c>
      <c r="N9815" t="n">
        <v>0</v>
      </c>
      <c r="O9815" t="n">
        <v>0</v>
      </c>
      <c r="P9815" t="n">
        <v>0</v>
      </c>
      <c r="Q9815" t="n">
        <v>0</v>
      </c>
      <c r="R9815" s="2" t="inlineStr"/>
    </row>
    <row r="9816" ht="15" customHeight="1">
      <c r="A9816" t="inlineStr">
        <is>
          <t>A 58441-2023</t>
        </is>
      </c>
      <c r="B9816" s="1" t="n">
        <v>45250</v>
      </c>
      <c r="C9816" s="1" t="n">
        <v>45715</v>
      </c>
      <c r="D9816" t="inlineStr">
        <is>
          <t>KALMAR LÄN</t>
        </is>
      </c>
      <c r="E9816" t="inlineStr">
        <is>
          <t>TORSÅS</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58272-2023</t>
        </is>
      </c>
      <c r="B9817" s="1" t="n">
        <v>45250</v>
      </c>
      <c r="C9817" s="1" t="n">
        <v>45715</v>
      </c>
      <c r="D9817" t="inlineStr">
        <is>
          <t>KALMAR LÄN</t>
        </is>
      </c>
      <c r="E9817" t="inlineStr">
        <is>
          <t>TORSÅS</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58357-2023</t>
        </is>
      </c>
      <c r="B9818" s="1" t="n">
        <v>45250</v>
      </c>
      <c r="C9818" s="1" t="n">
        <v>45715</v>
      </c>
      <c r="D9818" t="inlineStr">
        <is>
          <t>KALMAR LÄN</t>
        </is>
      </c>
      <c r="E9818" t="inlineStr">
        <is>
          <t>KALMAR</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58454-2023</t>
        </is>
      </c>
      <c r="B9819" s="1" t="n">
        <v>45250</v>
      </c>
      <c r="C9819" s="1" t="n">
        <v>45715</v>
      </c>
      <c r="D9819" t="inlineStr">
        <is>
          <t>KALMAR LÄN</t>
        </is>
      </c>
      <c r="E9819" t="inlineStr">
        <is>
          <t>VÄSTERVIK</t>
        </is>
      </c>
      <c r="F9819" t="inlineStr">
        <is>
          <t>Holmen skog AB</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58310-2023</t>
        </is>
      </c>
      <c r="B9820" s="1" t="n">
        <v>45250</v>
      </c>
      <c r="C9820" s="1" t="n">
        <v>45715</v>
      </c>
      <c r="D9820" t="inlineStr">
        <is>
          <t>KALMAR LÄN</t>
        </is>
      </c>
      <c r="E9820" t="inlineStr">
        <is>
          <t>NYBRO</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58346-2023</t>
        </is>
      </c>
      <c r="B9821" s="1" t="n">
        <v>45250</v>
      </c>
      <c r="C9821" s="1" t="n">
        <v>45715</v>
      </c>
      <c r="D9821" t="inlineStr">
        <is>
          <t>KALMAR LÄN</t>
        </is>
      </c>
      <c r="E9821" t="inlineStr">
        <is>
          <t>TORSÅS</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58894-2023</t>
        </is>
      </c>
      <c r="B9822" s="1" t="n">
        <v>45250</v>
      </c>
      <c r="C9822" s="1" t="n">
        <v>45715</v>
      </c>
      <c r="D9822" t="inlineStr">
        <is>
          <t>KALMAR LÄN</t>
        </is>
      </c>
      <c r="E9822" t="inlineStr">
        <is>
          <t>MÖNSTERÅS</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58439-2023</t>
        </is>
      </c>
      <c r="B9823" s="1" t="n">
        <v>45250</v>
      </c>
      <c r="C9823" s="1" t="n">
        <v>45715</v>
      </c>
      <c r="D9823" t="inlineStr">
        <is>
          <t>KALMAR LÄN</t>
        </is>
      </c>
      <c r="E9823" t="inlineStr">
        <is>
          <t>TORSÅS</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58443-2023</t>
        </is>
      </c>
      <c r="B9824" s="1" t="n">
        <v>45250</v>
      </c>
      <c r="C9824" s="1" t="n">
        <v>45715</v>
      </c>
      <c r="D9824" t="inlineStr">
        <is>
          <t>KALMAR LÄN</t>
        </is>
      </c>
      <c r="E9824" t="inlineStr">
        <is>
          <t>TORSÅS</t>
        </is>
      </c>
      <c r="G9824" t="n">
        <v>7.8</v>
      </c>
      <c r="H9824" t="n">
        <v>0</v>
      </c>
      <c r="I9824" t="n">
        <v>0</v>
      </c>
      <c r="J9824" t="n">
        <v>0</v>
      </c>
      <c r="K9824" t="n">
        <v>0</v>
      </c>
      <c r="L9824" t="n">
        <v>0</v>
      </c>
      <c r="M9824" t="n">
        <v>0</v>
      </c>
      <c r="N9824" t="n">
        <v>0</v>
      </c>
      <c r="O9824" t="n">
        <v>0</v>
      </c>
      <c r="P9824" t="n">
        <v>0</v>
      </c>
      <c r="Q9824" t="n">
        <v>0</v>
      </c>
      <c r="R9824" s="2" t="inlineStr"/>
    </row>
    <row r="9825" ht="15" customHeight="1">
      <c r="A9825" t="inlineStr">
        <is>
          <t>A 58501-2023</t>
        </is>
      </c>
      <c r="B9825" s="1" t="n">
        <v>45251</v>
      </c>
      <c r="C9825" s="1" t="n">
        <v>45715</v>
      </c>
      <c r="D9825" t="inlineStr">
        <is>
          <t>KALMAR LÄN</t>
        </is>
      </c>
      <c r="E9825" t="inlineStr">
        <is>
          <t>OSKARSHAMN</t>
        </is>
      </c>
      <c r="G9825" t="n">
        <v>7.6</v>
      </c>
      <c r="H9825" t="n">
        <v>0</v>
      </c>
      <c r="I9825" t="n">
        <v>0</v>
      </c>
      <c r="J9825" t="n">
        <v>0</v>
      </c>
      <c r="K9825" t="n">
        <v>0</v>
      </c>
      <c r="L9825" t="n">
        <v>0</v>
      </c>
      <c r="M9825" t="n">
        <v>0</v>
      </c>
      <c r="N9825" t="n">
        <v>0</v>
      </c>
      <c r="O9825" t="n">
        <v>0</v>
      </c>
      <c r="P9825" t="n">
        <v>0</v>
      </c>
      <c r="Q9825" t="n">
        <v>0</v>
      </c>
      <c r="R9825" s="2" t="inlineStr"/>
    </row>
    <row r="9826" ht="15" customHeight="1">
      <c r="A9826" t="inlineStr">
        <is>
          <t>A 58665-2023</t>
        </is>
      </c>
      <c r="B9826" s="1" t="n">
        <v>45251</v>
      </c>
      <c r="C9826" s="1" t="n">
        <v>45715</v>
      </c>
      <c r="D9826" t="inlineStr">
        <is>
          <t>KALMAR LÄN</t>
        </is>
      </c>
      <c r="E9826" t="inlineStr">
        <is>
          <t>NYBRO</t>
        </is>
      </c>
      <c r="G9826" t="n">
        <v>14.9</v>
      </c>
      <c r="H9826" t="n">
        <v>0</v>
      </c>
      <c r="I9826" t="n">
        <v>0</v>
      </c>
      <c r="J9826" t="n">
        <v>0</v>
      </c>
      <c r="K9826" t="n">
        <v>0</v>
      </c>
      <c r="L9826" t="n">
        <v>0</v>
      </c>
      <c r="M9826" t="n">
        <v>0</v>
      </c>
      <c r="N9826" t="n">
        <v>0</v>
      </c>
      <c r="O9826" t="n">
        <v>0</v>
      </c>
      <c r="P9826" t="n">
        <v>0</v>
      </c>
      <c r="Q9826" t="n">
        <v>0</v>
      </c>
      <c r="R9826" s="2" t="inlineStr"/>
    </row>
    <row r="9827" ht="15" customHeight="1">
      <c r="A9827" t="inlineStr">
        <is>
          <t>A 58673-2023</t>
        </is>
      </c>
      <c r="B9827" s="1" t="n">
        <v>45251</v>
      </c>
      <c r="C9827" s="1" t="n">
        <v>45715</v>
      </c>
      <c r="D9827" t="inlineStr">
        <is>
          <t>KALMAR LÄN</t>
        </is>
      </c>
      <c r="E9827" t="inlineStr">
        <is>
          <t>OSKARSHAMN</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58720-2023</t>
        </is>
      </c>
      <c r="B9828" s="1" t="n">
        <v>45251</v>
      </c>
      <c r="C9828" s="1" t="n">
        <v>45715</v>
      </c>
      <c r="D9828" t="inlineStr">
        <is>
          <t>KALMAR LÄN</t>
        </is>
      </c>
      <c r="E9828" t="inlineStr">
        <is>
          <t>MÖNSTERÅS</t>
        </is>
      </c>
      <c r="G9828" t="n">
        <v>5.3</v>
      </c>
      <c r="H9828" t="n">
        <v>0</v>
      </c>
      <c r="I9828" t="n">
        <v>0</v>
      </c>
      <c r="J9828" t="n">
        <v>0</v>
      </c>
      <c r="K9828" t="n">
        <v>0</v>
      </c>
      <c r="L9828" t="n">
        <v>0</v>
      </c>
      <c r="M9828" t="n">
        <v>0</v>
      </c>
      <c r="N9828" t="n">
        <v>0</v>
      </c>
      <c r="O9828" t="n">
        <v>0</v>
      </c>
      <c r="P9828" t="n">
        <v>0</v>
      </c>
      <c r="Q9828" t="n">
        <v>0</v>
      </c>
      <c r="R9828" s="2" t="inlineStr"/>
    </row>
    <row r="9829" ht="15" customHeight="1">
      <c r="A9829" t="inlineStr">
        <is>
          <t>A 59159-2023</t>
        </is>
      </c>
      <c r="B9829" s="1" t="n">
        <v>45251</v>
      </c>
      <c r="C9829" s="1" t="n">
        <v>45715</v>
      </c>
      <c r="D9829" t="inlineStr">
        <is>
          <t>KALMAR LÄN</t>
        </is>
      </c>
      <c r="E9829" t="inlineStr">
        <is>
          <t>MÖNSTERÅS</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58615-2023</t>
        </is>
      </c>
      <c r="B9830" s="1" t="n">
        <v>45251</v>
      </c>
      <c r="C9830" s="1" t="n">
        <v>45715</v>
      </c>
      <c r="D9830" t="inlineStr">
        <is>
          <t>KALMAR LÄN</t>
        </is>
      </c>
      <c r="E9830" t="inlineStr">
        <is>
          <t>TORSÅS</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58668-2023</t>
        </is>
      </c>
      <c r="B9831" s="1" t="n">
        <v>45251</v>
      </c>
      <c r="C9831" s="1" t="n">
        <v>45715</v>
      </c>
      <c r="D9831" t="inlineStr">
        <is>
          <t>KALMAR LÄN</t>
        </is>
      </c>
      <c r="E9831" t="inlineStr">
        <is>
          <t>NYBRO</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58689-2023</t>
        </is>
      </c>
      <c r="B9832" s="1" t="n">
        <v>45251</v>
      </c>
      <c r="C9832" s="1" t="n">
        <v>45715</v>
      </c>
      <c r="D9832" t="inlineStr">
        <is>
          <t>KALMAR LÄN</t>
        </is>
      </c>
      <c r="E9832" t="inlineStr">
        <is>
          <t>EMMABODA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58703-2023</t>
        </is>
      </c>
      <c r="B9833" s="1" t="n">
        <v>45251</v>
      </c>
      <c r="C9833" s="1" t="n">
        <v>45715</v>
      </c>
      <c r="D9833" t="inlineStr">
        <is>
          <t>KALMAR LÄN</t>
        </is>
      </c>
      <c r="E9833" t="inlineStr">
        <is>
          <t>VÄSTERVIK</t>
        </is>
      </c>
      <c r="F9833" t="inlineStr">
        <is>
          <t>Övriga Aktiebolag</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58723-2023</t>
        </is>
      </c>
      <c r="B9834" s="1" t="n">
        <v>45251</v>
      </c>
      <c r="C9834" s="1" t="n">
        <v>45715</v>
      </c>
      <c r="D9834" t="inlineStr">
        <is>
          <t>KALMAR LÄN</t>
        </is>
      </c>
      <c r="E9834" t="inlineStr">
        <is>
          <t>MÖNSTERÅS</t>
        </is>
      </c>
      <c r="G9834" t="n">
        <v>14.1</v>
      </c>
      <c r="H9834" t="n">
        <v>0</v>
      </c>
      <c r="I9834" t="n">
        <v>0</v>
      </c>
      <c r="J9834" t="n">
        <v>0</v>
      </c>
      <c r="K9834" t="n">
        <v>0</v>
      </c>
      <c r="L9834" t="n">
        <v>0</v>
      </c>
      <c r="M9834" t="n">
        <v>0</v>
      </c>
      <c r="N9834" t="n">
        <v>0</v>
      </c>
      <c r="O9834" t="n">
        <v>0</v>
      </c>
      <c r="P9834" t="n">
        <v>0</v>
      </c>
      <c r="Q9834" t="n">
        <v>0</v>
      </c>
      <c r="R9834" s="2" t="inlineStr"/>
    </row>
    <row r="9835" ht="15" customHeight="1">
      <c r="A9835" t="inlineStr">
        <is>
          <t>A 58810-2023</t>
        </is>
      </c>
      <c r="B9835" s="1" t="n">
        <v>45252</v>
      </c>
      <c r="C9835" s="1" t="n">
        <v>45715</v>
      </c>
      <c r="D9835" t="inlineStr">
        <is>
          <t>KALMAR LÄN</t>
        </is>
      </c>
      <c r="E9835" t="inlineStr">
        <is>
          <t>TORSÅS</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58803-2023</t>
        </is>
      </c>
      <c r="B9836" s="1" t="n">
        <v>45252</v>
      </c>
      <c r="C9836" s="1" t="n">
        <v>45715</v>
      </c>
      <c r="D9836" t="inlineStr">
        <is>
          <t>KALMAR LÄN</t>
        </is>
      </c>
      <c r="E9836" t="inlineStr">
        <is>
          <t>TORSÅS</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58839-2023</t>
        </is>
      </c>
      <c r="B9837" s="1" t="n">
        <v>45252</v>
      </c>
      <c r="C9837" s="1" t="n">
        <v>45715</v>
      </c>
      <c r="D9837" t="inlineStr">
        <is>
          <t>KALMAR LÄN</t>
        </is>
      </c>
      <c r="E9837" t="inlineStr">
        <is>
          <t>EMMABODA</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58868-2023</t>
        </is>
      </c>
      <c r="B9838" s="1" t="n">
        <v>45252</v>
      </c>
      <c r="C9838" s="1" t="n">
        <v>45715</v>
      </c>
      <c r="D9838" t="inlineStr">
        <is>
          <t>KALMAR LÄN</t>
        </is>
      </c>
      <c r="E9838" t="inlineStr">
        <is>
          <t>HULTSFRED</t>
        </is>
      </c>
      <c r="F9838" t="inlineStr">
        <is>
          <t>Kyrkan</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58861-2023</t>
        </is>
      </c>
      <c r="B9839" s="1" t="n">
        <v>45252</v>
      </c>
      <c r="C9839" s="1" t="n">
        <v>45715</v>
      </c>
      <c r="D9839" t="inlineStr">
        <is>
          <t>KALMAR LÄN</t>
        </is>
      </c>
      <c r="E9839" t="inlineStr">
        <is>
          <t>HULTSFRED</t>
        </is>
      </c>
      <c r="F9839" t="inlineStr">
        <is>
          <t>Kyrkan</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58872-2023</t>
        </is>
      </c>
      <c r="B9840" s="1" t="n">
        <v>45252</v>
      </c>
      <c r="C9840" s="1" t="n">
        <v>45715</v>
      </c>
      <c r="D9840" t="inlineStr">
        <is>
          <t>KALMAR LÄN</t>
        </is>
      </c>
      <c r="E9840" t="inlineStr">
        <is>
          <t>HULTSFRED</t>
        </is>
      </c>
      <c r="F9840" t="inlineStr">
        <is>
          <t>Kyrkan</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58910-2023</t>
        </is>
      </c>
      <c r="B9841" s="1" t="n">
        <v>45252</v>
      </c>
      <c r="C9841" s="1" t="n">
        <v>45715</v>
      </c>
      <c r="D9841" t="inlineStr">
        <is>
          <t>KALMAR LÄN</t>
        </is>
      </c>
      <c r="E9841" t="inlineStr">
        <is>
          <t>OSKARSHAMN</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58800-2023</t>
        </is>
      </c>
      <c r="B9842" s="1" t="n">
        <v>45252</v>
      </c>
      <c r="C9842" s="1" t="n">
        <v>45715</v>
      </c>
      <c r="D9842" t="inlineStr">
        <is>
          <t>KALMAR LÄN</t>
        </is>
      </c>
      <c r="E9842" t="inlineStr">
        <is>
          <t>KALMAR</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59013-2023</t>
        </is>
      </c>
      <c r="B9843" s="1" t="n">
        <v>45252</v>
      </c>
      <c r="C9843" s="1" t="n">
        <v>45715</v>
      </c>
      <c r="D9843" t="inlineStr">
        <is>
          <t>KALMAR LÄN</t>
        </is>
      </c>
      <c r="E9843" t="inlineStr">
        <is>
          <t>OSKARSHAMN</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59050-2023</t>
        </is>
      </c>
      <c r="B9844" s="1" t="n">
        <v>45252</v>
      </c>
      <c r="C9844" s="1" t="n">
        <v>45715</v>
      </c>
      <c r="D9844" t="inlineStr">
        <is>
          <t>KALMAR LÄN</t>
        </is>
      </c>
      <c r="E9844" t="inlineStr">
        <is>
          <t>TORSÅS</t>
        </is>
      </c>
      <c r="G9844" t="n">
        <v>4.3</v>
      </c>
      <c r="H9844" t="n">
        <v>0</v>
      </c>
      <c r="I9844" t="n">
        <v>0</v>
      </c>
      <c r="J9844" t="n">
        <v>0</v>
      </c>
      <c r="K9844" t="n">
        <v>0</v>
      </c>
      <c r="L9844" t="n">
        <v>0</v>
      </c>
      <c r="M9844" t="n">
        <v>0</v>
      </c>
      <c r="N9844" t="n">
        <v>0</v>
      </c>
      <c r="O9844" t="n">
        <v>0</v>
      </c>
      <c r="P9844" t="n">
        <v>0</v>
      </c>
      <c r="Q9844" t="n">
        <v>0</v>
      </c>
      <c r="R9844" s="2" t="inlineStr"/>
    </row>
    <row r="9845" ht="15" customHeight="1">
      <c r="A9845" t="inlineStr">
        <is>
          <t>A 58898-2023</t>
        </is>
      </c>
      <c r="B9845" s="1" t="n">
        <v>45252</v>
      </c>
      <c r="C9845" s="1" t="n">
        <v>45715</v>
      </c>
      <c r="D9845" t="inlineStr">
        <is>
          <t>KALMAR LÄN</t>
        </is>
      </c>
      <c r="E9845" t="inlineStr">
        <is>
          <t>NYBRO</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58969-2023</t>
        </is>
      </c>
      <c r="B9846" s="1" t="n">
        <v>45252</v>
      </c>
      <c r="C9846" s="1" t="n">
        <v>45715</v>
      </c>
      <c r="D9846" t="inlineStr">
        <is>
          <t>KALMAR LÄN</t>
        </is>
      </c>
      <c r="E9846" t="inlineStr">
        <is>
          <t>KALMAR</t>
        </is>
      </c>
      <c r="G9846" t="n">
        <v>6.9</v>
      </c>
      <c r="H9846" t="n">
        <v>0</v>
      </c>
      <c r="I9846" t="n">
        <v>0</v>
      </c>
      <c r="J9846" t="n">
        <v>0</v>
      </c>
      <c r="K9846" t="n">
        <v>0</v>
      </c>
      <c r="L9846" t="n">
        <v>0</v>
      </c>
      <c r="M9846" t="n">
        <v>0</v>
      </c>
      <c r="N9846" t="n">
        <v>0</v>
      </c>
      <c r="O9846" t="n">
        <v>0</v>
      </c>
      <c r="P9846" t="n">
        <v>0</v>
      </c>
      <c r="Q9846" t="n">
        <v>0</v>
      </c>
      <c r="R9846" s="2" t="inlineStr"/>
    </row>
    <row r="9847" ht="15" customHeight="1">
      <c r="A9847" t="inlineStr">
        <is>
          <t>A 59017-2023</t>
        </is>
      </c>
      <c r="B9847" s="1" t="n">
        <v>45252</v>
      </c>
      <c r="C9847" s="1" t="n">
        <v>45715</v>
      </c>
      <c r="D9847" t="inlineStr">
        <is>
          <t>KALMAR LÄN</t>
        </is>
      </c>
      <c r="E9847" t="inlineStr">
        <is>
          <t>TORSÅS</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59016-2023</t>
        </is>
      </c>
      <c r="B9848" s="1" t="n">
        <v>45252</v>
      </c>
      <c r="C9848" s="1" t="n">
        <v>45715</v>
      </c>
      <c r="D9848" t="inlineStr">
        <is>
          <t>KALMAR LÄN</t>
        </is>
      </c>
      <c r="E9848" t="inlineStr">
        <is>
          <t>OSKARSHAMN</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58804-2023</t>
        </is>
      </c>
      <c r="B9849" s="1" t="n">
        <v>45252</v>
      </c>
      <c r="C9849" s="1" t="n">
        <v>45715</v>
      </c>
      <c r="D9849" t="inlineStr">
        <is>
          <t>KALMAR LÄN</t>
        </is>
      </c>
      <c r="E9849" t="inlineStr">
        <is>
          <t>TORSÅS</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58865-2023</t>
        </is>
      </c>
      <c r="B9850" s="1" t="n">
        <v>45252</v>
      </c>
      <c r="C9850" s="1" t="n">
        <v>45715</v>
      </c>
      <c r="D9850" t="inlineStr">
        <is>
          <t>KALMAR LÄN</t>
        </is>
      </c>
      <c r="E9850" t="inlineStr">
        <is>
          <t>HULTSFRED</t>
        </is>
      </c>
      <c r="F9850" t="inlineStr">
        <is>
          <t>Kyrkan</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58960-2023</t>
        </is>
      </c>
      <c r="B9851" s="1" t="n">
        <v>45252</v>
      </c>
      <c r="C9851" s="1" t="n">
        <v>45715</v>
      </c>
      <c r="D9851" t="inlineStr">
        <is>
          <t>KALMAR LÄN</t>
        </is>
      </c>
      <c r="E9851" t="inlineStr">
        <is>
          <t>OSKARSHAMN</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58971-2023</t>
        </is>
      </c>
      <c r="B9852" s="1" t="n">
        <v>45252</v>
      </c>
      <c r="C9852" s="1" t="n">
        <v>45715</v>
      </c>
      <c r="D9852" t="inlineStr">
        <is>
          <t>KALMAR LÄN</t>
        </is>
      </c>
      <c r="E9852" t="inlineStr">
        <is>
          <t>KALMAR</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59210-2023</t>
        </is>
      </c>
      <c r="B9853" s="1" t="n">
        <v>45253</v>
      </c>
      <c r="C9853" s="1" t="n">
        <v>45715</v>
      </c>
      <c r="D9853" t="inlineStr">
        <is>
          <t>KALMAR LÄN</t>
        </is>
      </c>
      <c r="E9853" t="inlineStr">
        <is>
          <t>KALMAR</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59275-2023</t>
        </is>
      </c>
      <c r="B9854" s="1" t="n">
        <v>45253</v>
      </c>
      <c r="C9854" s="1" t="n">
        <v>45715</v>
      </c>
      <c r="D9854" t="inlineStr">
        <is>
          <t>KALMAR LÄN</t>
        </is>
      </c>
      <c r="E9854" t="inlineStr">
        <is>
          <t>TORSÅS</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59322-2023</t>
        </is>
      </c>
      <c r="B9855" s="1" t="n">
        <v>45253</v>
      </c>
      <c r="C9855" s="1" t="n">
        <v>45715</v>
      </c>
      <c r="D9855" t="inlineStr">
        <is>
          <t>KALMAR LÄN</t>
        </is>
      </c>
      <c r="E9855" t="inlineStr">
        <is>
          <t>HULTSFRED</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59331-2023</t>
        </is>
      </c>
      <c r="B9856" s="1" t="n">
        <v>45253</v>
      </c>
      <c r="C9856" s="1" t="n">
        <v>45715</v>
      </c>
      <c r="D9856" t="inlineStr">
        <is>
          <t>KALMAR LÄN</t>
        </is>
      </c>
      <c r="E9856" t="inlineStr">
        <is>
          <t>VÄSTERVIK</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59388-2023</t>
        </is>
      </c>
      <c r="B9857" s="1" t="n">
        <v>45253</v>
      </c>
      <c r="C9857" s="1" t="n">
        <v>45715</v>
      </c>
      <c r="D9857" t="inlineStr">
        <is>
          <t>KALMAR LÄN</t>
        </is>
      </c>
      <c r="E9857" t="inlineStr">
        <is>
          <t>OSKARSHAMN</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59133-2023</t>
        </is>
      </c>
      <c r="B9858" s="1" t="n">
        <v>45253</v>
      </c>
      <c r="C9858" s="1" t="n">
        <v>45715</v>
      </c>
      <c r="D9858" t="inlineStr">
        <is>
          <t>KALMAR LÄN</t>
        </is>
      </c>
      <c r="E9858" t="inlineStr">
        <is>
          <t>OSKARSHAMN</t>
        </is>
      </c>
      <c r="G9858" t="n">
        <v>7.7</v>
      </c>
      <c r="H9858" t="n">
        <v>0</v>
      </c>
      <c r="I9858" t="n">
        <v>0</v>
      </c>
      <c r="J9858" t="n">
        <v>0</v>
      </c>
      <c r="K9858" t="n">
        <v>0</v>
      </c>
      <c r="L9858" t="n">
        <v>0</v>
      </c>
      <c r="M9858" t="n">
        <v>0</v>
      </c>
      <c r="N9858" t="n">
        <v>0</v>
      </c>
      <c r="O9858" t="n">
        <v>0</v>
      </c>
      <c r="P9858" t="n">
        <v>0</v>
      </c>
      <c r="Q9858" t="n">
        <v>0</v>
      </c>
      <c r="R9858" s="2" t="inlineStr"/>
    </row>
    <row r="9859" ht="15" customHeight="1">
      <c r="A9859" t="inlineStr">
        <is>
          <t>A 59198-2023</t>
        </is>
      </c>
      <c r="B9859" s="1" t="n">
        <v>45253</v>
      </c>
      <c r="C9859" s="1" t="n">
        <v>45715</v>
      </c>
      <c r="D9859" t="inlineStr">
        <is>
          <t>KALMAR LÄN</t>
        </is>
      </c>
      <c r="E9859" t="inlineStr">
        <is>
          <t>HULTSFRED</t>
        </is>
      </c>
      <c r="G9859" t="n">
        <v>6.5</v>
      </c>
      <c r="H9859" t="n">
        <v>0</v>
      </c>
      <c r="I9859" t="n">
        <v>0</v>
      </c>
      <c r="J9859" t="n">
        <v>0</v>
      </c>
      <c r="K9859" t="n">
        <v>0</v>
      </c>
      <c r="L9859" t="n">
        <v>0</v>
      </c>
      <c r="M9859" t="n">
        <v>0</v>
      </c>
      <c r="N9859" t="n">
        <v>0</v>
      </c>
      <c r="O9859" t="n">
        <v>0</v>
      </c>
      <c r="P9859" t="n">
        <v>0</v>
      </c>
      <c r="Q9859" t="n">
        <v>0</v>
      </c>
      <c r="R9859" s="2" t="inlineStr"/>
    </row>
    <row r="9860" ht="15" customHeight="1">
      <c r="A9860" t="inlineStr">
        <is>
          <t>A 59303-2023</t>
        </is>
      </c>
      <c r="B9860" s="1" t="n">
        <v>45253</v>
      </c>
      <c r="C9860" s="1" t="n">
        <v>45715</v>
      </c>
      <c r="D9860" t="inlineStr">
        <is>
          <t>KALMAR LÄN</t>
        </is>
      </c>
      <c r="E9860" t="inlineStr">
        <is>
          <t>MÖNSTERÅS</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59835-2023</t>
        </is>
      </c>
      <c r="B9861" s="1" t="n">
        <v>45253</v>
      </c>
      <c r="C9861" s="1" t="n">
        <v>45715</v>
      </c>
      <c r="D9861" t="inlineStr">
        <is>
          <t>KALMAR LÄN</t>
        </is>
      </c>
      <c r="E9861" t="inlineStr">
        <is>
          <t>NYBRO</t>
        </is>
      </c>
      <c r="G9861" t="n">
        <v>7.6</v>
      </c>
      <c r="H9861" t="n">
        <v>0</v>
      </c>
      <c r="I9861" t="n">
        <v>0</v>
      </c>
      <c r="J9861" t="n">
        <v>0</v>
      </c>
      <c r="K9861" t="n">
        <v>0</v>
      </c>
      <c r="L9861" t="n">
        <v>0</v>
      </c>
      <c r="M9861" t="n">
        <v>0</v>
      </c>
      <c r="N9861" t="n">
        <v>0</v>
      </c>
      <c r="O9861" t="n">
        <v>0</v>
      </c>
      <c r="P9861" t="n">
        <v>0</v>
      </c>
      <c r="Q9861" t="n">
        <v>0</v>
      </c>
      <c r="R9861" s="2" t="inlineStr"/>
    </row>
    <row r="9862" ht="15" customHeight="1">
      <c r="A9862" t="inlineStr">
        <is>
          <t>A 59389-2023</t>
        </is>
      </c>
      <c r="B9862" s="1" t="n">
        <v>45253</v>
      </c>
      <c r="C9862" s="1" t="n">
        <v>45715</v>
      </c>
      <c r="D9862" t="inlineStr">
        <is>
          <t>KALMAR LÄN</t>
        </is>
      </c>
      <c r="E9862" t="inlineStr">
        <is>
          <t>OSKARSHAMN</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59525-2023</t>
        </is>
      </c>
      <c r="B9863" s="1" t="n">
        <v>45253</v>
      </c>
      <c r="C9863" s="1" t="n">
        <v>45715</v>
      </c>
      <c r="D9863" t="inlineStr">
        <is>
          <t>KALMAR LÄN</t>
        </is>
      </c>
      <c r="E9863" t="inlineStr">
        <is>
          <t>NYBRO</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59528-2023</t>
        </is>
      </c>
      <c r="B9864" s="1" t="n">
        <v>45253</v>
      </c>
      <c r="C9864" s="1" t="n">
        <v>45715</v>
      </c>
      <c r="D9864" t="inlineStr">
        <is>
          <t>KALMAR LÄN</t>
        </is>
      </c>
      <c r="E9864" t="inlineStr">
        <is>
          <t>NYBRO</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59834-2023</t>
        </is>
      </c>
      <c r="B9865" s="1" t="n">
        <v>45253</v>
      </c>
      <c r="C9865" s="1" t="n">
        <v>45715</v>
      </c>
      <c r="D9865" t="inlineStr">
        <is>
          <t>KALMAR LÄN</t>
        </is>
      </c>
      <c r="E9865" t="inlineStr">
        <is>
          <t>NYBRO</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59837-2023</t>
        </is>
      </c>
      <c r="B9866" s="1" t="n">
        <v>45253</v>
      </c>
      <c r="C9866" s="1" t="n">
        <v>45715</v>
      </c>
      <c r="D9866" t="inlineStr">
        <is>
          <t>KALMAR LÄN</t>
        </is>
      </c>
      <c r="E9866" t="inlineStr">
        <is>
          <t>NYBRO</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59836-2023</t>
        </is>
      </c>
      <c r="B9867" s="1" t="n">
        <v>45253</v>
      </c>
      <c r="C9867" s="1" t="n">
        <v>45715</v>
      </c>
      <c r="D9867" t="inlineStr">
        <is>
          <t>KALMAR LÄN</t>
        </is>
      </c>
      <c r="E9867" t="inlineStr">
        <is>
          <t>NYBRO</t>
        </is>
      </c>
      <c r="G9867" t="n">
        <v>6.2</v>
      </c>
      <c r="H9867" t="n">
        <v>0</v>
      </c>
      <c r="I9867" t="n">
        <v>0</v>
      </c>
      <c r="J9867" t="n">
        <v>0</v>
      </c>
      <c r="K9867" t="n">
        <v>0</v>
      </c>
      <c r="L9867" t="n">
        <v>0</v>
      </c>
      <c r="M9867" t="n">
        <v>0</v>
      </c>
      <c r="N9867" t="n">
        <v>0</v>
      </c>
      <c r="O9867" t="n">
        <v>0</v>
      </c>
      <c r="P9867" t="n">
        <v>0</v>
      </c>
      <c r="Q9867" t="n">
        <v>0</v>
      </c>
      <c r="R9867" s="2" t="inlineStr"/>
    </row>
    <row r="9868" ht="15" customHeight="1">
      <c r="A9868" t="inlineStr">
        <is>
          <t>A 59498-2023</t>
        </is>
      </c>
      <c r="B9868" s="1" t="n">
        <v>45254</v>
      </c>
      <c r="C9868" s="1" t="n">
        <v>45715</v>
      </c>
      <c r="D9868" t="inlineStr">
        <is>
          <t>KALMAR LÄN</t>
        </is>
      </c>
      <c r="E9868" t="inlineStr">
        <is>
          <t>OSKARSHAMN</t>
        </is>
      </c>
      <c r="G9868" t="n">
        <v>6.6</v>
      </c>
      <c r="H9868" t="n">
        <v>0</v>
      </c>
      <c r="I9868" t="n">
        <v>0</v>
      </c>
      <c r="J9868" t="n">
        <v>0</v>
      </c>
      <c r="K9868" t="n">
        <v>0</v>
      </c>
      <c r="L9868" t="n">
        <v>0</v>
      </c>
      <c r="M9868" t="n">
        <v>0</v>
      </c>
      <c r="N9868" t="n">
        <v>0</v>
      </c>
      <c r="O9868" t="n">
        <v>0</v>
      </c>
      <c r="P9868" t="n">
        <v>0</v>
      </c>
      <c r="Q9868" t="n">
        <v>0</v>
      </c>
      <c r="R9868" s="2" t="inlineStr"/>
    </row>
    <row r="9869" ht="15" customHeight="1">
      <c r="A9869" t="inlineStr">
        <is>
          <t>A 59430-2023</t>
        </is>
      </c>
      <c r="B9869" s="1" t="n">
        <v>45254</v>
      </c>
      <c r="C9869" s="1" t="n">
        <v>45715</v>
      </c>
      <c r="D9869" t="inlineStr">
        <is>
          <t>KALMAR LÄN</t>
        </is>
      </c>
      <c r="E9869" t="inlineStr">
        <is>
          <t>HÖGSBY</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59490-2023</t>
        </is>
      </c>
      <c r="B9870" s="1" t="n">
        <v>45254</v>
      </c>
      <c r="C9870" s="1" t="n">
        <v>45715</v>
      </c>
      <c r="D9870" t="inlineStr">
        <is>
          <t>KALMAR LÄN</t>
        </is>
      </c>
      <c r="E9870" t="inlineStr">
        <is>
          <t>KALMAR</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59428-2023</t>
        </is>
      </c>
      <c r="B9871" s="1" t="n">
        <v>45254</v>
      </c>
      <c r="C9871" s="1" t="n">
        <v>45715</v>
      </c>
      <c r="D9871" t="inlineStr">
        <is>
          <t>KALMAR LÄN</t>
        </is>
      </c>
      <c r="E9871" t="inlineStr">
        <is>
          <t>HÖGSBY</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59455-2023</t>
        </is>
      </c>
      <c r="B9872" s="1" t="n">
        <v>45254</v>
      </c>
      <c r="C9872" s="1" t="n">
        <v>45715</v>
      </c>
      <c r="D9872" t="inlineStr">
        <is>
          <t>KALMAR LÄN</t>
        </is>
      </c>
      <c r="E9872" t="inlineStr">
        <is>
          <t>KALMAR</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59474-2023</t>
        </is>
      </c>
      <c r="B9873" s="1" t="n">
        <v>45254</v>
      </c>
      <c r="C9873" s="1" t="n">
        <v>45715</v>
      </c>
      <c r="D9873" t="inlineStr">
        <is>
          <t>KALMAR LÄN</t>
        </is>
      </c>
      <c r="E9873" t="inlineStr">
        <is>
          <t>OSKARSHAMN</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59565-2023</t>
        </is>
      </c>
      <c r="B9874" s="1" t="n">
        <v>45254</v>
      </c>
      <c r="C9874" s="1" t="n">
        <v>45715</v>
      </c>
      <c r="D9874" t="inlineStr">
        <is>
          <t>KALMAR LÄN</t>
        </is>
      </c>
      <c r="E9874" t="inlineStr">
        <is>
          <t>OSKARSHAMN</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59535-2023</t>
        </is>
      </c>
      <c r="B9875" s="1" t="n">
        <v>45254</v>
      </c>
      <c r="C9875" s="1" t="n">
        <v>45715</v>
      </c>
      <c r="D9875" t="inlineStr">
        <is>
          <t>KALMAR LÄN</t>
        </is>
      </c>
      <c r="E9875" t="inlineStr">
        <is>
          <t>HULTSFRED</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59539-2023</t>
        </is>
      </c>
      <c r="B9876" s="1" t="n">
        <v>45254</v>
      </c>
      <c r="C9876" s="1" t="n">
        <v>45715</v>
      </c>
      <c r="D9876" t="inlineStr">
        <is>
          <t>KALMAR LÄN</t>
        </is>
      </c>
      <c r="E9876" t="inlineStr">
        <is>
          <t>VÄSTERVIK</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59541-2023</t>
        </is>
      </c>
      <c r="B9877" s="1" t="n">
        <v>45254</v>
      </c>
      <c r="C9877" s="1" t="n">
        <v>45715</v>
      </c>
      <c r="D9877" t="inlineStr">
        <is>
          <t>KALMAR LÄN</t>
        </is>
      </c>
      <c r="E9877" t="inlineStr">
        <is>
          <t>KALMAR</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59545-2023</t>
        </is>
      </c>
      <c r="B9878" s="1" t="n">
        <v>45254</v>
      </c>
      <c r="C9878" s="1" t="n">
        <v>45715</v>
      </c>
      <c r="D9878" t="inlineStr">
        <is>
          <t>KALMAR LÄN</t>
        </is>
      </c>
      <c r="E9878" t="inlineStr">
        <is>
          <t>NYBRO</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59619-2023</t>
        </is>
      </c>
      <c r="B9879" s="1" t="n">
        <v>45254</v>
      </c>
      <c r="C9879" s="1" t="n">
        <v>45715</v>
      </c>
      <c r="D9879" t="inlineStr">
        <is>
          <t>KALMAR LÄN</t>
        </is>
      </c>
      <c r="E9879" t="inlineStr">
        <is>
          <t>NYBRO</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59456-2023</t>
        </is>
      </c>
      <c r="B9880" s="1" t="n">
        <v>45254</v>
      </c>
      <c r="C9880" s="1" t="n">
        <v>45715</v>
      </c>
      <c r="D9880" t="inlineStr">
        <is>
          <t>KALMAR LÄN</t>
        </is>
      </c>
      <c r="E9880" t="inlineStr">
        <is>
          <t>OSKARSHAMN</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59485-2023</t>
        </is>
      </c>
      <c r="B9881" s="1" t="n">
        <v>45254</v>
      </c>
      <c r="C9881" s="1" t="n">
        <v>45715</v>
      </c>
      <c r="D9881" t="inlineStr">
        <is>
          <t>KALMAR LÄN</t>
        </is>
      </c>
      <c r="E9881" t="inlineStr">
        <is>
          <t>KALMAR</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59598-2023</t>
        </is>
      </c>
      <c r="B9882" s="1" t="n">
        <v>45254</v>
      </c>
      <c r="C9882" s="1" t="n">
        <v>45715</v>
      </c>
      <c r="D9882" t="inlineStr">
        <is>
          <t>KALMAR LÄN</t>
        </is>
      </c>
      <c r="E9882" t="inlineStr">
        <is>
          <t>VIMMERBY</t>
        </is>
      </c>
      <c r="F9882" t="inlineStr">
        <is>
          <t>Övriga Aktiebolag</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59697-2023</t>
        </is>
      </c>
      <c r="B9883" s="1" t="n">
        <v>45256</v>
      </c>
      <c r="C9883" s="1" t="n">
        <v>45715</v>
      </c>
      <c r="D9883" t="inlineStr">
        <is>
          <t>KALMAR LÄN</t>
        </is>
      </c>
      <c r="E9883" t="inlineStr">
        <is>
          <t>OSKARSHAMN</t>
        </is>
      </c>
      <c r="G9883" t="n">
        <v>11.9</v>
      </c>
      <c r="H9883" t="n">
        <v>0</v>
      </c>
      <c r="I9883" t="n">
        <v>0</v>
      </c>
      <c r="J9883" t="n">
        <v>0</v>
      </c>
      <c r="K9883" t="n">
        <v>0</v>
      </c>
      <c r="L9883" t="n">
        <v>0</v>
      </c>
      <c r="M9883" t="n">
        <v>0</v>
      </c>
      <c r="N9883" t="n">
        <v>0</v>
      </c>
      <c r="O9883" t="n">
        <v>0</v>
      </c>
      <c r="P9883" t="n">
        <v>0</v>
      </c>
      <c r="Q9883" t="n">
        <v>0</v>
      </c>
      <c r="R9883" s="2" t="inlineStr"/>
    </row>
    <row r="9884" ht="15" customHeight="1">
      <c r="A9884" t="inlineStr">
        <is>
          <t>A 59701-2023</t>
        </is>
      </c>
      <c r="B9884" s="1" t="n">
        <v>45256</v>
      </c>
      <c r="C9884" s="1" t="n">
        <v>45715</v>
      </c>
      <c r="D9884" t="inlineStr">
        <is>
          <t>KALMAR LÄN</t>
        </is>
      </c>
      <c r="E9884" t="inlineStr">
        <is>
          <t>HÖGSBY</t>
        </is>
      </c>
      <c r="G9884" t="n">
        <v>8.199999999999999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59698-2023</t>
        </is>
      </c>
      <c r="B9885" s="1" t="n">
        <v>45256</v>
      </c>
      <c r="C9885" s="1" t="n">
        <v>45715</v>
      </c>
      <c r="D9885" t="inlineStr">
        <is>
          <t>KALMAR LÄN</t>
        </is>
      </c>
      <c r="E9885" t="inlineStr">
        <is>
          <t>OSKARSHAMN</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59700-2023</t>
        </is>
      </c>
      <c r="B9886" s="1" t="n">
        <v>45256</v>
      </c>
      <c r="C9886" s="1" t="n">
        <v>45715</v>
      </c>
      <c r="D9886" t="inlineStr">
        <is>
          <t>KALMAR LÄN</t>
        </is>
      </c>
      <c r="E9886" t="inlineStr">
        <is>
          <t>HÖGSBY</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59696-2023</t>
        </is>
      </c>
      <c r="B9887" s="1" t="n">
        <v>45256</v>
      </c>
      <c r="C9887" s="1" t="n">
        <v>45715</v>
      </c>
      <c r="D9887" t="inlineStr">
        <is>
          <t>KALMAR LÄN</t>
        </is>
      </c>
      <c r="E9887" t="inlineStr">
        <is>
          <t>VÄSTERVIK</t>
        </is>
      </c>
      <c r="F9887" t="inlineStr">
        <is>
          <t>Sveaskog</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59699-2023</t>
        </is>
      </c>
      <c r="B9888" s="1" t="n">
        <v>45256</v>
      </c>
      <c r="C9888" s="1" t="n">
        <v>45715</v>
      </c>
      <c r="D9888" t="inlineStr">
        <is>
          <t>KALMAR LÄN</t>
        </is>
      </c>
      <c r="E9888" t="inlineStr">
        <is>
          <t>OSKARSHAMN</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59695-2023</t>
        </is>
      </c>
      <c r="B9889" s="1" t="n">
        <v>45256</v>
      </c>
      <c r="C9889" s="1" t="n">
        <v>45715</v>
      </c>
      <c r="D9889" t="inlineStr">
        <is>
          <t>KALMAR LÄN</t>
        </is>
      </c>
      <c r="E9889" t="inlineStr">
        <is>
          <t>VÄSTERVIK</t>
        </is>
      </c>
      <c r="F9889" t="inlineStr">
        <is>
          <t>Sveaskog</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59732-2023</t>
        </is>
      </c>
      <c r="B9890" s="1" t="n">
        <v>45257</v>
      </c>
      <c r="C9890" s="1" t="n">
        <v>45715</v>
      </c>
      <c r="D9890" t="inlineStr">
        <is>
          <t>KALMAR LÄN</t>
        </is>
      </c>
      <c r="E9890" t="inlineStr">
        <is>
          <t>VÄSTERVIK</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59943-2023</t>
        </is>
      </c>
      <c r="B9891" s="1" t="n">
        <v>45257</v>
      </c>
      <c r="C9891" s="1" t="n">
        <v>45715</v>
      </c>
      <c r="D9891" t="inlineStr">
        <is>
          <t>KALMAR LÄN</t>
        </is>
      </c>
      <c r="E9891" t="inlineStr">
        <is>
          <t>VIMMERBY</t>
        </is>
      </c>
      <c r="G9891" t="n">
        <v>6.4</v>
      </c>
      <c r="H9891" t="n">
        <v>0</v>
      </c>
      <c r="I9891" t="n">
        <v>0</v>
      </c>
      <c r="J9891" t="n">
        <v>0</v>
      </c>
      <c r="K9891" t="n">
        <v>0</v>
      </c>
      <c r="L9891" t="n">
        <v>0</v>
      </c>
      <c r="M9891" t="n">
        <v>0</v>
      </c>
      <c r="N9891" t="n">
        <v>0</v>
      </c>
      <c r="O9891" t="n">
        <v>0</v>
      </c>
      <c r="P9891" t="n">
        <v>0</v>
      </c>
      <c r="Q9891" t="n">
        <v>0</v>
      </c>
      <c r="R9891" s="2" t="inlineStr"/>
    </row>
    <row r="9892" ht="15" customHeight="1">
      <c r="A9892" t="inlineStr">
        <is>
          <t>A 59844-2023</t>
        </is>
      </c>
      <c r="B9892" s="1" t="n">
        <v>45257</v>
      </c>
      <c r="C9892" s="1" t="n">
        <v>45715</v>
      </c>
      <c r="D9892" t="inlineStr">
        <is>
          <t>KALMAR LÄN</t>
        </is>
      </c>
      <c r="E9892" t="inlineStr">
        <is>
          <t>VÄSTERVIK</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59972-2023</t>
        </is>
      </c>
      <c r="B9893" s="1" t="n">
        <v>45257</v>
      </c>
      <c r="C9893" s="1" t="n">
        <v>45715</v>
      </c>
      <c r="D9893" t="inlineStr">
        <is>
          <t>KALMAR LÄN</t>
        </is>
      </c>
      <c r="E9893" t="inlineStr">
        <is>
          <t>HULTSFRED</t>
        </is>
      </c>
      <c r="F9893" t="inlineStr">
        <is>
          <t>Sveaskog</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59977-2023</t>
        </is>
      </c>
      <c r="B9894" s="1" t="n">
        <v>45257</v>
      </c>
      <c r="C9894" s="1" t="n">
        <v>45715</v>
      </c>
      <c r="D9894" t="inlineStr">
        <is>
          <t>KALMAR LÄN</t>
        </is>
      </c>
      <c r="E9894" t="inlineStr">
        <is>
          <t>HULTSFRED</t>
        </is>
      </c>
      <c r="F9894" t="inlineStr">
        <is>
          <t>Sveaskog</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59975-2023</t>
        </is>
      </c>
      <c r="B9895" s="1" t="n">
        <v>45257</v>
      </c>
      <c r="C9895" s="1" t="n">
        <v>45715</v>
      </c>
      <c r="D9895" t="inlineStr">
        <is>
          <t>KALMAR LÄN</t>
        </is>
      </c>
      <c r="E9895" t="inlineStr">
        <is>
          <t>HULTSFRED</t>
        </is>
      </c>
      <c r="F9895" t="inlineStr">
        <is>
          <t>Sveaskog</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60349-2023</t>
        </is>
      </c>
      <c r="B9896" s="1" t="n">
        <v>45257</v>
      </c>
      <c r="C9896" s="1" t="n">
        <v>45715</v>
      </c>
      <c r="D9896" t="inlineStr">
        <is>
          <t>KALMAR LÄN</t>
        </is>
      </c>
      <c r="E9896" t="inlineStr">
        <is>
          <t>OSKARSHAMN</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59955-2023</t>
        </is>
      </c>
      <c r="B9897" s="1" t="n">
        <v>45257</v>
      </c>
      <c r="C9897" s="1" t="n">
        <v>45715</v>
      </c>
      <c r="D9897" t="inlineStr">
        <is>
          <t>KALMAR LÄN</t>
        </is>
      </c>
      <c r="E9897" t="inlineStr">
        <is>
          <t>VIMMERBY</t>
        </is>
      </c>
      <c r="G9897" t="n">
        <v>13.8</v>
      </c>
      <c r="H9897" t="n">
        <v>0</v>
      </c>
      <c r="I9897" t="n">
        <v>0</v>
      </c>
      <c r="J9897" t="n">
        <v>0</v>
      </c>
      <c r="K9897" t="n">
        <v>0</v>
      </c>
      <c r="L9897" t="n">
        <v>0</v>
      </c>
      <c r="M9897" t="n">
        <v>0</v>
      </c>
      <c r="N9897" t="n">
        <v>0</v>
      </c>
      <c r="O9897" t="n">
        <v>0</v>
      </c>
      <c r="P9897" t="n">
        <v>0</v>
      </c>
      <c r="Q9897" t="n">
        <v>0</v>
      </c>
      <c r="R9897" s="2" t="inlineStr"/>
    </row>
    <row r="9898" ht="15" customHeight="1">
      <c r="A9898" t="inlineStr">
        <is>
          <t>A 59847-2023</t>
        </is>
      </c>
      <c r="B9898" s="1" t="n">
        <v>45257</v>
      </c>
      <c r="C9898" s="1" t="n">
        <v>45715</v>
      </c>
      <c r="D9898" t="inlineStr">
        <is>
          <t>KALMAR LÄN</t>
        </is>
      </c>
      <c r="E9898" t="inlineStr">
        <is>
          <t>VÄSTERVIK</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60347-2023</t>
        </is>
      </c>
      <c r="B9899" s="1" t="n">
        <v>45257</v>
      </c>
      <c r="C9899" s="1" t="n">
        <v>45715</v>
      </c>
      <c r="D9899" t="inlineStr">
        <is>
          <t>KALMAR LÄN</t>
        </is>
      </c>
      <c r="E9899" t="inlineStr">
        <is>
          <t>OSKARSHAMN</t>
        </is>
      </c>
      <c r="G9899" t="n">
        <v>5.9</v>
      </c>
      <c r="H9899" t="n">
        <v>0</v>
      </c>
      <c r="I9899" t="n">
        <v>0</v>
      </c>
      <c r="J9899" t="n">
        <v>0</v>
      </c>
      <c r="K9899" t="n">
        <v>0</v>
      </c>
      <c r="L9899" t="n">
        <v>0</v>
      </c>
      <c r="M9899" t="n">
        <v>0</v>
      </c>
      <c r="N9899" t="n">
        <v>0</v>
      </c>
      <c r="O9899" t="n">
        <v>0</v>
      </c>
      <c r="P9899" t="n">
        <v>0</v>
      </c>
      <c r="Q9899" t="n">
        <v>0</v>
      </c>
      <c r="R9899" s="2" t="inlineStr"/>
    </row>
    <row r="9900" ht="15" customHeight="1">
      <c r="A9900" t="inlineStr">
        <is>
          <t>A 59929-2023</t>
        </is>
      </c>
      <c r="B9900" s="1" t="n">
        <v>45257</v>
      </c>
      <c r="C9900" s="1" t="n">
        <v>45715</v>
      </c>
      <c r="D9900" t="inlineStr">
        <is>
          <t>KALMAR LÄN</t>
        </is>
      </c>
      <c r="E9900" t="inlineStr">
        <is>
          <t>EMMABODA</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59974-2023</t>
        </is>
      </c>
      <c r="B9901" s="1" t="n">
        <v>45257</v>
      </c>
      <c r="C9901" s="1" t="n">
        <v>45715</v>
      </c>
      <c r="D9901" t="inlineStr">
        <is>
          <t>KALMAR LÄN</t>
        </is>
      </c>
      <c r="E9901" t="inlineStr">
        <is>
          <t>HULTSFRED</t>
        </is>
      </c>
      <c r="F9901" t="inlineStr">
        <is>
          <t>Sveaskog</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60043-2023</t>
        </is>
      </c>
      <c r="B9902" s="1" t="n">
        <v>45258</v>
      </c>
      <c r="C9902" s="1" t="n">
        <v>45715</v>
      </c>
      <c r="D9902" t="inlineStr">
        <is>
          <t>KALMAR LÄN</t>
        </is>
      </c>
      <c r="E9902" t="inlineStr">
        <is>
          <t>HULTSFRED</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60051-2023</t>
        </is>
      </c>
      <c r="B9903" s="1" t="n">
        <v>45258</v>
      </c>
      <c r="C9903" s="1" t="n">
        <v>45715</v>
      </c>
      <c r="D9903" t="inlineStr">
        <is>
          <t>KALMAR LÄN</t>
        </is>
      </c>
      <c r="E9903" t="inlineStr">
        <is>
          <t>HULTSFRED</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60056-2023</t>
        </is>
      </c>
      <c r="B9904" s="1" t="n">
        <v>45258</v>
      </c>
      <c r="C9904" s="1" t="n">
        <v>45715</v>
      </c>
      <c r="D9904" t="inlineStr">
        <is>
          <t>KALMAR LÄN</t>
        </is>
      </c>
      <c r="E9904" t="inlineStr">
        <is>
          <t>VÄSTERVIK</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60143-2023</t>
        </is>
      </c>
      <c r="B9905" s="1" t="n">
        <v>45258</v>
      </c>
      <c r="C9905" s="1" t="n">
        <v>45715</v>
      </c>
      <c r="D9905" t="inlineStr">
        <is>
          <t>KALMAR LÄN</t>
        </is>
      </c>
      <c r="E9905" t="inlineStr">
        <is>
          <t>EMMABODA</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60196-2023</t>
        </is>
      </c>
      <c r="B9906" s="1" t="n">
        <v>45258</v>
      </c>
      <c r="C9906" s="1" t="n">
        <v>45715</v>
      </c>
      <c r="D9906" t="inlineStr">
        <is>
          <t>KALMAR LÄN</t>
        </is>
      </c>
      <c r="E9906" t="inlineStr">
        <is>
          <t>VÄSTERVIK</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60256-2023</t>
        </is>
      </c>
      <c r="B9907" s="1" t="n">
        <v>45258</v>
      </c>
      <c r="C9907" s="1" t="n">
        <v>45715</v>
      </c>
      <c r="D9907" t="inlineStr">
        <is>
          <t>KALMAR LÄN</t>
        </is>
      </c>
      <c r="E9907" t="inlineStr">
        <is>
          <t>OSKARSHAMN</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60261-2023</t>
        </is>
      </c>
      <c r="B9908" s="1" t="n">
        <v>45258</v>
      </c>
      <c r="C9908" s="1" t="n">
        <v>45715</v>
      </c>
      <c r="D9908" t="inlineStr">
        <is>
          <t>KALMAR LÄN</t>
        </is>
      </c>
      <c r="E9908" t="inlineStr">
        <is>
          <t>OSKARSHAMN</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60048-2023</t>
        </is>
      </c>
      <c r="B9909" s="1" t="n">
        <v>45258</v>
      </c>
      <c r="C9909" s="1" t="n">
        <v>45715</v>
      </c>
      <c r="D9909" t="inlineStr">
        <is>
          <t>KALMAR LÄN</t>
        </is>
      </c>
      <c r="E9909" t="inlineStr">
        <is>
          <t>HULTSFRED</t>
        </is>
      </c>
      <c r="G9909" t="n">
        <v>8.1</v>
      </c>
      <c r="H9909" t="n">
        <v>0</v>
      </c>
      <c r="I9909" t="n">
        <v>0</v>
      </c>
      <c r="J9909" t="n">
        <v>0</v>
      </c>
      <c r="K9909" t="n">
        <v>0</v>
      </c>
      <c r="L9909" t="n">
        <v>0</v>
      </c>
      <c r="M9909" t="n">
        <v>0</v>
      </c>
      <c r="N9909" t="n">
        <v>0</v>
      </c>
      <c r="O9909" t="n">
        <v>0</v>
      </c>
      <c r="P9909" t="n">
        <v>0</v>
      </c>
      <c r="Q9909" t="n">
        <v>0</v>
      </c>
      <c r="R9909" s="2" t="inlineStr"/>
    </row>
    <row r="9910" ht="15" customHeight="1">
      <c r="A9910" t="inlineStr">
        <is>
          <t>A 60179-2023</t>
        </is>
      </c>
      <c r="B9910" s="1" t="n">
        <v>45258</v>
      </c>
      <c r="C9910" s="1" t="n">
        <v>45715</v>
      </c>
      <c r="D9910" t="inlineStr">
        <is>
          <t>KALMAR LÄN</t>
        </is>
      </c>
      <c r="E9910" t="inlineStr">
        <is>
          <t>VÄSTERVIK</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60187-2023</t>
        </is>
      </c>
      <c r="B9911" s="1" t="n">
        <v>45258</v>
      </c>
      <c r="C9911" s="1" t="n">
        <v>45715</v>
      </c>
      <c r="D9911" t="inlineStr">
        <is>
          <t>KALMAR LÄN</t>
        </is>
      </c>
      <c r="E9911" t="inlineStr">
        <is>
          <t>VÄSTERVIK</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60247-2023</t>
        </is>
      </c>
      <c r="B9912" s="1" t="n">
        <v>45258</v>
      </c>
      <c r="C9912" s="1" t="n">
        <v>45715</v>
      </c>
      <c r="D9912" t="inlineStr">
        <is>
          <t>KALMAR LÄN</t>
        </is>
      </c>
      <c r="E9912" t="inlineStr">
        <is>
          <t>OSKARSHAMN</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60141-2023</t>
        </is>
      </c>
      <c r="B9913" s="1" t="n">
        <v>45258</v>
      </c>
      <c r="C9913" s="1" t="n">
        <v>45715</v>
      </c>
      <c r="D9913" t="inlineStr">
        <is>
          <t>KALMAR LÄN</t>
        </is>
      </c>
      <c r="E9913" t="inlineStr">
        <is>
          <t>EMMABODA</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60226-2023</t>
        </is>
      </c>
      <c r="B9914" s="1" t="n">
        <v>45258</v>
      </c>
      <c r="C9914" s="1" t="n">
        <v>45715</v>
      </c>
      <c r="D9914" t="inlineStr">
        <is>
          <t>KALMAR LÄN</t>
        </is>
      </c>
      <c r="E9914" t="inlineStr">
        <is>
          <t>OSKARSHAMN</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60142-2023</t>
        </is>
      </c>
      <c r="B9915" s="1" t="n">
        <v>45258</v>
      </c>
      <c r="C9915" s="1" t="n">
        <v>45715</v>
      </c>
      <c r="D9915" t="inlineStr">
        <is>
          <t>KALMAR LÄN</t>
        </is>
      </c>
      <c r="E9915" t="inlineStr">
        <is>
          <t>EMMABODA</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60232-2023</t>
        </is>
      </c>
      <c r="B9916" s="1" t="n">
        <v>45258</v>
      </c>
      <c r="C9916" s="1" t="n">
        <v>45715</v>
      </c>
      <c r="D9916" t="inlineStr">
        <is>
          <t>KALMAR LÄN</t>
        </is>
      </c>
      <c r="E9916" t="inlineStr">
        <is>
          <t>OSKARSHAMN</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60237-2023</t>
        </is>
      </c>
      <c r="B9917" s="1" t="n">
        <v>45258</v>
      </c>
      <c r="C9917" s="1" t="n">
        <v>45715</v>
      </c>
      <c r="D9917" t="inlineStr">
        <is>
          <t>KALMAR LÄN</t>
        </is>
      </c>
      <c r="E9917" t="inlineStr">
        <is>
          <t>OSKARSHAMN</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60306-2023</t>
        </is>
      </c>
      <c r="B9918" s="1" t="n">
        <v>45258</v>
      </c>
      <c r="C9918" s="1" t="n">
        <v>45715</v>
      </c>
      <c r="D9918" t="inlineStr">
        <is>
          <t>KALMAR LÄN</t>
        </is>
      </c>
      <c r="E9918" t="inlineStr">
        <is>
          <t>HÖGSBY</t>
        </is>
      </c>
      <c r="F9918" t="inlineStr">
        <is>
          <t>Sveaskog</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60307-2023</t>
        </is>
      </c>
      <c r="B9919" s="1" t="n">
        <v>45258</v>
      </c>
      <c r="C9919" s="1" t="n">
        <v>45715</v>
      </c>
      <c r="D9919" t="inlineStr">
        <is>
          <t>KALMAR LÄN</t>
        </is>
      </c>
      <c r="E9919" t="inlineStr">
        <is>
          <t>HÖGSBY</t>
        </is>
      </c>
      <c r="F9919" t="inlineStr">
        <is>
          <t>Sveaskog</t>
        </is>
      </c>
      <c r="G9919" t="n">
        <v>5.4</v>
      </c>
      <c r="H9919" t="n">
        <v>0</v>
      </c>
      <c r="I9919" t="n">
        <v>0</v>
      </c>
      <c r="J9919" t="n">
        <v>0</v>
      </c>
      <c r="K9919" t="n">
        <v>0</v>
      </c>
      <c r="L9919" t="n">
        <v>0</v>
      </c>
      <c r="M9919" t="n">
        <v>0</v>
      </c>
      <c r="N9919" t="n">
        <v>0</v>
      </c>
      <c r="O9919" t="n">
        <v>0</v>
      </c>
      <c r="P9919" t="n">
        <v>0</v>
      </c>
      <c r="Q9919" t="n">
        <v>0</v>
      </c>
      <c r="R9919" s="2" t="inlineStr"/>
    </row>
    <row r="9920" ht="15" customHeight="1">
      <c r="A9920" t="inlineStr">
        <is>
          <t>A 60300-2023</t>
        </is>
      </c>
      <c r="B9920" s="1" t="n">
        <v>45258</v>
      </c>
      <c r="C9920" s="1" t="n">
        <v>45715</v>
      </c>
      <c r="D9920" t="inlineStr">
        <is>
          <t>KALMAR LÄN</t>
        </is>
      </c>
      <c r="E9920" t="inlineStr">
        <is>
          <t>VÄSTERVIK</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60308-2023</t>
        </is>
      </c>
      <c r="B9921" s="1" t="n">
        <v>45258</v>
      </c>
      <c r="C9921" s="1" t="n">
        <v>45715</v>
      </c>
      <c r="D9921" t="inlineStr">
        <is>
          <t>KALMAR LÄN</t>
        </is>
      </c>
      <c r="E9921" t="inlineStr">
        <is>
          <t>HÖGSBY</t>
        </is>
      </c>
      <c r="F9921" t="inlineStr">
        <is>
          <t>Sveaskog</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60438-2023</t>
        </is>
      </c>
      <c r="B9922" s="1" t="n">
        <v>45259</v>
      </c>
      <c r="C9922" s="1" t="n">
        <v>45715</v>
      </c>
      <c r="D9922" t="inlineStr">
        <is>
          <t>KALMAR LÄN</t>
        </is>
      </c>
      <c r="E9922" t="inlineStr">
        <is>
          <t>VIMMERBY</t>
        </is>
      </c>
      <c r="F9922" t="inlineStr">
        <is>
          <t>Sveaskog</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60448-2023</t>
        </is>
      </c>
      <c r="B9923" s="1" t="n">
        <v>45259</v>
      </c>
      <c r="C9923" s="1" t="n">
        <v>45715</v>
      </c>
      <c r="D9923" t="inlineStr">
        <is>
          <t>KALMAR LÄN</t>
        </is>
      </c>
      <c r="E9923" t="inlineStr">
        <is>
          <t>HÖGSBY</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60493-2023</t>
        </is>
      </c>
      <c r="B9924" s="1" t="n">
        <v>45259</v>
      </c>
      <c r="C9924" s="1" t="n">
        <v>45715</v>
      </c>
      <c r="D9924" t="inlineStr">
        <is>
          <t>KALMAR LÄN</t>
        </is>
      </c>
      <c r="E9924" t="inlineStr">
        <is>
          <t>TORSÅS</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60361-2023</t>
        </is>
      </c>
      <c r="B9925" s="1" t="n">
        <v>45259</v>
      </c>
      <c r="C9925" s="1" t="n">
        <v>45715</v>
      </c>
      <c r="D9925" t="inlineStr">
        <is>
          <t>KALMAR LÄN</t>
        </is>
      </c>
      <c r="E9925" t="inlineStr">
        <is>
          <t>HULTSFRED</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60494-2023</t>
        </is>
      </c>
      <c r="B9926" s="1" t="n">
        <v>45259</v>
      </c>
      <c r="C9926" s="1" t="n">
        <v>45715</v>
      </c>
      <c r="D9926" t="inlineStr">
        <is>
          <t>KALMAR LÄN</t>
        </is>
      </c>
      <c r="E9926" t="inlineStr">
        <is>
          <t>TORSÅS</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60363-2023</t>
        </is>
      </c>
      <c r="B9927" s="1" t="n">
        <v>45259</v>
      </c>
      <c r="C9927" s="1" t="n">
        <v>45715</v>
      </c>
      <c r="D9927" t="inlineStr">
        <is>
          <t>KALMAR LÄN</t>
        </is>
      </c>
      <c r="E9927" t="inlineStr">
        <is>
          <t>HULTSFRED</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60437-2023</t>
        </is>
      </c>
      <c r="B9928" s="1" t="n">
        <v>45259</v>
      </c>
      <c r="C9928" s="1" t="n">
        <v>45715</v>
      </c>
      <c r="D9928" t="inlineStr">
        <is>
          <t>KALMAR LÄN</t>
        </is>
      </c>
      <c r="E9928" t="inlineStr">
        <is>
          <t>VIMMERBY</t>
        </is>
      </c>
      <c r="F9928" t="inlineStr">
        <is>
          <t>Sveaskog</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60446-2023</t>
        </is>
      </c>
      <c r="B9929" s="1" t="n">
        <v>45259</v>
      </c>
      <c r="C9929" s="1" t="n">
        <v>45715</v>
      </c>
      <c r="D9929" t="inlineStr">
        <is>
          <t>KALMAR LÄN</t>
        </is>
      </c>
      <c r="E9929" t="inlineStr">
        <is>
          <t>HÖGSBY</t>
        </is>
      </c>
      <c r="G9929" t="n">
        <v>6.5</v>
      </c>
      <c r="H9929" t="n">
        <v>0</v>
      </c>
      <c r="I9929" t="n">
        <v>0</v>
      </c>
      <c r="J9929" t="n">
        <v>0</v>
      </c>
      <c r="K9929" t="n">
        <v>0</v>
      </c>
      <c r="L9929" t="n">
        <v>0</v>
      </c>
      <c r="M9929" t="n">
        <v>0</v>
      </c>
      <c r="N9929" t="n">
        <v>0</v>
      </c>
      <c r="O9929" t="n">
        <v>0</v>
      </c>
      <c r="P9929" t="n">
        <v>0</v>
      </c>
      <c r="Q9929" t="n">
        <v>0</v>
      </c>
      <c r="R9929" s="2" t="inlineStr"/>
    </row>
    <row r="9930" ht="15" customHeight="1">
      <c r="A9930" t="inlineStr">
        <is>
          <t>A 60505-2023</t>
        </is>
      </c>
      <c r="B9930" s="1" t="n">
        <v>45259</v>
      </c>
      <c r="C9930" s="1" t="n">
        <v>45715</v>
      </c>
      <c r="D9930" t="inlineStr">
        <is>
          <t>KALMAR LÄN</t>
        </is>
      </c>
      <c r="E9930" t="inlineStr">
        <is>
          <t>TORSÅS</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60532-2023</t>
        </is>
      </c>
      <c r="B9931" s="1" t="n">
        <v>45259</v>
      </c>
      <c r="C9931" s="1" t="n">
        <v>45715</v>
      </c>
      <c r="D9931" t="inlineStr">
        <is>
          <t>KALMAR LÄN</t>
        </is>
      </c>
      <c r="E9931" t="inlineStr">
        <is>
          <t>EMMABODA</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60635-2023</t>
        </is>
      </c>
      <c r="B9932" s="1" t="n">
        <v>45260</v>
      </c>
      <c r="C9932" s="1" t="n">
        <v>45715</v>
      </c>
      <c r="D9932" t="inlineStr">
        <is>
          <t>KALMAR LÄN</t>
        </is>
      </c>
      <c r="E9932" t="inlineStr">
        <is>
          <t>KALMAR</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60639-2023</t>
        </is>
      </c>
      <c r="B9933" s="1" t="n">
        <v>45260</v>
      </c>
      <c r="C9933" s="1" t="n">
        <v>45715</v>
      </c>
      <c r="D9933" t="inlineStr">
        <is>
          <t>KALMAR LÄN</t>
        </is>
      </c>
      <c r="E9933" t="inlineStr">
        <is>
          <t>OSKARSHAMN</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60603-2023</t>
        </is>
      </c>
      <c r="B9934" s="1" t="n">
        <v>45260</v>
      </c>
      <c r="C9934" s="1" t="n">
        <v>45715</v>
      </c>
      <c r="D9934" t="inlineStr">
        <is>
          <t>KALMAR LÄN</t>
        </is>
      </c>
      <c r="E9934" t="inlineStr">
        <is>
          <t>NYBRO</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60678-2023</t>
        </is>
      </c>
      <c r="B9935" s="1" t="n">
        <v>45260</v>
      </c>
      <c r="C9935" s="1" t="n">
        <v>45715</v>
      </c>
      <c r="D9935" t="inlineStr">
        <is>
          <t>KALMAR LÄN</t>
        </is>
      </c>
      <c r="E9935" t="inlineStr">
        <is>
          <t>HULTSFRED</t>
        </is>
      </c>
      <c r="F9935" t="inlineStr">
        <is>
          <t>Sveaskog</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60616-2023</t>
        </is>
      </c>
      <c r="B9936" s="1" t="n">
        <v>45260</v>
      </c>
      <c r="C9936" s="1" t="n">
        <v>45715</v>
      </c>
      <c r="D9936" t="inlineStr">
        <is>
          <t>KALMAR LÄN</t>
        </is>
      </c>
      <c r="E9936" t="inlineStr">
        <is>
          <t>MÖNSTERÅS</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60677-2023</t>
        </is>
      </c>
      <c r="B9937" s="1" t="n">
        <v>45260</v>
      </c>
      <c r="C9937" s="1" t="n">
        <v>45715</v>
      </c>
      <c r="D9937" t="inlineStr">
        <is>
          <t>KALMAR LÄN</t>
        </is>
      </c>
      <c r="E9937" t="inlineStr">
        <is>
          <t>HULTSFRED</t>
        </is>
      </c>
      <c r="F9937" t="inlineStr">
        <is>
          <t>Sveaskog</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60681-2023</t>
        </is>
      </c>
      <c r="B9938" s="1" t="n">
        <v>45260</v>
      </c>
      <c r="C9938" s="1" t="n">
        <v>45715</v>
      </c>
      <c r="D9938" t="inlineStr">
        <is>
          <t>KALMAR LÄN</t>
        </is>
      </c>
      <c r="E9938" t="inlineStr">
        <is>
          <t>HULTSFRED</t>
        </is>
      </c>
      <c r="F9938" t="inlineStr">
        <is>
          <t>Sveaskog</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60779-2023</t>
        </is>
      </c>
      <c r="B9939" s="1" t="n">
        <v>45260</v>
      </c>
      <c r="C9939" s="1" t="n">
        <v>45715</v>
      </c>
      <c r="D9939" t="inlineStr">
        <is>
          <t>KALMAR LÄN</t>
        </is>
      </c>
      <c r="E9939" t="inlineStr">
        <is>
          <t>TORSÅS</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60605-2023</t>
        </is>
      </c>
      <c r="B9940" s="1" t="n">
        <v>45260</v>
      </c>
      <c r="C9940" s="1" t="n">
        <v>45715</v>
      </c>
      <c r="D9940" t="inlineStr">
        <is>
          <t>KALMAR LÄN</t>
        </is>
      </c>
      <c r="E9940" t="inlineStr">
        <is>
          <t>NYBRO</t>
        </is>
      </c>
      <c r="G9940" t="n">
        <v>7.8</v>
      </c>
      <c r="H9940" t="n">
        <v>0</v>
      </c>
      <c r="I9940" t="n">
        <v>0</v>
      </c>
      <c r="J9940" t="n">
        <v>0</v>
      </c>
      <c r="K9940" t="n">
        <v>0</v>
      </c>
      <c r="L9940" t="n">
        <v>0</v>
      </c>
      <c r="M9940" t="n">
        <v>0</v>
      </c>
      <c r="N9940" t="n">
        <v>0</v>
      </c>
      <c r="O9940" t="n">
        <v>0</v>
      </c>
      <c r="P9940" t="n">
        <v>0</v>
      </c>
      <c r="Q9940" t="n">
        <v>0</v>
      </c>
      <c r="R9940" s="2" t="inlineStr"/>
    </row>
    <row r="9941" ht="15" customHeight="1">
      <c r="A9941" t="inlineStr">
        <is>
          <t>A 60622-2023</t>
        </is>
      </c>
      <c r="B9941" s="1" t="n">
        <v>45260</v>
      </c>
      <c r="C9941" s="1" t="n">
        <v>45715</v>
      </c>
      <c r="D9941" t="inlineStr">
        <is>
          <t>KALMAR LÄN</t>
        </is>
      </c>
      <c r="E9941" t="inlineStr">
        <is>
          <t>NYBRO</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60634-2023</t>
        </is>
      </c>
      <c r="B9942" s="1" t="n">
        <v>45260</v>
      </c>
      <c r="C9942" s="1" t="n">
        <v>45715</v>
      </c>
      <c r="D9942" t="inlineStr">
        <is>
          <t>KALMAR LÄN</t>
        </is>
      </c>
      <c r="E9942" t="inlineStr">
        <is>
          <t>VÄSTERVIK</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60638-2023</t>
        </is>
      </c>
      <c r="B9943" s="1" t="n">
        <v>45260</v>
      </c>
      <c r="C9943" s="1" t="n">
        <v>45715</v>
      </c>
      <c r="D9943" t="inlineStr">
        <is>
          <t>KALMAR LÄN</t>
        </is>
      </c>
      <c r="E9943" t="inlineStr">
        <is>
          <t>KALMAR</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60663-2023</t>
        </is>
      </c>
      <c r="B9944" s="1" t="n">
        <v>45260</v>
      </c>
      <c r="C9944" s="1" t="n">
        <v>45715</v>
      </c>
      <c r="D9944" t="inlineStr">
        <is>
          <t>KALMAR LÄN</t>
        </is>
      </c>
      <c r="E9944" t="inlineStr">
        <is>
          <t>KALMAR</t>
        </is>
      </c>
      <c r="G9944" t="n">
        <v>5.5</v>
      </c>
      <c r="H9944" t="n">
        <v>0</v>
      </c>
      <c r="I9944" t="n">
        <v>0</v>
      </c>
      <c r="J9944" t="n">
        <v>0</v>
      </c>
      <c r="K9944" t="n">
        <v>0</v>
      </c>
      <c r="L9944" t="n">
        <v>0</v>
      </c>
      <c r="M9944" t="n">
        <v>0</v>
      </c>
      <c r="N9944" t="n">
        <v>0</v>
      </c>
      <c r="O9944" t="n">
        <v>0</v>
      </c>
      <c r="P9944" t="n">
        <v>0</v>
      </c>
      <c r="Q9944" t="n">
        <v>0</v>
      </c>
      <c r="R9944" s="2" t="inlineStr"/>
    </row>
    <row r="9945" ht="15" customHeight="1">
      <c r="A9945" t="inlineStr">
        <is>
          <t>A 60743-2023</t>
        </is>
      </c>
      <c r="B9945" s="1" t="n">
        <v>45260</v>
      </c>
      <c r="C9945" s="1" t="n">
        <v>45715</v>
      </c>
      <c r="D9945" t="inlineStr">
        <is>
          <t>KALMAR LÄN</t>
        </is>
      </c>
      <c r="E9945" t="inlineStr">
        <is>
          <t>TORSÅS</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60776-2023</t>
        </is>
      </c>
      <c r="B9946" s="1" t="n">
        <v>45260</v>
      </c>
      <c r="C9946" s="1" t="n">
        <v>45715</v>
      </c>
      <c r="D9946" t="inlineStr">
        <is>
          <t>KALMAR LÄN</t>
        </is>
      </c>
      <c r="E9946" t="inlineStr">
        <is>
          <t>TORSÅS</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60675-2023</t>
        </is>
      </c>
      <c r="B9947" s="1" t="n">
        <v>45260</v>
      </c>
      <c r="C9947" s="1" t="n">
        <v>45715</v>
      </c>
      <c r="D9947" t="inlineStr">
        <is>
          <t>KALMAR LÄN</t>
        </is>
      </c>
      <c r="E9947" t="inlineStr">
        <is>
          <t>VIMMERBY</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60742-2023</t>
        </is>
      </c>
      <c r="B9948" s="1" t="n">
        <v>45260</v>
      </c>
      <c r="C9948" s="1" t="n">
        <v>45715</v>
      </c>
      <c r="D9948" t="inlineStr">
        <is>
          <t>KALMAR LÄN</t>
        </is>
      </c>
      <c r="E9948" t="inlineStr">
        <is>
          <t>TORSÅS</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61032-2023</t>
        </is>
      </c>
      <c r="B9949" s="1" t="n">
        <v>45260</v>
      </c>
      <c r="C9949" s="1" t="n">
        <v>45715</v>
      </c>
      <c r="D9949" t="inlineStr">
        <is>
          <t>KALMAR LÄN</t>
        </is>
      </c>
      <c r="E9949" t="inlineStr">
        <is>
          <t>HULTSFRED</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60921-2023</t>
        </is>
      </c>
      <c r="B9950" s="1" t="n">
        <v>45261</v>
      </c>
      <c r="C9950" s="1" t="n">
        <v>45715</v>
      </c>
      <c r="D9950" t="inlineStr">
        <is>
          <t>KALMAR LÄN</t>
        </is>
      </c>
      <c r="E9950" t="inlineStr">
        <is>
          <t>VÄSTERVIK</t>
        </is>
      </c>
      <c r="G9950" t="n">
        <v>11.1</v>
      </c>
      <c r="H9950" t="n">
        <v>0</v>
      </c>
      <c r="I9950" t="n">
        <v>0</v>
      </c>
      <c r="J9950" t="n">
        <v>0</v>
      </c>
      <c r="K9950" t="n">
        <v>0</v>
      </c>
      <c r="L9950" t="n">
        <v>0</v>
      </c>
      <c r="M9950" t="n">
        <v>0</v>
      </c>
      <c r="N9950" t="n">
        <v>0</v>
      </c>
      <c r="O9950" t="n">
        <v>0</v>
      </c>
      <c r="P9950" t="n">
        <v>0</v>
      </c>
      <c r="Q9950" t="n">
        <v>0</v>
      </c>
      <c r="R9950" s="2" t="inlineStr"/>
    </row>
    <row r="9951" ht="15" customHeight="1">
      <c r="A9951" t="inlineStr">
        <is>
          <t>A 60951-2023</t>
        </is>
      </c>
      <c r="B9951" s="1" t="n">
        <v>45261</v>
      </c>
      <c r="C9951" s="1" t="n">
        <v>45715</v>
      </c>
      <c r="D9951" t="inlineStr">
        <is>
          <t>KALMAR LÄN</t>
        </is>
      </c>
      <c r="E9951" t="inlineStr">
        <is>
          <t>VIMMERBY</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61000-2023</t>
        </is>
      </c>
      <c r="B9952" s="1" t="n">
        <v>45261</v>
      </c>
      <c r="C9952" s="1" t="n">
        <v>45715</v>
      </c>
      <c r="D9952" t="inlineStr">
        <is>
          <t>KALMAR LÄN</t>
        </is>
      </c>
      <c r="E9952" t="inlineStr">
        <is>
          <t>EMMABODA</t>
        </is>
      </c>
      <c r="F9952" t="inlineStr">
        <is>
          <t>Sveaskog</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61050-2023</t>
        </is>
      </c>
      <c r="B9953" s="1" t="n">
        <v>45261</v>
      </c>
      <c r="C9953" s="1" t="n">
        <v>45715</v>
      </c>
      <c r="D9953" t="inlineStr">
        <is>
          <t>KALMAR LÄN</t>
        </is>
      </c>
      <c r="E9953" t="inlineStr">
        <is>
          <t>NYBRO</t>
        </is>
      </c>
      <c r="G9953" t="n">
        <v>4.7</v>
      </c>
      <c r="H9953" t="n">
        <v>0</v>
      </c>
      <c r="I9953" t="n">
        <v>0</v>
      </c>
      <c r="J9953" t="n">
        <v>0</v>
      </c>
      <c r="K9953" t="n">
        <v>0</v>
      </c>
      <c r="L9953" t="n">
        <v>0</v>
      </c>
      <c r="M9953" t="n">
        <v>0</v>
      </c>
      <c r="N9953" t="n">
        <v>0</v>
      </c>
      <c r="O9953" t="n">
        <v>0</v>
      </c>
      <c r="P9953" t="n">
        <v>0</v>
      </c>
      <c r="Q9953" t="n">
        <v>0</v>
      </c>
      <c r="R9953" s="2" t="inlineStr"/>
    </row>
    <row r="9954" ht="15" customHeight="1">
      <c r="A9954" t="inlineStr">
        <is>
          <t>A 60918-2023</t>
        </is>
      </c>
      <c r="B9954" s="1" t="n">
        <v>45261</v>
      </c>
      <c r="C9954" s="1" t="n">
        <v>45715</v>
      </c>
      <c r="D9954" t="inlineStr">
        <is>
          <t>KALMAR LÄN</t>
        </is>
      </c>
      <c r="E9954" t="inlineStr">
        <is>
          <t>KALMAR</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61088-2023</t>
        </is>
      </c>
      <c r="B9955" s="1" t="n">
        <v>45261</v>
      </c>
      <c r="C9955" s="1" t="n">
        <v>45715</v>
      </c>
      <c r="D9955" t="inlineStr">
        <is>
          <t>KALMAR LÄN</t>
        </is>
      </c>
      <c r="E9955" t="inlineStr">
        <is>
          <t>NYBRO</t>
        </is>
      </c>
      <c r="G9955" t="n">
        <v>7.8</v>
      </c>
      <c r="H9955" t="n">
        <v>0</v>
      </c>
      <c r="I9955" t="n">
        <v>0</v>
      </c>
      <c r="J9955" t="n">
        <v>0</v>
      </c>
      <c r="K9955" t="n">
        <v>0</v>
      </c>
      <c r="L9955" t="n">
        <v>0</v>
      </c>
      <c r="M9955" t="n">
        <v>0</v>
      </c>
      <c r="N9955" t="n">
        <v>0</v>
      </c>
      <c r="O9955" t="n">
        <v>0</v>
      </c>
      <c r="P9955" t="n">
        <v>0</v>
      </c>
      <c r="Q9955" t="n">
        <v>0</v>
      </c>
      <c r="R9955" s="2" t="inlineStr"/>
    </row>
    <row r="9956" ht="15" customHeight="1">
      <c r="A9956" t="inlineStr">
        <is>
          <t>A 61556-2023</t>
        </is>
      </c>
      <c r="B9956" s="1" t="n">
        <v>45261</v>
      </c>
      <c r="C9956" s="1" t="n">
        <v>45715</v>
      </c>
      <c r="D9956" t="inlineStr">
        <is>
          <t>KALMAR LÄN</t>
        </is>
      </c>
      <c r="E9956" t="inlineStr">
        <is>
          <t>VÄSTERVIK</t>
        </is>
      </c>
      <c r="F9956" t="inlineStr">
        <is>
          <t>Övriga Aktiebolag</t>
        </is>
      </c>
      <c r="G9956" t="n">
        <v>13.9</v>
      </c>
      <c r="H9956" t="n">
        <v>0</v>
      </c>
      <c r="I9956" t="n">
        <v>0</v>
      </c>
      <c r="J9956" t="n">
        <v>0</v>
      </c>
      <c r="K9956" t="n">
        <v>0</v>
      </c>
      <c r="L9956" t="n">
        <v>0</v>
      </c>
      <c r="M9956" t="n">
        <v>0</v>
      </c>
      <c r="N9956" t="n">
        <v>0</v>
      </c>
      <c r="O9956" t="n">
        <v>0</v>
      </c>
      <c r="P9956" t="n">
        <v>0</v>
      </c>
      <c r="Q9956" t="n">
        <v>0</v>
      </c>
      <c r="R9956" s="2" t="inlineStr"/>
    </row>
    <row r="9957" ht="15" customHeight="1">
      <c r="A9957" t="inlineStr">
        <is>
          <t>A 61189-2023</t>
        </is>
      </c>
      <c r="B9957" s="1" t="n">
        <v>45264</v>
      </c>
      <c r="C9957" s="1" t="n">
        <v>45715</v>
      </c>
      <c r="D9957" t="inlineStr">
        <is>
          <t>KALMAR LÄN</t>
        </is>
      </c>
      <c r="E9957" t="inlineStr">
        <is>
          <t>VIMMERBY</t>
        </is>
      </c>
      <c r="G9957" t="n">
        <v>8.800000000000001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61227-2023</t>
        </is>
      </c>
      <c r="B9958" s="1" t="n">
        <v>45264</v>
      </c>
      <c r="C9958" s="1" t="n">
        <v>45715</v>
      </c>
      <c r="D9958" t="inlineStr">
        <is>
          <t>KALMAR LÄN</t>
        </is>
      </c>
      <c r="E9958" t="inlineStr">
        <is>
          <t>VIMMERBY</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61224-2023</t>
        </is>
      </c>
      <c r="B9959" s="1" t="n">
        <v>45264</v>
      </c>
      <c r="C9959" s="1" t="n">
        <v>45715</v>
      </c>
      <c r="D9959" t="inlineStr">
        <is>
          <t>KALMAR LÄN</t>
        </is>
      </c>
      <c r="E9959" t="inlineStr">
        <is>
          <t>VIMMERBY</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61221-2023</t>
        </is>
      </c>
      <c r="B9960" s="1" t="n">
        <v>45264</v>
      </c>
      <c r="C9960" s="1" t="n">
        <v>45715</v>
      </c>
      <c r="D9960" t="inlineStr">
        <is>
          <t>KALMAR LÄN</t>
        </is>
      </c>
      <c r="E9960" t="inlineStr">
        <is>
          <t>VIMMERBY</t>
        </is>
      </c>
      <c r="G9960" t="n">
        <v>5.8</v>
      </c>
      <c r="H9960" t="n">
        <v>0</v>
      </c>
      <c r="I9960" t="n">
        <v>0</v>
      </c>
      <c r="J9960" t="n">
        <v>0</v>
      </c>
      <c r="K9960" t="n">
        <v>0</v>
      </c>
      <c r="L9960" t="n">
        <v>0</v>
      </c>
      <c r="M9960" t="n">
        <v>0</v>
      </c>
      <c r="N9960" t="n">
        <v>0</v>
      </c>
      <c r="O9960" t="n">
        <v>0</v>
      </c>
      <c r="P9960" t="n">
        <v>0</v>
      </c>
      <c r="Q9960" t="n">
        <v>0</v>
      </c>
      <c r="R9960" s="2" t="inlineStr"/>
    </row>
    <row r="9961" ht="15" customHeight="1">
      <c r="A9961" t="inlineStr">
        <is>
          <t>A 61274-2023</t>
        </is>
      </c>
      <c r="B9961" s="1" t="n">
        <v>45264</v>
      </c>
      <c r="C9961" s="1" t="n">
        <v>45715</v>
      </c>
      <c r="D9961" t="inlineStr">
        <is>
          <t>KALMAR LÄN</t>
        </is>
      </c>
      <c r="E9961" t="inlineStr">
        <is>
          <t>HULTSFRED</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61401-2023</t>
        </is>
      </c>
      <c r="B9962" s="1" t="n">
        <v>45264</v>
      </c>
      <c r="C9962" s="1" t="n">
        <v>45715</v>
      </c>
      <c r="D9962" t="inlineStr">
        <is>
          <t>KALMAR LÄN</t>
        </is>
      </c>
      <c r="E9962" t="inlineStr">
        <is>
          <t>KALMAR</t>
        </is>
      </c>
      <c r="G9962" t="n">
        <v>1.9</v>
      </c>
      <c r="H9962" t="n">
        <v>0</v>
      </c>
      <c r="I9962" t="n">
        <v>0</v>
      </c>
      <c r="J9962" t="n">
        <v>0</v>
      </c>
      <c r="K9962" t="n">
        <v>0</v>
      </c>
      <c r="L9962" t="n">
        <v>0</v>
      </c>
      <c r="M9962" t="n">
        <v>0</v>
      </c>
      <c r="N9962" t="n">
        <v>0</v>
      </c>
      <c r="O9962" t="n">
        <v>0</v>
      </c>
      <c r="P9962" t="n">
        <v>0</v>
      </c>
      <c r="Q9962" t="n">
        <v>0</v>
      </c>
      <c r="R9962" s="2" t="inlineStr"/>
      <c r="U9962">
        <f>HYPERLINK("https://klasma.github.io/Logging_0880/knärot/A 61401-2023 karta knärot.png", "A 61401-2023")</f>
        <v/>
      </c>
      <c r="V9962">
        <f>HYPERLINK("https://klasma.github.io/Logging_0880/klagomål/A 61401-2023 FSC-klagomål.docx", "A 61401-2023")</f>
        <v/>
      </c>
      <c r="W9962">
        <f>HYPERLINK("https://klasma.github.io/Logging_0880/klagomålsmail/A 61401-2023 FSC-klagomål mail.docx", "A 61401-2023")</f>
        <v/>
      </c>
      <c r="X9962">
        <f>HYPERLINK("https://klasma.github.io/Logging_0880/tillsyn/A 61401-2023 tillsynsbegäran.docx", "A 61401-2023")</f>
        <v/>
      </c>
      <c r="Y9962">
        <f>HYPERLINK("https://klasma.github.io/Logging_0880/tillsynsmail/A 61401-2023 tillsynsbegäran mail.docx", "A 61401-2023")</f>
        <v/>
      </c>
    </row>
    <row r="9963" ht="15" customHeight="1">
      <c r="A9963" t="inlineStr">
        <is>
          <t>A 61427-2023</t>
        </is>
      </c>
      <c r="B9963" s="1" t="n">
        <v>45264</v>
      </c>
      <c r="C9963" s="1" t="n">
        <v>45715</v>
      </c>
      <c r="D9963" t="inlineStr">
        <is>
          <t>KALMAR LÄN</t>
        </is>
      </c>
      <c r="E9963" t="inlineStr">
        <is>
          <t>TORSÅS</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61441-2023</t>
        </is>
      </c>
      <c r="B9964" s="1" t="n">
        <v>45264</v>
      </c>
      <c r="C9964" s="1" t="n">
        <v>45715</v>
      </c>
      <c r="D9964" t="inlineStr">
        <is>
          <t>KALMAR LÄN</t>
        </is>
      </c>
      <c r="E9964" t="inlineStr">
        <is>
          <t>TORSÅS</t>
        </is>
      </c>
      <c r="G9964" t="n">
        <v>8.4</v>
      </c>
      <c r="H9964" t="n">
        <v>0</v>
      </c>
      <c r="I9964" t="n">
        <v>0</v>
      </c>
      <c r="J9964" t="n">
        <v>0</v>
      </c>
      <c r="K9964" t="n">
        <v>0</v>
      </c>
      <c r="L9964" t="n">
        <v>0</v>
      </c>
      <c r="M9964" t="n">
        <v>0</v>
      </c>
      <c r="N9964" t="n">
        <v>0</v>
      </c>
      <c r="O9964" t="n">
        <v>0</v>
      </c>
      <c r="P9964" t="n">
        <v>0</v>
      </c>
      <c r="Q9964" t="n">
        <v>0</v>
      </c>
      <c r="R9964" s="2" t="inlineStr"/>
    </row>
    <row r="9965" ht="15" customHeight="1">
      <c r="A9965" t="inlineStr">
        <is>
          <t>A 61193-2023</t>
        </is>
      </c>
      <c r="B9965" s="1" t="n">
        <v>45264</v>
      </c>
      <c r="C9965" s="1" t="n">
        <v>45715</v>
      </c>
      <c r="D9965" t="inlineStr">
        <is>
          <t>KALMAR LÄN</t>
        </is>
      </c>
      <c r="E9965" t="inlineStr">
        <is>
          <t>NYBRO</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61450-2023</t>
        </is>
      </c>
      <c r="B9966" s="1" t="n">
        <v>45264</v>
      </c>
      <c r="C9966" s="1" t="n">
        <v>45715</v>
      </c>
      <c r="D9966" t="inlineStr">
        <is>
          <t>KALMAR LÄN</t>
        </is>
      </c>
      <c r="E9966" t="inlineStr">
        <is>
          <t>VÄSTERVIK</t>
        </is>
      </c>
      <c r="F9966" t="inlineStr">
        <is>
          <t>Sveaskog</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61429-2023</t>
        </is>
      </c>
      <c r="B9967" s="1" t="n">
        <v>45264</v>
      </c>
      <c r="C9967" s="1" t="n">
        <v>45715</v>
      </c>
      <c r="D9967" t="inlineStr">
        <is>
          <t>KALMAR LÄN</t>
        </is>
      </c>
      <c r="E9967" t="inlineStr">
        <is>
          <t>BORGHOLM</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61438-2023</t>
        </is>
      </c>
      <c r="B9968" s="1" t="n">
        <v>45264</v>
      </c>
      <c r="C9968" s="1" t="n">
        <v>45715</v>
      </c>
      <c r="D9968" t="inlineStr">
        <is>
          <t>KALMAR LÄN</t>
        </is>
      </c>
      <c r="E9968" t="inlineStr">
        <is>
          <t>BORGHOLM</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61449-2023</t>
        </is>
      </c>
      <c r="B9969" s="1" t="n">
        <v>45264</v>
      </c>
      <c r="C9969" s="1" t="n">
        <v>45715</v>
      </c>
      <c r="D9969" t="inlineStr">
        <is>
          <t>KALMAR LÄN</t>
        </is>
      </c>
      <c r="E9969" t="inlineStr">
        <is>
          <t>VÄSTERVIK</t>
        </is>
      </c>
      <c r="F9969" t="inlineStr">
        <is>
          <t>Sveaskog</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61453-2023</t>
        </is>
      </c>
      <c r="B9970" s="1" t="n">
        <v>45264</v>
      </c>
      <c r="C9970" s="1" t="n">
        <v>45715</v>
      </c>
      <c r="D9970" t="inlineStr">
        <is>
          <t>KALMAR LÄN</t>
        </is>
      </c>
      <c r="E9970" t="inlineStr">
        <is>
          <t>KALMAR</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61448-2023</t>
        </is>
      </c>
      <c r="B9971" s="1" t="n">
        <v>45264</v>
      </c>
      <c r="C9971" s="1" t="n">
        <v>45715</v>
      </c>
      <c r="D9971" t="inlineStr">
        <is>
          <t>KALMAR LÄN</t>
        </is>
      </c>
      <c r="E9971" t="inlineStr">
        <is>
          <t>VÄSTERVIK</t>
        </is>
      </c>
      <c r="F9971" t="inlineStr">
        <is>
          <t>Sveaskog</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61728-2023</t>
        </is>
      </c>
      <c r="B9972" s="1" t="n">
        <v>45265</v>
      </c>
      <c r="C9972" s="1" t="n">
        <v>45715</v>
      </c>
      <c r="D9972" t="inlineStr">
        <is>
          <t>KALMAR LÄN</t>
        </is>
      </c>
      <c r="E9972" t="inlineStr">
        <is>
          <t>VÄSTERVIK</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61539-2023</t>
        </is>
      </c>
      <c r="B9973" s="1" t="n">
        <v>45265</v>
      </c>
      <c r="C9973" s="1" t="n">
        <v>45715</v>
      </c>
      <c r="D9973" t="inlineStr">
        <is>
          <t>KALMAR LÄN</t>
        </is>
      </c>
      <c r="E9973" t="inlineStr">
        <is>
          <t>EMMABODA</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61685-2023</t>
        </is>
      </c>
      <c r="B9974" s="1" t="n">
        <v>45265</v>
      </c>
      <c r="C9974" s="1" t="n">
        <v>45715</v>
      </c>
      <c r="D9974" t="inlineStr">
        <is>
          <t>KALMAR LÄN</t>
        </is>
      </c>
      <c r="E9974" t="inlineStr">
        <is>
          <t>HULTSFRED</t>
        </is>
      </c>
      <c r="G9974" t="n">
        <v>6.6</v>
      </c>
      <c r="H9974" t="n">
        <v>0</v>
      </c>
      <c r="I9974" t="n">
        <v>0</v>
      </c>
      <c r="J9974" t="n">
        <v>0</v>
      </c>
      <c r="K9974" t="n">
        <v>0</v>
      </c>
      <c r="L9974" t="n">
        <v>0</v>
      </c>
      <c r="M9974" t="n">
        <v>0</v>
      </c>
      <c r="N9974" t="n">
        <v>0</v>
      </c>
      <c r="O9974" t="n">
        <v>0</v>
      </c>
      <c r="P9974" t="n">
        <v>0</v>
      </c>
      <c r="Q9974" t="n">
        <v>0</v>
      </c>
      <c r="R9974" s="2" t="inlineStr"/>
    </row>
    <row r="9975" ht="15" customHeight="1">
      <c r="A9975" t="inlineStr">
        <is>
          <t>A 61746-2023</t>
        </is>
      </c>
      <c r="B9975" s="1" t="n">
        <v>45265</v>
      </c>
      <c r="C9975" s="1" t="n">
        <v>45715</v>
      </c>
      <c r="D9975" t="inlineStr">
        <is>
          <t>KALMAR LÄN</t>
        </is>
      </c>
      <c r="E9975" t="inlineStr">
        <is>
          <t>VÄSTERVIK</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61817-2023</t>
        </is>
      </c>
      <c r="B9976" s="1" t="n">
        <v>45266</v>
      </c>
      <c r="C9976" s="1" t="n">
        <v>45715</v>
      </c>
      <c r="D9976" t="inlineStr">
        <is>
          <t>KALMAR LÄN</t>
        </is>
      </c>
      <c r="E9976" t="inlineStr">
        <is>
          <t>VIMMERBY</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61825-2023</t>
        </is>
      </c>
      <c r="B9977" s="1" t="n">
        <v>45266</v>
      </c>
      <c r="C9977" s="1" t="n">
        <v>45715</v>
      </c>
      <c r="D9977" t="inlineStr">
        <is>
          <t>KALMAR LÄN</t>
        </is>
      </c>
      <c r="E9977" t="inlineStr">
        <is>
          <t>VIMMERBY</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61838-2023</t>
        </is>
      </c>
      <c r="B9978" s="1" t="n">
        <v>45266</v>
      </c>
      <c r="C9978" s="1" t="n">
        <v>45715</v>
      </c>
      <c r="D9978" t="inlineStr">
        <is>
          <t>KALMAR LÄN</t>
        </is>
      </c>
      <c r="E9978" t="inlineStr">
        <is>
          <t>HULTSFRED</t>
        </is>
      </c>
      <c r="F9978" t="inlineStr">
        <is>
          <t>Sveaskog</t>
        </is>
      </c>
      <c r="G9978" t="n">
        <v>12.8</v>
      </c>
      <c r="H9978" t="n">
        <v>0</v>
      </c>
      <c r="I9978" t="n">
        <v>0</v>
      </c>
      <c r="J9978" t="n">
        <v>0</v>
      </c>
      <c r="K9978" t="n">
        <v>0</v>
      </c>
      <c r="L9978" t="n">
        <v>0</v>
      </c>
      <c r="M9978" t="n">
        <v>0</v>
      </c>
      <c r="N9978" t="n">
        <v>0</v>
      </c>
      <c r="O9978" t="n">
        <v>0</v>
      </c>
      <c r="P9978" t="n">
        <v>0</v>
      </c>
      <c r="Q9978" t="n">
        <v>0</v>
      </c>
      <c r="R9978" s="2" t="inlineStr"/>
    </row>
    <row r="9979" ht="15" customHeight="1">
      <c r="A9979" t="inlineStr">
        <is>
          <t>A 61807-2023</t>
        </is>
      </c>
      <c r="B9979" s="1" t="n">
        <v>45266</v>
      </c>
      <c r="C9979" s="1" t="n">
        <v>45715</v>
      </c>
      <c r="D9979" t="inlineStr">
        <is>
          <t>KALMAR LÄN</t>
        </is>
      </c>
      <c r="E9979" t="inlineStr">
        <is>
          <t>VÄSTERVIK</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61820-2023</t>
        </is>
      </c>
      <c r="B9980" s="1" t="n">
        <v>45266</v>
      </c>
      <c r="C9980" s="1" t="n">
        <v>45715</v>
      </c>
      <c r="D9980" t="inlineStr">
        <is>
          <t>KALMAR LÄN</t>
        </is>
      </c>
      <c r="E9980" t="inlineStr">
        <is>
          <t>VIMMERBY</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61955-2023</t>
        </is>
      </c>
      <c r="B9981" s="1" t="n">
        <v>45266</v>
      </c>
      <c r="C9981" s="1" t="n">
        <v>45715</v>
      </c>
      <c r="D9981" t="inlineStr">
        <is>
          <t>KALMAR LÄN</t>
        </is>
      </c>
      <c r="E9981" t="inlineStr">
        <is>
          <t>HÖGSBY</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61999-2023</t>
        </is>
      </c>
      <c r="B9982" s="1" t="n">
        <v>45266</v>
      </c>
      <c r="C9982" s="1" t="n">
        <v>45715</v>
      </c>
      <c r="D9982" t="inlineStr">
        <is>
          <t>KALMAR LÄN</t>
        </is>
      </c>
      <c r="E9982" t="inlineStr">
        <is>
          <t>VÄSTERVIK</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62003-2023</t>
        </is>
      </c>
      <c r="B9983" s="1" t="n">
        <v>45266</v>
      </c>
      <c r="C9983" s="1" t="n">
        <v>45715</v>
      </c>
      <c r="D9983" t="inlineStr">
        <is>
          <t>KALMAR LÄN</t>
        </is>
      </c>
      <c r="E9983" t="inlineStr">
        <is>
          <t>VÄSTERVIK</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61867-2023</t>
        </is>
      </c>
      <c r="B9984" s="1" t="n">
        <v>45266</v>
      </c>
      <c r="C9984" s="1" t="n">
        <v>45715</v>
      </c>
      <c r="D9984" t="inlineStr">
        <is>
          <t>KALMAR LÄN</t>
        </is>
      </c>
      <c r="E9984" t="inlineStr">
        <is>
          <t>HULTSFRED</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62017-2023</t>
        </is>
      </c>
      <c r="B9985" s="1" t="n">
        <v>45266</v>
      </c>
      <c r="C9985" s="1" t="n">
        <v>45715</v>
      </c>
      <c r="D9985" t="inlineStr">
        <is>
          <t>KALMAR LÄN</t>
        </is>
      </c>
      <c r="E9985" t="inlineStr">
        <is>
          <t>VÄSTERVIK</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62027-2023</t>
        </is>
      </c>
      <c r="B9986" s="1" t="n">
        <v>45266</v>
      </c>
      <c r="C9986" s="1" t="n">
        <v>45715</v>
      </c>
      <c r="D9986" t="inlineStr">
        <is>
          <t>KALMAR LÄN</t>
        </is>
      </c>
      <c r="E9986" t="inlineStr">
        <is>
          <t>VÄSTERVIK</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61898-2023</t>
        </is>
      </c>
      <c r="B9987" s="1" t="n">
        <v>45266</v>
      </c>
      <c r="C9987" s="1" t="n">
        <v>45715</v>
      </c>
      <c r="D9987" t="inlineStr">
        <is>
          <t>KALMAR LÄN</t>
        </is>
      </c>
      <c r="E9987" t="inlineStr">
        <is>
          <t>HULTSFRED</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61856-2023</t>
        </is>
      </c>
      <c r="B9988" s="1" t="n">
        <v>45266</v>
      </c>
      <c r="C9988" s="1" t="n">
        <v>45715</v>
      </c>
      <c r="D9988" t="inlineStr">
        <is>
          <t>KALMAR LÄN</t>
        </is>
      </c>
      <c r="E9988" t="inlineStr">
        <is>
          <t>MÖNSTERÅS</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61864-2023</t>
        </is>
      </c>
      <c r="B9989" s="1" t="n">
        <v>45266</v>
      </c>
      <c r="C9989" s="1" t="n">
        <v>45715</v>
      </c>
      <c r="D9989" t="inlineStr">
        <is>
          <t>KALMAR LÄN</t>
        </is>
      </c>
      <c r="E9989" t="inlineStr">
        <is>
          <t>HULTSFRED</t>
        </is>
      </c>
      <c r="G9989" t="n">
        <v>0.3</v>
      </c>
      <c r="H9989" t="n">
        <v>0</v>
      </c>
      <c r="I9989" t="n">
        <v>0</v>
      </c>
      <c r="J9989" t="n">
        <v>0</v>
      </c>
      <c r="K9989" t="n">
        <v>0</v>
      </c>
      <c r="L9989" t="n">
        <v>0</v>
      </c>
      <c r="M9989" t="n">
        <v>0</v>
      </c>
      <c r="N9989" t="n">
        <v>0</v>
      </c>
      <c r="O9989" t="n">
        <v>0</v>
      </c>
      <c r="P9989" t="n">
        <v>0</v>
      </c>
      <c r="Q9989" t="n">
        <v>0</v>
      </c>
      <c r="R9989" s="2" t="inlineStr"/>
    </row>
    <row r="9990" ht="15" customHeight="1">
      <c r="A9990" t="inlineStr">
        <is>
          <t>A 62025-2023</t>
        </is>
      </c>
      <c r="B9990" s="1" t="n">
        <v>45266</v>
      </c>
      <c r="C9990" s="1" t="n">
        <v>45715</v>
      </c>
      <c r="D9990" t="inlineStr">
        <is>
          <t>KALMAR LÄN</t>
        </is>
      </c>
      <c r="E9990" t="inlineStr">
        <is>
          <t>KALMAR</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62034-2023</t>
        </is>
      </c>
      <c r="B9991" s="1" t="n">
        <v>45266</v>
      </c>
      <c r="C9991" s="1" t="n">
        <v>45715</v>
      </c>
      <c r="D9991" t="inlineStr">
        <is>
          <t>KALMAR LÄN</t>
        </is>
      </c>
      <c r="E9991" t="inlineStr">
        <is>
          <t>VÄSTERVIK</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62281-2023</t>
        </is>
      </c>
      <c r="B9992" s="1" t="n">
        <v>45267</v>
      </c>
      <c r="C9992" s="1" t="n">
        <v>45715</v>
      </c>
      <c r="D9992" t="inlineStr">
        <is>
          <t>KALMAR LÄN</t>
        </is>
      </c>
      <c r="E9992" t="inlineStr">
        <is>
          <t>KALMAR</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62120-2023</t>
        </is>
      </c>
      <c r="B9993" s="1" t="n">
        <v>45267</v>
      </c>
      <c r="C9993" s="1" t="n">
        <v>45715</v>
      </c>
      <c r="D9993" t="inlineStr">
        <is>
          <t>KALMAR LÄN</t>
        </is>
      </c>
      <c r="E9993" t="inlineStr">
        <is>
          <t>HULTSFRED</t>
        </is>
      </c>
      <c r="F9993" t="inlineStr">
        <is>
          <t>Sveaskog</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62328-2023</t>
        </is>
      </c>
      <c r="B9994" s="1" t="n">
        <v>45267</v>
      </c>
      <c r="C9994" s="1" t="n">
        <v>45715</v>
      </c>
      <c r="D9994" t="inlineStr">
        <is>
          <t>KALMAR LÄN</t>
        </is>
      </c>
      <c r="E9994" t="inlineStr">
        <is>
          <t>OSKARSHAMN</t>
        </is>
      </c>
      <c r="F9994" t="inlineStr">
        <is>
          <t>Sveaskog</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62323-2023</t>
        </is>
      </c>
      <c r="B9995" s="1" t="n">
        <v>45267</v>
      </c>
      <c r="C9995" s="1" t="n">
        <v>45715</v>
      </c>
      <c r="D9995" t="inlineStr">
        <is>
          <t>KALMAR LÄN</t>
        </is>
      </c>
      <c r="E9995" t="inlineStr">
        <is>
          <t>OSKARSHAMN</t>
        </is>
      </c>
      <c r="F9995" t="inlineStr">
        <is>
          <t>Sveaskog</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62327-2023</t>
        </is>
      </c>
      <c r="B9996" s="1" t="n">
        <v>45267</v>
      </c>
      <c r="C9996" s="1" t="n">
        <v>45715</v>
      </c>
      <c r="D9996" t="inlineStr">
        <is>
          <t>KALMAR LÄN</t>
        </is>
      </c>
      <c r="E9996" t="inlineStr">
        <is>
          <t>OSKARSHAMN</t>
        </is>
      </c>
      <c r="F9996" t="inlineStr">
        <is>
          <t>Sveaskog</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62340-2023</t>
        </is>
      </c>
      <c r="B9997" s="1" t="n">
        <v>45267</v>
      </c>
      <c r="C9997" s="1" t="n">
        <v>45715</v>
      </c>
      <c r="D9997" t="inlineStr">
        <is>
          <t>KALMAR LÄN</t>
        </is>
      </c>
      <c r="E9997" t="inlineStr">
        <is>
          <t>VÄSTERVIK</t>
        </is>
      </c>
      <c r="F9997" t="inlineStr">
        <is>
          <t>Holmen skog AB</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62321-2023</t>
        </is>
      </c>
      <c r="B9998" s="1" t="n">
        <v>45267</v>
      </c>
      <c r="C9998" s="1" t="n">
        <v>45715</v>
      </c>
      <c r="D9998" t="inlineStr">
        <is>
          <t>KALMAR LÄN</t>
        </is>
      </c>
      <c r="E9998" t="inlineStr">
        <is>
          <t>OSKARSHAMN</t>
        </is>
      </c>
      <c r="F9998" t="inlineStr">
        <is>
          <t>Sveaskog</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62325-2023</t>
        </is>
      </c>
      <c r="B9999" s="1" t="n">
        <v>45267</v>
      </c>
      <c r="C9999" s="1" t="n">
        <v>45715</v>
      </c>
      <c r="D9999" t="inlineStr">
        <is>
          <t>KALMAR LÄN</t>
        </is>
      </c>
      <c r="E9999" t="inlineStr">
        <is>
          <t>OSKARSHAMN</t>
        </is>
      </c>
      <c r="F9999" t="inlineStr">
        <is>
          <t>Sveaskog</t>
        </is>
      </c>
      <c r="G9999" t="n">
        <v>5.9</v>
      </c>
      <c r="H9999" t="n">
        <v>0</v>
      </c>
      <c r="I9999" t="n">
        <v>0</v>
      </c>
      <c r="J9999" t="n">
        <v>0</v>
      </c>
      <c r="K9999" t="n">
        <v>0</v>
      </c>
      <c r="L9999" t="n">
        <v>0</v>
      </c>
      <c r="M9999" t="n">
        <v>0</v>
      </c>
      <c r="N9999" t="n">
        <v>0</v>
      </c>
      <c r="O9999" t="n">
        <v>0</v>
      </c>
      <c r="P9999" t="n">
        <v>0</v>
      </c>
      <c r="Q9999" t="n">
        <v>0</v>
      </c>
      <c r="R9999" s="2" t="inlineStr"/>
    </row>
    <row r="10000" ht="15" customHeight="1">
      <c r="A10000" t="inlineStr">
        <is>
          <t>A 62329-2023</t>
        </is>
      </c>
      <c r="B10000" s="1" t="n">
        <v>45267</v>
      </c>
      <c r="C10000" s="1" t="n">
        <v>45715</v>
      </c>
      <c r="D10000" t="inlineStr">
        <is>
          <t>KALMAR LÄN</t>
        </is>
      </c>
      <c r="E10000" t="inlineStr">
        <is>
          <t>OSKARSHAMN</t>
        </is>
      </c>
      <c r="F10000" t="inlineStr">
        <is>
          <t>Sveaskog</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62322-2023</t>
        </is>
      </c>
      <c r="B10001" s="1" t="n">
        <v>45267</v>
      </c>
      <c r="C10001" s="1" t="n">
        <v>45715</v>
      </c>
      <c r="D10001" t="inlineStr">
        <is>
          <t>KALMAR LÄN</t>
        </is>
      </c>
      <c r="E10001" t="inlineStr">
        <is>
          <t>OSKARSHAMN</t>
        </is>
      </c>
      <c r="F10001" t="inlineStr">
        <is>
          <t>Sveaskog</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62326-2023</t>
        </is>
      </c>
      <c r="B10002" s="1" t="n">
        <v>45267</v>
      </c>
      <c r="C10002" s="1" t="n">
        <v>45715</v>
      </c>
      <c r="D10002" t="inlineStr">
        <is>
          <t>KALMAR LÄN</t>
        </is>
      </c>
      <c r="E10002" t="inlineStr">
        <is>
          <t>OSKARSHAMN</t>
        </is>
      </c>
      <c r="F10002" t="inlineStr">
        <is>
          <t>Sveaskog</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62330-2023</t>
        </is>
      </c>
      <c r="B10003" s="1" t="n">
        <v>45267</v>
      </c>
      <c r="C10003" s="1" t="n">
        <v>45715</v>
      </c>
      <c r="D10003" t="inlineStr">
        <is>
          <t>KALMAR LÄN</t>
        </is>
      </c>
      <c r="E10003" t="inlineStr">
        <is>
          <t>OSKARSHAMN</t>
        </is>
      </c>
      <c r="F10003" t="inlineStr">
        <is>
          <t>Sveaskog</t>
        </is>
      </c>
      <c r="G10003" t="n">
        <v>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62415-2023</t>
        </is>
      </c>
      <c r="B10004" s="1" t="n">
        <v>45268</v>
      </c>
      <c r="C10004" s="1" t="n">
        <v>45715</v>
      </c>
      <c r="D10004" t="inlineStr">
        <is>
          <t>KALMAR LÄN</t>
        </is>
      </c>
      <c r="E10004" t="inlineStr">
        <is>
          <t>OSKARSHAMN</t>
        </is>
      </c>
      <c r="F10004" t="inlineStr">
        <is>
          <t>Sveaskog</t>
        </is>
      </c>
      <c r="G10004" t="n">
        <v>8.1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62456-2023</t>
        </is>
      </c>
      <c r="B10005" s="1" t="n">
        <v>45268</v>
      </c>
      <c r="C10005" s="1" t="n">
        <v>45715</v>
      </c>
      <c r="D10005" t="inlineStr">
        <is>
          <t>KALMAR LÄN</t>
        </is>
      </c>
      <c r="E10005" t="inlineStr">
        <is>
          <t>KALMAR</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62465-2023</t>
        </is>
      </c>
      <c r="B10006" s="1" t="n">
        <v>45268</v>
      </c>
      <c r="C10006" s="1" t="n">
        <v>45715</v>
      </c>
      <c r="D10006" t="inlineStr">
        <is>
          <t>KALMAR LÄN</t>
        </is>
      </c>
      <c r="E10006" t="inlineStr">
        <is>
          <t>HULTSFRED</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62457-2023</t>
        </is>
      </c>
      <c r="B10007" s="1" t="n">
        <v>45268</v>
      </c>
      <c r="C10007" s="1" t="n">
        <v>45715</v>
      </c>
      <c r="D10007" t="inlineStr">
        <is>
          <t>KALMAR LÄN</t>
        </is>
      </c>
      <c r="E10007" t="inlineStr">
        <is>
          <t>KALMAR</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62466-2023</t>
        </is>
      </c>
      <c r="B10008" s="1" t="n">
        <v>45268</v>
      </c>
      <c r="C10008" s="1" t="n">
        <v>45715</v>
      </c>
      <c r="D10008" t="inlineStr">
        <is>
          <t>KALMAR LÄN</t>
        </is>
      </c>
      <c r="E10008" t="inlineStr">
        <is>
          <t>HULTSFRED</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62478-2023</t>
        </is>
      </c>
      <c r="B10009" s="1" t="n">
        <v>45268</v>
      </c>
      <c r="C10009" s="1" t="n">
        <v>45715</v>
      </c>
      <c r="D10009" t="inlineStr">
        <is>
          <t>KALMAR LÄN</t>
        </is>
      </c>
      <c r="E10009" t="inlineStr">
        <is>
          <t>HULTSFRED</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62403-2023</t>
        </is>
      </c>
      <c r="B10010" s="1" t="n">
        <v>45268</v>
      </c>
      <c r="C10010" s="1" t="n">
        <v>45715</v>
      </c>
      <c r="D10010" t="inlineStr">
        <is>
          <t>KALMAR LÄN</t>
        </is>
      </c>
      <c r="E10010" t="inlineStr">
        <is>
          <t>OSKARSHAMN</t>
        </is>
      </c>
      <c r="F10010" t="inlineStr">
        <is>
          <t>Sveaskog</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62385-2023</t>
        </is>
      </c>
      <c r="B10011" s="1" t="n">
        <v>45268</v>
      </c>
      <c r="C10011" s="1" t="n">
        <v>45715</v>
      </c>
      <c r="D10011" t="inlineStr">
        <is>
          <t>KALMAR LÄN</t>
        </is>
      </c>
      <c r="E10011" t="inlineStr">
        <is>
          <t>HÖGSBY</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62455-2023</t>
        </is>
      </c>
      <c r="B10012" s="1" t="n">
        <v>45268</v>
      </c>
      <c r="C10012" s="1" t="n">
        <v>45715</v>
      </c>
      <c r="D10012" t="inlineStr">
        <is>
          <t>KALMAR LÄN</t>
        </is>
      </c>
      <c r="E10012" t="inlineStr">
        <is>
          <t>KALMAR</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62774-2023</t>
        </is>
      </c>
      <c r="B10013" s="1" t="n">
        <v>45268</v>
      </c>
      <c r="C10013" s="1" t="n">
        <v>45715</v>
      </c>
      <c r="D10013" t="inlineStr">
        <is>
          <t>KALMAR LÄN</t>
        </is>
      </c>
      <c r="E10013" t="inlineStr">
        <is>
          <t>HULTSFRED</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62589-2023</t>
        </is>
      </c>
      <c r="B10014" s="1" t="n">
        <v>45270</v>
      </c>
      <c r="C10014" s="1" t="n">
        <v>45715</v>
      </c>
      <c r="D10014" t="inlineStr">
        <is>
          <t>KALMAR LÄN</t>
        </is>
      </c>
      <c r="E10014" t="inlineStr">
        <is>
          <t>VÄSTERVIK</t>
        </is>
      </c>
      <c r="F10014" t="inlineStr">
        <is>
          <t>Holmen skog AB</t>
        </is>
      </c>
      <c r="G10014" t="n">
        <v>1.1</v>
      </c>
      <c r="H10014" t="n">
        <v>0</v>
      </c>
      <c r="I10014" t="n">
        <v>0</v>
      </c>
      <c r="J10014" t="n">
        <v>0</v>
      </c>
      <c r="K10014" t="n">
        <v>0</v>
      </c>
      <c r="L10014" t="n">
        <v>0</v>
      </c>
      <c r="M10014" t="n">
        <v>0</v>
      </c>
      <c r="N10014" t="n">
        <v>0</v>
      </c>
      <c r="O10014" t="n">
        <v>0</v>
      </c>
      <c r="P10014" t="n">
        <v>0</v>
      </c>
      <c r="Q10014" t="n">
        <v>0</v>
      </c>
      <c r="R10014" s="2" t="inlineStr"/>
      <c r="U10014">
        <f>HYPERLINK("https://klasma.github.io/Logging_0883/knärot/A 62589-2023 karta knärot.png", "A 62589-2023")</f>
        <v/>
      </c>
      <c r="V10014">
        <f>HYPERLINK("https://klasma.github.io/Logging_0883/klagomål/A 62589-2023 FSC-klagomål.docx", "A 62589-2023")</f>
        <v/>
      </c>
      <c r="W10014">
        <f>HYPERLINK("https://klasma.github.io/Logging_0883/klagomålsmail/A 62589-2023 FSC-klagomål mail.docx", "A 62589-2023")</f>
        <v/>
      </c>
      <c r="X10014">
        <f>HYPERLINK("https://klasma.github.io/Logging_0883/tillsyn/A 62589-2023 tillsynsbegäran.docx", "A 62589-2023")</f>
        <v/>
      </c>
      <c r="Y10014">
        <f>HYPERLINK("https://klasma.github.io/Logging_0883/tillsynsmail/A 62589-2023 tillsynsbegäran mail.docx", "A 62589-2023")</f>
        <v/>
      </c>
    </row>
    <row r="10015" ht="15" customHeight="1">
      <c r="A10015" t="inlineStr">
        <is>
          <t>A 62635-2023</t>
        </is>
      </c>
      <c r="B10015" s="1" t="n">
        <v>45271</v>
      </c>
      <c r="C10015" s="1" t="n">
        <v>45715</v>
      </c>
      <c r="D10015" t="inlineStr">
        <is>
          <t>KALMAR LÄN</t>
        </is>
      </c>
      <c r="E10015" t="inlineStr">
        <is>
          <t>HULTSFRED</t>
        </is>
      </c>
      <c r="G10015" t="n">
        <v>4.2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62652-2023</t>
        </is>
      </c>
      <c r="B10016" s="1" t="n">
        <v>45271</v>
      </c>
      <c r="C10016" s="1" t="n">
        <v>45715</v>
      </c>
      <c r="D10016" t="inlineStr">
        <is>
          <t>KALMAR LÄN</t>
        </is>
      </c>
      <c r="E10016" t="inlineStr">
        <is>
          <t>KALMAR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62661-2023</t>
        </is>
      </c>
      <c r="B10017" s="1" t="n">
        <v>45271</v>
      </c>
      <c r="C10017" s="1" t="n">
        <v>45715</v>
      </c>
      <c r="D10017" t="inlineStr">
        <is>
          <t>KALMAR LÄN</t>
        </is>
      </c>
      <c r="E10017" t="inlineStr">
        <is>
          <t>TORSÅS</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62615-2023</t>
        </is>
      </c>
      <c r="B10018" s="1" t="n">
        <v>45271</v>
      </c>
      <c r="C10018" s="1" t="n">
        <v>45715</v>
      </c>
      <c r="D10018" t="inlineStr">
        <is>
          <t>KALMAR LÄN</t>
        </is>
      </c>
      <c r="E10018" t="inlineStr">
        <is>
          <t>VIMMERBY</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62632-2023</t>
        </is>
      </c>
      <c r="B10019" s="1" t="n">
        <v>45271</v>
      </c>
      <c r="C10019" s="1" t="n">
        <v>45715</v>
      </c>
      <c r="D10019" t="inlineStr">
        <is>
          <t>KALMAR LÄN</t>
        </is>
      </c>
      <c r="E10019" t="inlineStr">
        <is>
          <t>HULTSFRED</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62649-2023</t>
        </is>
      </c>
      <c r="B10020" s="1" t="n">
        <v>45271</v>
      </c>
      <c r="C10020" s="1" t="n">
        <v>45715</v>
      </c>
      <c r="D10020" t="inlineStr">
        <is>
          <t>KALMAR LÄN</t>
        </is>
      </c>
      <c r="E10020" t="inlineStr">
        <is>
          <t>TORSÅS</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62662-2023</t>
        </is>
      </c>
      <c r="B10021" s="1" t="n">
        <v>45271</v>
      </c>
      <c r="C10021" s="1" t="n">
        <v>45715</v>
      </c>
      <c r="D10021" t="inlineStr">
        <is>
          <t>KALMAR LÄN</t>
        </is>
      </c>
      <c r="E10021" t="inlineStr">
        <is>
          <t>TORSÅS</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62692-2023</t>
        </is>
      </c>
      <c r="B10022" s="1" t="n">
        <v>45271</v>
      </c>
      <c r="C10022" s="1" t="n">
        <v>45715</v>
      </c>
      <c r="D10022" t="inlineStr">
        <is>
          <t>KALMAR LÄN</t>
        </is>
      </c>
      <c r="E10022" t="inlineStr">
        <is>
          <t>KALMAR</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62809-2023</t>
        </is>
      </c>
      <c r="B10023" s="1" t="n">
        <v>45271</v>
      </c>
      <c r="C10023" s="1" t="n">
        <v>45715</v>
      </c>
      <c r="D10023" t="inlineStr">
        <is>
          <t>KALMAR LÄN</t>
        </is>
      </c>
      <c r="E10023" t="inlineStr">
        <is>
          <t>HULTSFRED</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62634-2023</t>
        </is>
      </c>
      <c r="B10024" s="1" t="n">
        <v>45271</v>
      </c>
      <c r="C10024" s="1" t="n">
        <v>45715</v>
      </c>
      <c r="D10024" t="inlineStr">
        <is>
          <t>KALMAR LÄN</t>
        </is>
      </c>
      <c r="E10024" t="inlineStr">
        <is>
          <t>MÖNSTERÅS</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62779-2023</t>
        </is>
      </c>
      <c r="B10025" s="1" t="n">
        <v>45271</v>
      </c>
      <c r="C10025" s="1" t="n">
        <v>45715</v>
      </c>
      <c r="D10025" t="inlineStr">
        <is>
          <t>KALMAR LÄN</t>
        </is>
      </c>
      <c r="E10025" t="inlineStr">
        <is>
          <t>VIMMERBY</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62785-2023</t>
        </is>
      </c>
      <c r="B10026" s="1" t="n">
        <v>45271</v>
      </c>
      <c r="C10026" s="1" t="n">
        <v>45715</v>
      </c>
      <c r="D10026" t="inlineStr">
        <is>
          <t>KALMAR LÄN</t>
        </is>
      </c>
      <c r="E10026" t="inlineStr">
        <is>
          <t>HULTSFRED</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62898-2023</t>
        </is>
      </c>
      <c r="B10027" s="1" t="n">
        <v>45271</v>
      </c>
      <c r="C10027" s="1" t="n">
        <v>45715</v>
      </c>
      <c r="D10027" t="inlineStr">
        <is>
          <t>KALMAR LÄN</t>
        </is>
      </c>
      <c r="E10027" t="inlineStr">
        <is>
          <t>VÄSTERVIK</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62638-2023</t>
        </is>
      </c>
      <c r="B10028" s="1" t="n">
        <v>45271</v>
      </c>
      <c r="C10028" s="1" t="n">
        <v>45715</v>
      </c>
      <c r="D10028" t="inlineStr">
        <is>
          <t>KALMAR LÄN</t>
        </is>
      </c>
      <c r="E10028" t="inlineStr">
        <is>
          <t>MÖNSTERÅS</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62810-2023</t>
        </is>
      </c>
      <c r="B10029" s="1" t="n">
        <v>45271</v>
      </c>
      <c r="C10029" s="1" t="n">
        <v>45715</v>
      </c>
      <c r="D10029" t="inlineStr">
        <is>
          <t>KALMAR LÄN</t>
        </is>
      </c>
      <c r="E10029" t="inlineStr">
        <is>
          <t>HULTSFRED</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62888-2023</t>
        </is>
      </c>
      <c r="B10030" s="1" t="n">
        <v>45272</v>
      </c>
      <c r="C10030" s="1" t="n">
        <v>45715</v>
      </c>
      <c r="D10030" t="inlineStr">
        <is>
          <t>KALMAR LÄN</t>
        </is>
      </c>
      <c r="E10030" t="inlineStr">
        <is>
          <t>VÄSTERVIK</t>
        </is>
      </c>
      <c r="F10030" t="inlineStr">
        <is>
          <t>Sveaskog</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62940-2023</t>
        </is>
      </c>
      <c r="B10031" s="1" t="n">
        <v>45272</v>
      </c>
      <c r="C10031" s="1" t="n">
        <v>45715</v>
      </c>
      <c r="D10031" t="inlineStr">
        <is>
          <t>KALMAR LÄN</t>
        </is>
      </c>
      <c r="E10031" t="inlineStr">
        <is>
          <t>KALMAR</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62852-2023</t>
        </is>
      </c>
      <c r="B10032" s="1" t="n">
        <v>45272</v>
      </c>
      <c r="C10032" s="1" t="n">
        <v>45715</v>
      </c>
      <c r="D10032" t="inlineStr">
        <is>
          <t>KALMAR LÄN</t>
        </is>
      </c>
      <c r="E10032" t="inlineStr">
        <is>
          <t>VIMMERBY</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63018-2023</t>
        </is>
      </c>
      <c r="B10033" s="1" t="n">
        <v>45272</v>
      </c>
      <c r="C10033" s="1" t="n">
        <v>45715</v>
      </c>
      <c r="D10033" t="inlineStr">
        <is>
          <t>KALMAR LÄN</t>
        </is>
      </c>
      <c r="E10033" t="inlineStr">
        <is>
          <t>VÄSTERVIK</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63026-2023</t>
        </is>
      </c>
      <c r="B10034" s="1" t="n">
        <v>45272</v>
      </c>
      <c r="C10034" s="1" t="n">
        <v>45715</v>
      </c>
      <c r="D10034" t="inlineStr">
        <is>
          <t>KALMAR LÄN</t>
        </is>
      </c>
      <c r="E10034" t="inlineStr">
        <is>
          <t>OSKARSHAMN</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62873-2023</t>
        </is>
      </c>
      <c r="B10035" s="1" t="n">
        <v>45272</v>
      </c>
      <c r="C10035" s="1" t="n">
        <v>45715</v>
      </c>
      <c r="D10035" t="inlineStr">
        <is>
          <t>KALMAR LÄN</t>
        </is>
      </c>
      <c r="E10035" t="inlineStr">
        <is>
          <t>VÄSTERVIK</t>
        </is>
      </c>
      <c r="F10035" t="inlineStr">
        <is>
          <t>Sveaskog</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62887-2023</t>
        </is>
      </c>
      <c r="B10036" s="1" t="n">
        <v>45272</v>
      </c>
      <c r="C10036" s="1" t="n">
        <v>45715</v>
      </c>
      <c r="D10036" t="inlineStr">
        <is>
          <t>KALMAR LÄN</t>
        </is>
      </c>
      <c r="E10036" t="inlineStr">
        <is>
          <t>VÄSTERVIK</t>
        </is>
      </c>
      <c r="F10036" t="inlineStr">
        <is>
          <t>Sveaskog</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62850-2023</t>
        </is>
      </c>
      <c r="B10037" s="1" t="n">
        <v>45272</v>
      </c>
      <c r="C10037" s="1" t="n">
        <v>45715</v>
      </c>
      <c r="D10037" t="inlineStr">
        <is>
          <t>KALMAR LÄN</t>
        </is>
      </c>
      <c r="E10037" t="inlineStr">
        <is>
          <t>VÄSTERVIK</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62876-2023</t>
        </is>
      </c>
      <c r="B10038" s="1" t="n">
        <v>45272</v>
      </c>
      <c r="C10038" s="1" t="n">
        <v>45715</v>
      </c>
      <c r="D10038" t="inlineStr">
        <is>
          <t>KALMAR LÄN</t>
        </is>
      </c>
      <c r="E10038" t="inlineStr">
        <is>
          <t>VÄSTERVIK</t>
        </is>
      </c>
      <c r="F10038" t="inlineStr">
        <is>
          <t>Sveaskog</t>
        </is>
      </c>
      <c r="G10038" t="n">
        <v>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62941-2023</t>
        </is>
      </c>
      <c r="B10039" s="1" t="n">
        <v>45272</v>
      </c>
      <c r="C10039" s="1" t="n">
        <v>45715</v>
      </c>
      <c r="D10039" t="inlineStr">
        <is>
          <t>KALMAR LÄN</t>
        </is>
      </c>
      <c r="E10039" t="inlineStr">
        <is>
          <t>KALMAR</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63023-2023</t>
        </is>
      </c>
      <c r="B10040" s="1" t="n">
        <v>45272</v>
      </c>
      <c r="C10040" s="1" t="n">
        <v>45715</v>
      </c>
      <c r="D10040" t="inlineStr">
        <is>
          <t>KALMAR LÄN</t>
        </is>
      </c>
      <c r="E10040" t="inlineStr">
        <is>
          <t>VÄSTERVIK</t>
        </is>
      </c>
      <c r="G10040" t="n">
        <v>5.2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63043-2023</t>
        </is>
      </c>
      <c r="B10041" s="1" t="n">
        <v>45272</v>
      </c>
      <c r="C10041" s="1" t="n">
        <v>45715</v>
      </c>
      <c r="D10041" t="inlineStr">
        <is>
          <t>KALMAR LÄN</t>
        </is>
      </c>
      <c r="E10041" t="inlineStr">
        <is>
          <t>VÄSTERVIK</t>
        </is>
      </c>
      <c r="F10041" t="inlineStr">
        <is>
          <t>Sveaskog</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63047-2023</t>
        </is>
      </c>
      <c r="B10042" s="1" t="n">
        <v>45272</v>
      </c>
      <c r="C10042" s="1" t="n">
        <v>45715</v>
      </c>
      <c r="D10042" t="inlineStr">
        <is>
          <t>KALMAR LÄN</t>
        </is>
      </c>
      <c r="E10042" t="inlineStr">
        <is>
          <t>MÖNSTERÅS</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62921-2023</t>
        </is>
      </c>
      <c r="B10043" s="1" t="n">
        <v>45272</v>
      </c>
      <c r="C10043" s="1" t="n">
        <v>45715</v>
      </c>
      <c r="D10043" t="inlineStr">
        <is>
          <t>KALMAR LÄN</t>
        </is>
      </c>
      <c r="E10043" t="inlineStr">
        <is>
          <t>VÄSTERVIK</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62939-2023</t>
        </is>
      </c>
      <c r="B10044" s="1" t="n">
        <v>45272</v>
      </c>
      <c r="C10044" s="1" t="n">
        <v>45715</v>
      </c>
      <c r="D10044" t="inlineStr">
        <is>
          <t>KALMAR LÄN</t>
        </is>
      </c>
      <c r="E10044" t="inlineStr">
        <is>
          <t>KALMAR</t>
        </is>
      </c>
      <c r="G10044" t="n">
        <v>6.4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62997-2023</t>
        </is>
      </c>
      <c r="B10045" s="1" t="n">
        <v>45272</v>
      </c>
      <c r="C10045" s="1" t="n">
        <v>45715</v>
      </c>
      <c r="D10045" t="inlineStr">
        <is>
          <t>KALMAR LÄN</t>
        </is>
      </c>
      <c r="E10045" t="inlineStr">
        <is>
          <t>VIMMERBY</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63017-2023</t>
        </is>
      </c>
      <c r="B10046" s="1" t="n">
        <v>45272</v>
      </c>
      <c r="C10046" s="1" t="n">
        <v>45715</v>
      </c>
      <c r="D10046" t="inlineStr">
        <is>
          <t>KALMAR LÄN</t>
        </is>
      </c>
      <c r="E10046" t="inlineStr">
        <is>
          <t>VÄSTERVIK</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63021-2023</t>
        </is>
      </c>
      <c r="B10047" s="1" t="n">
        <v>45272</v>
      </c>
      <c r="C10047" s="1" t="n">
        <v>45715</v>
      </c>
      <c r="D10047" t="inlineStr">
        <is>
          <t>KALMAR LÄN</t>
        </is>
      </c>
      <c r="E10047" t="inlineStr">
        <is>
          <t>VÄSTERVIK</t>
        </is>
      </c>
      <c r="G10047" t="n">
        <v>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63041-2023</t>
        </is>
      </c>
      <c r="B10048" s="1" t="n">
        <v>45272</v>
      </c>
      <c r="C10048" s="1" t="n">
        <v>45715</v>
      </c>
      <c r="D10048" t="inlineStr">
        <is>
          <t>KALMAR LÄN</t>
        </is>
      </c>
      <c r="E10048" t="inlineStr">
        <is>
          <t>VÄSTERVIK</t>
        </is>
      </c>
      <c r="F10048" t="inlineStr">
        <is>
          <t>Sveaskog</t>
        </is>
      </c>
      <c r="G10048" t="n">
        <v>8.5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63212-2023</t>
        </is>
      </c>
      <c r="B10049" s="1" t="n">
        <v>45273</v>
      </c>
      <c r="C10049" s="1" t="n">
        <v>45715</v>
      </c>
      <c r="D10049" t="inlineStr">
        <is>
          <t>KALMAR LÄN</t>
        </is>
      </c>
      <c r="E10049" t="inlineStr">
        <is>
          <t>HULTSFRED</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63074-2023</t>
        </is>
      </c>
      <c r="B10050" s="1" t="n">
        <v>45273</v>
      </c>
      <c r="C10050" s="1" t="n">
        <v>45715</v>
      </c>
      <c r="D10050" t="inlineStr">
        <is>
          <t>KALMAR LÄN</t>
        </is>
      </c>
      <c r="E10050" t="inlineStr">
        <is>
          <t>HULTSFRED</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63075-2023</t>
        </is>
      </c>
      <c r="B10051" s="1" t="n">
        <v>45273</v>
      </c>
      <c r="C10051" s="1" t="n">
        <v>45715</v>
      </c>
      <c r="D10051" t="inlineStr">
        <is>
          <t>KALMAR LÄN</t>
        </is>
      </c>
      <c r="E10051" t="inlineStr">
        <is>
          <t>BORGHOLM</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63111-2023</t>
        </is>
      </c>
      <c r="B10052" s="1" t="n">
        <v>45273</v>
      </c>
      <c r="C10052" s="1" t="n">
        <v>45715</v>
      </c>
      <c r="D10052" t="inlineStr">
        <is>
          <t>KALMAR LÄN</t>
        </is>
      </c>
      <c r="E10052" t="inlineStr">
        <is>
          <t>NYBRO</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63215-2023</t>
        </is>
      </c>
      <c r="B10053" s="1" t="n">
        <v>45273</v>
      </c>
      <c r="C10053" s="1" t="n">
        <v>45715</v>
      </c>
      <c r="D10053" t="inlineStr">
        <is>
          <t>KALMAR LÄN</t>
        </is>
      </c>
      <c r="E10053" t="inlineStr">
        <is>
          <t>EMMABODA</t>
        </is>
      </c>
      <c r="F10053" t="inlineStr">
        <is>
          <t>Kommuner</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63219-2023</t>
        </is>
      </c>
      <c r="B10054" s="1" t="n">
        <v>45273</v>
      </c>
      <c r="C10054" s="1" t="n">
        <v>45715</v>
      </c>
      <c r="D10054" t="inlineStr">
        <is>
          <t>KALMAR LÄN</t>
        </is>
      </c>
      <c r="E10054" t="inlineStr">
        <is>
          <t>EMMABODA</t>
        </is>
      </c>
      <c r="F10054" t="inlineStr">
        <is>
          <t>Kommuner</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63240-2023</t>
        </is>
      </c>
      <c r="B10055" s="1" t="n">
        <v>45273</v>
      </c>
      <c r="C10055" s="1" t="n">
        <v>45715</v>
      </c>
      <c r="D10055" t="inlineStr">
        <is>
          <t>KALMAR LÄN</t>
        </is>
      </c>
      <c r="E10055" t="inlineStr">
        <is>
          <t>BORGHOLM</t>
        </is>
      </c>
      <c r="G10055" t="n">
        <v>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63277-2023</t>
        </is>
      </c>
      <c r="B10056" s="1" t="n">
        <v>45273</v>
      </c>
      <c r="C10056" s="1" t="n">
        <v>45715</v>
      </c>
      <c r="D10056" t="inlineStr">
        <is>
          <t>KALMAR LÄN</t>
        </is>
      </c>
      <c r="E10056" t="inlineStr">
        <is>
          <t>KALMAR</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63278-2023</t>
        </is>
      </c>
      <c r="B10057" s="1" t="n">
        <v>45273</v>
      </c>
      <c r="C10057" s="1" t="n">
        <v>45715</v>
      </c>
      <c r="D10057" t="inlineStr">
        <is>
          <t>KALMAR LÄN</t>
        </is>
      </c>
      <c r="E10057" t="inlineStr">
        <is>
          <t>KALMAR</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63276-2023</t>
        </is>
      </c>
      <c r="B10058" s="1" t="n">
        <v>45273</v>
      </c>
      <c r="C10058" s="1" t="n">
        <v>45715</v>
      </c>
      <c r="D10058" t="inlineStr">
        <is>
          <t>KALMAR LÄN</t>
        </is>
      </c>
      <c r="E10058" t="inlineStr">
        <is>
          <t>BORGHOLM</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63284-2023</t>
        </is>
      </c>
      <c r="B10059" s="1" t="n">
        <v>45273</v>
      </c>
      <c r="C10059" s="1" t="n">
        <v>45715</v>
      </c>
      <c r="D10059" t="inlineStr">
        <is>
          <t>KALMAR LÄN</t>
        </is>
      </c>
      <c r="E10059" t="inlineStr">
        <is>
          <t>VIMMERBY</t>
        </is>
      </c>
      <c r="G10059" t="n">
        <v>6.9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63218-2023</t>
        </is>
      </c>
      <c r="B10060" s="1" t="n">
        <v>45273</v>
      </c>
      <c r="C10060" s="1" t="n">
        <v>45715</v>
      </c>
      <c r="D10060" t="inlineStr">
        <is>
          <t>KALMAR LÄN</t>
        </is>
      </c>
      <c r="E10060" t="inlineStr">
        <is>
          <t>EMMABODA</t>
        </is>
      </c>
      <c r="F10060" t="inlineStr">
        <is>
          <t>Kommuner</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63279-2023</t>
        </is>
      </c>
      <c r="B10061" s="1" t="n">
        <v>45273</v>
      </c>
      <c r="C10061" s="1" t="n">
        <v>45715</v>
      </c>
      <c r="D10061" t="inlineStr">
        <is>
          <t>KALMAR LÄN</t>
        </is>
      </c>
      <c r="E10061" t="inlineStr">
        <is>
          <t>KALMAR</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63357-2023</t>
        </is>
      </c>
      <c r="B10062" s="1" t="n">
        <v>45274</v>
      </c>
      <c r="C10062" s="1" t="n">
        <v>45715</v>
      </c>
      <c r="D10062" t="inlineStr">
        <is>
          <t>KALMAR LÄN</t>
        </is>
      </c>
      <c r="E10062" t="inlineStr">
        <is>
          <t>MÖNSTERÅS</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63379-2023</t>
        </is>
      </c>
      <c r="B10063" s="1" t="n">
        <v>45274</v>
      </c>
      <c r="C10063" s="1" t="n">
        <v>45715</v>
      </c>
      <c r="D10063" t="inlineStr">
        <is>
          <t>KALMAR LÄN</t>
        </is>
      </c>
      <c r="E10063" t="inlineStr">
        <is>
          <t>HÖGSBY</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63396-2023</t>
        </is>
      </c>
      <c r="B10064" s="1" t="n">
        <v>45274</v>
      </c>
      <c r="C10064" s="1" t="n">
        <v>45715</v>
      </c>
      <c r="D10064" t="inlineStr">
        <is>
          <t>KALMAR LÄN</t>
        </is>
      </c>
      <c r="E10064" t="inlineStr">
        <is>
          <t>HÖGSBY</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63465-2023</t>
        </is>
      </c>
      <c r="B10065" s="1" t="n">
        <v>45274</v>
      </c>
      <c r="C10065" s="1" t="n">
        <v>45715</v>
      </c>
      <c r="D10065" t="inlineStr">
        <is>
          <t>KALMAR LÄN</t>
        </is>
      </c>
      <c r="E10065" t="inlineStr">
        <is>
          <t>EMMABODA</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63471-2023</t>
        </is>
      </c>
      <c r="B10066" s="1" t="n">
        <v>45274</v>
      </c>
      <c r="C10066" s="1" t="n">
        <v>45715</v>
      </c>
      <c r="D10066" t="inlineStr">
        <is>
          <t>KALMAR LÄN</t>
        </is>
      </c>
      <c r="E10066" t="inlineStr">
        <is>
          <t>MÖNSTERÅS</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63361-2023</t>
        </is>
      </c>
      <c r="B10067" s="1" t="n">
        <v>45274</v>
      </c>
      <c r="C10067" s="1" t="n">
        <v>45715</v>
      </c>
      <c r="D10067" t="inlineStr">
        <is>
          <t>KALMAR LÄN</t>
        </is>
      </c>
      <c r="E10067" t="inlineStr">
        <is>
          <t>VÄSTERVIK</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63326-2023</t>
        </is>
      </c>
      <c r="B10068" s="1" t="n">
        <v>45274</v>
      </c>
      <c r="C10068" s="1" t="n">
        <v>45715</v>
      </c>
      <c r="D10068" t="inlineStr">
        <is>
          <t>KALMAR LÄN</t>
        </is>
      </c>
      <c r="E10068" t="inlineStr">
        <is>
          <t>NYBRO</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63337-2023</t>
        </is>
      </c>
      <c r="B10069" s="1" t="n">
        <v>45274</v>
      </c>
      <c r="C10069" s="1" t="n">
        <v>45715</v>
      </c>
      <c r="D10069" t="inlineStr">
        <is>
          <t>KALMAR LÄN</t>
        </is>
      </c>
      <c r="E10069" t="inlineStr">
        <is>
          <t>MÖNSTERÅS</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63350-2023</t>
        </is>
      </c>
      <c r="B10070" s="1" t="n">
        <v>45274</v>
      </c>
      <c r="C10070" s="1" t="n">
        <v>45715</v>
      </c>
      <c r="D10070" t="inlineStr">
        <is>
          <t>KALMAR LÄN</t>
        </is>
      </c>
      <c r="E10070" t="inlineStr">
        <is>
          <t>MÖNSTERÅS</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63355-2023</t>
        </is>
      </c>
      <c r="B10071" s="1" t="n">
        <v>45274</v>
      </c>
      <c r="C10071" s="1" t="n">
        <v>45715</v>
      </c>
      <c r="D10071" t="inlineStr">
        <is>
          <t>KALMAR LÄN</t>
        </is>
      </c>
      <c r="E10071" t="inlineStr">
        <is>
          <t>MÖNSTERÅS</t>
        </is>
      </c>
      <c r="G10071" t="n">
        <v>8.199999999999999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63469-2023</t>
        </is>
      </c>
      <c r="B10072" s="1" t="n">
        <v>45274</v>
      </c>
      <c r="C10072" s="1" t="n">
        <v>45715</v>
      </c>
      <c r="D10072" t="inlineStr">
        <is>
          <t>KALMAR LÄN</t>
        </is>
      </c>
      <c r="E10072" t="inlineStr">
        <is>
          <t>MÖNSTERÅS</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63401-2023</t>
        </is>
      </c>
      <c r="B10073" s="1" t="n">
        <v>45274</v>
      </c>
      <c r="C10073" s="1" t="n">
        <v>45715</v>
      </c>
      <c r="D10073" t="inlineStr">
        <is>
          <t>KALMAR LÄN</t>
        </is>
      </c>
      <c r="E10073" t="inlineStr">
        <is>
          <t>HULTSFRED</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63405-2023</t>
        </is>
      </c>
      <c r="B10074" s="1" t="n">
        <v>45274</v>
      </c>
      <c r="C10074" s="1" t="n">
        <v>45715</v>
      </c>
      <c r="D10074" t="inlineStr">
        <is>
          <t>KALMAR LÄN</t>
        </is>
      </c>
      <c r="E10074" t="inlineStr">
        <is>
          <t>HULTSFRED</t>
        </is>
      </c>
      <c r="G10074" t="n">
        <v>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63344-2023</t>
        </is>
      </c>
      <c r="B10075" s="1" t="n">
        <v>45274</v>
      </c>
      <c r="C10075" s="1" t="n">
        <v>45715</v>
      </c>
      <c r="D10075" t="inlineStr">
        <is>
          <t>KALMAR LÄN</t>
        </is>
      </c>
      <c r="E10075" t="inlineStr">
        <is>
          <t>MÖNSTERÅS</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63454-2023</t>
        </is>
      </c>
      <c r="B10076" s="1" t="n">
        <v>45274</v>
      </c>
      <c r="C10076" s="1" t="n">
        <v>45715</v>
      </c>
      <c r="D10076" t="inlineStr">
        <is>
          <t>KALMAR LÄN</t>
        </is>
      </c>
      <c r="E10076" t="inlineStr">
        <is>
          <t>MÖNSTERÅS</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63522-2023</t>
        </is>
      </c>
      <c r="B10077" s="1" t="n">
        <v>45274</v>
      </c>
      <c r="C10077" s="1" t="n">
        <v>45715</v>
      </c>
      <c r="D10077" t="inlineStr">
        <is>
          <t>KALMAR LÄN</t>
        </is>
      </c>
      <c r="E10077" t="inlineStr">
        <is>
          <t>OSKARSHAMN</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63314-2023</t>
        </is>
      </c>
      <c r="B10078" s="1" t="n">
        <v>45274</v>
      </c>
      <c r="C10078" s="1" t="n">
        <v>45715</v>
      </c>
      <c r="D10078" t="inlineStr">
        <is>
          <t>KALMAR LÄN</t>
        </is>
      </c>
      <c r="E10078" t="inlineStr">
        <is>
          <t>HULTSFRED</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63331-2023</t>
        </is>
      </c>
      <c r="B10079" s="1" t="n">
        <v>45274</v>
      </c>
      <c r="C10079" s="1" t="n">
        <v>45715</v>
      </c>
      <c r="D10079" t="inlineStr">
        <is>
          <t>KALMAR LÄN</t>
        </is>
      </c>
      <c r="E10079" t="inlineStr">
        <is>
          <t>NYBRO</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63336-2023</t>
        </is>
      </c>
      <c r="B10080" s="1" t="n">
        <v>45274</v>
      </c>
      <c r="C10080" s="1" t="n">
        <v>45715</v>
      </c>
      <c r="D10080" t="inlineStr">
        <is>
          <t>KALMAR LÄN</t>
        </is>
      </c>
      <c r="E10080" t="inlineStr">
        <is>
          <t>MÖNSTERÅS</t>
        </is>
      </c>
      <c r="G10080" t="n">
        <v>9.800000000000001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63341-2023</t>
        </is>
      </c>
      <c r="B10081" s="1" t="n">
        <v>45274</v>
      </c>
      <c r="C10081" s="1" t="n">
        <v>45715</v>
      </c>
      <c r="D10081" t="inlineStr">
        <is>
          <t>KALMAR LÄN</t>
        </is>
      </c>
      <c r="E10081" t="inlineStr">
        <is>
          <t>MÖNSTERÅS</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63333-2023</t>
        </is>
      </c>
      <c r="B10082" s="1" t="n">
        <v>45274</v>
      </c>
      <c r="C10082" s="1" t="n">
        <v>45715</v>
      </c>
      <c r="D10082" t="inlineStr">
        <is>
          <t>KALMAR LÄN</t>
        </is>
      </c>
      <c r="E10082" t="inlineStr">
        <is>
          <t>NYBRO</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63338-2023</t>
        </is>
      </c>
      <c r="B10083" s="1" t="n">
        <v>45274</v>
      </c>
      <c r="C10083" s="1" t="n">
        <v>45715</v>
      </c>
      <c r="D10083" t="inlineStr">
        <is>
          <t>KALMAR LÄN</t>
        </is>
      </c>
      <c r="E10083" t="inlineStr">
        <is>
          <t>KALMAR</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63343-2023</t>
        </is>
      </c>
      <c r="B10084" s="1" t="n">
        <v>45274</v>
      </c>
      <c r="C10084" s="1" t="n">
        <v>45715</v>
      </c>
      <c r="D10084" t="inlineStr">
        <is>
          <t>KALMAR LÄN</t>
        </is>
      </c>
      <c r="E10084" t="inlineStr">
        <is>
          <t>MÖNSTERÅS</t>
        </is>
      </c>
      <c r="G10084" t="n">
        <v>5.1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63347-2023</t>
        </is>
      </c>
      <c r="B10085" s="1" t="n">
        <v>45274</v>
      </c>
      <c r="C10085" s="1" t="n">
        <v>45715</v>
      </c>
      <c r="D10085" t="inlineStr">
        <is>
          <t>KALMAR LÄN</t>
        </is>
      </c>
      <c r="E10085" t="inlineStr">
        <is>
          <t>MÖNSTERÅS</t>
        </is>
      </c>
      <c r="G10085" t="n">
        <v>6.3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63351-2023</t>
        </is>
      </c>
      <c r="B10086" s="1" t="n">
        <v>45274</v>
      </c>
      <c r="C10086" s="1" t="n">
        <v>45715</v>
      </c>
      <c r="D10086" t="inlineStr">
        <is>
          <t>KALMAR LÄN</t>
        </is>
      </c>
      <c r="E10086" t="inlineStr">
        <is>
          <t>MÖNSTERÅS</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63352-2023</t>
        </is>
      </c>
      <c r="B10087" s="1" t="n">
        <v>45274</v>
      </c>
      <c r="C10087" s="1" t="n">
        <v>45715</v>
      </c>
      <c r="D10087" t="inlineStr">
        <is>
          <t>KALMAR LÄN</t>
        </is>
      </c>
      <c r="E10087" t="inlineStr">
        <is>
          <t>MÖNSTERÅS</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63606-2023</t>
        </is>
      </c>
      <c r="B10088" s="1" t="n">
        <v>45275</v>
      </c>
      <c r="C10088" s="1" t="n">
        <v>45715</v>
      </c>
      <c r="D10088" t="inlineStr">
        <is>
          <t>KALMAR LÄN</t>
        </is>
      </c>
      <c r="E10088" t="inlineStr">
        <is>
          <t>VÄSTERVIK</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63541-2023</t>
        </is>
      </c>
      <c r="B10089" s="1" t="n">
        <v>45275</v>
      </c>
      <c r="C10089" s="1" t="n">
        <v>45715</v>
      </c>
      <c r="D10089" t="inlineStr">
        <is>
          <t>KALMAR LÄN</t>
        </is>
      </c>
      <c r="E10089" t="inlineStr">
        <is>
          <t>VIMMERBY</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63583-2023</t>
        </is>
      </c>
      <c r="B10090" s="1" t="n">
        <v>45275</v>
      </c>
      <c r="C10090" s="1" t="n">
        <v>45715</v>
      </c>
      <c r="D10090" t="inlineStr">
        <is>
          <t>KALMAR LÄN</t>
        </is>
      </c>
      <c r="E10090" t="inlineStr">
        <is>
          <t>VIMMERBY</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63676-2023</t>
        </is>
      </c>
      <c r="B10091" s="1" t="n">
        <v>45275</v>
      </c>
      <c r="C10091" s="1" t="n">
        <v>45715</v>
      </c>
      <c r="D10091" t="inlineStr">
        <is>
          <t>KALMAR LÄN</t>
        </is>
      </c>
      <c r="E10091" t="inlineStr">
        <is>
          <t>MÖRBYLÅNGA</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63601-2023</t>
        </is>
      </c>
      <c r="B10092" s="1" t="n">
        <v>45275</v>
      </c>
      <c r="C10092" s="1" t="n">
        <v>45715</v>
      </c>
      <c r="D10092" t="inlineStr">
        <is>
          <t>KALMAR LÄN</t>
        </is>
      </c>
      <c r="E10092" t="inlineStr">
        <is>
          <t>NYBRO</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63600-2023</t>
        </is>
      </c>
      <c r="B10093" s="1" t="n">
        <v>45275</v>
      </c>
      <c r="C10093" s="1" t="n">
        <v>45715</v>
      </c>
      <c r="D10093" t="inlineStr">
        <is>
          <t>KALMAR LÄN</t>
        </is>
      </c>
      <c r="E10093" t="inlineStr">
        <is>
          <t>NYBRO</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63816-2023</t>
        </is>
      </c>
      <c r="B10094" s="1" t="n">
        <v>45278</v>
      </c>
      <c r="C10094" s="1" t="n">
        <v>45715</v>
      </c>
      <c r="D10094" t="inlineStr">
        <is>
          <t>KALMAR LÄN</t>
        </is>
      </c>
      <c r="E10094" t="inlineStr">
        <is>
          <t>MÖNSTERÅS</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63890-2023</t>
        </is>
      </c>
      <c r="B10095" s="1" t="n">
        <v>45278</v>
      </c>
      <c r="C10095" s="1" t="n">
        <v>45715</v>
      </c>
      <c r="D10095" t="inlineStr">
        <is>
          <t>KALMAR LÄN</t>
        </is>
      </c>
      <c r="E10095" t="inlineStr">
        <is>
          <t>VÄSTERVIK</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63945-2023</t>
        </is>
      </c>
      <c r="B10096" s="1" t="n">
        <v>45278</v>
      </c>
      <c r="C10096" s="1" t="n">
        <v>45715</v>
      </c>
      <c r="D10096" t="inlineStr">
        <is>
          <t>KALMAR LÄN</t>
        </is>
      </c>
      <c r="E10096" t="inlineStr">
        <is>
          <t>NYBRO</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63839-2023</t>
        </is>
      </c>
      <c r="B10097" s="1" t="n">
        <v>45278</v>
      </c>
      <c r="C10097" s="1" t="n">
        <v>45715</v>
      </c>
      <c r="D10097" t="inlineStr">
        <is>
          <t>KALMAR LÄN</t>
        </is>
      </c>
      <c r="E10097" t="inlineStr">
        <is>
          <t>HÖGSBY</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63969-2023</t>
        </is>
      </c>
      <c r="B10098" s="1" t="n">
        <v>45278</v>
      </c>
      <c r="C10098" s="1" t="n">
        <v>45715</v>
      </c>
      <c r="D10098" t="inlineStr">
        <is>
          <t>KALMAR LÄN</t>
        </is>
      </c>
      <c r="E10098" t="inlineStr">
        <is>
          <t>VIMMERBY</t>
        </is>
      </c>
      <c r="F10098" t="inlineStr">
        <is>
          <t>Kyrkan</t>
        </is>
      </c>
      <c r="G10098" t="n">
        <v>6.3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63859-2023</t>
        </is>
      </c>
      <c r="B10099" s="1" t="n">
        <v>45278</v>
      </c>
      <c r="C10099" s="1" t="n">
        <v>45715</v>
      </c>
      <c r="D10099" t="inlineStr">
        <is>
          <t>KALMAR LÄN</t>
        </is>
      </c>
      <c r="E10099" t="inlineStr">
        <is>
          <t>VÄSTERVIK</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63867-2023</t>
        </is>
      </c>
      <c r="B10100" s="1" t="n">
        <v>45278</v>
      </c>
      <c r="C10100" s="1" t="n">
        <v>45715</v>
      </c>
      <c r="D10100" t="inlineStr">
        <is>
          <t>KALMAR LÄN</t>
        </is>
      </c>
      <c r="E10100" t="inlineStr">
        <is>
          <t>HULTSFRED</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63950-2023</t>
        </is>
      </c>
      <c r="B10101" s="1" t="n">
        <v>45278</v>
      </c>
      <c r="C10101" s="1" t="n">
        <v>45715</v>
      </c>
      <c r="D10101" t="inlineStr">
        <is>
          <t>KALMAR LÄN</t>
        </is>
      </c>
      <c r="E10101" t="inlineStr">
        <is>
          <t>VIMMERBY</t>
        </is>
      </c>
      <c r="F10101" t="inlineStr">
        <is>
          <t>Kyrkan</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63818-2023</t>
        </is>
      </c>
      <c r="B10102" s="1" t="n">
        <v>45278</v>
      </c>
      <c r="C10102" s="1" t="n">
        <v>45715</v>
      </c>
      <c r="D10102" t="inlineStr">
        <is>
          <t>KALMAR LÄN</t>
        </is>
      </c>
      <c r="E10102" t="inlineStr">
        <is>
          <t>EMMABODA</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63948-2023</t>
        </is>
      </c>
      <c r="B10103" s="1" t="n">
        <v>45278</v>
      </c>
      <c r="C10103" s="1" t="n">
        <v>45715</v>
      </c>
      <c r="D10103" t="inlineStr">
        <is>
          <t>KALMAR LÄN</t>
        </is>
      </c>
      <c r="E10103" t="inlineStr">
        <is>
          <t>NYBRO</t>
        </is>
      </c>
      <c r="F10103" t="inlineStr">
        <is>
          <t>Sveaskog</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64040-2023</t>
        </is>
      </c>
      <c r="B10104" s="1" t="n">
        <v>45279</v>
      </c>
      <c r="C10104" s="1" t="n">
        <v>45715</v>
      </c>
      <c r="D10104" t="inlineStr">
        <is>
          <t>KALMAR LÄN</t>
        </is>
      </c>
      <c r="E10104" t="inlineStr">
        <is>
          <t>VÄSTERVIK</t>
        </is>
      </c>
      <c r="F10104" t="inlineStr">
        <is>
          <t>Holmen skog AB</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64130-2023</t>
        </is>
      </c>
      <c r="B10105" s="1" t="n">
        <v>45279</v>
      </c>
      <c r="C10105" s="1" t="n">
        <v>45715</v>
      </c>
      <c r="D10105" t="inlineStr">
        <is>
          <t>KALMAR LÄN</t>
        </is>
      </c>
      <c r="E10105" t="inlineStr">
        <is>
          <t>HÖGSBY</t>
        </is>
      </c>
      <c r="G10105" t="n">
        <v>4.9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64106-2023</t>
        </is>
      </c>
      <c r="B10106" s="1" t="n">
        <v>45279</v>
      </c>
      <c r="C10106" s="1" t="n">
        <v>45715</v>
      </c>
      <c r="D10106" t="inlineStr">
        <is>
          <t>KALMAR LÄN</t>
        </is>
      </c>
      <c r="E10106" t="inlineStr">
        <is>
          <t>MÖNSTERÅS</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64096-2023</t>
        </is>
      </c>
      <c r="B10107" s="1" t="n">
        <v>45279</v>
      </c>
      <c r="C10107" s="1" t="n">
        <v>45715</v>
      </c>
      <c r="D10107" t="inlineStr">
        <is>
          <t>KALMAR LÄN</t>
        </is>
      </c>
      <c r="E10107" t="inlineStr">
        <is>
          <t>MÖNSTERÅS</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64187-2023</t>
        </is>
      </c>
      <c r="B10108" s="1" t="n">
        <v>45279</v>
      </c>
      <c r="C10108" s="1" t="n">
        <v>45715</v>
      </c>
      <c r="D10108" t="inlineStr">
        <is>
          <t>KALMAR LÄN</t>
        </is>
      </c>
      <c r="E10108" t="inlineStr">
        <is>
          <t>OSKARSHAMN</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64315-2023</t>
        </is>
      </c>
      <c r="B10109" s="1" t="n">
        <v>45279</v>
      </c>
      <c r="C10109" s="1" t="n">
        <v>45715</v>
      </c>
      <c r="D10109" t="inlineStr">
        <is>
          <t>KALMAR LÄN</t>
        </is>
      </c>
      <c r="E10109" t="inlineStr">
        <is>
          <t>NYBRO</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64305-2023</t>
        </is>
      </c>
      <c r="B10110" s="1" t="n">
        <v>45280</v>
      </c>
      <c r="C10110" s="1" t="n">
        <v>45715</v>
      </c>
      <c r="D10110" t="inlineStr">
        <is>
          <t>KALMAR LÄN</t>
        </is>
      </c>
      <c r="E10110" t="inlineStr">
        <is>
          <t>HULTSFRED</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64303-2023</t>
        </is>
      </c>
      <c r="B10111" s="1" t="n">
        <v>45280</v>
      </c>
      <c r="C10111" s="1" t="n">
        <v>45715</v>
      </c>
      <c r="D10111" t="inlineStr">
        <is>
          <t>KALMAR LÄN</t>
        </is>
      </c>
      <c r="E10111" t="inlineStr">
        <is>
          <t>BORGHOLM</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64356-2023</t>
        </is>
      </c>
      <c r="B10112" s="1" t="n">
        <v>45280</v>
      </c>
      <c r="C10112" s="1" t="n">
        <v>45715</v>
      </c>
      <c r="D10112" t="inlineStr">
        <is>
          <t>KALMAR LÄN</t>
        </is>
      </c>
      <c r="E10112" t="inlineStr">
        <is>
          <t>OSKARSHAMN</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64428-2023</t>
        </is>
      </c>
      <c r="B10113" s="1" t="n">
        <v>45280</v>
      </c>
      <c r="C10113" s="1" t="n">
        <v>45715</v>
      </c>
      <c r="D10113" t="inlineStr">
        <is>
          <t>KALMAR LÄN</t>
        </is>
      </c>
      <c r="E10113" t="inlineStr">
        <is>
          <t>VIMMERBY</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64306-2023</t>
        </is>
      </c>
      <c r="B10114" s="1" t="n">
        <v>45280</v>
      </c>
      <c r="C10114" s="1" t="n">
        <v>45715</v>
      </c>
      <c r="D10114" t="inlineStr">
        <is>
          <t>KALMAR LÄN</t>
        </is>
      </c>
      <c r="E10114" t="inlineStr">
        <is>
          <t>HULTSFRED</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64349-2023</t>
        </is>
      </c>
      <c r="B10115" s="1" t="n">
        <v>45280</v>
      </c>
      <c r="C10115" s="1" t="n">
        <v>45715</v>
      </c>
      <c r="D10115" t="inlineStr">
        <is>
          <t>KALMAR LÄN</t>
        </is>
      </c>
      <c r="E10115" t="inlineStr">
        <is>
          <t>OSKARSHAMN</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64339-2023</t>
        </is>
      </c>
      <c r="B10116" s="1" t="n">
        <v>45280</v>
      </c>
      <c r="C10116" s="1" t="n">
        <v>45715</v>
      </c>
      <c r="D10116" t="inlineStr">
        <is>
          <t>KALMAR LÄN</t>
        </is>
      </c>
      <c r="E10116" t="inlineStr">
        <is>
          <t>MÖNSTERÅS</t>
        </is>
      </c>
      <c r="F10116" t="inlineStr">
        <is>
          <t>Övriga Aktiebolag</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64373-2023</t>
        </is>
      </c>
      <c r="B10117" s="1" t="n">
        <v>45280</v>
      </c>
      <c r="C10117" s="1" t="n">
        <v>45715</v>
      </c>
      <c r="D10117" t="inlineStr">
        <is>
          <t>KALMAR LÄN</t>
        </is>
      </c>
      <c r="E10117" t="inlineStr">
        <is>
          <t>TORSÅS</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64476-2023</t>
        </is>
      </c>
      <c r="B10118" s="1" t="n">
        <v>45280</v>
      </c>
      <c r="C10118" s="1" t="n">
        <v>45715</v>
      </c>
      <c r="D10118" t="inlineStr">
        <is>
          <t>KALMAR LÄN</t>
        </is>
      </c>
      <c r="E10118" t="inlineStr">
        <is>
          <t>OSKARSHAMN</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64474-2023</t>
        </is>
      </c>
      <c r="B10119" s="1" t="n">
        <v>45280</v>
      </c>
      <c r="C10119" s="1" t="n">
        <v>45715</v>
      </c>
      <c r="D10119" t="inlineStr">
        <is>
          <t>KALMAR LÄN</t>
        </is>
      </c>
      <c r="E10119" t="inlineStr">
        <is>
          <t>OSKARSHAMN</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64475-2023</t>
        </is>
      </c>
      <c r="B10120" s="1" t="n">
        <v>45280</v>
      </c>
      <c r="C10120" s="1" t="n">
        <v>45715</v>
      </c>
      <c r="D10120" t="inlineStr">
        <is>
          <t>KALMAR LÄN</t>
        </is>
      </c>
      <c r="E10120" t="inlineStr">
        <is>
          <t>OSKARSHAMN</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64453-2023</t>
        </is>
      </c>
      <c r="B10121" s="1" t="n">
        <v>45280</v>
      </c>
      <c r="C10121" s="1" t="n">
        <v>45715</v>
      </c>
      <c r="D10121" t="inlineStr">
        <is>
          <t>KALMAR LÄN</t>
        </is>
      </c>
      <c r="E10121" t="inlineStr">
        <is>
          <t>NYBRO</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64477-2023</t>
        </is>
      </c>
      <c r="B10122" s="1" t="n">
        <v>45280</v>
      </c>
      <c r="C10122" s="1" t="n">
        <v>45715</v>
      </c>
      <c r="D10122" t="inlineStr">
        <is>
          <t>KALMAR LÄN</t>
        </is>
      </c>
      <c r="E10122" t="inlineStr">
        <is>
          <t>OSKARSHAMN</t>
        </is>
      </c>
      <c r="G10122" t="n">
        <v>11.3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64622-2023</t>
        </is>
      </c>
      <c r="B10123" s="1" t="n">
        <v>45281</v>
      </c>
      <c r="C10123" s="1" t="n">
        <v>45715</v>
      </c>
      <c r="D10123" t="inlineStr">
        <is>
          <t>KALMAR LÄN</t>
        </is>
      </c>
      <c r="E10123" t="inlineStr">
        <is>
          <t>NYBRO</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64638-2023</t>
        </is>
      </c>
      <c r="B10124" s="1" t="n">
        <v>45281</v>
      </c>
      <c r="C10124" s="1" t="n">
        <v>45715</v>
      </c>
      <c r="D10124" t="inlineStr">
        <is>
          <t>KALMAR LÄN</t>
        </is>
      </c>
      <c r="E10124" t="inlineStr">
        <is>
          <t>NYBRO</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64597-2023</t>
        </is>
      </c>
      <c r="B10125" s="1" t="n">
        <v>45281</v>
      </c>
      <c r="C10125" s="1" t="n">
        <v>45715</v>
      </c>
      <c r="D10125" t="inlineStr">
        <is>
          <t>KALMAR LÄN</t>
        </is>
      </c>
      <c r="E10125" t="inlineStr">
        <is>
          <t>KALMAR</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64674-2023</t>
        </is>
      </c>
      <c r="B10126" s="1" t="n">
        <v>45281</v>
      </c>
      <c r="C10126" s="1" t="n">
        <v>45715</v>
      </c>
      <c r="D10126" t="inlineStr">
        <is>
          <t>KALMAR LÄN</t>
        </is>
      </c>
      <c r="E10126" t="inlineStr">
        <is>
          <t>EMMABODA</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64706-2023</t>
        </is>
      </c>
      <c r="B10127" s="1" t="n">
        <v>45281</v>
      </c>
      <c r="C10127" s="1" t="n">
        <v>45715</v>
      </c>
      <c r="D10127" t="inlineStr">
        <is>
          <t>KALMAR LÄN</t>
        </is>
      </c>
      <c r="E10127" t="inlineStr">
        <is>
          <t>NYBRO</t>
        </is>
      </c>
      <c r="G10127" t="n">
        <v>7.9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64681-2023</t>
        </is>
      </c>
      <c r="B10128" s="1" t="n">
        <v>45281</v>
      </c>
      <c r="C10128" s="1" t="n">
        <v>45715</v>
      </c>
      <c r="D10128" t="inlineStr">
        <is>
          <t>KALMAR LÄN</t>
        </is>
      </c>
      <c r="E10128" t="inlineStr">
        <is>
          <t>EMMABODA</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64580-2023</t>
        </is>
      </c>
      <c r="B10129" s="1" t="n">
        <v>45281</v>
      </c>
      <c r="C10129" s="1" t="n">
        <v>45715</v>
      </c>
      <c r="D10129" t="inlineStr">
        <is>
          <t>KALMAR LÄN</t>
        </is>
      </c>
      <c r="E10129" t="inlineStr">
        <is>
          <t>VÄSTERVIK</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64762-2023</t>
        </is>
      </c>
      <c r="B10130" s="1" t="n">
        <v>45282</v>
      </c>
      <c r="C10130" s="1" t="n">
        <v>45715</v>
      </c>
      <c r="D10130" t="inlineStr">
        <is>
          <t>KALMAR LÄN</t>
        </is>
      </c>
      <c r="E10130" t="inlineStr">
        <is>
          <t>VÄSTERVIK</t>
        </is>
      </c>
      <c r="F10130" t="inlineStr">
        <is>
          <t>Övriga Aktiebolag</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64763-2023</t>
        </is>
      </c>
      <c r="B10131" s="1" t="n">
        <v>45282</v>
      </c>
      <c r="C10131" s="1" t="n">
        <v>45715</v>
      </c>
      <c r="D10131" t="inlineStr">
        <is>
          <t>KALMAR LÄN</t>
        </is>
      </c>
      <c r="E10131" t="inlineStr">
        <is>
          <t>VÄSTERVIK</t>
        </is>
      </c>
      <c r="F10131" t="inlineStr">
        <is>
          <t>Övriga Aktiebolag</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64790-2023</t>
        </is>
      </c>
      <c r="B10132" s="1" t="n">
        <v>45282</v>
      </c>
      <c r="C10132" s="1" t="n">
        <v>45715</v>
      </c>
      <c r="D10132" t="inlineStr">
        <is>
          <t>KALMAR LÄN</t>
        </is>
      </c>
      <c r="E10132" t="inlineStr">
        <is>
          <t>EMMABODA</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64760-2023</t>
        </is>
      </c>
      <c r="B10133" s="1" t="n">
        <v>45282</v>
      </c>
      <c r="C10133" s="1" t="n">
        <v>45715</v>
      </c>
      <c r="D10133" t="inlineStr">
        <is>
          <t>KALMAR LÄN</t>
        </is>
      </c>
      <c r="E10133" t="inlineStr">
        <is>
          <t>VÄSTERVIK</t>
        </is>
      </c>
      <c r="G10133" t="n">
        <v>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64847-2023</t>
        </is>
      </c>
      <c r="B10134" s="1" t="n">
        <v>45282</v>
      </c>
      <c r="C10134" s="1" t="n">
        <v>45715</v>
      </c>
      <c r="D10134" t="inlineStr">
        <is>
          <t>KALMAR LÄN</t>
        </is>
      </c>
      <c r="E10134" t="inlineStr">
        <is>
          <t>OSKARSHAMN</t>
        </is>
      </c>
      <c r="G10134" t="n">
        <v>4.4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64886-2023</t>
        </is>
      </c>
      <c r="B10135" s="1" t="n">
        <v>45282</v>
      </c>
      <c r="C10135" s="1" t="n">
        <v>45715</v>
      </c>
      <c r="D10135" t="inlineStr">
        <is>
          <t>KALMAR LÄN</t>
        </is>
      </c>
      <c r="E10135" t="inlineStr">
        <is>
          <t>VÄSTERVIK</t>
        </is>
      </c>
      <c r="F10135" t="inlineStr">
        <is>
          <t>Sveaskog</t>
        </is>
      </c>
      <c r="G10135" t="n">
        <v>6.5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64976-2023</t>
        </is>
      </c>
      <c r="B10136" s="1" t="n">
        <v>45285</v>
      </c>
      <c r="C10136" s="1" t="n">
        <v>45715</v>
      </c>
      <c r="D10136" t="inlineStr">
        <is>
          <t>KALMAR LÄN</t>
        </is>
      </c>
      <c r="E10136" t="inlineStr">
        <is>
          <t>NYBRO</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64979-2023</t>
        </is>
      </c>
      <c r="B10137" s="1" t="n">
        <v>45285</v>
      </c>
      <c r="C10137" s="1" t="n">
        <v>45715</v>
      </c>
      <c r="D10137" t="inlineStr">
        <is>
          <t>KALMAR LÄN</t>
        </is>
      </c>
      <c r="E10137" t="inlineStr">
        <is>
          <t>NYBRO</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64985-2023</t>
        </is>
      </c>
      <c r="B10138" s="1" t="n">
        <v>45285</v>
      </c>
      <c r="C10138" s="1" t="n">
        <v>45715</v>
      </c>
      <c r="D10138" t="inlineStr">
        <is>
          <t>KALMAR LÄN</t>
        </is>
      </c>
      <c r="E10138" t="inlineStr">
        <is>
          <t>NYBRO</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64994-2023</t>
        </is>
      </c>
      <c r="B10139" s="1" t="n">
        <v>45286</v>
      </c>
      <c r="C10139" s="1" t="n">
        <v>45715</v>
      </c>
      <c r="D10139" t="inlineStr">
        <is>
          <t>KALMAR LÄN</t>
        </is>
      </c>
      <c r="E10139" t="inlineStr">
        <is>
          <t>KALMAR</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65046-2023</t>
        </is>
      </c>
      <c r="B10140" s="1" t="n">
        <v>45287</v>
      </c>
      <c r="C10140" s="1" t="n">
        <v>45715</v>
      </c>
      <c r="D10140" t="inlineStr">
        <is>
          <t>KALMAR LÄN</t>
        </is>
      </c>
      <c r="E10140" t="inlineStr">
        <is>
          <t>VÄSTERVIK</t>
        </is>
      </c>
      <c r="F10140" t="inlineStr">
        <is>
          <t>Holmen skog AB</t>
        </is>
      </c>
      <c r="G10140" t="n">
        <v>6.8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65105-2023</t>
        </is>
      </c>
      <c r="B10141" s="1" t="n">
        <v>45287</v>
      </c>
      <c r="C10141" s="1" t="n">
        <v>45715</v>
      </c>
      <c r="D10141" t="inlineStr">
        <is>
          <t>KALMAR LÄN</t>
        </is>
      </c>
      <c r="E10141" t="inlineStr">
        <is>
          <t>OSKARSHAMN</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65028-2023</t>
        </is>
      </c>
      <c r="B10142" s="1" t="n">
        <v>45287</v>
      </c>
      <c r="C10142" s="1" t="n">
        <v>45715</v>
      </c>
      <c r="D10142" t="inlineStr">
        <is>
          <t>KALMAR LÄN</t>
        </is>
      </c>
      <c r="E10142" t="inlineStr">
        <is>
          <t>VÄSTERVIK</t>
        </is>
      </c>
      <c r="F10142" t="inlineStr">
        <is>
          <t>Holmen skog AB</t>
        </is>
      </c>
      <c r="G10142" t="n">
        <v>10.8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65059-2023</t>
        </is>
      </c>
      <c r="B10143" s="1" t="n">
        <v>45287</v>
      </c>
      <c r="C10143" s="1" t="n">
        <v>45715</v>
      </c>
      <c r="D10143" t="inlineStr">
        <is>
          <t>KALMAR LÄN</t>
        </is>
      </c>
      <c r="E10143" t="inlineStr">
        <is>
          <t>VÄSTERVIK</t>
        </is>
      </c>
      <c r="F10143" t="inlineStr">
        <is>
          <t>Holmen skog AB</t>
        </is>
      </c>
      <c r="G10143" t="n">
        <v>4.9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65157-2023</t>
        </is>
      </c>
      <c r="B10144" s="1" t="n">
        <v>45288</v>
      </c>
      <c r="C10144" s="1" t="n">
        <v>45715</v>
      </c>
      <c r="D10144" t="inlineStr">
        <is>
          <t>KALMAR LÄN</t>
        </is>
      </c>
      <c r="E10144" t="inlineStr">
        <is>
          <t>TORSÅS</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65156-2023</t>
        </is>
      </c>
      <c r="B10145" s="1" t="n">
        <v>45288</v>
      </c>
      <c r="C10145" s="1" t="n">
        <v>45715</v>
      </c>
      <c r="D10145" t="inlineStr">
        <is>
          <t>KALMAR LÄN</t>
        </is>
      </c>
      <c r="E10145" t="inlineStr">
        <is>
          <t>TORSÅS</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65130-2023</t>
        </is>
      </c>
      <c r="B10146" s="1" t="n">
        <v>45288</v>
      </c>
      <c r="C10146" s="1" t="n">
        <v>45715</v>
      </c>
      <c r="D10146" t="inlineStr">
        <is>
          <t>KALMAR LÄN</t>
        </is>
      </c>
      <c r="E10146" t="inlineStr">
        <is>
          <t>HÖGSBY</t>
        </is>
      </c>
      <c r="F10146" t="inlineStr">
        <is>
          <t>Sveaskog</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65131-2023</t>
        </is>
      </c>
      <c r="B10147" s="1" t="n">
        <v>45288</v>
      </c>
      <c r="C10147" s="1" t="n">
        <v>45715</v>
      </c>
      <c r="D10147" t="inlineStr">
        <is>
          <t>KALMAR LÄN</t>
        </is>
      </c>
      <c r="E10147" t="inlineStr">
        <is>
          <t>HÖGSBY</t>
        </is>
      </c>
      <c r="F10147" t="inlineStr">
        <is>
          <t>Sveaskog</t>
        </is>
      </c>
      <c r="G10147" t="n">
        <v>9.5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65155-2023</t>
        </is>
      </c>
      <c r="B10148" s="1" t="n">
        <v>45288</v>
      </c>
      <c r="C10148" s="1" t="n">
        <v>45715</v>
      </c>
      <c r="D10148" t="inlineStr">
        <is>
          <t>KALMAR LÄN</t>
        </is>
      </c>
      <c r="E10148" t="inlineStr">
        <is>
          <t>TORSÅS</t>
        </is>
      </c>
      <c r="G10148" t="n">
        <v>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65159-2023</t>
        </is>
      </c>
      <c r="B10149" s="1" t="n">
        <v>45288</v>
      </c>
      <c r="C10149" s="1" t="n">
        <v>45715</v>
      </c>
      <c r="D10149" t="inlineStr">
        <is>
          <t>KALMAR LÄN</t>
        </is>
      </c>
      <c r="E10149" t="inlineStr">
        <is>
          <t>TORSÅS</t>
        </is>
      </c>
      <c r="G10149" t="n">
        <v>6.3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65237-2023</t>
        </is>
      </c>
      <c r="B10150" s="1" t="n">
        <v>45289</v>
      </c>
      <c r="C10150" s="1" t="n">
        <v>45715</v>
      </c>
      <c r="D10150" t="inlineStr">
        <is>
          <t>KALMAR LÄN</t>
        </is>
      </c>
      <c r="E10150" t="inlineStr">
        <is>
          <t>VIMMERBY</t>
        </is>
      </c>
      <c r="F10150" t="inlineStr">
        <is>
          <t>Kyrkan</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65238-2023</t>
        </is>
      </c>
      <c r="B10151" s="1" t="n">
        <v>45289</v>
      </c>
      <c r="C10151" s="1" t="n">
        <v>45715</v>
      </c>
      <c r="D10151" t="inlineStr">
        <is>
          <t>KALMAR LÄN</t>
        </is>
      </c>
      <c r="E10151" t="inlineStr">
        <is>
          <t>VIMMERBY</t>
        </is>
      </c>
      <c r="F10151" t="inlineStr">
        <is>
          <t>Kyrkan</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65258-2023</t>
        </is>
      </c>
      <c r="B10152" s="1" t="n">
        <v>45290</v>
      </c>
      <c r="C10152" s="1" t="n">
        <v>45715</v>
      </c>
      <c r="D10152" t="inlineStr">
        <is>
          <t>KALMAR LÄN</t>
        </is>
      </c>
      <c r="E10152" t="inlineStr">
        <is>
          <t>TORSÅS</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159-2024</t>
        </is>
      </c>
      <c r="B10153" s="1" t="n">
        <v>45294</v>
      </c>
      <c r="C10153" s="1" t="n">
        <v>45715</v>
      </c>
      <c r="D10153" t="inlineStr">
        <is>
          <t>KALMAR LÄN</t>
        </is>
      </c>
      <c r="E10153" t="inlineStr">
        <is>
          <t>MÖNSTERÅS</t>
        </is>
      </c>
      <c r="G10153" t="n">
        <v>9.1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212-2024</t>
        </is>
      </c>
      <c r="B10154" s="1" t="n">
        <v>45294</v>
      </c>
      <c r="C10154" s="1" t="n">
        <v>45715</v>
      </c>
      <c r="D10154" t="inlineStr">
        <is>
          <t>KALMAR LÄN</t>
        </is>
      </c>
      <c r="E10154" t="inlineStr">
        <is>
          <t>OSKARSHAMN</t>
        </is>
      </c>
      <c r="G10154" t="n">
        <v>7.4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205-2024</t>
        </is>
      </c>
      <c r="B10155" s="1" t="n">
        <v>45294</v>
      </c>
      <c r="C10155" s="1" t="n">
        <v>45715</v>
      </c>
      <c r="D10155" t="inlineStr">
        <is>
          <t>KALMAR LÄN</t>
        </is>
      </c>
      <c r="E10155" t="inlineStr">
        <is>
          <t>VIMMERBY</t>
        </is>
      </c>
      <c r="G10155" t="n">
        <v>7.9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305-2024</t>
        </is>
      </c>
      <c r="B10156" s="1" t="n">
        <v>45295</v>
      </c>
      <c r="C10156" s="1" t="n">
        <v>45715</v>
      </c>
      <c r="D10156" t="inlineStr">
        <is>
          <t>KALMAR LÄN</t>
        </is>
      </c>
      <c r="E10156" t="inlineStr">
        <is>
          <t>MÖNSTERÅS</t>
        </is>
      </c>
      <c r="G10156" t="n">
        <v>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301-2024</t>
        </is>
      </c>
      <c r="B10157" s="1" t="n">
        <v>45295</v>
      </c>
      <c r="C10157" s="1" t="n">
        <v>45715</v>
      </c>
      <c r="D10157" t="inlineStr">
        <is>
          <t>KALMAR LÄN</t>
        </is>
      </c>
      <c r="E10157" t="inlineStr">
        <is>
          <t>MÖNSTERÅS</t>
        </is>
      </c>
      <c r="G10157" t="n">
        <v>11.4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338-2024</t>
        </is>
      </c>
      <c r="B10158" s="1" t="n">
        <v>45295</v>
      </c>
      <c r="C10158" s="1" t="n">
        <v>45715</v>
      </c>
      <c r="D10158" t="inlineStr">
        <is>
          <t>KALMAR LÄN</t>
        </is>
      </c>
      <c r="E10158" t="inlineStr">
        <is>
          <t>VÄSTERVIK</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340-2024</t>
        </is>
      </c>
      <c r="B10159" s="1" t="n">
        <v>45295</v>
      </c>
      <c r="C10159" s="1" t="n">
        <v>45715</v>
      </c>
      <c r="D10159" t="inlineStr">
        <is>
          <t>KALMAR LÄN</t>
        </is>
      </c>
      <c r="E10159" t="inlineStr">
        <is>
          <t>VÄSTERVIK</t>
        </is>
      </c>
      <c r="F10159" t="inlineStr">
        <is>
          <t>Holmen skog AB</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391-2024</t>
        </is>
      </c>
      <c r="B10160" s="1" t="n">
        <v>45296</v>
      </c>
      <c r="C10160" s="1" t="n">
        <v>45715</v>
      </c>
      <c r="D10160" t="inlineStr">
        <is>
          <t>KALMAR LÄN</t>
        </is>
      </c>
      <c r="E10160" t="inlineStr">
        <is>
          <t>EMMABODA</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392-2024</t>
        </is>
      </c>
      <c r="B10161" s="1" t="n">
        <v>45296</v>
      </c>
      <c r="C10161" s="1" t="n">
        <v>45715</v>
      </c>
      <c r="D10161" t="inlineStr">
        <is>
          <t>KALMAR LÄN</t>
        </is>
      </c>
      <c r="E10161" t="inlineStr">
        <is>
          <t>EMMABODA</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411-2024</t>
        </is>
      </c>
      <c r="B10162" s="1" t="n">
        <v>45296</v>
      </c>
      <c r="C10162" s="1" t="n">
        <v>45715</v>
      </c>
      <c r="D10162" t="inlineStr">
        <is>
          <t>KALMAR LÄN</t>
        </is>
      </c>
      <c r="E10162" t="inlineStr">
        <is>
          <t>MÖNSTERÅS</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443-2024</t>
        </is>
      </c>
      <c r="B10163" s="1" t="n">
        <v>45296</v>
      </c>
      <c r="C10163" s="1" t="n">
        <v>45715</v>
      </c>
      <c r="D10163" t="inlineStr">
        <is>
          <t>KALMAR LÄN</t>
        </is>
      </c>
      <c r="E10163" t="inlineStr">
        <is>
          <t>NYBRO</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492-2024</t>
        </is>
      </c>
      <c r="B10164" s="1" t="n">
        <v>45299</v>
      </c>
      <c r="C10164" s="1" t="n">
        <v>45715</v>
      </c>
      <c r="D10164" t="inlineStr">
        <is>
          <t>KALMAR LÄN</t>
        </is>
      </c>
      <c r="E10164" t="inlineStr">
        <is>
          <t>VÄSTERVIK</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526-2024</t>
        </is>
      </c>
      <c r="B10165" s="1" t="n">
        <v>45299</v>
      </c>
      <c r="C10165" s="1" t="n">
        <v>45715</v>
      </c>
      <c r="D10165" t="inlineStr">
        <is>
          <t>KALMAR LÄN</t>
        </is>
      </c>
      <c r="E10165" t="inlineStr">
        <is>
          <t>VIMMERBY</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623-2024</t>
        </is>
      </c>
      <c r="B10166" s="1" t="n">
        <v>45299</v>
      </c>
      <c r="C10166" s="1" t="n">
        <v>45715</v>
      </c>
      <c r="D10166" t="inlineStr">
        <is>
          <t>KALMAR LÄN</t>
        </is>
      </c>
      <c r="E10166" t="inlineStr">
        <is>
          <t>HULTSFRED</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627-2024</t>
        </is>
      </c>
      <c r="B10167" s="1" t="n">
        <v>45299</v>
      </c>
      <c r="C10167" s="1" t="n">
        <v>45715</v>
      </c>
      <c r="D10167" t="inlineStr">
        <is>
          <t>KALMAR LÄN</t>
        </is>
      </c>
      <c r="E10167" t="inlineStr">
        <is>
          <t>VIMMERBY</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529-2024</t>
        </is>
      </c>
      <c r="B10168" s="1" t="n">
        <v>45299</v>
      </c>
      <c r="C10168" s="1" t="n">
        <v>45715</v>
      </c>
      <c r="D10168" t="inlineStr">
        <is>
          <t>KALMAR LÄN</t>
        </is>
      </c>
      <c r="E10168" t="inlineStr">
        <is>
          <t>VIMMERBY</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527-2024</t>
        </is>
      </c>
      <c r="B10169" s="1" t="n">
        <v>45299</v>
      </c>
      <c r="C10169" s="1" t="n">
        <v>45715</v>
      </c>
      <c r="D10169" t="inlineStr">
        <is>
          <t>KALMAR LÄN</t>
        </is>
      </c>
      <c r="E10169" t="inlineStr">
        <is>
          <t>VIMMERBY</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585-2024</t>
        </is>
      </c>
      <c r="B10170" s="1" t="n">
        <v>45299</v>
      </c>
      <c r="C10170" s="1" t="n">
        <v>45715</v>
      </c>
      <c r="D10170" t="inlineStr">
        <is>
          <t>KALMAR LÄN</t>
        </is>
      </c>
      <c r="E10170" t="inlineStr">
        <is>
          <t>VIMMERBY</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616-2024</t>
        </is>
      </c>
      <c r="B10171" s="1" t="n">
        <v>45299</v>
      </c>
      <c r="C10171" s="1" t="n">
        <v>45715</v>
      </c>
      <c r="D10171" t="inlineStr">
        <is>
          <t>KALMAR LÄN</t>
        </is>
      </c>
      <c r="E10171" t="inlineStr">
        <is>
          <t>HULTSFRED</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532-2024</t>
        </is>
      </c>
      <c r="B10172" s="1" t="n">
        <v>45299</v>
      </c>
      <c r="C10172" s="1" t="n">
        <v>45715</v>
      </c>
      <c r="D10172" t="inlineStr">
        <is>
          <t>KALMAR LÄN</t>
        </is>
      </c>
      <c r="E10172" t="inlineStr">
        <is>
          <t>TORSÅS</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803-2024</t>
        </is>
      </c>
      <c r="B10173" s="1" t="n">
        <v>45300</v>
      </c>
      <c r="C10173" s="1" t="n">
        <v>45715</v>
      </c>
      <c r="D10173" t="inlineStr">
        <is>
          <t>KALMAR LÄN</t>
        </is>
      </c>
      <c r="E10173" t="inlineStr">
        <is>
          <t>EMMABODA</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819-2024</t>
        </is>
      </c>
      <c r="B10174" s="1" t="n">
        <v>45300</v>
      </c>
      <c r="C10174" s="1" t="n">
        <v>45715</v>
      </c>
      <c r="D10174" t="inlineStr">
        <is>
          <t>KALMAR LÄN</t>
        </is>
      </c>
      <c r="E10174" t="inlineStr">
        <is>
          <t>EMMABODA</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837-2024</t>
        </is>
      </c>
      <c r="B10175" s="1" t="n">
        <v>45300</v>
      </c>
      <c r="C10175" s="1" t="n">
        <v>45715</v>
      </c>
      <c r="D10175" t="inlineStr">
        <is>
          <t>KALMAR LÄN</t>
        </is>
      </c>
      <c r="E10175" t="inlineStr">
        <is>
          <t>MÖNSTERÅS</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690-2024</t>
        </is>
      </c>
      <c r="B10176" s="1" t="n">
        <v>45300</v>
      </c>
      <c r="C10176" s="1" t="n">
        <v>45715</v>
      </c>
      <c r="D10176" t="inlineStr">
        <is>
          <t>KALMAR LÄN</t>
        </is>
      </c>
      <c r="E10176" t="inlineStr">
        <is>
          <t>VIMMERBY</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694-2024</t>
        </is>
      </c>
      <c r="B10177" s="1" t="n">
        <v>45300</v>
      </c>
      <c r="C10177" s="1" t="n">
        <v>45715</v>
      </c>
      <c r="D10177" t="inlineStr">
        <is>
          <t>KALMAR LÄN</t>
        </is>
      </c>
      <c r="E10177" t="inlineStr">
        <is>
          <t>VIMMERBY</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813-2024</t>
        </is>
      </c>
      <c r="B10178" s="1" t="n">
        <v>45300</v>
      </c>
      <c r="C10178" s="1" t="n">
        <v>45715</v>
      </c>
      <c r="D10178" t="inlineStr">
        <is>
          <t>KALMAR LÄN</t>
        </is>
      </c>
      <c r="E10178" t="inlineStr">
        <is>
          <t>NYBRO</t>
        </is>
      </c>
      <c r="G10178" t="n">
        <v>4.5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810-2024</t>
        </is>
      </c>
      <c r="B10179" s="1" t="n">
        <v>45300</v>
      </c>
      <c r="C10179" s="1" t="n">
        <v>45715</v>
      </c>
      <c r="D10179" t="inlineStr">
        <is>
          <t>KALMAR LÄN</t>
        </is>
      </c>
      <c r="E10179" t="inlineStr">
        <is>
          <t>NYBRO</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798-2024</t>
        </is>
      </c>
      <c r="B10180" s="1" t="n">
        <v>45300</v>
      </c>
      <c r="C10180" s="1" t="n">
        <v>45715</v>
      </c>
      <c r="D10180" t="inlineStr">
        <is>
          <t>KALMAR LÄN</t>
        </is>
      </c>
      <c r="E10180" t="inlineStr">
        <is>
          <t>EMMABODA</t>
        </is>
      </c>
      <c r="G10180" t="n">
        <v>3.9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782-2024</t>
        </is>
      </c>
      <c r="B10181" s="1" t="n">
        <v>45300</v>
      </c>
      <c r="C10181" s="1" t="n">
        <v>45715</v>
      </c>
      <c r="D10181" t="inlineStr">
        <is>
          <t>KALMAR LÄN</t>
        </is>
      </c>
      <c r="E10181" t="inlineStr">
        <is>
          <t>VÄSTERVIK</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866-2024</t>
        </is>
      </c>
      <c r="B10182" s="1" t="n">
        <v>45301</v>
      </c>
      <c r="C10182" s="1" t="n">
        <v>45715</v>
      </c>
      <c r="D10182" t="inlineStr">
        <is>
          <t>KALMAR LÄN</t>
        </is>
      </c>
      <c r="E10182" t="inlineStr">
        <is>
          <t>NYBRO</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874-2024</t>
        </is>
      </c>
      <c r="B10183" s="1" t="n">
        <v>45301</v>
      </c>
      <c r="C10183" s="1" t="n">
        <v>45715</v>
      </c>
      <c r="D10183" t="inlineStr">
        <is>
          <t>KALMAR LÄN</t>
        </is>
      </c>
      <c r="E10183" t="inlineStr">
        <is>
          <t>NYBRO</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919-2024</t>
        </is>
      </c>
      <c r="B10184" s="1" t="n">
        <v>45301</v>
      </c>
      <c r="C10184" s="1" t="n">
        <v>45715</v>
      </c>
      <c r="D10184" t="inlineStr">
        <is>
          <t>KALMAR LÄN</t>
        </is>
      </c>
      <c r="E10184" t="inlineStr">
        <is>
          <t>KALMAR</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867-2024</t>
        </is>
      </c>
      <c r="B10185" s="1" t="n">
        <v>45301</v>
      </c>
      <c r="C10185" s="1" t="n">
        <v>45715</v>
      </c>
      <c r="D10185" t="inlineStr">
        <is>
          <t>KALMAR LÄN</t>
        </is>
      </c>
      <c r="E10185" t="inlineStr">
        <is>
          <t>NYBRO</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928-2024</t>
        </is>
      </c>
      <c r="B10186" s="1" t="n">
        <v>45301</v>
      </c>
      <c r="C10186" s="1" t="n">
        <v>45715</v>
      </c>
      <c r="D10186" t="inlineStr">
        <is>
          <t>KALMAR LÄN</t>
        </is>
      </c>
      <c r="E10186" t="inlineStr">
        <is>
          <t>VÄSTERVIK</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936-2024</t>
        </is>
      </c>
      <c r="B10187" s="1" t="n">
        <v>45301</v>
      </c>
      <c r="C10187" s="1" t="n">
        <v>45715</v>
      </c>
      <c r="D10187" t="inlineStr">
        <is>
          <t>KALMAR LÄN</t>
        </is>
      </c>
      <c r="E10187" t="inlineStr">
        <is>
          <t>VÄSTERVIK</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944-2024</t>
        </is>
      </c>
      <c r="B10188" s="1" t="n">
        <v>45301</v>
      </c>
      <c r="C10188" s="1" t="n">
        <v>45715</v>
      </c>
      <c r="D10188" t="inlineStr">
        <is>
          <t>KALMAR LÄN</t>
        </is>
      </c>
      <c r="E10188" t="inlineStr">
        <is>
          <t>VÄSTERVIK</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901-2024</t>
        </is>
      </c>
      <c r="B10189" s="1" t="n">
        <v>45301</v>
      </c>
      <c r="C10189" s="1" t="n">
        <v>45715</v>
      </c>
      <c r="D10189" t="inlineStr">
        <is>
          <t>KALMAR LÄN</t>
        </is>
      </c>
      <c r="E10189" t="inlineStr">
        <is>
          <t>VÄSTERVIK</t>
        </is>
      </c>
      <c r="G10189" t="n">
        <v>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925-2024</t>
        </is>
      </c>
      <c r="B10190" s="1" t="n">
        <v>45301</v>
      </c>
      <c r="C10190" s="1" t="n">
        <v>45715</v>
      </c>
      <c r="D10190" t="inlineStr">
        <is>
          <t>KALMAR LÄN</t>
        </is>
      </c>
      <c r="E10190" t="inlineStr">
        <is>
          <t>VÄSTERVIK</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949-2024</t>
        </is>
      </c>
      <c r="B10191" s="1" t="n">
        <v>45301</v>
      </c>
      <c r="C10191" s="1" t="n">
        <v>45715</v>
      </c>
      <c r="D10191" t="inlineStr">
        <is>
          <t>KALMAR LÄN</t>
        </is>
      </c>
      <c r="E10191" t="inlineStr">
        <is>
          <t>VÄSTERVIK</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1017-2024</t>
        </is>
      </c>
      <c r="B10192" s="1" t="n">
        <v>45301</v>
      </c>
      <c r="C10192" s="1" t="n">
        <v>45715</v>
      </c>
      <c r="D10192" t="inlineStr">
        <is>
          <t>KALMAR LÄN</t>
        </is>
      </c>
      <c r="E10192" t="inlineStr">
        <is>
          <t>VIMMERBY</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1021-2024</t>
        </is>
      </c>
      <c r="B10193" s="1" t="n">
        <v>45301</v>
      </c>
      <c r="C10193" s="1" t="n">
        <v>45715</v>
      </c>
      <c r="D10193" t="inlineStr">
        <is>
          <t>KALMAR LÄN</t>
        </is>
      </c>
      <c r="E10193" t="inlineStr">
        <is>
          <t>VIMMERBY</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1025-2024</t>
        </is>
      </c>
      <c r="B10194" s="1" t="n">
        <v>45301</v>
      </c>
      <c r="C10194" s="1" t="n">
        <v>45715</v>
      </c>
      <c r="D10194" t="inlineStr">
        <is>
          <t>KALMAR LÄN</t>
        </is>
      </c>
      <c r="E10194" t="inlineStr">
        <is>
          <t>EMMABODA</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968-2024</t>
        </is>
      </c>
      <c r="B10195" s="1" t="n">
        <v>45301</v>
      </c>
      <c r="C10195" s="1" t="n">
        <v>45715</v>
      </c>
      <c r="D10195" t="inlineStr">
        <is>
          <t>KALMAR LÄN</t>
        </is>
      </c>
      <c r="E10195" t="inlineStr">
        <is>
          <t>HÖGSBY</t>
        </is>
      </c>
      <c r="G10195" t="n">
        <v>7.4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1015-2024</t>
        </is>
      </c>
      <c r="B10196" s="1" t="n">
        <v>45301</v>
      </c>
      <c r="C10196" s="1" t="n">
        <v>45715</v>
      </c>
      <c r="D10196" t="inlineStr">
        <is>
          <t>KALMAR LÄN</t>
        </is>
      </c>
      <c r="E10196" t="inlineStr">
        <is>
          <t>VIMMERBY</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934-2024</t>
        </is>
      </c>
      <c r="B10197" s="1" t="n">
        <v>45301</v>
      </c>
      <c r="C10197" s="1" t="n">
        <v>45715</v>
      </c>
      <c r="D10197" t="inlineStr">
        <is>
          <t>KALMAR LÄN</t>
        </is>
      </c>
      <c r="E10197" t="inlineStr">
        <is>
          <t>VÄSTERVIK</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942-2024</t>
        </is>
      </c>
      <c r="B10198" s="1" t="n">
        <v>45301</v>
      </c>
      <c r="C10198" s="1" t="n">
        <v>45715</v>
      </c>
      <c r="D10198" t="inlineStr">
        <is>
          <t>KALMAR LÄN</t>
        </is>
      </c>
      <c r="E10198" t="inlineStr">
        <is>
          <t>VÄSTERVIK</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946-2024</t>
        </is>
      </c>
      <c r="B10199" s="1" t="n">
        <v>45301</v>
      </c>
      <c r="C10199" s="1" t="n">
        <v>45715</v>
      </c>
      <c r="D10199" t="inlineStr">
        <is>
          <t>KALMAR LÄN</t>
        </is>
      </c>
      <c r="E10199" t="inlineStr">
        <is>
          <t>VÄSTERVIK</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1018-2024</t>
        </is>
      </c>
      <c r="B10200" s="1" t="n">
        <v>45301</v>
      </c>
      <c r="C10200" s="1" t="n">
        <v>45715</v>
      </c>
      <c r="D10200" t="inlineStr">
        <is>
          <t>KALMAR LÄN</t>
        </is>
      </c>
      <c r="E10200" t="inlineStr">
        <is>
          <t>VIMMERBY</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1022-2024</t>
        </is>
      </c>
      <c r="B10201" s="1" t="n">
        <v>45301</v>
      </c>
      <c r="C10201" s="1" t="n">
        <v>45715</v>
      </c>
      <c r="D10201" t="inlineStr">
        <is>
          <t>KALMAR LÄN</t>
        </is>
      </c>
      <c r="E10201" t="inlineStr">
        <is>
          <t>EMMABODA</t>
        </is>
      </c>
      <c r="G10201" t="n">
        <v>7.9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1019-2024</t>
        </is>
      </c>
      <c r="B10202" s="1" t="n">
        <v>45301</v>
      </c>
      <c r="C10202" s="1" t="n">
        <v>45715</v>
      </c>
      <c r="D10202" t="inlineStr">
        <is>
          <t>KALMAR LÄN</t>
        </is>
      </c>
      <c r="E10202" t="inlineStr">
        <is>
          <t>EMMABODA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1023-2024</t>
        </is>
      </c>
      <c r="B10203" s="1" t="n">
        <v>45301</v>
      </c>
      <c r="C10203" s="1" t="n">
        <v>45715</v>
      </c>
      <c r="D10203" t="inlineStr">
        <is>
          <t>KALMAR LÄN</t>
        </is>
      </c>
      <c r="E10203" t="inlineStr">
        <is>
          <t>VIMMERBY</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1026-2024</t>
        </is>
      </c>
      <c r="B10204" s="1" t="n">
        <v>45301</v>
      </c>
      <c r="C10204" s="1" t="n">
        <v>45715</v>
      </c>
      <c r="D10204" t="inlineStr">
        <is>
          <t>KALMAR LÄN</t>
        </is>
      </c>
      <c r="E10204" t="inlineStr">
        <is>
          <t>EMMABODA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1016-2024</t>
        </is>
      </c>
      <c r="B10205" s="1" t="n">
        <v>45301</v>
      </c>
      <c r="C10205" s="1" t="n">
        <v>45715</v>
      </c>
      <c r="D10205" t="inlineStr">
        <is>
          <t>KALMAR LÄN</t>
        </is>
      </c>
      <c r="E10205" t="inlineStr">
        <is>
          <t>VIMMERBY</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1024-2024</t>
        </is>
      </c>
      <c r="B10206" s="1" t="n">
        <v>45301</v>
      </c>
      <c r="C10206" s="1" t="n">
        <v>45715</v>
      </c>
      <c r="D10206" t="inlineStr">
        <is>
          <t>KALMAR LÄN</t>
        </is>
      </c>
      <c r="E10206" t="inlineStr">
        <is>
          <t>VIMMERBY</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1079-2024</t>
        </is>
      </c>
      <c r="B10207" s="1" t="n">
        <v>45301</v>
      </c>
      <c r="C10207" s="1" t="n">
        <v>45715</v>
      </c>
      <c r="D10207" t="inlineStr">
        <is>
          <t>KALMAR LÄN</t>
        </is>
      </c>
      <c r="E10207" t="inlineStr">
        <is>
          <t>NYBRO</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1098-2024</t>
        </is>
      </c>
      <c r="B10208" s="1" t="n">
        <v>45302</v>
      </c>
      <c r="C10208" s="1" t="n">
        <v>45715</v>
      </c>
      <c r="D10208" t="inlineStr">
        <is>
          <t>KALMAR LÄN</t>
        </is>
      </c>
      <c r="E10208" t="inlineStr">
        <is>
          <t>VÄSTERVIK</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1096-2024</t>
        </is>
      </c>
      <c r="B10209" s="1" t="n">
        <v>45302</v>
      </c>
      <c r="C10209" s="1" t="n">
        <v>45715</v>
      </c>
      <c r="D10209" t="inlineStr">
        <is>
          <t>KALMAR LÄN</t>
        </is>
      </c>
      <c r="E10209" t="inlineStr">
        <is>
          <t>VÄSTERVIK</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1065-2024</t>
        </is>
      </c>
      <c r="B10210" s="1" t="n">
        <v>45302</v>
      </c>
      <c r="C10210" s="1" t="n">
        <v>45715</v>
      </c>
      <c r="D10210" t="inlineStr">
        <is>
          <t>KALMAR LÄN</t>
        </is>
      </c>
      <c r="E10210" t="inlineStr">
        <is>
          <t>HULTSFRED</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1225-2024</t>
        </is>
      </c>
      <c r="B10211" s="1" t="n">
        <v>45302</v>
      </c>
      <c r="C10211" s="1" t="n">
        <v>45715</v>
      </c>
      <c r="D10211" t="inlineStr">
        <is>
          <t>KALMAR LÄN</t>
        </is>
      </c>
      <c r="E10211" t="inlineStr">
        <is>
          <t>VIMMERBY</t>
        </is>
      </c>
      <c r="G10211" t="n">
        <v>5.2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1216-2024</t>
        </is>
      </c>
      <c r="B10212" s="1" t="n">
        <v>45302</v>
      </c>
      <c r="C10212" s="1" t="n">
        <v>45715</v>
      </c>
      <c r="D10212" t="inlineStr">
        <is>
          <t>KALMAR LÄN</t>
        </is>
      </c>
      <c r="E10212" t="inlineStr">
        <is>
          <t>KALMAR</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1426-2024</t>
        </is>
      </c>
      <c r="B10213" s="1" t="n">
        <v>45303</v>
      </c>
      <c r="C10213" s="1" t="n">
        <v>45715</v>
      </c>
      <c r="D10213" t="inlineStr">
        <is>
          <t>KALMAR LÄN</t>
        </is>
      </c>
      <c r="E10213" t="inlineStr">
        <is>
          <t>OSKARSHAMN</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1417-2024</t>
        </is>
      </c>
      <c r="B10214" s="1" t="n">
        <v>45303</v>
      </c>
      <c r="C10214" s="1" t="n">
        <v>45715</v>
      </c>
      <c r="D10214" t="inlineStr">
        <is>
          <t>KALMAR LÄN</t>
        </is>
      </c>
      <c r="E10214" t="inlineStr">
        <is>
          <t>VIMMERBY</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1424-2024</t>
        </is>
      </c>
      <c r="B10215" s="1" t="n">
        <v>45303</v>
      </c>
      <c r="C10215" s="1" t="n">
        <v>45715</v>
      </c>
      <c r="D10215" t="inlineStr">
        <is>
          <t>KALMAR LÄN</t>
        </is>
      </c>
      <c r="E10215" t="inlineStr">
        <is>
          <t>OSKARSHAMN</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1582-2024</t>
        </is>
      </c>
      <c r="B10216" s="1" t="n">
        <v>45306</v>
      </c>
      <c r="C10216" s="1" t="n">
        <v>45715</v>
      </c>
      <c r="D10216" t="inlineStr">
        <is>
          <t>KALMAR LÄN</t>
        </is>
      </c>
      <c r="E10216" t="inlineStr">
        <is>
          <t>HÖGSBY</t>
        </is>
      </c>
      <c r="F10216" t="inlineStr">
        <is>
          <t>Övriga Aktiebolag</t>
        </is>
      </c>
      <c r="G10216" t="n">
        <v>6.7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1598-2024</t>
        </is>
      </c>
      <c r="B10217" s="1" t="n">
        <v>45306</v>
      </c>
      <c r="C10217" s="1" t="n">
        <v>45715</v>
      </c>
      <c r="D10217" t="inlineStr">
        <is>
          <t>KALMAR LÄN</t>
        </is>
      </c>
      <c r="E10217" t="inlineStr">
        <is>
          <t>KALMAR</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1626-2024</t>
        </is>
      </c>
      <c r="B10218" s="1" t="n">
        <v>45306</v>
      </c>
      <c r="C10218" s="1" t="n">
        <v>45715</v>
      </c>
      <c r="D10218" t="inlineStr">
        <is>
          <t>KALMAR LÄN</t>
        </is>
      </c>
      <c r="E10218" t="inlineStr">
        <is>
          <t>VIMMERBY</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1665-2024</t>
        </is>
      </c>
      <c r="B10219" s="1" t="n">
        <v>45306</v>
      </c>
      <c r="C10219" s="1" t="n">
        <v>45715</v>
      </c>
      <c r="D10219" t="inlineStr">
        <is>
          <t>KALMAR LÄN</t>
        </is>
      </c>
      <c r="E10219" t="inlineStr">
        <is>
          <t>VÄSTERVIK</t>
        </is>
      </c>
      <c r="F10219" t="inlineStr">
        <is>
          <t>Sveaskog</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1568-2024</t>
        </is>
      </c>
      <c r="B10220" s="1" t="n">
        <v>45306</v>
      </c>
      <c r="C10220" s="1" t="n">
        <v>45715</v>
      </c>
      <c r="D10220" t="inlineStr">
        <is>
          <t>KALMAR LÄN</t>
        </is>
      </c>
      <c r="E10220" t="inlineStr">
        <is>
          <t>VÄSTERVIK</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1572-2024</t>
        </is>
      </c>
      <c r="B10221" s="1" t="n">
        <v>45306</v>
      </c>
      <c r="C10221" s="1" t="n">
        <v>45715</v>
      </c>
      <c r="D10221" t="inlineStr">
        <is>
          <t>KALMAR LÄN</t>
        </is>
      </c>
      <c r="E10221" t="inlineStr">
        <is>
          <t>VÄSTERVIK</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1584-2024</t>
        </is>
      </c>
      <c r="B10222" s="1" t="n">
        <v>45306</v>
      </c>
      <c r="C10222" s="1" t="n">
        <v>45715</v>
      </c>
      <c r="D10222" t="inlineStr">
        <is>
          <t>KALMAR LÄN</t>
        </is>
      </c>
      <c r="E10222" t="inlineStr">
        <is>
          <t>HÖGSBY</t>
        </is>
      </c>
      <c r="G10222" t="n">
        <v>14.2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1628-2024</t>
        </is>
      </c>
      <c r="B10223" s="1" t="n">
        <v>45306</v>
      </c>
      <c r="C10223" s="1" t="n">
        <v>45715</v>
      </c>
      <c r="D10223" t="inlineStr">
        <is>
          <t>KALMAR LÄN</t>
        </is>
      </c>
      <c r="E10223" t="inlineStr">
        <is>
          <t>VIMMERBY</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1664-2024</t>
        </is>
      </c>
      <c r="B10224" s="1" t="n">
        <v>45306</v>
      </c>
      <c r="C10224" s="1" t="n">
        <v>45715</v>
      </c>
      <c r="D10224" t="inlineStr">
        <is>
          <t>KALMAR LÄN</t>
        </is>
      </c>
      <c r="E10224" t="inlineStr">
        <is>
          <t>VÄSTERVIK</t>
        </is>
      </c>
      <c r="F10224" t="inlineStr">
        <is>
          <t>Sveaskog</t>
        </is>
      </c>
      <c r="G10224" t="n">
        <v>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1685-2024</t>
        </is>
      </c>
      <c r="B10225" s="1" t="n">
        <v>45306</v>
      </c>
      <c r="C10225" s="1" t="n">
        <v>45715</v>
      </c>
      <c r="D10225" t="inlineStr">
        <is>
          <t>KALMAR LÄN</t>
        </is>
      </c>
      <c r="E10225" t="inlineStr">
        <is>
          <t>KALMAR</t>
        </is>
      </c>
      <c r="F10225" t="inlineStr">
        <is>
          <t>Kyrkan</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1768-2024</t>
        </is>
      </c>
      <c r="B10226" s="1" t="n">
        <v>45307</v>
      </c>
      <c r="C10226" s="1" t="n">
        <v>45715</v>
      </c>
      <c r="D10226" t="inlineStr">
        <is>
          <t>KALMAR LÄN</t>
        </is>
      </c>
      <c r="E10226" t="inlineStr">
        <is>
          <t>HÖGSBY</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1702-2024</t>
        </is>
      </c>
      <c r="B10227" s="1" t="n">
        <v>45307</v>
      </c>
      <c r="C10227" s="1" t="n">
        <v>45715</v>
      </c>
      <c r="D10227" t="inlineStr">
        <is>
          <t>KALMAR LÄN</t>
        </is>
      </c>
      <c r="E10227" t="inlineStr">
        <is>
          <t>EMMABODA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1743-2024</t>
        </is>
      </c>
      <c r="B10228" s="1" t="n">
        <v>45307</v>
      </c>
      <c r="C10228" s="1" t="n">
        <v>45715</v>
      </c>
      <c r="D10228" t="inlineStr">
        <is>
          <t>KALMAR LÄN</t>
        </is>
      </c>
      <c r="E10228" t="inlineStr">
        <is>
          <t>KALMAR</t>
        </is>
      </c>
      <c r="G10228" t="n">
        <v>4.2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1770-2024</t>
        </is>
      </c>
      <c r="B10229" s="1" t="n">
        <v>45307</v>
      </c>
      <c r="C10229" s="1" t="n">
        <v>45715</v>
      </c>
      <c r="D10229" t="inlineStr">
        <is>
          <t>KALMAR LÄN</t>
        </is>
      </c>
      <c r="E10229" t="inlineStr">
        <is>
          <t>HULTSFRED</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1853-2024</t>
        </is>
      </c>
      <c r="B10230" s="1" t="n">
        <v>45307</v>
      </c>
      <c r="C10230" s="1" t="n">
        <v>45715</v>
      </c>
      <c r="D10230" t="inlineStr">
        <is>
          <t>KALMAR LÄN</t>
        </is>
      </c>
      <c r="E10230" t="inlineStr">
        <is>
          <t>KALMAR</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1763-2024</t>
        </is>
      </c>
      <c r="B10231" s="1" t="n">
        <v>45307</v>
      </c>
      <c r="C10231" s="1" t="n">
        <v>45715</v>
      </c>
      <c r="D10231" t="inlineStr">
        <is>
          <t>KALMAR LÄN</t>
        </is>
      </c>
      <c r="E10231" t="inlineStr">
        <is>
          <t>NYBRO</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1721-2024</t>
        </is>
      </c>
      <c r="B10232" s="1" t="n">
        <v>45307</v>
      </c>
      <c r="C10232" s="1" t="n">
        <v>45715</v>
      </c>
      <c r="D10232" t="inlineStr">
        <is>
          <t>KALMAR LÄN</t>
        </is>
      </c>
      <c r="E10232" t="inlineStr">
        <is>
          <t>OSKARSHAMN</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1741-2024</t>
        </is>
      </c>
      <c r="B10233" s="1" t="n">
        <v>45307</v>
      </c>
      <c r="C10233" s="1" t="n">
        <v>45715</v>
      </c>
      <c r="D10233" t="inlineStr">
        <is>
          <t>KALMAR LÄN</t>
        </is>
      </c>
      <c r="E10233" t="inlineStr">
        <is>
          <t>KALMAR</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1981-2024</t>
        </is>
      </c>
      <c r="B10234" s="1" t="n">
        <v>45308</v>
      </c>
      <c r="C10234" s="1" t="n">
        <v>45715</v>
      </c>
      <c r="D10234" t="inlineStr">
        <is>
          <t>KALMAR LÄN</t>
        </is>
      </c>
      <c r="E10234" t="inlineStr">
        <is>
          <t>OSKARSHAMN</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1985-2024</t>
        </is>
      </c>
      <c r="B10235" s="1" t="n">
        <v>45308</v>
      </c>
      <c r="C10235" s="1" t="n">
        <v>45715</v>
      </c>
      <c r="D10235" t="inlineStr">
        <is>
          <t>KALMAR LÄN</t>
        </is>
      </c>
      <c r="E10235" t="inlineStr">
        <is>
          <t>VIMMERBY</t>
        </is>
      </c>
      <c r="G10235" t="n">
        <v>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1928-2024</t>
        </is>
      </c>
      <c r="B10236" s="1" t="n">
        <v>45308</v>
      </c>
      <c r="C10236" s="1" t="n">
        <v>45715</v>
      </c>
      <c r="D10236" t="inlineStr">
        <is>
          <t>KALMAR LÄN</t>
        </is>
      </c>
      <c r="E10236" t="inlineStr">
        <is>
          <t>NYBRO</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1984-2024</t>
        </is>
      </c>
      <c r="B10237" s="1" t="n">
        <v>45308</v>
      </c>
      <c r="C10237" s="1" t="n">
        <v>45715</v>
      </c>
      <c r="D10237" t="inlineStr">
        <is>
          <t>KALMAR LÄN</t>
        </is>
      </c>
      <c r="E10237" t="inlineStr">
        <is>
          <t>KALMAR</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1903-2024</t>
        </is>
      </c>
      <c r="B10238" s="1" t="n">
        <v>45308</v>
      </c>
      <c r="C10238" s="1" t="n">
        <v>45715</v>
      </c>
      <c r="D10238" t="inlineStr">
        <is>
          <t>KALMAR LÄN</t>
        </is>
      </c>
      <c r="E10238" t="inlineStr">
        <is>
          <t>KALMAR</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1978-2024</t>
        </is>
      </c>
      <c r="B10239" s="1" t="n">
        <v>45308</v>
      </c>
      <c r="C10239" s="1" t="n">
        <v>45715</v>
      </c>
      <c r="D10239" t="inlineStr">
        <is>
          <t>KALMAR LÄN</t>
        </is>
      </c>
      <c r="E10239" t="inlineStr">
        <is>
          <t>VIMMERBY</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1986-2024</t>
        </is>
      </c>
      <c r="B10240" s="1" t="n">
        <v>45308</v>
      </c>
      <c r="C10240" s="1" t="n">
        <v>45715</v>
      </c>
      <c r="D10240" t="inlineStr">
        <is>
          <t>KALMAR LÄN</t>
        </is>
      </c>
      <c r="E10240" t="inlineStr">
        <is>
          <t>VIMMERBY</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1987-2024</t>
        </is>
      </c>
      <c r="B10241" s="1" t="n">
        <v>45308</v>
      </c>
      <c r="C10241" s="1" t="n">
        <v>45715</v>
      </c>
      <c r="D10241" t="inlineStr">
        <is>
          <t>KALMAR LÄN</t>
        </is>
      </c>
      <c r="E10241" t="inlineStr">
        <is>
          <t>VIMMERBY</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2038-2024</t>
        </is>
      </c>
      <c r="B10242" s="1" t="n">
        <v>45308</v>
      </c>
      <c r="C10242" s="1" t="n">
        <v>45715</v>
      </c>
      <c r="D10242" t="inlineStr">
        <is>
          <t>KALMAR LÄN</t>
        </is>
      </c>
      <c r="E10242" t="inlineStr">
        <is>
          <t>TORSÅS</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2035-2024</t>
        </is>
      </c>
      <c r="B10243" s="1" t="n">
        <v>45308</v>
      </c>
      <c r="C10243" s="1" t="n">
        <v>45715</v>
      </c>
      <c r="D10243" t="inlineStr">
        <is>
          <t>KALMAR LÄN</t>
        </is>
      </c>
      <c r="E10243" t="inlineStr">
        <is>
          <t>TORSÅS</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2036-2024</t>
        </is>
      </c>
      <c r="B10244" s="1" t="n">
        <v>45308</v>
      </c>
      <c r="C10244" s="1" t="n">
        <v>45715</v>
      </c>
      <c r="D10244" t="inlineStr">
        <is>
          <t>KALMAR LÄN</t>
        </is>
      </c>
      <c r="E10244" t="inlineStr">
        <is>
          <t>TORSÅS</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2150-2024</t>
        </is>
      </c>
      <c r="B10245" s="1" t="n">
        <v>45309</v>
      </c>
      <c r="C10245" s="1" t="n">
        <v>45715</v>
      </c>
      <c r="D10245" t="inlineStr">
        <is>
          <t>KALMAR LÄN</t>
        </is>
      </c>
      <c r="E10245" t="inlineStr">
        <is>
          <t>TORSÅS</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2166-2024</t>
        </is>
      </c>
      <c r="B10246" s="1" t="n">
        <v>45309</v>
      </c>
      <c r="C10246" s="1" t="n">
        <v>45715</v>
      </c>
      <c r="D10246" t="inlineStr">
        <is>
          <t>KALMAR LÄN</t>
        </is>
      </c>
      <c r="E10246" t="inlineStr">
        <is>
          <t>EMMABODA</t>
        </is>
      </c>
      <c r="G10246" t="n">
        <v>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2133-2024</t>
        </is>
      </c>
      <c r="B10247" s="1" t="n">
        <v>45309</v>
      </c>
      <c r="C10247" s="1" t="n">
        <v>45715</v>
      </c>
      <c r="D10247" t="inlineStr">
        <is>
          <t>KALMAR LÄN</t>
        </is>
      </c>
      <c r="E10247" t="inlineStr">
        <is>
          <t>NYBRO</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2153-2024</t>
        </is>
      </c>
      <c r="B10248" s="1" t="n">
        <v>45309</v>
      </c>
      <c r="C10248" s="1" t="n">
        <v>45715</v>
      </c>
      <c r="D10248" t="inlineStr">
        <is>
          <t>KALMAR LÄN</t>
        </is>
      </c>
      <c r="E10248" t="inlineStr">
        <is>
          <t>VÄSTERVIK</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2157-2024</t>
        </is>
      </c>
      <c r="B10249" s="1" t="n">
        <v>45309</v>
      </c>
      <c r="C10249" s="1" t="n">
        <v>45715</v>
      </c>
      <c r="D10249" t="inlineStr">
        <is>
          <t>KALMAR LÄN</t>
        </is>
      </c>
      <c r="E10249" t="inlineStr">
        <is>
          <t>VIMMERBY</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2082-2024</t>
        </is>
      </c>
      <c r="B10250" s="1" t="n">
        <v>45309</v>
      </c>
      <c r="C10250" s="1" t="n">
        <v>45715</v>
      </c>
      <c r="D10250" t="inlineStr">
        <is>
          <t>KALMAR LÄN</t>
        </is>
      </c>
      <c r="E10250" t="inlineStr">
        <is>
          <t>VÄSTERVIK</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2144-2024</t>
        </is>
      </c>
      <c r="B10251" s="1" t="n">
        <v>45309</v>
      </c>
      <c r="C10251" s="1" t="n">
        <v>45715</v>
      </c>
      <c r="D10251" t="inlineStr">
        <is>
          <t>KALMAR LÄN</t>
        </is>
      </c>
      <c r="E10251" t="inlineStr">
        <is>
          <t>VÄSTERVIK</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2168-2024</t>
        </is>
      </c>
      <c r="B10252" s="1" t="n">
        <v>45309</v>
      </c>
      <c r="C10252" s="1" t="n">
        <v>45715</v>
      </c>
      <c r="D10252" t="inlineStr">
        <is>
          <t>KALMAR LÄN</t>
        </is>
      </c>
      <c r="E10252" t="inlineStr">
        <is>
          <t>VÄSTERVIK</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2212-2024</t>
        </is>
      </c>
      <c r="B10253" s="1" t="n">
        <v>45309</v>
      </c>
      <c r="C10253" s="1" t="n">
        <v>45715</v>
      </c>
      <c r="D10253" t="inlineStr">
        <is>
          <t>KALMAR LÄN</t>
        </is>
      </c>
      <c r="E10253" t="inlineStr">
        <is>
          <t>HULTSFRED</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2213-2024</t>
        </is>
      </c>
      <c r="B10254" s="1" t="n">
        <v>45309</v>
      </c>
      <c r="C10254" s="1" t="n">
        <v>45715</v>
      </c>
      <c r="D10254" t="inlineStr">
        <is>
          <t>KALMAR LÄN</t>
        </is>
      </c>
      <c r="E10254" t="inlineStr">
        <is>
          <t>VIMMERBY</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2273-2024</t>
        </is>
      </c>
      <c r="B10255" s="1" t="n">
        <v>45309</v>
      </c>
      <c r="C10255" s="1" t="n">
        <v>45715</v>
      </c>
      <c r="D10255" t="inlineStr">
        <is>
          <t>KALMAR LÄN</t>
        </is>
      </c>
      <c r="E10255" t="inlineStr">
        <is>
          <t>EMMABODA</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2267-2024</t>
        </is>
      </c>
      <c r="B10256" s="1" t="n">
        <v>45310</v>
      </c>
      <c r="C10256" s="1" t="n">
        <v>45715</v>
      </c>
      <c r="D10256" t="inlineStr">
        <is>
          <t>KALMAR LÄN</t>
        </is>
      </c>
      <c r="E10256" t="inlineStr">
        <is>
          <t>HULTSFRED</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2331-2024</t>
        </is>
      </c>
      <c r="B10257" s="1" t="n">
        <v>45310</v>
      </c>
      <c r="C10257" s="1" t="n">
        <v>45715</v>
      </c>
      <c r="D10257" t="inlineStr">
        <is>
          <t>KALMAR LÄN</t>
        </is>
      </c>
      <c r="E10257" t="inlineStr">
        <is>
          <t>VIMMERBY</t>
        </is>
      </c>
      <c r="G10257" t="n">
        <v>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2330-2024</t>
        </is>
      </c>
      <c r="B10258" s="1" t="n">
        <v>45310</v>
      </c>
      <c r="C10258" s="1" t="n">
        <v>45715</v>
      </c>
      <c r="D10258" t="inlineStr">
        <is>
          <t>KALMAR LÄN</t>
        </is>
      </c>
      <c r="E10258" t="inlineStr">
        <is>
          <t>VIMMERBY</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2380-2024</t>
        </is>
      </c>
      <c r="B10259" s="1" t="n">
        <v>45310</v>
      </c>
      <c r="C10259" s="1" t="n">
        <v>45715</v>
      </c>
      <c r="D10259" t="inlineStr">
        <is>
          <t>KALMAR LÄN</t>
        </is>
      </c>
      <c r="E10259" t="inlineStr">
        <is>
          <t>BORGHOLM</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2350-2024</t>
        </is>
      </c>
      <c r="B10260" s="1" t="n">
        <v>45310</v>
      </c>
      <c r="C10260" s="1" t="n">
        <v>45715</v>
      </c>
      <c r="D10260" t="inlineStr">
        <is>
          <t>KALMAR LÄN</t>
        </is>
      </c>
      <c r="E10260" t="inlineStr">
        <is>
          <t>EMMABODA</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2354-2024</t>
        </is>
      </c>
      <c r="B10261" s="1" t="n">
        <v>45310</v>
      </c>
      <c r="C10261" s="1" t="n">
        <v>45715</v>
      </c>
      <c r="D10261" t="inlineStr">
        <is>
          <t>KALMAR LÄN</t>
        </is>
      </c>
      <c r="E10261" t="inlineStr">
        <is>
          <t>EMMABODA</t>
        </is>
      </c>
      <c r="G10261" t="n">
        <v>5.7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2312-2024</t>
        </is>
      </c>
      <c r="B10262" s="1" t="n">
        <v>45310</v>
      </c>
      <c r="C10262" s="1" t="n">
        <v>45715</v>
      </c>
      <c r="D10262" t="inlineStr">
        <is>
          <t>KALMAR LÄN</t>
        </is>
      </c>
      <c r="E10262" t="inlineStr">
        <is>
          <t>NYBRO</t>
        </is>
      </c>
      <c r="G10262" t="n">
        <v>7.7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2509-2024</t>
        </is>
      </c>
      <c r="B10263" s="1" t="n">
        <v>45313</v>
      </c>
      <c r="C10263" s="1" t="n">
        <v>45715</v>
      </c>
      <c r="D10263" t="inlineStr">
        <is>
          <t>KALMAR LÄN</t>
        </is>
      </c>
      <c r="E10263" t="inlineStr">
        <is>
          <t>KALMAR</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2513-2024</t>
        </is>
      </c>
      <c r="B10264" s="1" t="n">
        <v>45313</v>
      </c>
      <c r="C10264" s="1" t="n">
        <v>45715</v>
      </c>
      <c r="D10264" t="inlineStr">
        <is>
          <t>KALMAR LÄN</t>
        </is>
      </c>
      <c r="E10264" t="inlineStr">
        <is>
          <t>KALMAR</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2488-2024</t>
        </is>
      </c>
      <c r="B10265" s="1" t="n">
        <v>45313</v>
      </c>
      <c r="C10265" s="1" t="n">
        <v>45715</v>
      </c>
      <c r="D10265" t="inlineStr">
        <is>
          <t>KALMAR LÄN</t>
        </is>
      </c>
      <c r="E10265" t="inlineStr">
        <is>
          <t>HÖGSBY</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2520-2024</t>
        </is>
      </c>
      <c r="B10266" s="1" t="n">
        <v>45313</v>
      </c>
      <c r="C10266" s="1" t="n">
        <v>45715</v>
      </c>
      <c r="D10266" t="inlineStr">
        <is>
          <t>KALMAR LÄN</t>
        </is>
      </c>
      <c r="E10266" t="inlineStr">
        <is>
          <t>VÄSTERVIK</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2507-2024</t>
        </is>
      </c>
      <c r="B10267" s="1" t="n">
        <v>45313</v>
      </c>
      <c r="C10267" s="1" t="n">
        <v>45715</v>
      </c>
      <c r="D10267" t="inlineStr">
        <is>
          <t>KALMAR LÄN</t>
        </is>
      </c>
      <c r="E10267" t="inlineStr">
        <is>
          <t>VÄSTERVIK</t>
        </is>
      </c>
      <c r="G10267" t="n">
        <v>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2527-2024</t>
        </is>
      </c>
      <c r="B10268" s="1" t="n">
        <v>45313</v>
      </c>
      <c r="C10268" s="1" t="n">
        <v>45715</v>
      </c>
      <c r="D10268" t="inlineStr">
        <is>
          <t>KALMAR LÄN</t>
        </is>
      </c>
      <c r="E10268" t="inlineStr">
        <is>
          <t>HÖGSBY</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2543-2024</t>
        </is>
      </c>
      <c r="B10269" s="1" t="n">
        <v>45313</v>
      </c>
      <c r="C10269" s="1" t="n">
        <v>45715</v>
      </c>
      <c r="D10269" t="inlineStr">
        <is>
          <t>KALMAR LÄN</t>
        </is>
      </c>
      <c r="E10269" t="inlineStr">
        <is>
          <t>VÄSTERVIK</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2506-2024</t>
        </is>
      </c>
      <c r="B10270" s="1" t="n">
        <v>45313</v>
      </c>
      <c r="C10270" s="1" t="n">
        <v>45715</v>
      </c>
      <c r="D10270" t="inlineStr">
        <is>
          <t>KALMAR LÄN</t>
        </is>
      </c>
      <c r="E10270" t="inlineStr">
        <is>
          <t>OSKARSHAMN</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2510-2024</t>
        </is>
      </c>
      <c r="B10271" s="1" t="n">
        <v>45313</v>
      </c>
      <c r="C10271" s="1" t="n">
        <v>45715</v>
      </c>
      <c r="D10271" t="inlineStr">
        <is>
          <t>KALMAR LÄN</t>
        </is>
      </c>
      <c r="E10271" t="inlineStr">
        <is>
          <t>KALMAR</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2530-2024</t>
        </is>
      </c>
      <c r="B10272" s="1" t="n">
        <v>45313</v>
      </c>
      <c r="C10272" s="1" t="n">
        <v>45715</v>
      </c>
      <c r="D10272" t="inlineStr">
        <is>
          <t>KALMAR LÄN</t>
        </is>
      </c>
      <c r="E10272" t="inlineStr">
        <is>
          <t>HÖGSBY</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2529-2024</t>
        </is>
      </c>
      <c r="B10273" s="1" t="n">
        <v>45313</v>
      </c>
      <c r="C10273" s="1" t="n">
        <v>45715</v>
      </c>
      <c r="D10273" t="inlineStr">
        <is>
          <t>KALMAR LÄN</t>
        </is>
      </c>
      <c r="E10273" t="inlineStr">
        <is>
          <t>NYBRO</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2533-2024</t>
        </is>
      </c>
      <c r="B10274" s="1" t="n">
        <v>45313</v>
      </c>
      <c r="C10274" s="1" t="n">
        <v>45715</v>
      </c>
      <c r="D10274" t="inlineStr">
        <is>
          <t>KALMAR LÄN</t>
        </is>
      </c>
      <c r="E10274" t="inlineStr">
        <is>
          <t>KALMAR</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2598-2024</t>
        </is>
      </c>
      <c r="B10275" s="1" t="n">
        <v>45313</v>
      </c>
      <c r="C10275" s="1" t="n">
        <v>45715</v>
      </c>
      <c r="D10275" t="inlineStr">
        <is>
          <t>KALMAR LÄN</t>
        </is>
      </c>
      <c r="E10275" t="inlineStr">
        <is>
          <t>HULTSFRED</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2577-2024</t>
        </is>
      </c>
      <c r="B10276" s="1" t="n">
        <v>45313</v>
      </c>
      <c r="C10276" s="1" t="n">
        <v>45715</v>
      </c>
      <c r="D10276" t="inlineStr">
        <is>
          <t>KALMAR LÄN</t>
        </is>
      </c>
      <c r="E10276" t="inlineStr">
        <is>
          <t>NYBRO</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2634-2024</t>
        </is>
      </c>
      <c r="B10277" s="1" t="n">
        <v>45314</v>
      </c>
      <c r="C10277" s="1" t="n">
        <v>45715</v>
      </c>
      <c r="D10277" t="inlineStr">
        <is>
          <t>KALMAR LÄN</t>
        </is>
      </c>
      <c r="E10277" t="inlineStr">
        <is>
          <t>VÄSTERVIK</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2671-2024</t>
        </is>
      </c>
      <c r="B10278" s="1" t="n">
        <v>45314</v>
      </c>
      <c r="C10278" s="1" t="n">
        <v>45715</v>
      </c>
      <c r="D10278" t="inlineStr">
        <is>
          <t>KALMAR LÄN</t>
        </is>
      </c>
      <c r="E10278" t="inlineStr">
        <is>
          <t>MÖNSTERÅS</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2692-2024</t>
        </is>
      </c>
      <c r="B10279" s="1" t="n">
        <v>45314</v>
      </c>
      <c r="C10279" s="1" t="n">
        <v>45715</v>
      </c>
      <c r="D10279" t="inlineStr">
        <is>
          <t>KALMAR LÄN</t>
        </is>
      </c>
      <c r="E10279" t="inlineStr">
        <is>
          <t>KALMAR</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2713-2024</t>
        </is>
      </c>
      <c r="B10280" s="1" t="n">
        <v>45314</v>
      </c>
      <c r="C10280" s="1" t="n">
        <v>45715</v>
      </c>
      <c r="D10280" t="inlineStr">
        <is>
          <t>KALMAR LÄN</t>
        </is>
      </c>
      <c r="E10280" t="inlineStr">
        <is>
          <t>MÖNSTERÅS</t>
        </is>
      </c>
      <c r="G10280" t="n">
        <v>7.4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2736-2024</t>
        </is>
      </c>
      <c r="B10281" s="1" t="n">
        <v>45314</v>
      </c>
      <c r="C10281" s="1" t="n">
        <v>45715</v>
      </c>
      <c r="D10281" t="inlineStr">
        <is>
          <t>KALMAR LÄN</t>
        </is>
      </c>
      <c r="E10281" t="inlineStr">
        <is>
          <t>KALMAR</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2733-2024</t>
        </is>
      </c>
      <c r="B10282" s="1" t="n">
        <v>45314</v>
      </c>
      <c r="C10282" s="1" t="n">
        <v>45715</v>
      </c>
      <c r="D10282" t="inlineStr">
        <is>
          <t>KALMAR LÄN</t>
        </is>
      </c>
      <c r="E10282" t="inlineStr">
        <is>
          <t>KALMAR</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2778-2024</t>
        </is>
      </c>
      <c r="B10283" s="1" t="n">
        <v>45314</v>
      </c>
      <c r="C10283" s="1" t="n">
        <v>45715</v>
      </c>
      <c r="D10283" t="inlineStr">
        <is>
          <t>KALMAR LÄN</t>
        </is>
      </c>
      <c r="E10283" t="inlineStr">
        <is>
          <t>OSKARSHAMN</t>
        </is>
      </c>
      <c r="G10283" t="n">
        <v>4.3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2782-2024</t>
        </is>
      </c>
      <c r="B10284" s="1" t="n">
        <v>45314</v>
      </c>
      <c r="C10284" s="1" t="n">
        <v>45715</v>
      </c>
      <c r="D10284" t="inlineStr">
        <is>
          <t>KALMAR LÄN</t>
        </is>
      </c>
      <c r="E10284" t="inlineStr">
        <is>
          <t>OSKARSHAMN</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2655-2024</t>
        </is>
      </c>
      <c r="B10285" s="1" t="n">
        <v>45314</v>
      </c>
      <c r="C10285" s="1" t="n">
        <v>45715</v>
      </c>
      <c r="D10285" t="inlineStr">
        <is>
          <t>KALMAR LÄN</t>
        </is>
      </c>
      <c r="E10285" t="inlineStr">
        <is>
          <t>MÖNSTERÅS</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2668-2024</t>
        </is>
      </c>
      <c r="B10286" s="1" t="n">
        <v>45314</v>
      </c>
      <c r="C10286" s="1" t="n">
        <v>45715</v>
      </c>
      <c r="D10286" t="inlineStr">
        <is>
          <t>KALMAR LÄN</t>
        </is>
      </c>
      <c r="E10286" t="inlineStr">
        <is>
          <t>MÖNSTERÅS</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2726-2024</t>
        </is>
      </c>
      <c r="B10287" s="1" t="n">
        <v>45314</v>
      </c>
      <c r="C10287" s="1" t="n">
        <v>45715</v>
      </c>
      <c r="D10287" t="inlineStr">
        <is>
          <t>KALMAR LÄN</t>
        </is>
      </c>
      <c r="E10287" t="inlineStr">
        <is>
          <t>VÄSTERVIK</t>
        </is>
      </c>
      <c r="F10287" t="inlineStr">
        <is>
          <t>Sveaskog</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2780-2024</t>
        </is>
      </c>
      <c r="B10288" s="1" t="n">
        <v>45314</v>
      </c>
      <c r="C10288" s="1" t="n">
        <v>45715</v>
      </c>
      <c r="D10288" t="inlineStr">
        <is>
          <t>KALMAR LÄN</t>
        </is>
      </c>
      <c r="E10288" t="inlineStr">
        <is>
          <t>TORSÅS</t>
        </is>
      </c>
      <c r="G10288" t="n">
        <v>19.8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2739-2024</t>
        </is>
      </c>
      <c r="B10289" s="1" t="n">
        <v>45314</v>
      </c>
      <c r="C10289" s="1" t="n">
        <v>45715</v>
      </c>
      <c r="D10289" t="inlineStr">
        <is>
          <t>KALMAR LÄN</t>
        </is>
      </c>
      <c r="E10289" t="inlineStr">
        <is>
          <t>KALMAR</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2793-2024</t>
        </is>
      </c>
      <c r="B10290" s="1" t="n">
        <v>45314</v>
      </c>
      <c r="C10290" s="1" t="n">
        <v>45715</v>
      </c>
      <c r="D10290" t="inlineStr">
        <is>
          <t>KALMAR LÄN</t>
        </is>
      </c>
      <c r="E10290" t="inlineStr">
        <is>
          <t>KALMAR</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2872-2024</t>
        </is>
      </c>
      <c r="B10291" s="1" t="n">
        <v>45315</v>
      </c>
      <c r="C10291" s="1" t="n">
        <v>45715</v>
      </c>
      <c r="D10291" t="inlineStr">
        <is>
          <t>KALMAR LÄN</t>
        </is>
      </c>
      <c r="E10291" t="inlineStr">
        <is>
          <t>NYBRO</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2857-2024</t>
        </is>
      </c>
      <c r="B10292" s="1" t="n">
        <v>45315</v>
      </c>
      <c r="C10292" s="1" t="n">
        <v>45715</v>
      </c>
      <c r="D10292" t="inlineStr">
        <is>
          <t>KALMAR LÄN</t>
        </is>
      </c>
      <c r="E10292" t="inlineStr">
        <is>
          <t>HULTSFRED</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2884-2024</t>
        </is>
      </c>
      <c r="B10293" s="1" t="n">
        <v>45315</v>
      </c>
      <c r="C10293" s="1" t="n">
        <v>45715</v>
      </c>
      <c r="D10293" t="inlineStr">
        <is>
          <t>KALMAR LÄN</t>
        </is>
      </c>
      <c r="E10293" t="inlineStr">
        <is>
          <t>HULTSFRED</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3001-2024</t>
        </is>
      </c>
      <c r="B10294" s="1" t="n">
        <v>45315</v>
      </c>
      <c r="C10294" s="1" t="n">
        <v>45715</v>
      </c>
      <c r="D10294" t="inlineStr">
        <is>
          <t>KALMAR LÄN</t>
        </is>
      </c>
      <c r="E10294" t="inlineStr">
        <is>
          <t>TORSÅS</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2958-2024</t>
        </is>
      </c>
      <c r="B10295" s="1" t="n">
        <v>45315</v>
      </c>
      <c r="C10295" s="1" t="n">
        <v>45715</v>
      </c>
      <c r="D10295" t="inlineStr">
        <is>
          <t>KALMAR LÄN</t>
        </is>
      </c>
      <c r="E10295" t="inlineStr">
        <is>
          <t>NYBRO</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3014-2024</t>
        </is>
      </c>
      <c r="B10296" s="1" t="n">
        <v>45315</v>
      </c>
      <c r="C10296" s="1" t="n">
        <v>45715</v>
      </c>
      <c r="D10296" t="inlineStr">
        <is>
          <t>KALMAR LÄN</t>
        </is>
      </c>
      <c r="E10296" t="inlineStr">
        <is>
          <t>OSKARSHAMN</t>
        </is>
      </c>
      <c r="F10296" t="inlineStr">
        <is>
          <t>Kyrkan</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2931-2024</t>
        </is>
      </c>
      <c r="B10297" s="1" t="n">
        <v>45315</v>
      </c>
      <c r="C10297" s="1" t="n">
        <v>45715</v>
      </c>
      <c r="D10297" t="inlineStr">
        <is>
          <t>KALMAR LÄN</t>
        </is>
      </c>
      <c r="E10297" t="inlineStr">
        <is>
          <t>MÖNSTERÅS</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2871-2024</t>
        </is>
      </c>
      <c r="B10298" s="1" t="n">
        <v>45315</v>
      </c>
      <c r="C10298" s="1" t="n">
        <v>45715</v>
      </c>
      <c r="D10298" t="inlineStr">
        <is>
          <t>KALMAR LÄN</t>
        </is>
      </c>
      <c r="E10298" t="inlineStr">
        <is>
          <t>HÖGSBY</t>
        </is>
      </c>
      <c r="F10298" t="inlineStr">
        <is>
          <t>Sveaskog</t>
        </is>
      </c>
      <c r="G10298" t="n">
        <v>6.2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3031-2024</t>
        </is>
      </c>
      <c r="B10299" s="1" t="n">
        <v>45316</v>
      </c>
      <c r="C10299" s="1" t="n">
        <v>45715</v>
      </c>
      <c r="D10299" t="inlineStr">
        <is>
          <t>KALMAR LÄN</t>
        </is>
      </c>
      <c r="E10299" t="inlineStr">
        <is>
          <t>VIMMERBY</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3029-2024</t>
        </is>
      </c>
      <c r="B10300" s="1" t="n">
        <v>45316</v>
      </c>
      <c r="C10300" s="1" t="n">
        <v>45715</v>
      </c>
      <c r="D10300" t="inlineStr">
        <is>
          <t>KALMAR LÄN</t>
        </is>
      </c>
      <c r="E10300" t="inlineStr">
        <is>
          <t>VIMMERBY</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3066-2024</t>
        </is>
      </c>
      <c r="B10301" s="1" t="n">
        <v>45316</v>
      </c>
      <c r="C10301" s="1" t="n">
        <v>45715</v>
      </c>
      <c r="D10301" t="inlineStr">
        <is>
          <t>KALMAR LÄN</t>
        </is>
      </c>
      <c r="E10301" t="inlineStr">
        <is>
          <t>HULTSFRED</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3028-2024</t>
        </is>
      </c>
      <c r="B10302" s="1" t="n">
        <v>45316</v>
      </c>
      <c r="C10302" s="1" t="n">
        <v>45715</v>
      </c>
      <c r="D10302" t="inlineStr">
        <is>
          <t>KALMAR LÄN</t>
        </is>
      </c>
      <c r="E10302" t="inlineStr">
        <is>
          <t>VIMMERBY</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3156-2024</t>
        </is>
      </c>
      <c r="B10303" s="1" t="n">
        <v>45316</v>
      </c>
      <c r="C10303" s="1" t="n">
        <v>45715</v>
      </c>
      <c r="D10303" t="inlineStr">
        <is>
          <t>KALMAR LÄN</t>
        </is>
      </c>
      <c r="E10303" t="inlineStr">
        <is>
          <t>VIMMERBY</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3157-2024</t>
        </is>
      </c>
      <c r="B10304" s="1" t="n">
        <v>45316</v>
      </c>
      <c r="C10304" s="1" t="n">
        <v>45715</v>
      </c>
      <c r="D10304" t="inlineStr">
        <is>
          <t>KALMAR LÄN</t>
        </is>
      </c>
      <c r="E10304" t="inlineStr">
        <is>
          <t>VÄSTERVIK</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3269-2024</t>
        </is>
      </c>
      <c r="B10305" s="1" t="n">
        <v>45317</v>
      </c>
      <c r="C10305" s="1" t="n">
        <v>45715</v>
      </c>
      <c r="D10305" t="inlineStr">
        <is>
          <t>KALMAR LÄN</t>
        </is>
      </c>
      <c r="E10305" t="inlineStr">
        <is>
          <t>VIMMERBY</t>
        </is>
      </c>
      <c r="F10305" t="inlineStr">
        <is>
          <t>Övriga Aktiebolag</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3290-2024</t>
        </is>
      </c>
      <c r="B10306" s="1" t="n">
        <v>45317</v>
      </c>
      <c r="C10306" s="1" t="n">
        <v>45715</v>
      </c>
      <c r="D10306" t="inlineStr">
        <is>
          <t>KALMAR LÄN</t>
        </is>
      </c>
      <c r="E10306" t="inlineStr">
        <is>
          <t>EMMABODA</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3291-2024</t>
        </is>
      </c>
      <c r="B10307" s="1" t="n">
        <v>45317</v>
      </c>
      <c r="C10307" s="1" t="n">
        <v>45715</v>
      </c>
      <c r="D10307" t="inlineStr">
        <is>
          <t>KALMAR LÄN</t>
        </is>
      </c>
      <c r="E10307" t="inlineStr">
        <is>
          <t>EMMABODA</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3268-2024</t>
        </is>
      </c>
      <c r="B10308" s="1" t="n">
        <v>45317</v>
      </c>
      <c r="C10308" s="1" t="n">
        <v>45715</v>
      </c>
      <c r="D10308" t="inlineStr">
        <is>
          <t>KALMAR LÄN</t>
        </is>
      </c>
      <c r="E10308" t="inlineStr">
        <is>
          <t>VIMMERBY</t>
        </is>
      </c>
      <c r="F10308" t="inlineStr">
        <is>
          <t>Övriga Aktiebolag</t>
        </is>
      </c>
      <c r="G10308" t="n">
        <v>8.199999999999999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3288-2024</t>
        </is>
      </c>
      <c r="B10309" s="1" t="n">
        <v>45317</v>
      </c>
      <c r="C10309" s="1" t="n">
        <v>45715</v>
      </c>
      <c r="D10309" t="inlineStr">
        <is>
          <t>KALMAR LÄN</t>
        </is>
      </c>
      <c r="E10309" t="inlineStr">
        <is>
          <t>EMMABODA</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3482-2024</t>
        </is>
      </c>
      <c r="B10310" s="1" t="n">
        <v>45317</v>
      </c>
      <c r="C10310" s="1" t="n">
        <v>45715</v>
      </c>
      <c r="D10310" t="inlineStr">
        <is>
          <t>KALMAR LÄN</t>
        </is>
      </c>
      <c r="E10310" t="inlineStr">
        <is>
          <t>TORSÅS</t>
        </is>
      </c>
      <c r="G10310" t="n">
        <v>12.8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3356-2024</t>
        </is>
      </c>
      <c r="B10311" s="1" t="n">
        <v>45317</v>
      </c>
      <c r="C10311" s="1" t="n">
        <v>45715</v>
      </c>
      <c r="D10311" t="inlineStr">
        <is>
          <t>KALMAR LÄN</t>
        </is>
      </c>
      <c r="E10311" t="inlineStr">
        <is>
          <t>OSKARSHAMN</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3373-2024</t>
        </is>
      </c>
      <c r="B10312" s="1" t="n">
        <v>45317</v>
      </c>
      <c r="C10312" s="1" t="n">
        <v>45715</v>
      </c>
      <c r="D10312" t="inlineStr">
        <is>
          <t>KALMAR LÄN</t>
        </is>
      </c>
      <c r="E10312" t="inlineStr">
        <is>
          <t>VIMMERBY</t>
        </is>
      </c>
      <c r="G10312" t="n">
        <v>7.3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4203-2024</t>
        </is>
      </c>
      <c r="B10313" s="1" t="n">
        <v>45317</v>
      </c>
      <c r="C10313" s="1" t="n">
        <v>45715</v>
      </c>
      <c r="D10313" t="inlineStr">
        <is>
          <t>KALMAR LÄN</t>
        </is>
      </c>
      <c r="E10313" t="inlineStr">
        <is>
          <t>OSKARSHAMN</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3403-2024</t>
        </is>
      </c>
      <c r="B10314" s="1" t="n">
        <v>45318</v>
      </c>
      <c r="C10314" s="1" t="n">
        <v>45715</v>
      </c>
      <c r="D10314" t="inlineStr">
        <is>
          <t>KALMAR LÄN</t>
        </is>
      </c>
      <c r="E10314" t="inlineStr">
        <is>
          <t>HULTSFRED</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3410-2024</t>
        </is>
      </c>
      <c r="B10315" s="1" t="n">
        <v>45319</v>
      </c>
      <c r="C10315" s="1" t="n">
        <v>45715</v>
      </c>
      <c r="D10315" t="inlineStr">
        <is>
          <t>KALMAR LÄN</t>
        </is>
      </c>
      <c r="E10315" t="inlineStr">
        <is>
          <t>HULTSFRED</t>
        </is>
      </c>
      <c r="F10315" t="inlineStr">
        <is>
          <t>Sveaskog</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3411-2024</t>
        </is>
      </c>
      <c r="B10316" s="1" t="n">
        <v>45319</v>
      </c>
      <c r="C10316" s="1" t="n">
        <v>45715</v>
      </c>
      <c r="D10316" t="inlineStr">
        <is>
          <t>KALMAR LÄN</t>
        </is>
      </c>
      <c r="E10316" t="inlineStr">
        <is>
          <t>HULTSFRED</t>
        </is>
      </c>
      <c r="F10316" t="inlineStr">
        <is>
          <t>Sveaskog</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3409-2024</t>
        </is>
      </c>
      <c r="B10317" s="1" t="n">
        <v>45319</v>
      </c>
      <c r="C10317" s="1" t="n">
        <v>45715</v>
      </c>
      <c r="D10317" t="inlineStr">
        <is>
          <t>KALMAR LÄN</t>
        </is>
      </c>
      <c r="E10317" t="inlineStr">
        <is>
          <t>HULTSFRED</t>
        </is>
      </c>
      <c r="F10317" t="inlineStr">
        <is>
          <t>Sveaskog</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3419-2024</t>
        </is>
      </c>
      <c r="B10318" s="1" t="n">
        <v>45319</v>
      </c>
      <c r="C10318" s="1" t="n">
        <v>45715</v>
      </c>
      <c r="D10318" t="inlineStr">
        <is>
          <t>KALMAR LÄN</t>
        </is>
      </c>
      <c r="E10318" t="inlineStr">
        <is>
          <t>KALMAR</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3429-2024</t>
        </is>
      </c>
      <c r="B10319" s="1" t="n">
        <v>45320</v>
      </c>
      <c r="C10319" s="1" t="n">
        <v>45715</v>
      </c>
      <c r="D10319" t="inlineStr">
        <is>
          <t>KALMAR LÄN</t>
        </is>
      </c>
      <c r="E10319" t="inlineStr">
        <is>
          <t>VÄSTERVIK</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3549-2024</t>
        </is>
      </c>
      <c r="B10320" s="1" t="n">
        <v>45320</v>
      </c>
      <c r="C10320" s="1" t="n">
        <v>45715</v>
      </c>
      <c r="D10320" t="inlineStr">
        <is>
          <t>KALMAR LÄN</t>
        </is>
      </c>
      <c r="E10320" t="inlineStr">
        <is>
          <t>HÖGSBY</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3557-2024</t>
        </is>
      </c>
      <c r="B10321" s="1" t="n">
        <v>45320</v>
      </c>
      <c r="C10321" s="1" t="n">
        <v>45715</v>
      </c>
      <c r="D10321" t="inlineStr">
        <is>
          <t>KALMAR LÄN</t>
        </is>
      </c>
      <c r="E10321" t="inlineStr">
        <is>
          <t>VÄSTERVIK</t>
        </is>
      </c>
      <c r="F10321" t="inlineStr">
        <is>
          <t>Holmen skog AB</t>
        </is>
      </c>
      <c r="G10321" t="n">
        <v>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3428-2024</t>
        </is>
      </c>
      <c r="B10322" s="1" t="n">
        <v>45320</v>
      </c>
      <c r="C10322" s="1" t="n">
        <v>45715</v>
      </c>
      <c r="D10322" t="inlineStr">
        <is>
          <t>KALMAR LÄN</t>
        </is>
      </c>
      <c r="E10322" t="inlineStr">
        <is>
          <t>NYBRO</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3446-2024</t>
        </is>
      </c>
      <c r="B10323" s="1" t="n">
        <v>45320</v>
      </c>
      <c r="C10323" s="1" t="n">
        <v>45715</v>
      </c>
      <c r="D10323" t="inlineStr">
        <is>
          <t>KALMAR LÄN</t>
        </is>
      </c>
      <c r="E10323" t="inlineStr">
        <is>
          <t>NYBRO</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3484-2024</t>
        </is>
      </c>
      <c r="B10324" s="1" t="n">
        <v>45320</v>
      </c>
      <c r="C10324" s="1" t="n">
        <v>45715</v>
      </c>
      <c r="D10324" t="inlineStr">
        <is>
          <t>KALMAR LÄN</t>
        </is>
      </c>
      <c r="E10324" t="inlineStr">
        <is>
          <t>MÖNSTERÅS</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3448-2024</t>
        </is>
      </c>
      <c r="B10325" s="1" t="n">
        <v>45320</v>
      </c>
      <c r="C10325" s="1" t="n">
        <v>45715</v>
      </c>
      <c r="D10325" t="inlineStr">
        <is>
          <t>KALMAR LÄN</t>
        </is>
      </c>
      <c r="E10325" t="inlineStr">
        <is>
          <t>NYBRO</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3548-2024</t>
        </is>
      </c>
      <c r="B10326" s="1" t="n">
        <v>45320</v>
      </c>
      <c r="C10326" s="1" t="n">
        <v>45715</v>
      </c>
      <c r="D10326" t="inlineStr">
        <is>
          <t>KALMAR LÄN</t>
        </is>
      </c>
      <c r="E10326" t="inlineStr">
        <is>
          <t>HÖGSBY</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3597-2024</t>
        </is>
      </c>
      <c r="B10327" s="1" t="n">
        <v>45320</v>
      </c>
      <c r="C10327" s="1" t="n">
        <v>45715</v>
      </c>
      <c r="D10327" t="inlineStr">
        <is>
          <t>KALMAR LÄN</t>
        </is>
      </c>
      <c r="E10327" t="inlineStr">
        <is>
          <t>EMMABODA</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3601-2024</t>
        </is>
      </c>
      <c r="B10328" s="1" t="n">
        <v>45320</v>
      </c>
      <c r="C10328" s="1" t="n">
        <v>45715</v>
      </c>
      <c r="D10328" t="inlineStr">
        <is>
          <t>KALMAR LÄN</t>
        </is>
      </c>
      <c r="E10328" t="inlineStr">
        <is>
          <t>OSKARSHAMN</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3609-2024</t>
        </is>
      </c>
      <c r="B10329" s="1" t="n">
        <v>45320</v>
      </c>
      <c r="C10329" s="1" t="n">
        <v>45715</v>
      </c>
      <c r="D10329" t="inlineStr">
        <is>
          <t>KALMAR LÄN</t>
        </is>
      </c>
      <c r="E10329" t="inlineStr">
        <is>
          <t>VIMMERBY</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3652-2024</t>
        </is>
      </c>
      <c r="B10330" s="1" t="n">
        <v>45321</v>
      </c>
      <c r="C10330" s="1" t="n">
        <v>45715</v>
      </c>
      <c r="D10330" t="inlineStr">
        <is>
          <t>KALMAR LÄN</t>
        </is>
      </c>
      <c r="E10330" t="inlineStr">
        <is>
          <t>HÖGSBY</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3694-2024</t>
        </is>
      </c>
      <c r="B10331" s="1" t="n">
        <v>45321</v>
      </c>
      <c r="C10331" s="1" t="n">
        <v>45715</v>
      </c>
      <c r="D10331" t="inlineStr">
        <is>
          <t>KALMAR LÄN</t>
        </is>
      </c>
      <c r="E10331" t="inlineStr">
        <is>
          <t>NYBRO</t>
        </is>
      </c>
      <c r="G10331" t="n">
        <v>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3757-2024</t>
        </is>
      </c>
      <c r="B10332" s="1" t="n">
        <v>45321</v>
      </c>
      <c r="C10332" s="1" t="n">
        <v>45715</v>
      </c>
      <c r="D10332" t="inlineStr">
        <is>
          <t>KALMAR LÄN</t>
        </is>
      </c>
      <c r="E10332" t="inlineStr">
        <is>
          <t>MÖNSTERÅS</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3642-2024</t>
        </is>
      </c>
      <c r="B10333" s="1" t="n">
        <v>45321</v>
      </c>
      <c r="C10333" s="1" t="n">
        <v>45715</v>
      </c>
      <c r="D10333" t="inlineStr">
        <is>
          <t>KALMAR LÄN</t>
        </is>
      </c>
      <c r="E10333" t="inlineStr">
        <is>
          <t>NYBRO</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3729-2024</t>
        </is>
      </c>
      <c r="B10334" s="1" t="n">
        <v>45321</v>
      </c>
      <c r="C10334" s="1" t="n">
        <v>45715</v>
      </c>
      <c r="D10334" t="inlineStr">
        <is>
          <t>KALMAR LÄN</t>
        </is>
      </c>
      <c r="E10334" t="inlineStr">
        <is>
          <t>HULTSFRED</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3754-2024</t>
        </is>
      </c>
      <c r="B10335" s="1" t="n">
        <v>45321</v>
      </c>
      <c r="C10335" s="1" t="n">
        <v>45715</v>
      </c>
      <c r="D10335" t="inlineStr">
        <is>
          <t>KALMAR LÄN</t>
        </is>
      </c>
      <c r="E10335" t="inlineStr">
        <is>
          <t>MÖNSTERÅS</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3762-2024</t>
        </is>
      </c>
      <c r="B10336" s="1" t="n">
        <v>45321</v>
      </c>
      <c r="C10336" s="1" t="n">
        <v>45715</v>
      </c>
      <c r="D10336" t="inlineStr">
        <is>
          <t>KALMAR LÄN</t>
        </is>
      </c>
      <c r="E10336" t="inlineStr">
        <is>
          <t>MÖNSTERÅS</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3759-2024</t>
        </is>
      </c>
      <c r="B10337" s="1" t="n">
        <v>45321</v>
      </c>
      <c r="C10337" s="1" t="n">
        <v>45715</v>
      </c>
      <c r="D10337" t="inlineStr">
        <is>
          <t>KALMAR LÄN</t>
        </is>
      </c>
      <c r="E10337" t="inlineStr">
        <is>
          <t>MÖNSTERÅS</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3818-2024</t>
        </is>
      </c>
      <c r="B10338" s="1" t="n">
        <v>45321</v>
      </c>
      <c r="C10338" s="1" t="n">
        <v>45715</v>
      </c>
      <c r="D10338" t="inlineStr">
        <is>
          <t>KALMAR LÄN</t>
        </is>
      </c>
      <c r="E10338" t="inlineStr">
        <is>
          <t>VÄSTERVIK</t>
        </is>
      </c>
      <c r="F10338" t="inlineStr">
        <is>
          <t>Holmen skog AB</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3826-2024</t>
        </is>
      </c>
      <c r="B10339" s="1" t="n">
        <v>45321</v>
      </c>
      <c r="C10339" s="1" t="n">
        <v>45715</v>
      </c>
      <c r="D10339" t="inlineStr">
        <is>
          <t>KALMAR LÄN</t>
        </is>
      </c>
      <c r="E10339" t="inlineStr">
        <is>
          <t>VÄSTERVIK</t>
        </is>
      </c>
      <c r="F10339" t="inlineStr">
        <is>
          <t>Holmen skog AB</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3830-2024</t>
        </is>
      </c>
      <c r="B10340" s="1" t="n">
        <v>45321</v>
      </c>
      <c r="C10340" s="1" t="n">
        <v>45715</v>
      </c>
      <c r="D10340" t="inlineStr">
        <is>
          <t>KALMAR LÄN</t>
        </is>
      </c>
      <c r="E10340" t="inlineStr">
        <is>
          <t>VÄSTERVIK</t>
        </is>
      </c>
      <c r="F10340" t="inlineStr">
        <is>
          <t>Holmen skog AB</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3776-2024</t>
        </is>
      </c>
      <c r="B10341" s="1" t="n">
        <v>45321</v>
      </c>
      <c r="C10341" s="1" t="n">
        <v>45715</v>
      </c>
      <c r="D10341" t="inlineStr">
        <is>
          <t>KALMAR LÄN</t>
        </is>
      </c>
      <c r="E10341" t="inlineStr">
        <is>
          <t>VÄSTERVIK</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3817-2024</t>
        </is>
      </c>
      <c r="B10342" s="1" t="n">
        <v>45321</v>
      </c>
      <c r="C10342" s="1" t="n">
        <v>45715</v>
      </c>
      <c r="D10342" t="inlineStr">
        <is>
          <t>KALMAR LÄN</t>
        </is>
      </c>
      <c r="E10342" t="inlineStr">
        <is>
          <t>VÄSTERVIK</t>
        </is>
      </c>
      <c r="F10342" t="inlineStr">
        <is>
          <t>Holmen skog AB</t>
        </is>
      </c>
      <c r="G10342" t="n">
        <v>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3829-2024</t>
        </is>
      </c>
      <c r="B10343" s="1" t="n">
        <v>45321</v>
      </c>
      <c r="C10343" s="1" t="n">
        <v>45715</v>
      </c>
      <c r="D10343" t="inlineStr">
        <is>
          <t>KALMAR LÄN</t>
        </is>
      </c>
      <c r="E10343" t="inlineStr">
        <is>
          <t>VÄSTERVIK</t>
        </is>
      </c>
      <c r="F10343" t="inlineStr">
        <is>
          <t>Holmen skog AB</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3828-2024</t>
        </is>
      </c>
      <c r="B10344" s="1" t="n">
        <v>45321</v>
      </c>
      <c r="C10344" s="1" t="n">
        <v>45715</v>
      </c>
      <c r="D10344" t="inlineStr">
        <is>
          <t>KALMAR LÄN</t>
        </is>
      </c>
      <c r="E10344" t="inlineStr">
        <is>
          <t>VÄSTERVIK</t>
        </is>
      </c>
      <c r="F10344" t="inlineStr">
        <is>
          <t>Holmen skog AB</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3978-2024</t>
        </is>
      </c>
      <c r="B10345" s="1" t="n">
        <v>45322</v>
      </c>
      <c r="C10345" s="1" t="n">
        <v>45715</v>
      </c>
      <c r="D10345" t="inlineStr">
        <is>
          <t>KALMAR LÄN</t>
        </is>
      </c>
      <c r="E10345" t="inlineStr">
        <is>
          <t>TORSÅS</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4026-2024</t>
        </is>
      </c>
      <c r="B10346" s="1" t="n">
        <v>45323</v>
      </c>
      <c r="C10346" s="1" t="n">
        <v>45715</v>
      </c>
      <c r="D10346" t="inlineStr">
        <is>
          <t>KALMAR LÄN</t>
        </is>
      </c>
      <c r="E10346" t="inlineStr">
        <is>
          <t>KALMAR</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4058-2024</t>
        </is>
      </c>
      <c r="B10347" s="1" t="n">
        <v>45323</v>
      </c>
      <c r="C10347" s="1" t="n">
        <v>45715</v>
      </c>
      <c r="D10347" t="inlineStr">
        <is>
          <t>KALMAR LÄN</t>
        </is>
      </c>
      <c r="E10347" t="inlineStr">
        <is>
          <t>VIMMERBY</t>
        </is>
      </c>
      <c r="G10347" t="n">
        <v>6.5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4074-2024</t>
        </is>
      </c>
      <c r="B10348" s="1" t="n">
        <v>45323</v>
      </c>
      <c r="C10348" s="1" t="n">
        <v>45715</v>
      </c>
      <c r="D10348" t="inlineStr">
        <is>
          <t>KALMAR LÄN</t>
        </is>
      </c>
      <c r="E10348" t="inlineStr">
        <is>
          <t>OSKARSHAMN</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4139-2024</t>
        </is>
      </c>
      <c r="B10349" s="1" t="n">
        <v>45323</v>
      </c>
      <c r="C10349" s="1" t="n">
        <v>45715</v>
      </c>
      <c r="D10349" t="inlineStr">
        <is>
          <t>KALMAR LÄN</t>
        </is>
      </c>
      <c r="E10349" t="inlineStr">
        <is>
          <t>EMMABODA</t>
        </is>
      </c>
      <c r="F10349" t="inlineStr">
        <is>
          <t>Sveaskog</t>
        </is>
      </c>
      <c r="G10349" t="n">
        <v>5.4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4025-2024</t>
        </is>
      </c>
      <c r="B10350" s="1" t="n">
        <v>45323</v>
      </c>
      <c r="C10350" s="1" t="n">
        <v>45715</v>
      </c>
      <c r="D10350" t="inlineStr">
        <is>
          <t>KALMAR LÄN</t>
        </is>
      </c>
      <c r="E10350" t="inlineStr">
        <is>
          <t>KALMAR</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4029-2024</t>
        </is>
      </c>
      <c r="B10351" s="1" t="n">
        <v>45323</v>
      </c>
      <c r="C10351" s="1" t="n">
        <v>45715</v>
      </c>
      <c r="D10351" t="inlineStr">
        <is>
          <t>KALMAR LÄN</t>
        </is>
      </c>
      <c r="E10351" t="inlineStr">
        <is>
          <t>NYBRO</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4130-2024</t>
        </is>
      </c>
      <c r="B10352" s="1" t="n">
        <v>45323</v>
      </c>
      <c r="C10352" s="1" t="n">
        <v>45715</v>
      </c>
      <c r="D10352" t="inlineStr">
        <is>
          <t>KALMAR LÄN</t>
        </is>
      </c>
      <c r="E10352" t="inlineStr">
        <is>
          <t>NYBRO</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4016-2024</t>
        </is>
      </c>
      <c r="B10353" s="1" t="n">
        <v>45323</v>
      </c>
      <c r="C10353" s="1" t="n">
        <v>45715</v>
      </c>
      <c r="D10353" t="inlineStr">
        <is>
          <t>KALMAR LÄN</t>
        </is>
      </c>
      <c r="E10353" t="inlineStr">
        <is>
          <t>TORSÅS</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4020-2024</t>
        </is>
      </c>
      <c r="B10354" s="1" t="n">
        <v>45323</v>
      </c>
      <c r="C10354" s="1" t="n">
        <v>45715</v>
      </c>
      <c r="D10354" t="inlineStr">
        <is>
          <t>KALMAR LÄN</t>
        </is>
      </c>
      <c r="E10354" t="inlineStr">
        <is>
          <t>KALMAR</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4024-2024</t>
        </is>
      </c>
      <c r="B10355" s="1" t="n">
        <v>45323</v>
      </c>
      <c r="C10355" s="1" t="n">
        <v>45715</v>
      </c>
      <c r="D10355" t="inlineStr">
        <is>
          <t>KALMAR LÄN</t>
        </is>
      </c>
      <c r="E10355" t="inlineStr">
        <is>
          <t>EMMABODA</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4031-2024</t>
        </is>
      </c>
      <c r="B10356" s="1" t="n">
        <v>45323</v>
      </c>
      <c r="C10356" s="1" t="n">
        <v>45715</v>
      </c>
      <c r="D10356" t="inlineStr">
        <is>
          <t>KALMAR LÄN</t>
        </is>
      </c>
      <c r="E10356" t="inlineStr">
        <is>
          <t>EMMABODA</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4035-2024</t>
        </is>
      </c>
      <c r="B10357" s="1" t="n">
        <v>45323</v>
      </c>
      <c r="C10357" s="1" t="n">
        <v>45715</v>
      </c>
      <c r="D10357" t="inlineStr">
        <is>
          <t>KALMAR LÄN</t>
        </is>
      </c>
      <c r="E10357" t="inlineStr">
        <is>
          <t>EMMABODA</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4104-2024</t>
        </is>
      </c>
      <c r="B10358" s="1" t="n">
        <v>45323</v>
      </c>
      <c r="C10358" s="1" t="n">
        <v>45715</v>
      </c>
      <c r="D10358" t="inlineStr">
        <is>
          <t>KALMAR LÄN</t>
        </is>
      </c>
      <c r="E10358" t="inlineStr">
        <is>
          <t>MÖNSTERÅS</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4152-2024</t>
        </is>
      </c>
      <c r="B10359" s="1" t="n">
        <v>45323</v>
      </c>
      <c r="C10359" s="1" t="n">
        <v>45715</v>
      </c>
      <c r="D10359" t="inlineStr">
        <is>
          <t>KALMAR LÄN</t>
        </is>
      </c>
      <c r="E10359" t="inlineStr">
        <is>
          <t>MÖRBYLÅNGA</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4097-2024</t>
        </is>
      </c>
      <c r="B10360" s="1" t="n">
        <v>45323</v>
      </c>
      <c r="C10360" s="1" t="n">
        <v>45715</v>
      </c>
      <c r="D10360" t="inlineStr">
        <is>
          <t>KALMAR LÄN</t>
        </is>
      </c>
      <c r="E10360" t="inlineStr">
        <is>
          <t>OSKARSHAMN</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4101-2024</t>
        </is>
      </c>
      <c r="B10361" s="1" t="n">
        <v>45323</v>
      </c>
      <c r="C10361" s="1" t="n">
        <v>45715</v>
      </c>
      <c r="D10361" t="inlineStr">
        <is>
          <t>KALMAR LÄN</t>
        </is>
      </c>
      <c r="E10361" t="inlineStr">
        <is>
          <t>MÖNSTERÅS</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4159-2024</t>
        </is>
      </c>
      <c r="B10362" s="1" t="n">
        <v>45323</v>
      </c>
      <c r="C10362" s="1" t="n">
        <v>45715</v>
      </c>
      <c r="D10362" t="inlineStr">
        <is>
          <t>KALMAR LÄN</t>
        </is>
      </c>
      <c r="E10362" t="inlineStr">
        <is>
          <t>BORGHOLM</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4160-2024</t>
        </is>
      </c>
      <c r="B10363" s="1" t="n">
        <v>45323</v>
      </c>
      <c r="C10363" s="1" t="n">
        <v>45715</v>
      </c>
      <c r="D10363" t="inlineStr">
        <is>
          <t>KALMAR LÄN</t>
        </is>
      </c>
      <c r="E10363" t="inlineStr">
        <is>
          <t>BORGHOLM</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4235-2024</t>
        </is>
      </c>
      <c r="B10364" s="1" t="n">
        <v>45324</v>
      </c>
      <c r="C10364" s="1" t="n">
        <v>45715</v>
      </c>
      <c r="D10364" t="inlineStr">
        <is>
          <t>KALMAR LÄN</t>
        </is>
      </c>
      <c r="E10364" t="inlineStr">
        <is>
          <t>NYBRO</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4182-2024</t>
        </is>
      </c>
      <c r="B10365" s="1" t="n">
        <v>45324</v>
      </c>
      <c r="C10365" s="1" t="n">
        <v>45715</v>
      </c>
      <c r="D10365" t="inlineStr">
        <is>
          <t>KALMAR LÄN</t>
        </is>
      </c>
      <c r="E10365" t="inlineStr">
        <is>
          <t>KALMAR</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4211-2024</t>
        </is>
      </c>
      <c r="B10366" s="1" t="n">
        <v>45324</v>
      </c>
      <c r="C10366" s="1" t="n">
        <v>45715</v>
      </c>
      <c r="D10366" t="inlineStr">
        <is>
          <t>KALMAR LÄN</t>
        </is>
      </c>
      <c r="E10366" t="inlineStr">
        <is>
          <t>KALMAR</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4270-2024</t>
        </is>
      </c>
      <c r="B10367" s="1" t="n">
        <v>45324</v>
      </c>
      <c r="C10367" s="1" t="n">
        <v>45715</v>
      </c>
      <c r="D10367" t="inlineStr">
        <is>
          <t>KALMAR LÄN</t>
        </is>
      </c>
      <c r="E10367" t="inlineStr">
        <is>
          <t>TORSÅS</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4267-2024</t>
        </is>
      </c>
      <c r="B10368" s="1" t="n">
        <v>45324</v>
      </c>
      <c r="C10368" s="1" t="n">
        <v>45715</v>
      </c>
      <c r="D10368" t="inlineStr">
        <is>
          <t>KALMAR LÄN</t>
        </is>
      </c>
      <c r="E10368" t="inlineStr">
        <is>
          <t>TORSÅS</t>
        </is>
      </c>
      <c r="F10368" t="inlineStr">
        <is>
          <t>Övriga Aktiebolag</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4268-2024</t>
        </is>
      </c>
      <c r="B10369" s="1" t="n">
        <v>45324</v>
      </c>
      <c r="C10369" s="1" t="n">
        <v>45715</v>
      </c>
      <c r="D10369" t="inlineStr">
        <is>
          <t>KALMAR LÄN</t>
        </is>
      </c>
      <c r="E10369" t="inlineStr">
        <is>
          <t>TORSÅS</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4333-2024</t>
        </is>
      </c>
      <c r="B10370" s="1" t="n">
        <v>45324</v>
      </c>
      <c r="C10370" s="1" t="n">
        <v>45715</v>
      </c>
      <c r="D10370" t="inlineStr">
        <is>
          <t>KALMAR LÄN</t>
        </is>
      </c>
      <c r="E10370" t="inlineStr">
        <is>
          <t>HÖGSBY</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4394-2024</t>
        </is>
      </c>
      <c r="B10371" s="1" t="n">
        <v>45327</v>
      </c>
      <c r="C10371" s="1" t="n">
        <v>45715</v>
      </c>
      <c r="D10371" t="inlineStr">
        <is>
          <t>KALMAR LÄN</t>
        </is>
      </c>
      <c r="E10371" t="inlineStr">
        <is>
          <t>EMMABODA</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4402-2024</t>
        </is>
      </c>
      <c r="B10372" s="1" t="n">
        <v>45327</v>
      </c>
      <c r="C10372" s="1" t="n">
        <v>45715</v>
      </c>
      <c r="D10372" t="inlineStr">
        <is>
          <t>KALMAR LÄN</t>
        </is>
      </c>
      <c r="E10372" t="inlineStr">
        <is>
          <t>NYBRO</t>
        </is>
      </c>
      <c r="G10372" t="n">
        <v>6.5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4395-2024</t>
        </is>
      </c>
      <c r="B10373" s="1" t="n">
        <v>45327</v>
      </c>
      <c r="C10373" s="1" t="n">
        <v>45715</v>
      </c>
      <c r="D10373" t="inlineStr">
        <is>
          <t>KALMAR LÄN</t>
        </is>
      </c>
      <c r="E10373" t="inlineStr">
        <is>
          <t>EMMABODA</t>
        </is>
      </c>
      <c r="G10373" t="n">
        <v>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4399-2024</t>
        </is>
      </c>
      <c r="B10374" s="1" t="n">
        <v>45327</v>
      </c>
      <c r="C10374" s="1" t="n">
        <v>45715</v>
      </c>
      <c r="D10374" t="inlineStr">
        <is>
          <t>KALMAR LÄN</t>
        </is>
      </c>
      <c r="E10374" t="inlineStr">
        <is>
          <t>EMMABODA</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4403-2024</t>
        </is>
      </c>
      <c r="B10375" s="1" t="n">
        <v>45327</v>
      </c>
      <c r="C10375" s="1" t="n">
        <v>45715</v>
      </c>
      <c r="D10375" t="inlineStr">
        <is>
          <t>KALMAR LÄN</t>
        </is>
      </c>
      <c r="E10375" t="inlineStr">
        <is>
          <t>NYBRO</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4447-2024</t>
        </is>
      </c>
      <c r="B10376" s="1" t="n">
        <v>45327</v>
      </c>
      <c r="C10376" s="1" t="n">
        <v>45715</v>
      </c>
      <c r="D10376" t="inlineStr">
        <is>
          <t>KALMAR LÄN</t>
        </is>
      </c>
      <c r="E10376" t="inlineStr">
        <is>
          <t>TORSÅS</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4400-2024</t>
        </is>
      </c>
      <c r="B10377" s="1" t="n">
        <v>45327</v>
      </c>
      <c r="C10377" s="1" t="n">
        <v>45715</v>
      </c>
      <c r="D10377" t="inlineStr">
        <is>
          <t>KALMAR LÄN</t>
        </is>
      </c>
      <c r="E10377" t="inlineStr">
        <is>
          <t>EMMABODA</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4405-2024</t>
        </is>
      </c>
      <c r="B10378" s="1" t="n">
        <v>45327</v>
      </c>
      <c r="C10378" s="1" t="n">
        <v>45715</v>
      </c>
      <c r="D10378" t="inlineStr">
        <is>
          <t>KALMAR LÄN</t>
        </is>
      </c>
      <c r="E10378" t="inlineStr">
        <is>
          <t>NYBRO</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4446-2024</t>
        </is>
      </c>
      <c r="B10379" s="1" t="n">
        <v>45327</v>
      </c>
      <c r="C10379" s="1" t="n">
        <v>45715</v>
      </c>
      <c r="D10379" t="inlineStr">
        <is>
          <t>KALMAR LÄN</t>
        </is>
      </c>
      <c r="E10379" t="inlineStr">
        <is>
          <t>TORSÅS</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4448-2024</t>
        </is>
      </c>
      <c r="B10380" s="1" t="n">
        <v>45327</v>
      </c>
      <c r="C10380" s="1" t="n">
        <v>45715</v>
      </c>
      <c r="D10380" t="inlineStr">
        <is>
          <t>KALMAR LÄN</t>
        </is>
      </c>
      <c r="E10380" t="inlineStr">
        <is>
          <t>KALMAR</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4393-2024</t>
        </is>
      </c>
      <c r="B10381" s="1" t="n">
        <v>45327</v>
      </c>
      <c r="C10381" s="1" t="n">
        <v>45715</v>
      </c>
      <c r="D10381" t="inlineStr">
        <is>
          <t>KALMAR LÄN</t>
        </is>
      </c>
      <c r="E10381" t="inlineStr">
        <is>
          <t>EMMABODA</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4397-2024</t>
        </is>
      </c>
      <c r="B10382" s="1" t="n">
        <v>45327</v>
      </c>
      <c r="C10382" s="1" t="n">
        <v>45715</v>
      </c>
      <c r="D10382" t="inlineStr">
        <is>
          <t>KALMAR LÄN</t>
        </is>
      </c>
      <c r="E10382" t="inlineStr">
        <is>
          <t>EMMABODA</t>
        </is>
      </c>
      <c r="G10382" t="n">
        <v>6.7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4401-2024</t>
        </is>
      </c>
      <c r="B10383" s="1" t="n">
        <v>45327</v>
      </c>
      <c r="C10383" s="1" t="n">
        <v>45715</v>
      </c>
      <c r="D10383" t="inlineStr">
        <is>
          <t>KALMAR LÄN</t>
        </is>
      </c>
      <c r="E10383" t="inlineStr">
        <is>
          <t>EMMABODA</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4492-2024</t>
        </is>
      </c>
      <c r="B10384" s="1" t="n">
        <v>45327</v>
      </c>
      <c r="C10384" s="1" t="n">
        <v>45715</v>
      </c>
      <c r="D10384" t="inlineStr">
        <is>
          <t>KALMAR LÄN</t>
        </is>
      </c>
      <c r="E10384" t="inlineStr">
        <is>
          <t>NYBRO</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4520-2024</t>
        </is>
      </c>
      <c r="B10385" s="1" t="n">
        <v>45327</v>
      </c>
      <c r="C10385" s="1" t="n">
        <v>45715</v>
      </c>
      <c r="D10385" t="inlineStr">
        <is>
          <t>KALMAR LÄN</t>
        </is>
      </c>
      <c r="E10385" t="inlineStr">
        <is>
          <t>VÄSTERVIK</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4450-2024</t>
        </is>
      </c>
      <c r="B10386" s="1" t="n">
        <v>45327</v>
      </c>
      <c r="C10386" s="1" t="n">
        <v>45715</v>
      </c>
      <c r="D10386" t="inlineStr">
        <is>
          <t>KALMAR LÄN</t>
        </is>
      </c>
      <c r="E10386" t="inlineStr">
        <is>
          <t>KALMAR</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4540-2024</t>
        </is>
      </c>
      <c r="B10387" s="1" t="n">
        <v>45327</v>
      </c>
      <c r="C10387" s="1" t="n">
        <v>45715</v>
      </c>
      <c r="D10387" t="inlineStr">
        <is>
          <t>KALMAR LÄN</t>
        </is>
      </c>
      <c r="E10387" t="inlineStr">
        <is>
          <t>VÄSTERVIK</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4569-2024</t>
        </is>
      </c>
      <c r="B10388" s="1" t="n">
        <v>45327</v>
      </c>
      <c r="C10388" s="1" t="n">
        <v>45715</v>
      </c>
      <c r="D10388" t="inlineStr">
        <is>
          <t>KALMAR LÄN</t>
        </is>
      </c>
      <c r="E10388" t="inlineStr">
        <is>
          <t>OSKARSHAMN</t>
        </is>
      </c>
      <c r="G10388" t="n">
        <v>4.2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4624-2024</t>
        </is>
      </c>
      <c r="B10389" s="1" t="n">
        <v>45328</v>
      </c>
      <c r="C10389" s="1" t="n">
        <v>45715</v>
      </c>
      <c r="D10389" t="inlineStr">
        <is>
          <t>KALMAR LÄN</t>
        </is>
      </c>
      <c r="E10389" t="inlineStr">
        <is>
          <t>VIMMERBY</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4691-2024</t>
        </is>
      </c>
      <c r="B10390" s="1" t="n">
        <v>45328</v>
      </c>
      <c r="C10390" s="1" t="n">
        <v>45715</v>
      </c>
      <c r="D10390" t="inlineStr">
        <is>
          <t>KALMAR LÄN</t>
        </is>
      </c>
      <c r="E10390" t="inlineStr">
        <is>
          <t>OSKARSHAMN</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4618-2024</t>
        </is>
      </c>
      <c r="B10391" s="1" t="n">
        <v>45328</v>
      </c>
      <c r="C10391" s="1" t="n">
        <v>45715</v>
      </c>
      <c r="D10391" t="inlineStr">
        <is>
          <t>KALMAR LÄN</t>
        </is>
      </c>
      <c r="E10391" t="inlineStr">
        <is>
          <t>HULTSFRED</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4622-2024</t>
        </is>
      </c>
      <c r="B10392" s="1" t="n">
        <v>45328</v>
      </c>
      <c r="C10392" s="1" t="n">
        <v>45715</v>
      </c>
      <c r="D10392" t="inlineStr">
        <is>
          <t>KALMAR LÄN</t>
        </is>
      </c>
      <c r="E10392" t="inlineStr">
        <is>
          <t>VIMMERBY</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4672-2024</t>
        </is>
      </c>
      <c r="B10393" s="1" t="n">
        <v>45328</v>
      </c>
      <c r="C10393" s="1" t="n">
        <v>45715</v>
      </c>
      <c r="D10393" t="inlineStr">
        <is>
          <t>KALMAR LÄN</t>
        </is>
      </c>
      <c r="E10393" t="inlineStr">
        <is>
          <t>HULTSFRED</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4729-2024</t>
        </is>
      </c>
      <c r="B10394" s="1" t="n">
        <v>45328</v>
      </c>
      <c r="C10394" s="1" t="n">
        <v>45715</v>
      </c>
      <c r="D10394" t="inlineStr">
        <is>
          <t>KALMAR LÄN</t>
        </is>
      </c>
      <c r="E10394" t="inlineStr">
        <is>
          <t>TORSÅS</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4659-2024</t>
        </is>
      </c>
      <c r="B10395" s="1" t="n">
        <v>45328</v>
      </c>
      <c r="C10395" s="1" t="n">
        <v>45715</v>
      </c>
      <c r="D10395" t="inlineStr">
        <is>
          <t>KALMAR LÄN</t>
        </is>
      </c>
      <c r="E10395" t="inlineStr">
        <is>
          <t>HULTSFRED</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4694-2024</t>
        </is>
      </c>
      <c r="B10396" s="1" t="n">
        <v>45328</v>
      </c>
      <c r="C10396" s="1" t="n">
        <v>45715</v>
      </c>
      <c r="D10396" t="inlineStr">
        <is>
          <t>KALMAR LÄN</t>
        </is>
      </c>
      <c r="E10396" t="inlineStr">
        <is>
          <t>NYBRO</t>
        </is>
      </c>
      <c r="F10396" t="inlineStr">
        <is>
          <t>Sveaskog</t>
        </is>
      </c>
      <c r="G10396" t="n">
        <v>7.4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4688-2024</t>
        </is>
      </c>
      <c r="B10397" s="1" t="n">
        <v>45328</v>
      </c>
      <c r="C10397" s="1" t="n">
        <v>45715</v>
      </c>
      <c r="D10397" t="inlineStr">
        <is>
          <t>KALMAR LÄN</t>
        </is>
      </c>
      <c r="E10397" t="inlineStr">
        <is>
          <t>EMMABODA</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4781-2024</t>
        </is>
      </c>
      <c r="B10398" s="1" t="n">
        <v>45328</v>
      </c>
      <c r="C10398" s="1" t="n">
        <v>45715</v>
      </c>
      <c r="D10398" t="inlineStr">
        <is>
          <t>KALMAR LÄN</t>
        </is>
      </c>
      <c r="E10398" t="inlineStr">
        <is>
          <t>MÖNSTERÅS</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4780-2024</t>
        </is>
      </c>
      <c r="B10399" s="1" t="n">
        <v>45328</v>
      </c>
      <c r="C10399" s="1" t="n">
        <v>45715</v>
      </c>
      <c r="D10399" t="inlineStr">
        <is>
          <t>KALMAR LÄN</t>
        </is>
      </c>
      <c r="E10399" t="inlineStr">
        <is>
          <t>MÖNSTERÅS</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4858-2024</t>
        </is>
      </c>
      <c r="B10400" s="1" t="n">
        <v>45329</v>
      </c>
      <c r="C10400" s="1" t="n">
        <v>45715</v>
      </c>
      <c r="D10400" t="inlineStr">
        <is>
          <t>KALMAR LÄN</t>
        </is>
      </c>
      <c r="E10400" t="inlineStr">
        <is>
          <t>VÄSTERVIK</t>
        </is>
      </c>
      <c r="F10400" t="inlineStr">
        <is>
          <t>Holmen skog AB</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4880-2024</t>
        </is>
      </c>
      <c r="B10401" s="1" t="n">
        <v>45329</v>
      </c>
      <c r="C10401" s="1" t="n">
        <v>45715</v>
      </c>
      <c r="D10401" t="inlineStr">
        <is>
          <t>KALMAR LÄN</t>
        </is>
      </c>
      <c r="E10401" t="inlineStr">
        <is>
          <t>OSKARSHAMN</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4861-2024</t>
        </is>
      </c>
      <c r="B10402" s="1" t="n">
        <v>45329</v>
      </c>
      <c r="C10402" s="1" t="n">
        <v>45715</v>
      </c>
      <c r="D10402" t="inlineStr">
        <is>
          <t>KALMAR LÄN</t>
        </is>
      </c>
      <c r="E10402" t="inlineStr">
        <is>
          <t>VIMMERBY</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4914-2024</t>
        </is>
      </c>
      <c r="B10403" s="1" t="n">
        <v>45329</v>
      </c>
      <c r="C10403" s="1" t="n">
        <v>45715</v>
      </c>
      <c r="D10403" t="inlineStr">
        <is>
          <t>KALMAR LÄN</t>
        </is>
      </c>
      <c r="E10403" t="inlineStr">
        <is>
          <t>HÖGSBY</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4946-2024</t>
        </is>
      </c>
      <c r="B10404" s="1" t="n">
        <v>45329</v>
      </c>
      <c r="C10404" s="1" t="n">
        <v>45715</v>
      </c>
      <c r="D10404" t="inlineStr">
        <is>
          <t>KALMAR LÄN</t>
        </is>
      </c>
      <c r="E10404" t="inlineStr">
        <is>
          <t>MÖNSTERÅS</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4950-2024</t>
        </is>
      </c>
      <c r="B10405" s="1" t="n">
        <v>45329</v>
      </c>
      <c r="C10405" s="1" t="n">
        <v>45715</v>
      </c>
      <c r="D10405" t="inlineStr">
        <is>
          <t>KALMAR LÄN</t>
        </is>
      </c>
      <c r="E10405" t="inlineStr">
        <is>
          <t>VÄSTERVIK</t>
        </is>
      </c>
      <c r="F10405" t="inlineStr">
        <is>
          <t>Holmen skog AB</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4962-2024</t>
        </is>
      </c>
      <c r="B10406" s="1" t="n">
        <v>45329</v>
      </c>
      <c r="C10406" s="1" t="n">
        <v>45715</v>
      </c>
      <c r="D10406" t="inlineStr">
        <is>
          <t>KALMAR LÄN</t>
        </is>
      </c>
      <c r="E10406" t="inlineStr">
        <is>
          <t>OSKARSHAMN</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5004-2024</t>
        </is>
      </c>
      <c r="B10407" s="1" t="n">
        <v>45329</v>
      </c>
      <c r="C10407" s="1" t="n">
        <v>45715</v>
      </c>
      <c r="D10407" t="inlineStr">
        <is>
          <t>KALMAR LÄN</t>
        </is>
      </c>
      <c r="E10407" t="inlineStr">
        <is>
          <t>VÄSTERVIK</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4827-2024</t>
        </is>
      </c>
      <c r="B10408" s="1" t="n">
        <v>45329</v>
      </c>
      <c r="C10408" s="1" t="n">
        <v>45715</v>
      </c>
      <c r="D10408" t="inlineStr">
        <is>
          <t>KALMAR LÄN</t>
        </is>
      </c>
      <c r="E10408" t="inlineStr">
        <is>
          <t>KALMAR</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4831-2024</t>
        </is>
      </c>
      <c r="B10409" s="1" t="n">
        <v>45329</v>
      </c>
      <c r="C10409" s="1" t="n">
        <v>45715</v>
      </c>
      <c r="D10409" t="inlineStr">
        <is>
          <t>KALMAR LÄN</t>
        </is>
      </c>
      <c r="E10409" t="inlineStr">
        <is>
          <t>KALMAR</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4863-2024</t>
        </is>
      </c>
      <c r="B10410" s="1" t="n">
        <v>45329</v>
      </c>
      <c r="C10410" s="1" t="n">
        <v>45715</v>
      </c>
      <c r="D10410" t="inlineStr">
        <is>
          <t>KALMAR LÄN</t>
        </is>
      </c>
      <c r="E10410" t="inlineStr">
        <is>
          <t>TORSÅS</t>
        </is>
      </c>
      <c r="G10410" t="n">
        <v>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4867-2024</t>
        </is>
      </c>
      <c r="B10411" s="1" t="n">
        <v>45329</v>
      </c>
      <c r="C10411" s="1" t="n">
        <v>45715</v>
      </c>
      <c r="D10411" t="inlineStr">
        <is>
          <t>KALMAR LÄN</t>
        </is>
      </c>
      <c r="E10411" t="inlineStr">
        <is>
          <t>VIMMERBY</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4945-2024</t>
        </is>
      </c>
      <c r="B10412" s="1" t="n">
        <v>45329</v>
      </c>
      <c r="C10412" s="1" t="n">
        <v>45715</v>
      </c>
      <c r="D10412" t="inlineStr">
        <is>
          <t>KALMAR LÄN</t>
        </is>
      </c>
      <c r="E10412" t="inlineStr">
        <is>
          <t>VÄSTERVIK</t>
        </is>
      </c>
      <c r="F10412" t="inlineStr">
        <is>
          <t>Holmen skog AB</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4965-2024</t>
        </is>
      </c>
      <c r="B10413" s="1" t="n">
        <v>45329</v>
      </c>
      <c r="C10413" s="1" t="n">
        <v>45715</v>
      </c>
      <c r="D10413" t="inlineStr">
        <is>
          <t>KALMAR LÄN</t>
        </is>
      </c>
      <c r="E10413" t="inlineStr">
        <is>
          <t>VÄSTERVIK</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4899-2024</t>
        </is>
      </c>
      <c r="B10414" s="1" t="n">
        <v>45329</v>
      </c>
      <c r="C10414" s="1" t="n">
        <v>45715</v>
      </c>
      <c r="D10414" t="inlineStr">
        <is>
          <t>KALMAR LÄN</t>
        </is>
      </c>
      <c r="E10414" t="inlineStr">
        <is>
          <t>VIMMERBY</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4931-2024</t>
        </is>
      </c>
      <c r="B10415" s="1" t="n">
        <v>45329</v>
      </c>
      <c r="C10415" s="1" t="n">
        <v>45715</v>
      </c>
      <c r="D10415" t="inlineStr">
        <is>
          <t>KALMAR LÄN</t>
        </is>
      </c>
      <c r="E10415" t="inlineStr">
        <is>
          <t>HÖGSBY</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5056-2024</t>
        </is>
      </c>
      <c r="B10416" s="1" t="n">
        <v>45329</v>
      </c>
      <c r="C10416" s="1" t="n">
        <v>45715</v>
      </c>
      <c r="D10416" t="inlineStr">
        <is>
          <t>KALMAR LÄN</t>
        </is>
      </c>
      <c r="E10416" t="inlineStr">
        <is>
          <t>OSKARSHAMN</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5046-2024</t>
        </is>
      </c>
      <c r="B10417" s="1" t="n">
        <v>45329</v>
      </c>
      <c r="C10417" s="1" t="n">
        <v>45715</v>
      </c>
      <c r="D10417" t="inlineStr">
        <is>
          <t>KALMAR LÄN</t>
        </is>
      </c>
      <c r="E10417" t="inlineStr">
        <is>
          <t>OSKARSHAMN</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5054-2024</t>
        </is>
      </c>
      <c r="B10418" s="1" t="n">
        <v>45329</v>
      </c>
      <c r="C10418" s="1" t="n">
        <v>45715</v>
      </c>
      <c r="D10418" t="inlineStr">
        <is>
          <t>KALMAR LÄN</t>
        </is>
      </c>
      <c r="E10418" t="inlineStr">
        <is>
          <t>OSKARSHAMN</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5055-2024</t>
        </is>
      </c>
      <c r="B10419" s="1" t="n">
        <v>45329</v>
      </c>
      <c r="C10419" s="1" t="n">
        <v>45715</v>
      </c>
      <c r="D10419" t="inlineStr">
        <is>
          <t>KALMAR LÄN</t>
        </is>
      </c>
      <c r="E10419" t="inlineStr">
        <is>
          <t>OSKARSHAMN</t>
        </is>
      </c>
      <c r="G10419" t="n">
        <v>7.1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5107-2024</t>
        </is>
      </c>
      <c r="B10420" s="1" t="n">
        <v>45330</v>
      </c>
      <c r="C10420" s="1" t="n">
        <v>45715</v>
      </c>
      <c r="D10420" t="inlineStr">
        <is>
          <t>KALMAR LÄN</t>
        </is>
      </c>
      <c r="E10420" t="inlineStr">
        <is>
          <t>TORSÅS</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5111-2024</t>
        </is>
      </c>
      <c r="B10421" s="1" t="n">
        <v>45330</v>
      </c>
      <c r="C10421" s="1" t="n">
        <v>45715</v>
      </c>
      <c r="D10421" t="inlineStr">
        <is>
          <t>KALMAR LÄN</t>
        </is>
      </c>
      <c r="E10421" t="inlineStr">
        <is>
          <t>OSKARSHAMN</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5176-2024</t>
        </is>
      </c>
      <c r="B10422" s="1" t="n">
        <v>45330</v>
      </c>
      <c r="C10422" s="1" t="n">
        <v>45715</v>
      </c>
      <c r="D10422" t="inlineStr">
        <is>
          <t>KALMAR LÄN</t>
        </is>
      </c>
      <c r="E10422" t="inlineStr">
        <is>
          <t>NYBRO</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5188-2024</t>
        </is>
      </c>
      <c r="B10423" s="1" t="n">
        <v>45330</v>
      </c>
      <c r="C10423" s="1" t="n">
        <v>45715</v>
      </c>
      <c r="D10423" t="inlineStr">
        <is>
          <t>KALMAR LÄN</t>
        </is>
      </c>
      <c r="E10423" t="inlineStr">
        <is>
          <t>TORSÅS</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5104-2024</t>
        </is>
      </c>
      <c r="B10424" s="1" t="n">
        <v>45330</v>
      </c>
      <c r="C10424" s="1" t="n">
        <v>45715</v>
      </c>
      <c r="D10424" t="inlineStr">
        <is>
          <t>KALMAR LÄN</t>
        </is>
      </c>
      <c r="E10424" t="inlineStr">
        <is>
          <t>TORSÅS</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5101-2024</t>
        </is>
      </c>
      <c r="B10425" s="1" t="n">
        <v>45330</v>
      </c>
      <c r="C10425" s="1" t="n">
        <v>45715</v>
      </c>
      <c r="D10425" t="inlineStr">
        <is>
          <t>KALMAR LÄN</t>
        </is>
      </c>
      <c r="E10425" t="inlineStr">
        <is>
          <t>TORSÅS</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5145-2024</t>
        </is>
      </c>
      <c r="B10426" s="1" t="n">
        <v>45330</v>
      </c>
      <c r="C10426" s="1" t="n">
        <v>45715</v>
      </c>
      <c r="D10426" t="inlineStr">
        <is>
          <t>KALMAR LÄN</t>
        </is>
      </c>
      <c r="E10426" t="inlineStr">
        <is>
          <t>OSKARSHAMN</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5178-2024</t>
        </is>
      </c>
      <c r="B10427" s="1" t="n">
        <v>45330</v>
      </c>
      <c r="C10427" s="1" t="n">
        <v>45715</v>
      </c>
      <c r="D10427" t="inlineStr">
        <is>
          <t>KALMAR LÄN</t>
        </is>
      </c>
      <c r="E10427" t="inlineStr">
        <is>
          <t>BORGHOLM</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5182-2024</t>
        </is>
      </c>
      <c r="B10428" s="1" t="n">
        <v>45330</v>
      </c>
      <c r="C10428" s="1" t="n">
        <v>45715</v>
      </c>
      <c r="D10428" t="inlineStr">
        <is>
          <t>KALMAR LÄN</t>
        </is>
      </c>
      <c r="E10428" t="inlineStr">
        <is>
          <t>TORSÅS</t>
        </is>
      </c>
      <c r="G10428" t="n">
        <v>8.800000000000001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5206-2024</t>
        </is>
      </c>
      <c r="B10429" s="1" t="n">
        <v>45330</v>
      </c>
      <c r="C10429" s="1" t="n">
        <v>45715</v>
      </c>
      <c r="D10429" t="inlineStr">
        <is>
          <t>KALMAR LÄN</t>
        </is>
      </c>
      <c r="E10429" t="inlineStr">
        <is>
          <t>VIMMERBY</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5102-2024</t>
        </is>
      </c>
      <c r="B10430" s="1" t="n">
        <v>45330</v>
      </c>
      <c r="C10430" s="1" t="n">
        <v>45715</v>
      </c>
      <c r="D10430" t="inlineStr">
        <is>
          <t>KALMAR LÄN</t>
        </is>
      </c>
      <c r="E10430" t="inlineStr">
        <is>
          <t>TORSÅS</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5106-2024</t>
        </is>
      </c>
      <c r="B10431" s="1" t="n">
        <v>45330</v>
      </c>
      <c r="C10431" s="1" t="n">
        <v>45715</v>
      </c>
      <c r="D10431" t="inlineStr">
        <is>
          <t>KALMAR LÄN</t>
        </is>
      </c>
      <c r="E10431" t="inlineStr">
        <is>
          <t>TORSÅS</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5146-2024</t>
        </is>
      </c>
      <c r="B10432" s="1" t="n">
        <v>45330</v>
      </c>
      <c r="C10432" s="1" t="n">
        <v>45715</v>
      </c>
      <c r="D10432" t="inlineStr">
        <is>
          <t>KALMAR LÄN</t>
        </is>
      </c>
      <c r="E10432" t="inlineStr">
        <is>
          <t>VIMMERBY</t>
        </is>
      </c>
      <c r="G10432" t="n">
        <v>5.3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5200-2024</t>
        </is>
      </c>
      <c r="B10433" s="1" t="n">
        <v>45330</v>
      </c>
      <c r="C10433" s="1" t="n">
        <v>45715</v>
      </c>
      <c r="D10433" t="inlineStr">
        <is>
          <t>KALMAR LÄN</t>
        </is>
      </c>
      <c r="E10433" t="inlineStr">
        <is>
          <t>VIMMERBY</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5148-2024</t>
        </is>
      </c>
      <c r="B10434" s="1" t="n">
        <v>45330</v>
      </c>
      <c r="C10434" s="1" t="n">
        <v>45715</v>
      </c>
      <c r="D10434" t="inlineStr">
        <is>
          <t>KALMAR LÄN</t>
        </is>
      </c>
      <c r="E10434" t="inlineStr">
        <is>
          <t>VIMMERBY</t>
        </is>
      </c>
      <c r="G10434" t="n">
        <v>5.6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5175-2024</t>
        </is>
      </c>
      <c r="B10435" s="1" t="n">
        <v>45330</v>
      </c>
      <c r="C10435" s="1" t="n">
        <v>45715</v>
      </c>
      <c r="D10435" t="inlineStr">
        <is>
          <t>KALMAR LÄN</t>
        </is>
      </c>
      <c r="E10435" t="inlineStr">
        <is>
          <t>BORGHOLM</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5234-2024</t>
        </is>
      </c>
      <c r="B10436" s="1" t="n">
        <v>45330</v>
      </c>
      <c r="C10436" s="1" t="n">
        <v>45715</v>
      </c>
      <c r="D10436" t="inlineStr">
        <is>
          <t>KALMAR LÄN</t>
        </is>
      </c>
      <c r="E10436" t="inlineStr">
        <is>
          <t>VÄSTERVIK</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5242-2024</t>
        </is>
      </c>
      <c r="B10437" s="1" t="n">
        <v>45330</v>
      </c>
      <c r="C10437" s="1" t="n">
        <v>45715</v>
      </c>
      <c r="D10437" t="inlineStr">
        <is>
          <t>KALMAR LÄN</t>
        </is>
      </c>
      <c r="E10437" t="inlineStr">
        <is>
          <t>NYBRO</t>
        </is>
      </c>
      <c r="G10437" t="n">
        <v>5.3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5235-2024</t>
        </is>
      </c>
      <c r="B10438" s="1" t="n">
        <v>45330</v>
      </c>
      <c r="C10438" s="1" t="n">
        <v>45715</v>
      </c>
      <c r="D10438" t="inlineStr">
        <is>
          <t>KALMAR LÄN</t>
        </is>
      </c>
      <c r="E10438" t="inlineStr">
        <is>
          <t>MÖNSTERÅS</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5300-2024</t>
        </is>
      </c>
      <c r="B10439" s="1" t="n">
        <v>45331</v>
      </c>
      <c r="C10439" s="1" t="n">
        <v>45715</v>
      </c>
      <c r="D10439" t="inlineStr">
        <is>
          <t>KALMAR LÄN</t>
        </is>
      </c>
      <c r="E10439" t="inlineStr">
        <is>
          <t>VÄSTERVIK</t>
        </is>
      </c>
      <c r="F10439" t="inlineStr">
        <is>
          <t>Övriga Aktiebolag</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5346-2024</t>
        </is>
      </c>
      <c r="B10440" s="1" t="n">
        <v>45331</v>
      </c>
      <c r="C10440" s="1" t="n">
        <v>45715</v>
      </c>
      <c r="D10440" t="inlineStr">
        <is>
          <t>KALMAR LÄN</t>
        </is>
      </c>
      <c r="E10440" t="inlineStr">
        <is>
          <t>EMMABODA</t>
        </is>
      </c>
      <c r="F10440" t="inlineStr">
        <is>
          <t>Sveaskog</t>
        </is>
      </c>
      <c r="G10440" t="n">
        <v>4.7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5348-2024</t>
        </is>
      </c>
      <c r="B10441" s="1" t="n">
        <v>45331</v>
      </c>
      <c r="C10441" s="1" t="n">
        <v>45715</v>
      </c>
      <c r="D10441" t="inlineStr">
        <is>
          <t>KALMAR LÄN</t>
        </is>
      </c>
      <c r="E10441" t="inlineStr">
        <is>
          <t>VÄSTERVIK</t>
        </is>
      </c>
      <c r="F10441" t="inlineStr">
        <is>
          <t>Övriga Aktiebolag</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5314-2024</t>
        </is>
      </c>
      <c r="B10442" s="1" t="n">
        <v>45331</v>
      </c>
      <c r="C10442" s="1" t="n">
        <v>45715</v>
      </c>
      <c r="D10442" t="inlineStr">
        <is>
          <t>KALMAR LÄN</t>
        </is>
      </c>
      <c r="E10442" t="inlineStr">
        <is>
          <t>EMMABODA</t>
        </is>
      </c>
      <c r="F10442" t="inlineStr">
        <is>
          <t>Sveaskog</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5325-2024</t>
        </is>
      </c>
      <c r="B10443" s="1" t="n">
        <v>45331</v>
      </c>
      <c r="C10443" s="1" t="n">
        <v>45715</v>
      </c>
      <c r="D10443" t="inlineStr">
        <is>
          <t>KALMAR LÄN</t>
        </is>
      </c>
      <c r="E10443" t="inlineStr">
        <is>
          <t>KALMAR</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5372-2024</t>
        </is>
      </c>
      <c r="B10444" s="1" t="n">
        <v>45331</v>
      </c>
      <c r="C10444" s="1" t="n">
        <v>45715</v>
      </c>
      <c r="D10444" t="inlineStr">
        <is>
          <t>KALMAR LÄN</t>
        </is>
      </c>
      <c r="E10444" t="inlineStr">
        <is>
          <t>KALMAR</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5376-2024</t>
        </is>
      </c>
      <c r="B10445" s="1" t="n">
        <v>45331</v>
      </c>
      <c r="C10445" s="1" t="n">
        <v>45715</v>
      </c>
      <c r="D10445" t="inlineStr">
        <is>
          <t>KALMAR LÄN</t>
        </is>
      </c>
      <c r="E10445" t="inlineStr">
        <is>
          <t>HÖGSBY</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5370-2024</t>
        </is>
      </c>
      <c r="B10446" s="1" t="n">
        <v>45331</v>
      </c>
      <c r="C10446" s="1" t="n">
        <v>45715</v>
      </c>
      <c r="D10446" t="inlineStr">
        <is>
          <t>KALMAR LÄN</t>
        </is>
      </c>
      <c r="E10446" t="inlineStr">
        <is>
          <t>KALMAR</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5392-2024</t>
        </is>
      </c>
      <c r="B10447" s="1" t="n">
        <v>45331</v>
      </c>
      <c r="C10447" s="1" t="n">
        <v>45715</v>
      </c>
      <c r="D10447" t="inlineStr">
        <is>
          <t>KALMAR LÄN</t>
        </is>
      </c>
      <c r="E10447" t="inlineStr">
        <is>
          <t>TORSÅS</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5405-2024</t>
        </is>
      </c>
      <c r="B10448" s="1" t="n">
        <v>45331</v>
      </c>
      <c r="C10448" s="1" t="n">
        <v>45715</v>
      </c>
      <c r="D10448" t="inlineStr">
        <is>
          <t>KALMAR LÄN</t>
        </is>
      </c>
      <c r="E10448" t="inlineStr">
        <is>
          <t>NYBRO</t>
        </is>
      </c>
      <c r="G10448" t="n">
        <v>5.9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5355-2024</t>
        </is>
      </c>
      <c r="B10449" s="1" t="n">
        <v>45331</v>
      </c>
      <c r="C10449" s="1" t="n">
        <v>45715</v>
      </c>
      <c r="D10449" t="inlineStr">
        <is>
          <t>KALMAR LÄN</t>
        </is>
      </c>
      <c r="E10449" t="inlineStr">
        <is>
          <t>VÄSTERVIK</t>
        </is>
      </c>
      <c r="F10449" t="inlineStr">
        <is>
          <t>Övriga Aktiebolag</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5379-2024</t>
        </is>
      </c>
      <c r="B10450" s="1" t="n">
        <v>45331</v>
      </c>
      <c r="C10450" s="1" t="n">
        <v>45715</v>
      </c>
      <c r="D10450" t="inlineStr">
        <is>
          <t>KALMAR LÄN</t>
        </is>
      </c>
      <c r="E10450" t="inlineStr">
        <is>
          <t>EMMABODA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5398-2024</t>
        </is>
      </c>
      <c r="B10451" s="1" t="n">
        <v>45331</v>
      </c>
      <c r="C10451" s="1" t="n">
        <v>45715</v>
      </c>
      <c r="D10451" t="inlineStr">
        <is>
          <t>KALMAR LÄN</t>
        </is>
      </c>
      <c r="E10451" t="inlineStr">
        <is>
          <t>EMMABODA</t>
        </is>
      </c>
      <c r="G10451" t="n">
        <v>5.1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5408-2024</t>
        </is>
      </c>
      <c r="B10452" s="1" t="n">
        <v>45331</v>
      </c>
      <c r="C10452" s="1" t="n">
        <v>45715</v>
      </c>
      <c r="D10452" t="inlineStr">
        <is>
          <t>KALMAR LÄN</t>
        </is>
      </c>
      <c r="E10452" t="inlineStr">
        <is>
          <t>NYBRO</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5427-2024</t>
        </is>
      </c>
      <c r="B10453" s="1" t="n">
        <v>45331</v>
      </c>
      <c r="C10453" s="1" t="n">
        <v>45715</v>
      </c>
      <c r="D10453" t="inlineStr">
        <is>
          <t>KALMAR LÄN</t>
        </is>
      </c>
      <c r="E10453" t="inlineStr">
        <is>
          <t>HÖGSBY</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5425-2024</t>
        </is>
      </c>
      <c r="B10454" s="1" t="n">
        <v>45331</v>
      </c>
      <c r="C10454" s="1" t="n">
        <v>45715</v>
      </c>
      <c r="D10454" t="inlineStr">
        <is>
          <t>KALMAR LÄN</t>
        </is>
      </c>
      <c r="E10454" t="inlineStr">
        <is>
          <t>HÖGSBY</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5473-2024</t>
        </is>
      </c>
      <c r="B10455" s="1" t="n">
        <v>45333</v>
      </c>
      <c r="C10455" s="1" t="n">
        <v>45715</v>
      </c>
      <c r="D10455" t="inlineStr">
        <is>
          <t>KALMAR LÄN</t>
        </is>
      </c>
      <c r="E10455" t="inlineStr">
        <is>
          <t>HÖGSBY</t>
        </is>
      </c>
      <c r="F10455" t="inlineStr">
        <is>
          <t>Sveaskog</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5472-2024</t>
        </is>
      </c>
      <c r="B10456" s="1" t="n">
        <v>45333</v>
      </c>
      <c r="C10456" s="1" t="n">
        <v>45715</v>
      </c>
      <c r="D10456" t="inlineStr">
        <is>
          <t>KALMAR LÄN</t>
        </is>
      </c>
      <c r="E10456" t="inlineStr">
        <is>
          <t>HÖGSBY</t>
        </is>
      </c>
      <c r="F10456" t="inlineStr">
        <is>
          <t>Sveaskog</t>
        </is>
      </c>
      <c r="G10456" t="n">
        <v>10.8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5513-2024</t>
        </is>
      </c>
      <c r="B10457" s="1" t="n">
        <v>45334</v>
      </c>
      <c r="C10457" s="1" t="n">
        <v>45715</v>
      </c>
      <c r="D10457" t="inlineStr">
        <is>
          <t>KALMAR LÄN</t>
        </is>
      </c>
      <c r="E10457" t="inlineStr">
        <is>
          <t>TORSÅS</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5553-2024</t>
        </is>
      </c>
      <c r="B10458" s="1" t="n">
        <v>45334</v>
      </c>
      <c r="C10458" s="1" t="n">
        <v>45715</v>
      </c>
      <c r="D10458" t="inlineStr">
        <is>
          <t>KALMAR LÄN</t>
        </is>
      </c>
      <c r="E10458" t="inlineStr">
        <is>
          <t>OSKARSHAMN</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5510-2024</t>
        </is>
      </c>
      <c r="B10459" s="1" t="n">
        <v>45334</v>
      </c>
      <c r="C10459" s="1" t="n">
        <v>45715</v>
      </c>
      <c r="D10459" t="inlineStr">
        <is>
          <t>KALMAR LÄN</t>
        </is>
      </c>
      <c r="E10459" t="inlineStr">
        <is>
          <t>NYBRO</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5508-2024</t>
        </is>
      </c>
      <c r="B10460" s="1" t="n">
        <v>45334</v>
      </c>
      <c r="C10460" s="1" t="n">
        <v>45715</v>
      </c>
      <c r="D10460" t="inlineStr">
        <is>
          <t>KALMAR LÄN</t>
        </is>
      </c>
      <c r="E10460" t="inlineStr">
        <is>
          <t>NYBRO</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5516-2024</t>
        </is>
      </c>
      <c r="B10461" s="1" t="n">
        <v>45334</v>
      </c>
      <c r="C10461" s="1" t="n">
        <v>45715</v>
      </c>
      <c r="D10461" t="inlineStr">
        <is>
          <t>KALMAR LÄN</t>
        </is>
      </c>
      <c r="E10461" t="inlineStr">
        <is>
          <t>TORSÅS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5703-2024</t>
        </is>
      </c>
      <c r="B10462" s="1" t="n">
        <v>45334</v>
      </c>
      <c r="C10462" s="1" t="n">
        <v>45715</v>
      </c>
      <c r="D10462" t="inlineStr">
        <is>
          <t>KALMAR LÄN</t>
        </is>
      </c>
      <c r="E10462" t="inlineStr">
        <is>
          <t>VIMMERBY</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5607-2024</t>
        </is>
      </c>
      <c r="B10463" s="1" t="n">
        <v>45334</v>
      </c>
      <c r="C10463" s="1" t="n">
        <v>45715</v>
      </c>
      <c r="D10463" t="inlineStr">
        <is>
          <t>KALMAR LÄN</t>
        </is>
      </c>
      <c r="E10463" t="inlineStr">
        <is>
          <t>EMMABODA</t>
        </is>
      </c>
      <c r="F10463" t="inlineStr">
        <is>
          <t>Sveaskog</t>
        </is>
      </c>
      <c r="G10463" t="n">
        <v>6.6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5563-2024</t>
        </is>
      </c>
      <c r="B10464" s="1" t="n">
        <v>45334</v>
      </c>
      <c r="C10464" s="1" t="n">
        <v>45715</v>
      </c>
      <c r="D10464" t="inlineStr">
        <is>
          <t>KALMAR LÄN</t>
        </is>
      </c>
      <c r="E10464" t="inlineStr">
        <is>
          <t>OSKARSHAMN</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5575-2024</t>
        </is>
      </c>
      <c r="B10465" s="1" t="n">
        <v>45334</v>
      </c>
      <c r="C10465" s="1" t="n">
        <v>45715</v>
      </c>
      <c r="D10465" t="inlineStr">
        <is>
          <t>KALMAR LÄN</t>
        </is>
      </c>
      <c r="E10465" t="inlineStr">
        <is>
          <t>KALMAR</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5701-2024</t>
        </is>
      </c>
      <c r="B10466" s="1" t="n">
        <v>45334</v>
      </c>
      <c r="C10466" s="1" t="n">
        <v>45715</v>
      </c>
      <c r="D10466" t="inlineStr">
        <is>
          <t>KALMAR LÄN</t>
        </is>
      </c>
      <c r="E10466" t="inlineStr">
        <is>
          <t>VIMMERBY</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5602-2024</t>
        </is>
      </c>
      <c r="B10467" s="1" t="n">
        <v>45334</v>
      </c>
      <c r="C10467" s="1" t="n">
        <v>45715</v>
      </c>
      <c r="D10467" t="inlineStr">
        <is>
          <t>KALMAR LÄN</t>
        </is>
      </c>
      <c r="E10467" t="inlineStr">
        <is>
          <t>EMMABODA</t>
        </is>
      </c>
      <c r="F10467" t="inlineStr">
        <is>
          <t>Sveaskog</t>
        </is>
      </c>
      <c r="G10467" t="n">
        <v>5.5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5704-2024</t>
        </is>
      </c>
      <c r="B10468" s="1" t="n">
        <v>45334</v>
      </c>
      <c r="C10468" s="1" t="n">
        <v>45715</v>
      </c>
      <c r="D10468" t="inlineStr">
        <is>
          <t>KALMAR LÄN</t>
        </is>
      </c>
      <c r="E10468" t="inlineStr">
        <is>
          <t>VIMMERBY</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5708-2024</t>
        </is>
      </c>
      <c r="B10469" s="1" t="n">
        <v>45334</v>
      </c>
      <c r="C10469" s="1" t="n">
        <v>45715</v>
      </c>
      <c r="D10469" t="inlineStr">
        <is>
          <t>KALMAR LÄN</t>
        </is>
      </c>
      <c r="E10469" t="inlineStr">
        <is>
          <t>VIMMERBY</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5616-2024</t>
        </is>
      </c>
      <c r="B10470" s="1" t="n">
        <v>45334</v>
      </c>
      <c r="C10470" s="1" t="n">
        <v>45715</v>
      </c>
      <c r="D10470" t="inlineStr">
        <is>
          <t>KALMAR LÄN</t>
        </is>
      </c>
      <c r="E10470" t="inlineStr">
        <is>
          <t>OSKARSHAMN</t>
        </is>
      </c>
      <c r="G10470" t="n">
        <v>5.6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5748-2024</t>
        </is>
      </c>
      <c r="B10471" s="1" t="n">
        <v>45335</v>
      </c>
      <c r="C10471" s="1" t="n">
        <v>45715</v>
      </c>
      <c r="D10471" t="inlineStr">
        <is>
          <t>KALMAR LÄN</t>
        </is>
      </c>
      <c r="E10471" t="inlineStr">
        <is>
          <t>HULTSFRED</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5752-2024</t>
        </is>
      </c>
      <c r="B10472" s="1" t="n">
        <v>45335</v>
      </c>
      <c r="C10472" s="1" t="n">
        <v>45715</v>
      </c>
      <c r="D10472" t="inlineStr">
        <is>
          <t>KALMAR LÄN</t>
        </is>
      </c>
      <c r="E10472" t="inlineStr">
        <is>
          <t>NYBRO</t>
        </is>
      </c>
      <c r="G10472" t="n">
        <v>3.9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5789-2024</t>
        </is>
      </c>
      <c r="B10473" s="1" t="n">
        <v>45335</v>
      </c>
      <c r="C10473" s="1" t="n">
        <v>45715</v>
      </c>
      <c r="D10473" t="inlineStr">
        <is>
          <t>KALMAR LÄN</t>
        </is>
      </c>
      <c r="E10473" t="inlineStr">
        <is>
          <t>HULTSFRED</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5793-2024</t>
        </is>
      </c>
      <c r="B10474" s="1" t="n">
        <v>45335</v>
      </c>
      <c r="C10474" s="1" t="n">
        <v>45715</v>
      </c>
      <c r="D10474" t="inlineStr">
        <is>
          <t>KALMAR LÄN</t>
        </is>
      </c>
      <c r="E10474" t="inlineStr">
        <is>
          <t>HULTSFRED</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5788-2024</t>
        </is>
      </c>
      <c r="B10475" s="1" t="n">
        <v>45335</v>
      </c>
      <c r="C10475" s="1" t="n">
        <v>45715</v>
      </c>
      <c r="D10475" t="inlineStr">
        <is>
          <t>KALMAR LÄN</t>
        </is>
      </c>
      <c r="E10475" t="inlineStr">
        <is>
          <t>HULTSFRED</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5801-2024</t>
        </is>
      </c>
      <c r="B10476" s="1" t="n">
        <v>45335</v>
      </c>
      <c r="C10476" s="1" t="n">
        <v>45715</v>
      </c>
      <c r="D10476" t="inlineStr">
        <is>
          <t>KALMAR LÄN</t>
        </is>
      </c>
      <c r="E10476" t="inlineStr">
        <is>
          <t>HULTSFRED</t>
        </is>
      </c>
      <c r="G10476" t="n">
        <v>0</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5766-2024</t>
        </is>
      </c>
      <c r="B10477" s="1" t="n">
        <v>45335</v>
      </c>
      <c r="C10477" s="1" t="n">
        <v>45715</v>
      </c>
      <c r="D10477" t="inlineStr">
        <is>
          <t>KALMAR LÄN</t>
        </is>
      </c>
      <c r="E10477" t="inlineStr">
        <is>
          <t>NYBRO</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5830-2024</t>
        </is>
      </c>
      <c r="B10478" s="1" t="n">
        <v>45335</v>
      </c>
      <c r="C10478" s="1" t="n">
        <v>45715</v>
      </c>
      <c r="D10478" t="inlineStr">
        <is>
          <t>KALMAR LÄN</t>
        </is>
      </c>
      <c r="E10478" t="inlineStr">
        <is>
          <t>KALMAR</t>
        </is>
      </c>
      <c r="F10478" t="inlineStr">
        <is>
          <t>Sveaskog</t>
        </is>
      </c>
      <c r="G10478" t="n">
        <v>7.4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5817-2024</t>
        </is>
      </c>
      <c r="B10479" s="1" t="n">
        <v>45335</v>
      </c>
      <c r="C10479" s="1" t="n">
        <v>45715</v>
      </c>
      <c r="D10479" t="inlineStr">
        <is>
          <t>KALMAR LÄN</t>
        </is>
      </c>
      <c r="E10479" t="inlineStr">
        <is>
          <t>KALMAR</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5833-2024</t>
        </is>
      </c>
      <c r="B10480" s="1" t="n">
        <v>45335</v>
      </c>
      <c r="C10480" s="1" t="n">
        <v>45715</v>
      </c>
      <c r="D10480" t="inlineStr">
        <is>
          <t>KALMAR LÄN</t>
        </is>
      </c>
      <c r="E10480" t="inlineStr">
        <is>
          <t>KALMAR</t>
        </is>
      </c>
      <c r="F10480" t="inlineStr">
        <is>
          <t>Sveaskog</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5834-2024</t>
        </is>
      </c>
      <c r="B10481" s="1" t="n">
        <v>45335</v>
      </c>
      <c r="C10481" s="1" t="n">
        <v>45715</v>
      </c>
      <c r="D10481" t="inlineStr">
        <is>
          <t>KALMAR LÄN</t>
        </is>
      </c>
      <c r="E10481" t="inlineStr">
        <is>
          <t>KALMAR</t>
        </is>
      </c>
      <c r="F10481" t="inlineStr">
        <is>
          <t>Sveaskog</t>
        </is>
      </c>
      <c r="G10481" t="n">
        <v>8.4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5842-2024</t>
        </is>
      </c>
      <c r="B10482" s="1" t="n">
        <v>45335</v>
      </c>
      <c r="C10482" s="1" t="n">
        <v>45715</v>
      </c>
      <c r="D10482" t="inlineStr">
        <is>
          <t>KALMAR LÄN</t>
        </is>
      </c>
      <c r="E10482" t="inlineStr">
        <is>
          <t>TORSÅS</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5846-2024</t>
        </is>
      </c>
      <c r="B10483" s="1" t="n">
        <v>45335</v>
      </c>
      <c r="C10483" s="1" t="n">
        <v>45715</v>
      </c>
      <c r="D10483" t="inlineStr">
        <is>
          <t>KALMAR LÄN</t>
        </is>
      </c>
      <c r="E10483" t="inlineStr">
        <is>
          <t>EMMABODA</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5845-2024</t>
        </is>
      </c>
      <c r="B10484" s="1" t="n">
        <v>45335</v>
      </c>
      <c r="C10484" s="1" t="n">
        <v>45715</v>
      </c>
      <c r="D10484" t="inlineStr">
        <is>
          <t>KALMAR LÄN</t>
        </is>
      </c>
      <c r="E10484" t="inlineStr">
        <is>
          <t>TORSÅS</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5794-2024</t>
        </is>
      </c>
      <c r="B10485" s="1" t="n">
        <v>45335</v>
      </c>
      <c r="C10485" s="1" t="n">
        <v>45715</v>
      </c>
      <c r="D10485" t="inlineStr">
        <is>
          <t>KALMAR LÄN</t>
        </is>
      </c>
      <c r="E10485" t="inlineStr">
        <is>
          <t>HULTSFRED</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5803-2024</t>
        </is>
      </c>
      <c r="B10486" s="1" t="n">
        <v>45335</v>
      </c>
      <c r="C10486" s="1" t="n">
        <v>45715</v>
      </c>
      <c r="D10486" t="inlineStr">
        <is>
          <t>KALMAR LÄN</t>
        </is>
      </c>
      <c r="E10486" t="inlineStr">
        <is>
          <t>NYBRO</t>
        </is>
      </c>
      <c r="F10486" t="inlineStr">
        <is>
          <t>Sveaskog</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5787-2024</t>
        </is>
      </c>
      <c r="B10487" s="1" t="n">
        <v>45335</v>
      </c>
      <c r="C10487" s="1" t="n">
        <v>45715</v>
      </c>
      <c r="D10487" t="inlineStr">
        <is>
          <t>KALMAR LÄN</t>
        </is>
      </c>
      <c r="E10487" t="inlineStr">
        <is>
          <t>HULTSFRED</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5820-2024</t>
        </is>
      </c>
      <c r="B10488" s="1" t="n">
        <v>45335</v>
      </c>
      <c r="C10488" s="1" t="n">
        <v>45715</v>
      </c>
      <c r="D10488" t="inlineStr">
        <is>
          <t>KALMAR LÄN</t>
        </is>
      </c>
      <c r="E10488" t="inlineStr">
        <is>
          <t>KALMAR</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5832-2024</t>
        </is>
      </c>
      <c r="B10489" s="1" t="n">
        <v>45335</v>
      </c>
      <c r="C10489" s="1" t="n">
        <v>45715</v>
      </c>
      <c r="D10489" t="inlineStr">
        <is>
          <t>KALMAR LÄN</t>
        </is>
      </c>
      <c r="E10489" t="inlineStr">
        <is>
          <t>KALMAR</t>
        </is>
      </c>
      <c r="F10489" t="inlineStr">
        <is>
          <t>Sveaskog</t>
        </is>
      </c>
      <c r="G10489" t="n">
        <v>6.4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5844-2024</t>
        </is>
      </c>
      <c r="B10490" s="1" t="n">
        <v>45335</v>
      </c>
      <c r="C10490" s="1" t="n">
        <v>45715</v>
      </c>
      <c r="D10490" t="inlineStr">
        <is>
          <t>KALMAR LÄN</t>
        </is>
      </c>
      <c r="E10490" t="inlineStr">
        <is>
          <t>TORSÅS</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5880-2024</t>
        </is>
      </c>
      <c r="B10491" s="1" t="n">
        <v>45335</v>
      </c>
      <c r="C10491" s="1" t="n">
        <v>45715</v>
      </c>
      <c r="D10491" t="inlineStr">
        <is>
          <t>KALMAR LÄN</t>
        </is>
      </c>
      <c r="E10491" t="inlineStr">
        <is>
          <t>EMMABODA</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5923-2024</t>
        </is>
      </c>
      <c r="B10492" s="1" t="n">
        <v>45335</v>
      </c>
      <c r="C10492" s="1" t="n">
        <v>45715</v>
      </c>
      <c r="D10492" t="inlineStr">
        <is>
          <t>KALMAR LÄN</t>
        </is>
      </c>
      <c r="E10492" t="inlineStr">
        <is>
          <t>VÄSTERVIK</t>
        </is>
      </c>
      <c r="F10492" t="inlineStr">
        <is>
          <t>Holmen skog AB</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5924-2024</t>
        </is>
      </c>
      <c r="B10493" s="1" t="n">
        <v>45335</v>
      </c>
      <c r="C10493" s="1" t="n">
        <v>45715</v>
      </c>
      <c r="D10493" t="inlineStr">
        <is>
          <t>KALMAR LÄN</t>
        </is>
      </c>
      <c r="E10493" t="inlineStr">
        <is>
          <t>VÄSTERVIK</t>
        </is>
      </c>
      <c r="F10493" t="inlineStr">
        <is>
          <t>Holmen skog AB</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5949-2024</t>
        </is>
      </c>
      <c r="B10494" s="1" t="n">
        <v>45335</v>
      </c>
      <c r="C10494" s="1" t="n">
        <v>45715</v>
      </c>
      <c r="D10494" t="inlineStr">
        <is>
          <t>KALMAR LÄN</t>
        </is>
      </c>
      <c r="E10494" t="inlineStr">
        <is>
          <t>KALMAR</t>
        </is>
      </c>
      <c r="F10494" t="inlineStr">
        <is>
          <t>Kyrkan</t>
        </is>
      </c>
      <c r="G10494" t="n">
        <v>4.8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5925-2024</t>
        </is>
      </c>
      <c r="B10495" s="1" t="n">
        <v>45336</v>
      </c>
      <c r="C10495" s="1" t="n">
        <v>45715</v>
      </c>
      <c r="D10495" t="inlineStr">
        <is>
          <t>KALMAR LÄN</t>
        </is>
      </c>
      <c r="E10495" t="inlineStr">
        <is>
          <t>VÄSTERVIK</t>
        </is>
      </c>
      <c r="F10495" t="inlineStr">
        <is>
          <t>Holmen skog AB</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5936-2024</t>
        </is>
      </c>
      <c r="B10496" s="1" t="n">
        <v>45336</v>
      </c>
      <c r="C10496" s="1" t="n">
        <v>45715</v>
      </c>
      <c r="D10496" t="inlineStr">
        <is>
          <t>KALMAR LÄN</t>
        </is>
      </c>
      <c r="E10496" t="inlineStr">
        <is>
          <t>KALMAR</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5940-2024</t>
        </is>
      </c>
      <c r="B10497" s="1" t="n">
        <v>45336</v>
      </c>
      <c r="C10497" s="1" t="n">
        <v>45715</v>
      </c>
      <c r="D10497" t="inlineStr">
        <is>
          <t>KALMAR LÄN</t>
        </is>
      </c>
      <c r="E10497" t="inlineStr">
        <is>
          <t>KALMAR</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5944-2024</t>
        </is>
      </c>
      <c r="B10498" s="1" t="n">
        <v>45336</v>
      </c>
      <c r="C10498" s="1" t="n">
        <v>45715</v>
      </c>
      <c r="D10498" t="inlineStr">
        <is>
          <t>KALMAR LÄN</t>
        </is>
      </c>
      <c r="E10498" t="inlineStr">
        <is>
          <t>NYBRO</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5929-2024</t>
        </is>
      </c>
      <c r="B10499" s="1" t="n">
        <v>45336</v>
      </c>
      <c r="C10499" s="1" t="n">
        <v>45715</v>
      </c>
      <c r="D10499" t="inlineStr">
        <is>
          <t>KALMAR LÄN</t>
        </is>
      </c>
      <c r="E10499" t="inlineStr">
        <is>
          <t>HULTSFRED</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5988-2024</t>
        </is>
      </c>
      <c r="B10500" s="1" t="n">
        <v>45336</v>
      </c>
      <c r="C10500" s="1" t="n">
        <v>45715</v>
      </c>
      <c r="D10500" t="inlineStr">
        <is>
          <t>KALMAR LÄN</t>
        </is>
      </c>
      <c r="E10500" t="inlineStr">
        <is>
          <t>EMMABODA</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6019-2024</t>
        </is>
      </c>
      <c r="B10501" s="1" t="n">
        <v>45336</v>
      </c>
      <c r="C10501" s="1" t="n">
        <v>45715</v>
      </c>
      <c r="D10501" t="inlineStr">
        <is>
          <t>KALMAR LÄN</t>
        </is>
      </c>
      <c r="E10501" t="inlineStr">
        <is>
          <t>VÄSTERVIK</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6017-2024</t>
        </is>
      </c>
      <c r="B10502" s="1" t="n">
        <v>45336</v>
      </c>
      <c r="C10502" s="1" t="n">
        <v>45715</v>
      </c>
      <c r="D10502" t="inlineStr">
        <is>
          <t>KALMAR LÄN</t>
        </is>
      </c>
      <c r="E10502" t="inlineStr">
        <is>
          <t>VÄSTERVIK</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6021-2024</t>
        </is>
      </c>
      <c r="B10503" s="1" t="n">
        <v>45336</v>
      </c>
      <c r="C10503" s="1" t="n">
        <v>45715</v>
      </c>
      <c r="D10503" t="inlineStr">
        <is>
          <t>KALMAR LÄN</t>
        </is>
      </c>
      <c r="E10503" t="inlineStr">
        <is>
          <t>VÄSTERVIK</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6054-2024</t>
        </is>
      </c>
      <c r="B10504" s="1" t="n">
        <v>45336</v>
      </c>
      <c r="C10504" s="1" t="n">
        <v>45715</v>
      </c>
      <c r="D10504" t="inlineStr">
        <is>
          <t>KALMAR LÄN</t>
        </is>
      </c>
      <c r="E10504" t="inlineStr">
        <is>
          <t>KALMAR</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6012-2024</t>
        </is>
      </c>
      <c r="B10505" s="1" t="n">
        <v>45336</v>
      </c>
      <c r="C10505" s="1" t="n">
        <v>45715</v>
      </c>
      <c r="D10505" t="inlineStr">
        <is>
          <t>KALMAR LÄN</t>
        </is>
      </c>
      <c r="E10505" t="inlineStr">
        <is>
          <t>KALMAR</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6036-2024</t>
        </is>
      </c>
      <c r="B10506" s="1" t="n">
        <v>45336</v>
      </c>
      <c r="C10506" s="1" t="n">
        <v>45715</v>
      </c>
      <c r="D10506" t="inlineStr">
        <is>
          <t>KALMAR LÄN</t>
        </is>
      </c>
      <c r="E10506" t="inlineStr">
        <is>
          <t>MÖNSTERÅS</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6182-2024</t>
        </is>
      </c>
      <c r="B10507" s="1" t="n">
        <v>45337</v>
      </c>
      <c r="C10507" s="1" t="n">
        <v>45715</v>
      </c>
      <c r="D10507" t="inlineStr">
        <is>
          <t>KALMAR LÄN</t>
        </is>
      </c>
      <c r="E10507" t="inlineStr">
        <is>
          <t>NYBRO</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6111-2024</t>
        </is>
      </c>
      <c r="B10508" s="1" t="n">
        <v>45337</v>
      </c>
      <c r="C10508" s="1" t="n">
        <v>45715</v>
      </c>
      <c r="D10508" t="inlineStr">
        <is>
          <t>KALMAR LÄN</t>
        </is>
      </c>
      <c r="E10508" t="inlineStr">
        <is>
          <t>HÖGSBY</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6136-2024</t>
        </is>
      </c>
      <c r="B10509" s="1" t="n">
        <v>45337</v>
      </c>
      <c r="C10509" s="1" t="n">
        <v>45715</v>
      </c>
      <c r="D10509" t="inlineStr">
        <is>
          <t>KALMAR LÄN</t>
        </is>
      </c>
      <c r="E10509" t="inlineStr">
        <is>
          <t>OSKARSHAMN</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6171-2024</t>
        </is>
      </c>
      <c r="B10510" s="1" t="n">
        <v>45337</v>
      </c>
      <c r="C10510" s="1" t="n">
        <v>45715</v>
      </c>
      <c r="D10510" t="inlineStr">
        <is>
          <t>KALMAR LÄN</t>
        </is>
      </c>
      <c r="E10510" t="inlineStr">
        <is>
          <t>KALMAR</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6123-2024</t>
        </is>
      </c>
      <c r="B10511" s="1" t="n">
        <v>45337</v>
      </c>
      <c r="C10511" s="1" t="n">
        <v>45715</v>
      </c>
      <c r="D10511" t="inlineStr">
        <is>
          <t>KALMAR LÄN</t>
        </is>
      </c>
      <c r="E10511" t="inlineStr">
        <is>
          <t>OSKARSHAMN</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6148-2024</t>
        </is>
      </c>
      <c r="B10512" s="1" t="n">
        <v>45337</v>
      </c>
      <c r="C10512" s="1" t="n">
        <v>45715</v>
      </c>
      <c r="D10512" t="inlineStr">
        <is>
          <t>KALMAR LÄN</t>
        </is>
      </c>
      <c r="E10512" t="inlineStr">
        <is>
          <t>VÄSTERVIK</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6160-2024</t>
        </is>
      </c>
      <c r="B10513" s="1" t="n">
        <v>45337</v>
      </c>
      <c r="C10513" s="1" t="n">
        <v>45715</v>
      </c>
      <c r="D10513" t="inlineStr">
        <is>
          <t>KALMAR LÄN</t>
        </is>
      </c>
      <c r="E10513" t="inlineStr">
        <is>
          <t>NYBRO</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6180-2024</t>
        </is>
      </c>
      <c r="B10514" s="1" t="n">
        <v>45337</v>
      </c>
      <c r="C10514" s="1" t="n">
        <v>45715</v>
      </c>
      <c r="D10514" t="inlineStr">
        <is>
          <t>KALMAR LÄN</t>
        </is>
      </c>
      <c r="E10514" t="inlineStr">
        <is>
          <t>KALMAR</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6212-2024</t>
        </is>
      </c>
      <c r="B10515" s="1" t="n">
        <v>45337</v>
      </c>
      <c r="C10515" s="1" t="n">
        <v>45715</v>
      </c>
      <c r="D10515" t="inlineStr">
        <is>
          <t>KALMAR LÄN</t>
        </is>
      </c>
      <c r="E10515" t="inlineStr">
        <is>
          <t>VIMMERBY</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6216-2024</t>
        </is>
      </c>
      <c r="B10516" s="1" t="n">
        <v>45337</v>
      </c>
      <c r="C10516" s="1" t="n">
        <v>45715</v>
      </c>
      <c r="D10516" t="inlineStr">
        <is>
          <t>KALMAR LÄN</t>
        </is>
      </c>
      <c r="E10516" t="inlineStr">
        <is>
          <t>HÖGSBY</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6224-2024</t>
        </is>
      </c>
      <c r="B10517" s="1" t="n">
        <v>45337</v>
      </c>
      <c r="C10517" s="1" t="n">
        <v>45715</v>
      </c>
      <c r="D10517" t="inlineStr">
        <is>
          <t>KALMAR LÄN</t>
        </is>
      </c>
      <c r="E10517" t="inlineStr">
        <is>
          <t>HÖGSBY</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6177-2024</t>
        </is>
      </c>
      <c r="B10518" s="1" t="n">
        <v>45337</v>
      </c>
      <c r="C10518" s="1" t="n">
        <v>45715</v>
      </c>
      <c r="D10518" t="inlineStr">
        <is>
          <t>KALMAR LÄN</t>
        </is>
      </c>
      <c r="E10518" t="inlineStr">
        <is>
          <t>NYBRO</t>
        </is>
      </c>
      <c r="G10518" t="n">
        <v>6.6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6117-2024</t>
        </is>
      </c>
      <c r="B10519" s="1" t="n">
        <v>45337</v>
      </c>
      <c r="C10519" s="1" t="n">
        <v>45715</v>
      </c>
      <c r="D10519" t="inlineStr">
        <is>
          <t>KALMAR LÄN</t>
        </is>
      </c>
      <c r="E10519" t="inlineStr">
        <is>
          <t>OSKARSHAMN</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6291-2024</t>
        </is>
      </c>
      <c r="B10520" s="1" t="n">
        <v>45338</v>
      </c>
      <c r="C10520" s="1" t="n">
        <v>45715</v>
      </c>
      <c r="D10520" t="inlineStr">
        <is>
          <t>KALMAR LÄN</t>
        </is>
      </c>
      <c r="E10520" t="inlineStr">
        <is>
          <t>BORGHOLM</t>
        </is>
      </c>
      <c r="G10520" t="n">
        <v>5.3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6289-2024</t>
        </is>
      </c>
      <c r="B10521" s="1" t="n">
        <v>45338</v>
      </c>
      <c r="C10521" s="1" t="n">
        <v>45715</v>
      </c>
      <c r="D10521" t="inlineStr">
        <is>
          <t>KALMAR LÄN</t>
        </is>
      </c>
      <c r="E10521" t="inlineStr">
        <is>
          <t>VÄSTERVIK</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6306-2024</t>
        </is>
      </c>
      <c r="B10522" s="1" t="n">
        <v>45338</v>
      </c>
      <c r="C10522" s="1" t="n">
        <v>45715</v>
      </c>
      <c r="D10522" t="inlineStr">
        <is>
          <t>KALMAR LÄN</t>
        </is>
      </c>
      <c r="E10522" t="inlineStr">
        <is>
          <t>NYBRO</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6373-2024</t>
        </is>
      </c>
      <c r="B10523" s="1" t="n">
        <v>45338</v>
      </c>
      <c r="C10523" s="1" t="n">
        <v>45715</v>
      </c>
      <c r="D10523" t="inlineStr">
        <is>
          <t>KALMAR LÄN</t>
        </is>
      </c>
      <c r="E10523" t="inlineStr">
        <is>
          <t>VIMMERBY</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6426-2024</t>
        </is>
      </c>
      <c r="B10524" s="1" t="n">
        <v>45338</v>
      </c>
      <c r="C10524" s="1" t="n">
        <v>45715</v>
      </c>
      <c r="D10524" t="inlineStr">
        <is>
          <t>KALMAR LÄN</t>
        </is>
      </c>
      <c r="E10524" t="inlineStr">
        <is>
          <t>VÄSTERVIK</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6434-2024</t>
        </is>
      </c>
      <c r="B10525" s="1" t="n">
        <v>45338</v>
      </c>
      <c r="C10525" s="1" t="n">
        <v>45715</v>
      </c>
      <c r="D10525" t="inlineStr">
        <is>
          <t>KALMAR LÄN</t>
        </is>
      </c>
      <c r="E10525" t="inlineStr">
        <is>
          <t>KALMAR</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6296-2024</t>
        </is>
      </c>
      <c r="B10526" s="1" t="n">
        <v>45338</v>
      </c>
      <c r="C10526" s="1" t="n">
        <v>45715</v>
      </c>
      <c r="D10526" t="inlineStr">
        <is>
          <t>KALMAR LÄN</t>
        </is>
      </c>
      <c r="E10526" t="inlineStr">
        <is>
          <t>TORSÅS</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6312-2024</t>
        </is>
      </c>
      <c r="B10527" s="1" t="n">
        <v>45338</v>
      </c>
      <c r="C10527" s="1" t="n">
        <v>45715</v>
      </c>
      <c r="D10527" t="inlineStr">
        <is>
          <t>KALMAR LÄN</t>
        </is>
      </c>
      <c r="E10527" t="inlineStr">
        <is>
          <t>VÄSTERVIK</t>
        </is>
      </c>
      <c r="F10527" t="inlineStr">
        <is>
          <t>Holmen skog AB</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6336-2024</t>
        </is>
      </c>
      <c r="B10528" s="1" t="n">
        <v>45338</v>
      </c>
      <c r="C10528" s="1" t="n">
        <v>45715</v>
      </c>
      <c r="D10528" t="inlineStr">
        <is>
          <t>KALMAR LÄN</t>
        </is>
      </c>
      <c r="E10528" t="inlineStr">
        <is>
          <t>NYBRO</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6406-2024</t>
        </is>
      </c>
      <c r="B10529" s="1" t="n">
        <v>45338</v>
      </c>
      <c r="C10529" s="1" t="n">
        <v>45715</v>
      </c>
      <c r="D10529" t="inlineStr">
        <is>
          <t>KALMAR LÄN</t>
        </is>
      </c>
      <c r="E10529" t="inlineStr">
        <is>
          <t>VÄSTERVIK</t>
        </is>
      </c>
      <c r="G10529" t="n">
        <v>5.5</v>
      </c>
      <c r="H10529" t="n">
        <v>0</v>
      </c>
      <c r="I10529" t="n">
        <v>0</v>
      </c>
      <c r="J10529" t="n">
        <v>0</v>
      </c>
      <c r="K10529" t="n">
        <v>0</v>
      </c>
      <c r="L10529" t="n">
        <v>0</v>
      </c>
      <c r="M10529" t="n">
        <v>0</v>
      </c>
      <c r="N10529" t="n">
        <v>0</v>
      </c>
      <c r="O10529" t="n">
        <v>0</v>
      </c>
      <c r="P10529" t="n">
        <v>0</v>
      </c>
      <c r="Q10529" t="n">
        <v>0</v>
      </c>
      <c r="R10529" s="2" t="inlineStr"/>
      <c r="U10529">
        <f>HYPERLINK("https://klasma.github.io/Logging_0883/knärot/A 6406-2024 karta knärot.png", "A 6406-2024")</f>
        <v/>
      </c>
      <c r="V10529">
        <f>HYPERLINK("https://klasma.github.io/Logging_0883/klagomål/A 6406-2024 FSC-klagomål.docx", "A 6406-2024")</f>
        <v/>
      </c>
      <c r="W10529">
        <f>HYPERLINK("https://klasma.github.io/Logging_0883/klagomålsmail/A 6406-2024 FSC-klagomål mail.docx", "A 6406-2024")</f>
        <v/>
      </c>
      <c r="X10529">
        <f>HYPERLINK("https://klasma.github.io/Logging_0883/tillsyn/A 6406-2024 tillsynsbegäran.docx", "A 6406-2024")</f>
        <v/>
      </c>
      <c r="Y10529">
        <f>HYPERLINK("https://klasma.github.io/Logging_0883/tillsynsmail/A 6406-2024 tillsynsbegäran mail.docx", "A 6406-2024")</f>
        <v/>
      </c>
    </row>
    <row r="10530" ht="15" customHeight="1">
      <c r="A10530" t="inlineStr">
        <is>
          <t>A 6431-2024</t>
        </is>
      </c>
      <c r="B10530" s="1" t="n">
        <v>45338</v>
      </c>
      <c r="C10530" s="1" t="n">
        <v>45715</v>
      </c>
      <c r="D10530" t="inlineStr">
        <is>
          <t>KALMAR LÄN</t>
        </is>
      </c>
      <c r="E10530" t="inlineStr">
        <is>
          <t>KALMAR</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6491-2024</t>
        </is>
      </c>
      <c r="B10531" s="1" t="n">
        <v>45339</v>
      </c>
      <c r="C10531" s="1" t="n">
        <v>45715</v>
      </c>
      <c r="D10531" t="inlineStr">
        <is>
          <t>KALMAR LÄN</t>
        </is>
      </c>
      <c r="E10531" t="inlineStr">
        <is>
          <t>VIMMERBY</t>
        </is>
      </c>
      <c r="G10531" t="n">
        <v>5.8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6513-2024</t>
        </is>
      </c>
      <c r="B10532" s="1" t="n">
        <v>45340</v>
      </c>
      <c r="C10532" s="1" t="n">
        <v>45715</v>
      </c>
      <c r="D10532" t="inlineStr">
        <is>
          <t>KALMAR LÄN</t>
        </is>
      </c>
      <c r="E10532" t="inlineStr">
        <is>
          <t>HULTSFRED</t>
        </is>
      </c>
      <c r="G10532" t="n">
        <v>7.4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6508-2024</t>
        </is>
      </c>
      <c r="B10533" s="1" t="n">
        <v>45340</v>
      </c>
      <c r="C10533" s="1" t="n">
        <v>45715</v>
      </c>
      <c r="D10533" t="inlineStr">
        <is>
          <t>KALMAR LÄN</t>
        </is>
      </c>
      <c r="E10533" t="inlineStr">
        <is>
          <t>VIMMERBY</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6510-2024</t>
        </is>
      </c>
      <c r="B10534" s="1" t="n">
        <v>45340</v>
      </c>
      <c r="C10534" s="1" t="n">
        <v>45715</v>
      </c>
      <c r="D10534" t="inlineStr">
        <is>
          <t>KALMAR LÄN</t>
        </is>
      </c>
      <c r="E10534" t="inlineStr">
        <is>
          <t>HULTSFRED</t>
        </is>
      </c>
      <c r="G10534" t="n">
        <v>4.4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6514-2024</t>
        </is>
      </c>
      <c r="B10535" s="1" t="n">
        <v>45340</v>
      </c>
      <c r="C10535" s="1" t="n">
        <v>45715</v>
      </c>
      <c r="D10535" t="inlineStr">
        <is>
          <t>KALMAR LÄN</t>
        </is>
      </c>
      <c r="E10535" t="inlineStr">
        <is>
          <t>HULTSFRED</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6543-2024</t>
        </is>
      </c>
      <c r="B10536" s="1" t="n">
        <v>45341</v>
      </c>
      <c r="C10536" s="1" t="n">
        <v>45715</v>
      </c>
      <c r="D10536" t="inlineStr">
        <is>
          <t>KALMAR LÄN</t>
        </is>
      </c>
      <c r="E10536" t="inlineStr">
        <is>
          <t>EMMABODA</t>
        </is>
      </c>
      <c r="G10536" t="n">
        <v>0.3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6544-2024</t>
        </is>
      </c>
      <c r="B10537" s="1" t="n">
        <v>45341</v>
      </c>
      <c r="C10537" s="1" t="n">
        <v>45715</v>
      </c>
      <c r="D10537" t="inlineStr">
        <is>
          <t>KALMAR LÄN</t>
        </is>
      </c>
      <c r="E10537" t="inlineStr">
        <is>
          <t>NYBRO</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6560-2024</t>
        </is>
      </c>
      <c r="B10538" s="1" t="n">
        <v>45341</v>
      </c>
      <c r="C10538" s="1" t="n">
        <v>45715</v>
      </c>
      <c r="D10538" t="inlineStr">
        <is>
          <t>KALMAR LÄN</t>
        </is>
      </c>
      <c r="E10538" t="inlineStr">
        <is>
          <t>HULTSFRED</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6535-2024</t>
        </is>
      </c>
      <c r="B10539" s="1" t="n">
        <v>45341</v>
      </c>
      <c r="C10539" s="1" t="n">
        <v>45715</v>
      </c>
      <c r="D10539" t="inlineStr">
        <is>
          <t>KALMAR LÄN</t>
        </is>
      </c>
      <c r="E10539" t="inlineStr">
        <is>
          <t>EMMABODA</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6549-2024</t>
        </is>
      </c>
      <c r="B10540" s="1" t="n">
        <v>45341</v>
      </c>
      <c r="C10540" s="1" t="n">
        <v>45715</v>
      </c>
      <c r="D10540" t="inlineStr">
        <is>
          <t>KALMAR LÄN</t>
        </is>
      </c>
      <c r="E10540" t="inlineStr">
        <is>
          <t>TORSÅS</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6557-2024</t>
        </is>
      </c>
      <c r="B10541" s="1" t="n">
        <v>45341</v>
      </c>
      <c r="C10541" s="1" t="n">
        <v>45715</v>
      </c>
      <c r="D10541" t="inlineStr">
        <is>
          <t>KALMAR LÄN</t>
        </is>
      </c>
      <c r="E10541" t="inlineStr">
        <is>
          <t>HULTSFRED</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6593-2024</t>
        </is>
      </c>
      <c r="B10542" s="1" t="n">
        <v>45341</v>
      </c>
      <c r="C10542" s="1" t="n">
        <v>45715</v>
      </c>
      <c r="D10542" t="inlineStr">
        <is>
          <t>KALMAR LÄN</t>
        </is>
      </c>
      <c r="E10542" t="inlineStr">
        <is>
          <t>HÖGSBY</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6597-2024</t>
        </is>
      </c>
      <c r="B10543" s="1" t="n">
        <v>45341</v>
      </c>
      <c r="C10543" s="1" t="n">
        <v>45715</v>
      </c>
      <c r="D10543" t="inlineStr">
        <is>
          <t>KALMAR LÄN</t>
        </is>
      </c>
      <c r="E10543" t="inlineStr">
        <is>
          <t>HÖGSBY</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6532-2024</t>
        </is>
      </c>
      <c r="B10544" s="1" t="n">
        <v>45341</v>
      </c>
      <c r="C10544" s="1" t="n">
        <v>45715</v>
      </c>
      <c r="D10544" t="inlineStr">
        <is>
          <t>KALMAR LÄN</t>
        </is>
      </c>
      <c r="E10544" t="inlineStr">
        <is>
          <t>EMMABODA</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6542-2024</t>
        </is>
      </c>
      <c r="B10545" s="1" t="n">
        <v>45341</v>
      </c>
      <c r="C10545" s="1" t="n">
        <v>45715</v>
      </c>
      <c r="D10545" t="inlineStr">
        <is>
          <t>KALMAR LÄN</t>
        </is>
      </c>
      <c r="E10545" t="inlineStr">
        <is>
          <t>NYBRO</t>
        </is>
      </c>
      <c r="G10545" t="n">
        <v>8.1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6600-2024</t>
        </is>
      </c>
      <c r="B10546" s="1" t="n">
        <v>45341</v>
      </c>
      <c r="C10546" s="1" t="n">
        <v>45715</v>
      </c>
      <c r="D10546" t="inlineStr">
        <is>
          <t>KALMAR LÄN</t>
        </is>
      </c>
      <c r="E10546" t="inlineStr">
        <is>
          <t>KALMAR</t>
        </is>
      </c>
      <c r="G10546" t="n">
        <v>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6643-2024</t>
        </is>
      </c>
      <c r="B10547" s="1" t="n">
        <v>45341</v>
      </c>
      <c r="C10547" s="1" t="n">
        <v>45715</v>
      </c>
      <c r="D10547" t="inlineStr">
        <is>
          <t>KALMAR LÄN</t>
        </is>
      </c>
      <c r="E10547" t="inlineStr">
        <is>
          <t>KALMAR</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6642-2024</t>
        </is>
      </c>
      <c r="B10548" s="1" t="n">
        <v>45341</v>
      </c>
      <c r="C10548" s="1" t="n">
        <v>45715</v>
      </c>
      <c r="D10548" t="inlineStr">
        <is>
          <t>KALMAR LÄN</t>
        </is>
      </c>
      <c r="E10548" t="inlineStr">
        <is>
          <t>KALMAR</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6670-2024</t>
        </is>
      </c>
      <c r="B10549" s="1" t="n">
        <v>45341</v>
      </c>
      <c r="C10549" s="1" t="n">
        <v>45715</v>
      </c>
      <c r="D10549" t="inlineStr">
        <is>
          <t>KALMAR LÄN</t>
        </is>
      </c>
      <c r="E10549" t="inlineStr">
        <is>
          <t>OSKARSHAMN</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6671-2024</t>
        </is>
      </c>
      <c r="B10550" s="1" t="n">
        <v>45341</v>
      </c>
      <c r="C10550" s="1" t="n">
        <v>45715</v>
      </c>
      <c r="D10550" t="inlineStr">
        <is>
          <t>KALMAR LÄN</t>
        </is>
      </c>
      <c r="E10550" t="inlineStr">
        <is>
          <t>OSKARSHAMN</t>
        </is>
      </c>
      <c r="G10550" t="n">
        <v>7.7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6673-2024</t>
        </is>
      </c>
      <c r="B10551" s="1" t="n">
        <v>45341</v>
      </c>
      <c r="C10551" s="1" t="n">
        <v>45715</v>
      </c>
      <c r="D10551" t="inlineStr">
        <is>
          <t>KALMAR LÄN</t>
        </is>
      </c>
      <c r="E10551" t="inlineStr">
        <is>
          <t>MÖNSTERÅS</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6727-2024</t>
        </is>
      </c>
      <c r="B10552" s="1" t="n">
        <v>45341</v>
      </c>
      <c r="C10552" s="1" t="n">
        <v>45715</v>
      </c>
      <c r="D10552" t="inlineStr">
        <is>
          <t>KALMAR LÄN</t>
        </is>
      </c>
      <c r="E10552" t="inlineStr">
        <is>
          <t>NYBRO</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6717-2024</t>
        </is>
      </c>
      <c r="B10553" s="1" t="n">
        <v>45342</v>
      </c>
      <c r="C10553" s="1" t="n">
        <v>45715</v>
      </c>
      <c r="D10553" t="inlineStr">
        <is>
          <t>KALMAR LÄN</t>
        </is>
      </c>
      <c r="E10553" t="inlineStr">
        <is>
          <t>MÖNSTERÅS</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6731-2024</t>
        </is>
      </c>
      <c r="B10554" s="1" t="n">
        <v>45342</v>
      </c>
      <c r="C10554" s="1" t="n">
        <v>45715</v>
      </c>
      <c r="D10554" t="inlineStr">
        <is>
          <t>KALMAR LÄN</t>
        </is>
      </c>
      <c r="E10554" t="inlineStr">
        <is>
          <t>VÄSTERVIK</t>
        </is>
      </c>
      <c r="F10554" t="inlineStr">
        <is>
          <t>Holmen skog AB</t>
        </is>
      </c>
      <c r="G10554" t="n">
        <v>6.7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6746-2024</t>
        </is>
      </c>
      <c r="B10555" s="1" t="n">
        <v>45342</v>
      </c>
      <c r="C10555" s="1" t="n">
        <v>45715</v>
      </c>
      <c r="D10555" t="inlineStr">
        <is>
          <t>KALMAR LÄN</t>
        </is>
      </c>
      <c r="E10555" t="inlineStr">
        <is>
          <t>VÄSTERVIK</t>
        </is>
      </c>
      <c r="F10555" t="inlineStr">
        <is>
          <t>Holmen skog AB</t>
        </is>
      </c>
      <c r="G10555" t="n">
        <v>8.699999999999999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6743-2024</t>
        </is>
      </c>
      <c r="B10556" s="1" t="n">
        <v>45342</v>
      </c>
      <c r="C10556" s="1" t="n">
        <v>45715</v>
      </c>
      <c r="D10556" t="inlineStr">
        <is>
          <t>KALMAR LÄN</t>
        </is>
      </c>
      <c r="E10556" t="inlineStr">
        <is>
          <t>EMMABODA</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6810-2024</t>
        </is>
      </c>
      <c r="B10557" s="1" t="n">
        <v>45342</v>
      </c>
      <c r="C10557" s="1" t="n">
        <v>45715</v>
      </c>
      <c r="D10557" t="inlineStr">
        <is>
          <t>KALMAR LÄN</t>
        </is>
      </c>
      <c r="E10557" t="inlineStr">
        <is>
          <t>NYBRO</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6818-2024</t>
        </is>
      </c>
      <c r="B10558" s="1" t="n">
        <v>45342</v>
      </c>
      <c r="C10558" s="1" t="n">
        <v>45715</v>
      </c>
      <c r="D10558" t="inlineStr">
        <is>
          <t>KALMAR LÄN</t>
        </is>
      </c>
      <c r="E10558" t="inlineStr">
        <is>
          <t>MÖNSTERÅS</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6827-2024</t>
        </is>
      </c>
      <c r="B10559" s="1" t="n">
        <v>45342</v>
      </c>
      <c r="C10559" s="1" t="n">
        <v>45715</v>
      </c>
      <c r="D10559" t="inlineStr">
        <is>
          <t>KALMAR LÄN</t>
        </is>
      </c>
      <c r="E10559" t="inlineStr">
        <is>
          <t>MÖNSTERÅS</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6811-2024</t>
        </is>
      </c>
      <c r="B10560" s="1" t="n">
        <v>45342</v>
      </c>
      <c r="C10560" s="1" t="n">
        <v>45715</v>
      </c>
      <c r="D10560" t="inlineStr">
        <is>
          <t>KALMAR LÄN</t>
        </is>
      </c>
      <c r="E10560" t="inlineStr">
        <is>
          <t>NYBRO</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6896-2024</t>
        </is>
      </c>
      <c r="B10561" s="1" t="n">
        <v>45342</v>
      </c>
      <c r="C10561" s="1" t="n">
        <v>45715</v>
      </c>
      <c r="D10561" t="inlineStr">
        <is>
          <t>KALMAR LÄN</t>
        </is>
      </c>
      <c r="E10561" t="inlineStr">
        <is>
          <t>NYBRO</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6895-2024</t>
        </is>
      </c>
      <c r="B10562" s="1" t="n">
        <v>45342</v>
      </c>
      <c r="C10562" s="1" t="n">
        <v>45715</v>
      </c>
      <c r="D10562" t="inlineStr">
        <is>
          <t>KALMAR LÄN</t>
        </is>
      </c>
      <c r="E10562" t="inlineStr">
        <is>
          <t>NYBRO</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6985-2024</t>
        </is>
      </c>
      <c r="B10563" s="1" t="n">
        <v>45343</v>
      </c>
      <c r="C10563" s="1" t="n">
        <v>45715</v>
      </c>
      <c r="D10563" t="inlineStr">
        <is>
          <t>KALMAR LÄN</t>
        </is>
      </c>
      <c r="E10563" t="inlineStr">
        <is>
          <t>MÖNSTERÅS</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7059-2024</t>
        </is>
      </c>
      <c r="B10564" s="1" t="n">
        <v>45343</v>
      </c>
      <c r="C10564" s="1" t="n">
        <v>45715</v>
      </c>
      <c r="D10564" t="inlineStr">
        <is>
          <t>KALMAR LÄN</t>
        </is>
      </c>
      <c r="E10564" t="inlineStr">
        <is>
          <t>TORSÅS</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7089-2024</t>
        </is>
      </c>
      <c r="B10565" s="1" t="n">
        <v>45343</v>
      </c>
      <c r="C10565" s="1" t="n">
        <v>45715</v>
      </c>
      <c r="D10565" t="inlineStr">
        <is>
          <t>KALMAR LÄN</t>
        </is>
      </c>
      <c r="E10565" t="inlineStr">
        <is>
          <t>VÄSTERVIK</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7068-2024</t>
        </is>
      </c>
      <c r="B10566" s="1" t="n">
        <v>45343</v>
      </c>
      <c r="C10566" s="1" t="n">
        <v>45715</v>
      </c>
      <c r="D10566" t="inlineStr">
        <is>
          <t>KALMAR LÄN</t>
        </is>
      </c>
      <c r="E10566" t="inlineStr">
        <is>
          <t>VIMMERBY</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7070-2024</t>
        </is>
      </c>
      <c r="B10567" s="1" t="n">
        <v>45343</v>
      </c>
      <c r="C10567" s="1" t="n">
        <v>45715</v>
      </c>
      <c r="D10567" t="inlineStr">
        <is>
          <t>KALMAR LÄN</t>
        </is>
      </c>
      <c r="E10567" t="inlineStr">
        <is>
          <t>VIMMERBY</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7090-2024</t>
        </is>
      </c>
      <c r="B10568" s="1" t="n">
        <v>45343</v>
      </c>
      <c r="C10568" s="1" t="n">
        <v>45715</v>
      </c>
      <c r="D10568" t="inlineStr">
        <is>
          <t>KALMAR LÄN</t>
        </is>
      </c>
      <c r="E10568" t="inlineStr">
        <is>
          <t>VÄSTERVIK</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7128-2024</t>
        </is>
      </c>
      <c r="B10569" s="1" t="n">
        <v>45344</v>
      </c>
      <c r="C10569" s="1" t="n">
        <v>45715</v>
      </c>
      <c r="D10569" t="inlineStr">
        <is>
          <t>KALMAR LÄN</t>
        </is>
      </c>
      <c r="E10569" t="inlineStr">
        <is>
          <t>KALMAR</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7141-2024</t>
        </is>
      </c>
      <c r="B10570" s="1" t="n">
        <v>45344</v>
      </c>
      <c r="C10570" s="1" t="n">
        <v>45715</v>
      </c>
      <c r="D10570" t="inlineStr">
        <is>
          <t>KALMAR LÄN</t>
        </is>
      </c>
      <c r="E10570" t="inlineStr">
        <is>
          <t>OSKARSHAMN</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7161-2024</t>
        </is>
      </c>
      <c r="B10571" s="1" t="n">
        <v>45344</v>
      </c>
      <c r="C10571" s="1" t="n">
        <v>45715</v>
      </c>
      <c r="D10571" t="inlineStr">
        <is>
          <t>KALMAR LÄN</t>
        </is>
      </c>
      <c r="E10571" t="inlineStr">
        <is>
          <t>MÖNSTERÅS</t>
        </is>
      </c>
      <c r="G10571" t="n">
        <v>3</v>
      </c>
      <c r="H10571" t="n">
        <v>0</v>
      </c>
      <c r="I10571" t="n">
        <v>0</v>
      </c>
      <c r="J10571" t="n">
        <v>0</v>
      </c>
      <c r="K10571" t="n">
        <v>0</v>
      </c>
      <c r="L10571" t="n">
        <v>0</v>
      </c>
      <c r="M10571" t="n">
        <v>0</v>
      </c>
      <c r="N10571" t="n">
        <v>0</v>
      </c>
      <c r="O10571" t="n">
        <v>0</v>
      </c>
      <c r="P10571" t="n">
        <v>0</v>
      </c>
      <c r="Q10571" t="n">
        <v>0</v>
      </c>
      <c r="R10571" s="2" t="inlineStr"/>
      <c r="U10571">
        <f>HYPERLINK("https://klasma.github.io/Logging_0861/knärot/A 7161-2024 karta knärot.png", "A 7161-2024")</f>
        <v/>
      </c>
      <c r="V10571">
        <f>HYPERLINK("https://klasma.github.io/Logging_0861/klagomål/A 7161-2024 FSC-klagomål.docx", "A 7161-2024")</f>
        <v/>
      </c>
      <c r="W10571">
        <f>HYPERLINK("https://klasma.github.io/Logging_0861/klagomålsmail/A 7161-2024 FSC-klagomål mail.docx", "A 7161-2024")</f>
        <v/>
      </c>
      <c r="X10571">
        <f>HYPERLINK("https://klasma.github.io/Logging_0861/tillsyn/A 7161-2024 tillsynsbegäran.docx", "A 7161-2024")</f>
        <v/>
      </c>
      <c r="Y10571">
        <f>HYPERLINK("https://klasma.github.io/Logging_0861/tillsynsmail/A 7161-2024 tillsynsbegäran mail.docx", "A 7161-2024")</f>
        <v/>
      </c>
    </row>
    <row r="10572" ht="15" customHeight="1">
      <c r="A10572" t="inlineStr">
        <is>
          <t>A 7126-2024</t>
        </is>
      </c>
      <c r="B10572" s="1" t="n">
        <v>45344</v>
      </c>
      <c r="C10572" s="1" t="n">
        <v>45715</v>
      </c>
      <c r="D10572" t="inlineStr">
        <is>
          <t>KALMAR LÄN</t>
        </is>
      </c>
      <c r="E10572" t="inlineStr">
        <is>
          <t>HULTSFRED</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7163-2024</t>
        </is>
      </c>
      <c r="B10573" s="1" t="n">
        <v>45344</v>
      </c>
      <c r="C10573" s="1" t="n">
        <v>45715</v>
      </c>
      <c r="D10573" t="inlineStr">
        <is>
          <t>KALMAR LÄN</t>
        </is>
      </c>
      <c r="E10573" t="inlineStr">
        <is>
          <t>NYBRO</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7250-2024</t>
        </is>
      </c>
      <c r="B10574" s="1" t="n">
        <v>45344</v>
      </c>
      <c r="C10574" s="1" t="n">
        <v>45715</v>
      </c>
      <c r="D10574" t="inlineStr">
        <is>
          <t>KALMAR LÄN</t>
        </is>
      </c>
      <c r="E10574" t="inlineStr">
        <is>
          <t>OSKARSHAMN</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7148-2024</t>
        </is>
      </c>
      <c r="B10575" s="1" t="n">
        <v>45344</v>
      </c>
      <c r="C10575" s="1" t="n">
        <v>45715</v>
      </c>
      <c r="D10575" t="inlineStr">
        <is>
          <t>KALMAR LÄN</t>
        </is>
      </c>
      <c r="E10575" t="inlineStr">
        <is>
          <t>OSKARSHAMN</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7188-2024</t>
        </is>
      </c>
      <c r="B10576" s="1" t="n">
        <v>45344</v>
      </c>
      <c r="C10576" s="1" t="n">
        <v>45715</v>
      </c>
      <c r="D10576" t="inlineStr">
        <is>
          <t>KALMAR LÄN</t>
        </is>
      </c>
      <c r="E10576" t="inlineStr">
        <is>
          <t>MÖNSTERÅS</t>
        </is>
      </c>
      <c r="F10576" t="inlineStr">
        <is>
          <t>Övriga Aktiebolag</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7387-2024</t>
        </is>
      </c>
      <c r="B10577" s="1" t="n">
        <v>45345</v>
      </c>
      <c r="C10577" s="1" t="n">
        <v>45715</v>
      </c>
      <c r="D10577" t="inlineStr">
        <is>
          <t>KALMAR LÄN</t>
        </is>
      </c>
      <c r="E10577" t="inlineStr">
        <is>
          <t>MÖNSTERÅS</t>
        </is>
      </c>
      <c r="G10577" t="n">
        <v>5.1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7324-2024</t>
        </is>
      </c>
      <c r="B10578" s="1" t="n">
        <v>45345</v>
      </c>
      <c r="C10578" s="1" t="n">
        <v>45715</v>
      </c>
      <c r="D10578" t="inlineStr">
        <is>
          <t>KALMAR LÄN</t>
        </is>
      </c>
      <c r="E10578" t="inlineStr">
        <is>
          <t>KALMAR</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7326-2024</t>
        </is>
      </c>
      <c r="B10579" s="1" t="n">
        <v>45345</v>
      </c>
      <c r="C10579" s="1" t="n">
        <v>45715</v>
      </c>
      <c r="D10579" t="inlineStr">
        <is>
          <t>KALMAR LÄN</t>
        </is>
      </c>
      <c r="E10579" t="inlineStr">
        <is>
          <t>HULTSFRED</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7456-2024</t>
        </is>
      </c>
      <c r="B10580" s="1" t="n">
        <v>45345</v>
      </c>
      <c r="C10580" s="1" t="n">
        <v>45715</v>
      </c>
      <c r="D10580" t="inlineStr">
        <is>
          <t>KALMAR LÄN</t>
        </is>
      </c>
      <c r="E10580" t="inlineStr">
        <is>
          <t>VIMMERBY</t>
        </is>
      </c>
      <c r="G10580" t="n">
        <v>4.1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7481-2024</t>
        </is>
      </c>
      <c r="B10581" s="1" t="n">
        <v>45346</v>
      </c>
      <c r="C10581" s="1" t="n">
        <v>45715</v>
      </c>
      <c r="D10581" t="inlineStr">
        <is>
          <t>KALMAR LÄN</t>
        </is>
      </c>
      <c r="E10581" t="inlineStr">
        <is>
          <t>NYBRO</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7485-2024</t>
        </is>
      </c>
      <c r="B10582" s="1" t="n">
        <v>45346</v>
      </c>
      <c r="C10582" s="1" t="n">
        <v>45715</v>
      </c>
      <c r="D10582" t="inlineStr">
        <is>
          <t>KALMAR LÄN</t>
        </is>
      </c>
      <c r="E10582" t="inlineStr">
        <is>
          <t>VIMMERBY</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7512-2024</t>
        </is>
      </c>
      <c r="B10583" s="1" t="n">
        <v>45348</v>
      </c>
      <c r="C10583" s="1" t="n">
        <v>45715</v>
      </c>
      <c r="D10583" t="inlineStr">
        <is>
          <t>KALMAR LÄN</t>
        </is>
      </c>
      <c r="E10583" t="inlineStr">
        <is>
          <t>VÄSTERVIK</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7568-2024</t>
        </is>
      </c>
      <c r="B10584" s="1" t="n">
        <v>45348</v>
      </c>
      <c r="C10584" s="1" t="n">
        <v>45715</v>
      </c>
      <c r="D10584" t="inlineStr">
        <is>
          <t>KALMAR LÄN</t>
        </is>
      </c>
      <c r="E10584" t="inlineStr">
        <is>
          <t>EMMABODA</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7597-2024</t>
        </is>
      </c>
      <c r="B10585" s="1" t="n">
        <v>45348</v>
      </c>
      <c r="C10585" s="1" t="n">
        <v>45715</v>
      </c>
      <c r="D10585" t="inlineStr">
        <is>
          <t>KALMAR LÄN</t>
        </is>
      </c>
      <c r="E10585" t="inlineStr">
        <is>
          <t>HÖGSBY</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7643-2024</t>
        </is>
      </c>
      <c r="B10586" s="1" t="n">
        <v>45348</v>
      </c>
      <c r="C10586" s="1" t="n">
        <v>45715</v>
      </c>
      <c r="D10586" t="inlineStr">
        <is>
          <t>KALMAR LÄN</t>
        </is>
      </c>
      <c r="E10586" t="inlineStr">
        <is>
          <t>EMMABODA</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7663-2024</t>
        </is>
      </c>
      <c r="B10587" s="1" t="n">
        <v>45348</v>
      </c>
      <c r="C10587" s="1" t="n">
        <v>45715</v>
      </c>
      <c r="D10587" t="inlineStr">
        <is>
          <t>KALMAR LÄN</t>
        </is>
      </c>
      <c r="E10587" t="inlineStr">
        <is>
          <t>HÖGSBY</t>
        </is>
      </c>
      <c r="F10587" t="inlineStr">
        <is>
          <t>Sveaskog</t>
        </is>
      </c>
      <c r="G10587" t="n">
        <v>5.4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7671-2024</t>
        </is>
      </c>
      <c r="B10588" s="1" t="n">
        <v>45348</v>
      </c>
      <c r="C10588" s="1" t="n">
        <v>45715</v>
      </c>
      <c r="D10588" t="inlineStr">
        <is>
          <t>KALMAR LÄN</t>
        </is>
      </c>
      <c r="E10588" t="inlineStr">
        <is>
          <t>OSKARSHAMN</t>
        </is>
      </c>
      <c r="F10588" t="inlineStr">
        <is>
          <t>Sveaskog</t>
        </is>
      </c>
      <c r="G10588" t="n">
        <v>8.199999999999999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7515-2024</t>
        </is>
      </c>
      <c r="B10589" s="1" t="n">
        <v>45348</v>
      </c>
      <c r="C10589" s="1" t="n">
        <v>45715</v>
      </c>
      <c r="D10589" t="inlineStr">
        <is>
          <t>KALMAR LÄN</t>
        </is>
      </c>
      <c r="E10589" t="inlineStr">
        <is>
          <t>HULTSFRED</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7536-2024</t>
        </is>
      </c>
      <c r="B10590" s="1" t="n">
        <v>45348</v>
      </c>
      <c r="C10590" s="1" t="n">
        <v>45715</v>
      </c>
      <c r="D10590" t="inlineStr">
        <is>
          <t>KALMAR LÄN</t>
        </is>
      </c>
      <c r="E10590" t="inlineStr">
        <is>
          <t>VÄSTERVIK</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7531-2024</t>
        </is>
      </c>
      <c r="B10591" s="1" t="n">
        <v>45348</v>
      </c>
      <c r="C10591" s="1" t="n">
        <v>45715</v>
      </c>
      <c r="D10591" t="inlineStr">
        <is>
          <t>KALMAR LÄN</t>
        </is>
      </c>
      <c r="E10591" t="inlineStr">
        <is>
          <t>HULTSFRED</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7548-2024</t>
        </is>
      </c>
      <c r="B10592" s="1" t="n">
        <v>45348</v>
      </c>
      <c r="C10592" s="1" t="n">
        <v>45715</v>
      </c>
      <c r="D10592" t="inlineStr">
        <is>
          <t>KALMAR LÄN</t>
        </is>
      </c>
      <c r="E10592" t="inlineStr">
        <is>
          <t>VÄSTERVIK</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7599-2024</t>
        </is>
      </c>
      <c r="B10593" s="1" t="n">
        <v>45348</v>
      </c>
      <c r="C10593" s="1" t="n">
        <v>45715</v>
      </c>
      <c r="D10593" t="inlineStr">
        <is>
          <t>KALMAR LÄN</t>
        </is>
      </c>
      <c r="E10593" t="inlineStr">
        <is>
          <t>HÖGSBY</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7578-2024</t>
        </is>
      </c>
      <c r="B10594" s="1" t="n">
        <v>45348</v>
      </c>
      <c r="C10594" s="1" t="n">
        <v>45715</v>
      </c>
      <c r="D10594" t="inlineStr">
        <is>
          <t>KALMAR LÄN</t>
        </is>
      </c>
      <c r="E10594" t="inlineStr">
        <is>
          <t>TORSÅS</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7664-2024</t>
        </is>
      </c>
      <c r="B10595" s="1" t="n">
        <v>45348</v>
      </c>
      <c r="C10595" s="1" t="n">
        <v>45715</v>
      </c>
      <c r="D10595" t="inlineStr">
        <is>
          <t>KALMAR LÄN</t>
        </is>
      </c>
      <c r="E10595" t="inlineStr">
        <is>
          <t>HÖGSBY</t>
        </is>
      </c>
      <c r="F10595" t="inlineStr">
        <is>
          <t>Sveaskog</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7669-2024</t>
        </is>
      </c>
      <c r="B10596" s="1" t="n">
        <v>45348</v>
      </c>
      <c r="C10596" s="1" t="n">
        <v>45715</v>
      </c>
      <c r="D10596" t="inlineStr">
        <is>
          <t>KALMAR LÄN</t>
        </is>
      </c>
      <c r="E10596" t="inlineStr">
        <is>
          <t>BORGHOLM</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7673-2024</t>
        </is>
      </c>
      <c r="B10597" s="1" t="n">
        <v>45348</v>
      </c>
      <c r="C10597" s="1" t="n">
        <v>45715</v>
      </c>
      <c r="D10597" t="inlineStr">
        <is>
          <t>KALMAR LÄN</t>
        </is>
      </c>
      <c r="E10597" t="inlineStr">
        <is>
          <t>OSKARSHAMN</t>
        </is>
      </c>
      <c r="F10597" t="inlineStr">
        <is>
          <t>Sveaskog</t>
        </is>
      </c>
      <c r="G10597" t="n">
        <v>15.8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7672-2024</t>
        </is>
      </c>
      <c r="B10598" s="1" t="n">
        <v>45348</v>
      </c>
      <c r="C10598" s="1" t="n">
        <v>45715</v>
      </c>
      <c r="D10598" t="inlineStr">
        <is>
          <t>KALMAR LÄN</t>
        </is>
      </c>
      <c r="E10598" t="inlineStr">
        <is>
          <t>OSKARSHAMN</t>
        </is>
      </c>
      <c r="F10598" t="inlineStr">
        <is>
          <t>Sveaskog</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7680-2024</t>
        </is>
      </c>
      <c r="B10599" s="1" t="n">
        <v>45348</v>
      </c>
      <c r="C10599" s="1" t="n">
        <v>45715</v>
      </c>
      <c r="D10599" t="inlineStr">
        <is>
          <t>KALMAR LÄN</t>
        </is>
      </c>
      <c r="E10599" t="inlineStr">
        <is>
          <t>HÖGSBY</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7675-2024</t>
        </is>
      </c>
      <c r="B10600" s="1" t="n">
        <v>45348</v>
      </c>
      <c r="C10600" s="1" t="n">
        <v>45715</v>
      </c>
      <c r="D10600" t="inlineStr">
        <is>
          <t>KALMAR LÄN</t>
        </is>
      </c>
      <c r="E10600" t="inlineStr">
        <is>
          <t>OSKARSHAMN</t>
        </is>
      </c>
      <c r="F10600" t="inlineStr">
        <is>
          <t>Sveaskog</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7688-2024</t>
        </is>
      </c>
      <c r="B10601" s="1" t="n">
        <v>45349</v>
      </c>
      <c r="C10601" s="1" t="n">
        <v>45715</v>
      </c>
      <c r="D10601" t="inlineStr">
        <is>
          <t>KALMAR LÄN</t>
        </is>
      </c>
      <c r="E10601" t="inlineStr">
        <is>
          <t>VÄSTERVIK</t>
        </is>
      </c>
      <c r="F10601" t="inlineStr">
        <is>
          <t>Holmen skog AB</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7612-2024</t>
        </is>
      </c>
      <c r="B10602" s="1" t="n">
        <v>45348</v>
      </c>
      <c r="C10602" s="1" t="n">
        <v>45715</v>
      </c>
      <c r="D10602" t="inlineStr">
        <is>
          <t>KALMAR LÄN</t>
        </is>
      </c>
      <c r="E10602" t="inlineStr">
        <is>
          <t>HÖGSBY</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7662-2024</t>
        </is>
      </c>
      <c r="B10603" s="1" t="n">
        <v>45348</v>
      </c>
      <c r="C10603" s="1" t="n">
        <v>45715</v>
      </c>
      <c r="D10603" t="inlineStr">
        <is>
          <t>KALMAR LÄN</t>
        </is>
      </c>
      <c r="E10603" t="inlineStr">
        <is>
          <t>HÖGSBY</t>
        </is>
      </c>
      <c r="F10603" t="inlineStr">
        <is>
          <t>Sveaskog</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7674-2024</t>
        </is>
      </c>
      <c r="B10604" s="1" t="n">
        <v>45348</v>
      </c>
      <c r="C10604" s="1" t="n">
        <v>45715</v>
      </c>
      <c r="D10604" t="inlineStr">
        <is>
          <t>KALMAR LÄN</t>
        </is>
      </c>
      <c r="E10604" t="inlineStr">
        <is>
          <t>OSKARSHAMN</t>
        </is>
      </c>
      <c r="F10604" t="inlineStr">
        <is>
          <t>Sveaskog</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7678-2024</t>
        </is>
      </c>
      <c r="B10605" s="1" t="n">
        <v>45348</v>
      </c>
      <c r="C10605" s="1" t="n">
        <v>45715</v>
      </c>
      <c r="D10605" t="inlineStr">
        <is>
          <t>KALMAR LÄN</t>
        </is>
      </c>
      <c r="E10605" t="inlineStr">
        <is>
          <t>HÖGSBY</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7687-2024</t>
        </is>
      </c>
      <c r="B10606" s="1" t="n">
        <v>45349</v>
      </c>
      <c r="C10606" s="1" t="n">
        <v>45715</v>
      </c>
      <c r="D10606" t="inlineStr">
        <is>
          <t>KALMAR LÄN</t>
        </is>
      </c>
      <c r="E10606" t="inlineStr">
        <is>
          <t>VÄSTERVIK</t>
        </is>
      </c>
      <c r="F10606" t="inlineStr">
        <is>
          <t>Holmen skog AB</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7758-2024</t>
        </is>
      </c>
      <c r="B10607" s="1" t="n">
        <v>45349</v>
      </c>
      <c r="C10607" s="1" t="n">
        <v>45715</v>
      </c>
      <c r="D10607" t="inlineStr">
        <is>
          <t>KALMAR LÄN</t>
        </is>
      </c>
      <c r="E10607" t="inlineStr">
        <is>
          <t>VIMMERBY</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7759-2024</t>
        </is>
      </c>
      <c r="B10608" s="1" t="n">
        <v>45349</v>
      </c>
      <c r="C10608" s="1" t="n">
        <v>45715</v>
      </c>
      <c r="D10608" t="inlineStr">
        <is>
          <t>KALMAR LÄN</t>
        </is>
      </c>
      <c r="E10608" t="inlineStr">
        <is>
          <t>VIMMERBY</t>
        </is>
      </c>
      <c r="G10608" t="n">
        <v>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7764-2024</t>
        </is>
      </c>
      <c r="B10609" s="1" t="n">
        <v>45349</v>
      </c>
      <c r="C10609" s="1" t="n">
        <v>45715</v>
      </c>
      <c r="D10609" t="inlineStr">
        <is>
          <t>KALMAR LÄN</t>
        </is>
      </c>
      <c r="E10609" t="inlineStr">
        <is>
          <t>NYBRO</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7795-2024</t>
        </is>
      </c>
      <c r="B10610" s="1" t="n">
        <v>45349</v>
      </c>
      <c r="C10610" s="1" t="n">
        <v>45715</v>
      </c>
      <c r="D10610" t="inlineStr">
        <is>
          <t>KALMAR LÄN</t>
        </is>
      </c>
      <c r="E10610" t="inlineStr">
        <is>
          <t>HULTSFRED</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7808-2024</t>
        </is>
      </c>
      <c r="B10611" s="1" t="n">
        <v>45349</v>
      </c>
      <c r="C10611" s="1" t="n">
        <v>45715</v>
      </c>
      <c r="D10611" t="inlineStr">
        <is>
          <t>KALMAR LÄN</t>
        </is>
      </c>
      <c r="E10611" t="inlineStr">
        <is>
          <t>EMMABODA</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7812-2024</t>
        </is>
      </c>
      <c r="B10612" s="1" t="n">
        <v>45349</v>
      </c>
      <c r="C10612" s="1" t="n">
        <v>45715</v>
      </c>
      <c r="D10612" t="inlineStr">
        <is>
          <t>KALMAR LÄN</t>
        </is>
      </c>
      <c r="E10612" t="inlineStr">
        <is>
          <t>KALMAR</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7840-2024</t>
        </is>
      </c>
      <c r="B10613" s="1" t="n">
        <v>45349</v>
      </c>
      <c r="C10613" s="1" t="n">
        <v>45715</v>
      </c>
      <c r="D10613" t="inlineStr">
        <is>
          <t>KALMAR LÄN</t>
        </is>
      </c>
      <c r="E10613" t="inlineStr">
        <is>
          <t>EMMABODA</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7813-2024</t>
        </is>
      </c>
      <c r="B10614" s="1" t="n">
        <v>45349</v>
      </c>
      <c r="C10614" s="1" t="n">
        <v>45715</v>
      </c>
      <c r="D10614" t="inlineStr">
        <is>
          <t>KALMAR LÄN</t>
        </is>
      </c>
      <c r="E10614" t="inlineStr">
        <is>
          <t>OSKARSHAMN</t>
        </is>
      </c>
      <c r="G10614" t="n">
        <v>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7829-2024</t>
        </is>
      </c>
      <c r="B10615" s="1" t="n">
        <v>45349</v>
      </c>
      <c r="C10615" s="1" t="n">
        <v>45715</v>
      </c>
      <c r="D10615" t="inlineStr">
        <is>
          <t>KALMAR LÄN</t>
        </is>
      </c>
      <c r="E10615" t="inlineStr">
        <is>
          <t>VIMMERBY</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7841-2024</t>
        </is>
      </c>
      <c r="B10616" s="1" t="n">
        <v>45349</v>
      </c>
      <c r="C10616" s="1" t="n">
        <v>45715</v>
      </c>
      <c r="D10616" t="inlineStr">
        <is>
          <t>KALMAR LÄN</t>
        </is>
      </c>
      <c r="E10616" t="inlineStr">
        <is>
          <t>EMMABODA</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7798-2024</t>
        </is>
      </c>
      <c r="B10617" s="1" t="n">
        <v>45349</v>
      </c>
      <c r="C10617" s="1" t="n">
        <v>45715</v>
      </c>
      <c r="D10617" t="inlineStr">
        <is>
          <t>KALMAR LÄN</t>
        </is>
      </c>
      <c r="E10617" t="inlineStr">
        <is>
          <t>HULTSFRED</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7805-2024</t>
        </is>
      </c>
      <c r="B10618" s="1" t="n">
        <v>45349</v>
      </c>
      <c r="C10618" s="1" t="n">
        <v>45715</v>
      </c>
      <c r="D10618" t="inlineStr">
        <is>
          <t>KALMAR LÄN</t>
        </is>
      </c>
      <c r="E10618" t="inlineStr">
        <is>
          <t>KALMAR</t>
        </is>
      </c>
      <c r="G10618" t="n">
        <v>4.7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7830-2024</t>
        </is>
      </c>
      <c r="B10619" s="1" t="n">
        <v>45349</v>
      </c>
      <c r="C10619" s="1" t="n">
        <v>45715</v>
      </c>
      <c r="D10619" t="inlineStr">
        <is>
          <t>KALMAR LÄN</t>
        </is>
      </c>
      <c r="E10619" t="inlineStr">
        <is>
          <t>VIMMERBY</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7834-2024</t>
        </is>
      </c>
      <c r="B10620" s="1" t="n">
        <v>45349</v>
      </c>
      <c r="C10620" s="1" t="n">
        <v>45715</v>
      </c>
      <c r="D10620" t="inlineStr">
        <is>
          <t>KALMAR LÄN</t>
        </is>
      </c>
      <c r="E10620" t="inlineStr">
        <is>
          <t>EMMABODA</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7842-2024</t>
        </is>
      </c>
      <c r="B10621" s="1" t="n">
        <v>45349</v>
      </c>
      <c r="C10621" s="1" t="n">
        <v>45715</v>
      </c>
      <c r="D10621" t="inlineStr">
        <is>
          <t>KALMAR LÄN</t>
        </is>
      </c>
      <c r="E10621" t="inlineStr">
        <is>
          <t>EMMABODA</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7839-2024</t>
        </is>
      </c>
      <c r="B10622" s="1" t="n">
        <v>45349</v>
      </c>
      <c r="C10622" s="1" t="n">
        <v>45715</v>
      </c>
      <c r="D10622" t="inlineStr">
        <is>
          <t>KALMAR LÄN</t>
        </is>
      </c>
      <c r="E10622" t="inlineStr">
        <is>
          <t>EMMABODA</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7980-2024</t>
        </is>
      </c>
      <c r="B10623" s="1" t="n">
        <v>45350</v>
      </c>
      <c r="C10623" s="1" t="n">
        <v>45715</v>
      </c>
      <c r="D10623" t="inlineStr">
        <is>
          <t>KALMAR LÄN</t>
        </is>
      </c>
      <c r="E10623" t="inlineStr">
        <is>
          <t>MÖNSTERÅS</t>
        </is>
      </c>
      <c r="G10623" t="n">
        <v>7.3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8002-2024</t>
        </is>
      </c>
      <c r="B10624" s="1" t="n">
        <v>45350</v>
      </c>
      <c r="C10624" s="1" t="n">
        <v>45715</v>
      </c>
      <c r="D10624" t="inlineStr">
        <is>
          <t>KALMAR LÄN</t>
        </is>
      </c>
      <c r="E10624" t="inlineStr">
        <is>
          <t>TORSÅS</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7969-2024</t>
        </is>
      </c>
      <c r="B10625" s="1" t="n">
        <v>45350</v>
      </c>
      <c r="C10625" s="1" t="n">
        <v>45715</v>
      </c>
      <c r="D10625" t="inlineStr">
        <is>
          <t>KALMAR LÄN</t>
        </is>
      </c>
      <c r="E10625" t="inlineStr">
        <is>
          <t>TORSÅS</t>
        </is>
      </c>
      <c r="G10625" t="n">
        <v>13.8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7978-2024</t>
        </is>
      </c>
      <c r="B10626" s="1" t="n">
        <v>45350</v>
      </c>
      <c r="C10626" s="1" t="n">
        <v>45715</v>
      </c>
      <c r="D10626" t="inlineStr">
        <is>
          <t>KALMAR LÄN</t>
        </is>
      </c>
      <c r="E10626" t="inlineStr">
        <is>
          <t>MÖNSTERÅS</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7985-2024</t>
        </is>
      </c>
      <c r="B10627" s="1" t="n">
        <v>45350</v>
      </c>
      <c r="C10627" s="1" t="n">
        <v>45715</v>
      </c>
      <c r="D10627" t="inlineStr">
        <is>
          <t>KALMAR LÄN</t>
        </is>
      </c>
      <c r="E10627" t="inlineStr">
        <is>
          <t>HULTSFRED</t>
        </is>
      </c>
      <c r="G10627" t="n">
        <v>5.5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7944-2024</t>
        </is>
      </c>
      <c r="B10628" s="1" t="n">
        <v>45350</v>
      </c>
      <c r="C10628" s="1" t="n">
        <v>45715</v>
      </c>
      <c r="D10628" t="inlineStr">
        <is>
          <t>KALMAR LÄN</t>
        </is>
      </c>
      <c r="E10628" t="inlineStr">
        <is>
          <t>VIMMERBY</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7957-2024</t>
        </is>
      </c>
      <c r="B10629" s="1" t="n">
        <v>45350</v>
      </c>
      <c r="C10629" s="1" t="n">
        <v>45715</v>
      </c>
      <c r="D10629" t="inlineStr">
        <is>
          <t>KALMAR LÄN</t>
        </is>
      </c>
      <c r="E10629" t="inlineStr">
        <is>
          <t>MÖNSTERÅS</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7976-2024</t>
        </is>
      </c>
      <c r="B10630" s="1" t="n">
        <v>45350</v>
      </c>
      <c r="C10630" s="1" t="n">
        <v>45715</v>
      </c>
      <c r="D10630" t="inlineStr">
        <is>
          <t>KALMAR LÄN</t>
        </is>
      </c>
      <c r="E10630" t="inlineStr">
        <is>
          <t>MÖNSTERÅS</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7987-2024</t>
        </is>
      </c>
      <c r="B10631" s="1" t="n">
        <v>45350</v>
      </c>
      <c r="C10631" s="1" t="n">
        <v>45715</v>
      </c>
      <c r="D10631" t="inlineStr">
        <is>
          <t>KALMAR LÄN</t>
        </is>
      </c>
      <c r="E10631" t="inlineStr">
        <is>
          <t>HULTSFRED</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8325-2024</t>
        </is>
      </c>
      <c r="B10632" s="1" t="n">
        <v>45350</v>
      </c>
      <c r="C10632" s="1" t="n">
        <v>45715</v>
      </c>
      <c r="D10632" t="inlineStr">
        <is>
          <t>KALMAR LÄN</t>
        </is>
      </c>
      <c r="E10632" t="inlineStr">
        <is>
          <t>OSKARSHAMN</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8043-2024</t>
        </is>
      </c>
      <c r="B10633" s="1" t="n">
        <v>45351</v>
      </c>
      <c r="C10633" s="1" t="n">
        <v>45715</v>
      </c>
      <c r="D10633" t="inlineStr">
        <is>
          <t>KALMAR LÄN</t>
        </is>
      </c>
      <c r="E10633" t="inlineStr">
        <is>
          <t>VIMMERBY</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8164-2024</t>
        </is>
      </c>
      <c r="B10634" s="1" t="n">
        <v>45351</v>
      </c>
      <c r="C10634" s="1" t="n">
        <v>45715</v>
      </c>
      <c r="D10634" t="inlineStr">
        <is>
          <t>KALMAR LÄN</t>
        </is>
      </c>
      <c r="E10634" t="inlineStr">
        <is>
          <t>EMMABODA</t>
        </is>
      </c>
      <c r="G10634" t="n">
        <v>11.8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8041-2024</t>
        </is>
      </c>
      <c r="B10635" s="1" t="n">
        <v>45351</v>
      </c>
      <c r="C10635" s="1" t="n">
        <v>45715</v>
      </c>
      <c r="D10635" t="inlineStr">
        <is>
          <t>KALMAR LÄN</t>
        </is>
      </c>
      <c r="E10635" t="inlineStr">
        <is>
          <t>KALMAR</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8083-2024</t>
        </is>
      </c>
      <c r="B10636" s="1" t="n">
        <v>45351</v>
      </c>
      <c r="C10636" s="1" t="n">
        <v>45715</v>
      </c>
      <c r="D10636" t="inlineStr">
        <is>
          <t>KALMAR LÄN</t>
        </is>
      </c>
      <c r="E10636" t="inlineStr">
        <is>
          <t>OSKARSHAMN</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8141-2024</t>
        </is>
      </c>
      <c r="B10637" s="1" t="n">
        <v>45351</v>
      </c>
      <c r="C10637" s="1" t="n">
        <v>45715</v>
      </c>
      <c r="D10637" t="inlineStr">
        <is>
          <t>KALMAR LÄN</t>
        </is>
      </c>
      <c r="E10637" t="inlineStr">
        <is>
          <t>EMMABODA</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8057-2024</t>
        </is>
      </c>
      <c r="B10638" s="1" t="n">
        <v>45351</v>
      </c>
      <c r="C10638" s="1" t="n">
        <v>45715</v>
      </c>
      <c r="D10638" t="inlineStr">
        <is>
          <t>KALMAR LÄN</t>
        </is>
      </c>
      <c r="E10638" t="inlineStr">
        <is>
          <t>OSKARSHAMN</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8089-2024</t>
        </is>
      </c>
      <c r="B10639" s="1" t="n">
        <v>45351</v>
      </c>
      <c r="C10639" s="1" t="n">
        <v>45715</v>
      </c>
      <c r="D10639" t="inlineStr">
        <is>
          <t>KALMAR LÄN</t>
        </is>
      </c>
      <c r="E10639" t="inlineStr">
        <is>
          <t>VÄSTERVIK</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8151-2024</t>
        </is>
      </c>
      <c r="B10640" s="1" t="n">
        <v>45351</v>
      </c>
      <c r="C10640" s="1" t="n">
        <v>45715</v>
      </c>
      <c r="D10640" t="inlineStr">
        <is>
          <t>KALMAR LÄN</t>
        </is>
      </c>
      <c r="E10640" t="inlineStr">
        <is>
          <t>EMMABODA</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8214-2024</t>
        </is>
      </c>
      <c r="B10641" s="1" t="n">
        <v>45351</v>
      </c>
      <c r="C10641" s="1" t="n">
        <v>45715</v>
      </c>
      <c r="D10641" t="inlineStr">
        <is>
          <t>KALMAR LÄN</t>
        </is>
      </c>
      <c r="E10641" t="inlineStr">
        <is>
          <t>VIMMERBY</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8156-2024</t>
        </is>
      </c>
      <c r="B10642" s="1" t="n">
        <v>45351</v>
      </c>
      <c r="C10642" s="1" t="n">
        <v>45715</v>
      </c>
      <c r="D10642" t="inlineStr">
        <is>
          <t>KALMAR LÄN</t>
        </is>
      </c>
      <c r="E10642" t="inlineStr">
        <is>
          <t>MÖNSTERÅS</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8167-2024</t>
        </is>
      </c>
      <c r="B10643" s="1" t="n">
        <v>45351</v>
      </c>
      <c r="C10643" s="1" t="n">
        <v>45715</v>
      </c>
      <c r="D10643" t="inlineStr">
        <is>
          <t>KALMAR LÄN</t>
        </is>
      </c>
      <c r="E10643" t="inlineStr">
        <is>
          <t>VIMMERBY</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8213-2024</t>
        </is>
      </c>
      <c r="B10644" s="1" t="n">
        <v>45351</v>
      </c>
      <c r="C10644" s="1" t="n">
        <v>45715</v>
      </c>
      <c r="D10644" t="inlineStr">
        <is>
          <t>KALMAR LÄN</t>
        </is>
      </c>
      <c r="E10644" t="inlineStr">
        <is>
          <t>VIMMERBY</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8406-2024</t>
        </is>
      </c>
      <c r="B10645" s="1" t="n">
        <v>45352</v>
      </c>
      <c r="C10645" s="1" t="n">
        <v>45715</v>
      </c>
      <c r="D10645" t="inlineStr">
        <is>
          <t>KALMAR LÄN</t>
        </is>
      </c>
      <c r="E10645" t="inlineStr">
        <is>
          <t>TORSÅS</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8310-2024</t>
        </is>
      </c>
      <c r="B10646" s="1" t="n">
        <v>45352</v>
      </c>
      <c r="C10646" s="1" t="n">
        <v>45715</v>
      </c>
      <c r="D10646" t="inlineStr">
        <is>
          <t>KALMAR LÄN</t>
        </is>
      </c>
      <c r="E10646" t="inlineStr">
        <is>
          <t>MÖNSTERÅS</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8334-2024</t>
        </is>
      </c>
      <c r="B10647" s="1" t="n">
        <v>45352</v>
      </c>
      <c r="C10647" s="1" t="n">
        <v>45715</v>
      </c>
      <c r="D10647" t="inlineStr">
        <is>
          <t>KALMAR LÄN</t>
        </is>
      </c>
      <c r="E10647" t="inlineStr">
        <is>
          <t>HULTSFRED</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8259-2024</t>
        </is>
      </c>
      <c r="B10648" s="1" t="n">
        <v>45352</v>
      </c>
      <c r="C10648" s="1" t="n">
        <v>45715</v>
      </c>
      <c r="D10648" t="inlineStr">
        <is>
          <t>KALMAR LÄN</t>
        </is>
      </c>
      <c r="E10648" t="inlineStr">
        <is>
          <t>HULTSFRED</t>
        </is>
      </c>
      <c r="G10648" t="n">
        <v>4.4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8275-2024</t>
        </is>
      </c>
      <c r="B10649" s="1" t="n">
        <v>45352</v>
      </c>
      <c r="C10649" s="1" t="n">
        <v>45715</v>
      </c>
      <c r="D10649" t="inlineStr">
        <is>
          <t>KALMAR LÄN</t>
        </is>
      </c>
      <c r="E10649" t="inlineStr">
        <is>
          <t>OSKARSHAMN</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8332-2024</t>
        </is>
      </c>
      <c r="B10650" s="1" t="n">
        <v>45352</v>
      </c>
      <c r="C10650" s="1" t="n">
        <v>45715</v>
      </c>
      <c r="D10650" t="inlineStr">
        <is>
          <t>KALMAR LÄN</t>
        </is>
      </c>
      <c r="E10650" t="inlineStr">
        <is>
          <t>HULTSFRED</t>
        </is>
      </c>
      <c r="G10650" t="n">
        <v>8.800000000000001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8354-2024</t>
        </is>
      </c>
      <c r="B10651" s="1" t="n">
        <v>45352</v>
      </c>
      <c r="C10651" s="1" t="n">
        <v>45715</v>
      </c>
      <c r="D10651" t="inlineStr">
        <is>
          <t>KALMAR LÄN</t>
        </is>
      </c>
      <c r="E10651" t="inlineStr">
        <is>
          <t>HULTSFRED</t>
        </is>
      </c>
      <c r="G10651" t="n">
        <v>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8320-2024</t>
        </is>
      </c>
      <c r="B10652" s="1" t="n">
        <v>45352</v>
      </c>
      <c r="C10652" s="1" t="n">
        <v>45715</v>
      </c>
      <c r="D10652" t="inlineStr">
        <is>
          <t>KALMAR LÄN</t>
        </is>
      </c>
      <c r="E10652" t="inlineStr">
        <is>
          <t>MÖNSTERÅS</t>
        </is>
      </c>
      <c r="G10652" t="n">
        <v>17.3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8350-2024</t>
        </is>
      </c>
      <c r="B10653" s="1" t="n">
        <v>45352</v>
      </c>
      <c r="C10653" s="1" t="n">
        <v>45715</v>
      </c>
      <c r="D10653" t="inlineStr">
        <is>
          <t>KALMAR LÄN</t>
        </is>
      </c>
      <c r="E10653" t="inlineStr">
        <is>
          <t>HULTSFRED</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8369-2024</t>
        </is>
      </c>
      <c r="B10654" s="1" t="n">
        <v>45352</v>
      </c>
      <c r="C10654" s="1" t="n">
        <v>45715</v>
      </c>
      <c r="D10654" t="inlineStr">
        <is>
          <t>KALMAR LÄN</t>
        </is>
      </c>
      <c r="E10654" t="inlineStr">
        <is>
          <t>HULTSFRED</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8405-2024</t>
        </is>
      </c>
      <c r="B10655" s="1" t="n">
        <v>45352</v>
      </c>
      <c r="C10655" s="1" t="n">
        <v>45715</v>
      </c>
      <c r="D10655" t="inlineStr">
        <is>
          <t>KALMAR LÄN</t>
        </is>
      </c>
      <c r="E10655" t="inlineStr">
        <is>
          <t>TORSÅS</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8481-2024</t>
        </is>
      </c>
      <c r="B10656" s="1" t="n">
        <v>45355</v>
      </c>
      <c r="C10656" s="1" t="n">
        <v>45715</v>
      </c>
      <c r="D10656" t="inlineStr">
        <is>
          <t>KALMAR LÄN</t>
        </is>
      </c>
      <c r="E10656" t="inlineStr">
        <is>
          <t>EMMABODA</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8540-2024</t>
        </is>
      </c>
      <c r="B10657" s="1" t="n">
        <v>45355</v>
      </c>
      <c r="C10657" s="1" t="n">
        <v>45715</v>
      </c>
      <c r="D10657" t="inlineStr">
        <is>
          <t>KALMAR LÄN</t>
        </is>
      </c>
      <c r="E10657" t="inlineStr">
        <is>
          <t>VIMMERBY</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8468-2024</t>
        </is>
      </c>
      <c r="B10658" s="1" t="n">
        <v>45355</v>
      </c>
      <c r="C10658" s="1" t="n">
        <v>45715</v>
      </c>
      <c r="D10658" t="inlineStr">
        <is>
          <t>KALMAR LÄN</t>
        </is>
      </c>
      <c r="E10658" t="inlineStr">
        <is>
          <t>MÖNSTERÅS</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8488-2024</t>
        </is>
      </c>
      <c r="B10659" s="1" t="n">
        <v>45355</v>
      </c>
      <c r="C10659" s="1" t="n">
        <v>45715</v>
      </c>
      <c r="D10659" t="inlineStr">
        <is>
          <t>KALMAR LÄN</t>
        </is>
      </c>
      <c r="E10659" t="inlineStr">
        <is>
          <t>EMMABODA</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8525-2024</t>
        </is>
      </c>
      <c r="B10660" s="1" t="n">
        <v>45355</v>
      </c>
      <c r="C10660" s="1" t="n">
        <v>45715</v>
      </c>
      <c r="D10660" t="inlineStr">
        <is>
          <t>KALMAR LÄN</t>
        </is>
      </c>
      <c r="E10660" t="inlineStr">
        <is>
          <t>MÖNSTERÅS</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8539-2024</t>
        </is>
      </c>
      <c r="B10661" s="1" t="n">
        <v>45355</v>
      </c>
      <c r="C10661" s="1" t="n">
        <v>45715</v>
      </c>
      <c r="D10661" t="inlineStr">
        <is>
          <t>KALMAR LÄN</t>
        </is>
      </c>
      <c r="E10661" t="inlineStr">
        <is>
          <t>TORSÅS</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8549-2024</t>
        </is>
      </c>
      <c r="B10662" s="1" t="n">
        <v>45355</v>
      </c>
      <c r="C10662" s="1" t="n">
        <v>45715</v>
      </c>
      <c r="D10662" t="inlineStr">
        <is>
          <t>KALMAR LÄN</t>
        </is>
      </c>
      <c r="E10662" t="inlineStr">
        <is>
          <t>HULTSFRED</t>
        </is>
      </c>
      <c r="G10662" t="n">
        <v>10.5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8617-2024</t>
        </is>
      </c>
      <c r="B10663" s="1" t="n">
        <v>45355</v>
      </c>
      <c r="C10663" s="1" t="n">
        <v>45715</v>
      </c>
      <c r="D10663" t="inlineStr">
        <is>
          <t>KALMAR LÄN</t>
        </is>
      </c>
      <c r="E10663" t="inlineStr">
        <is>
          <t>HÖGSBY</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8807-2024</t>
        </is>
      </c>
      <c r="B10664" s="1" t="n">
        <v>45355</v>
      </c>
      <c r="C10664" s="1" t="n">
        <v>45715</v>
      </c>
      <c r="D10664" t="inlineStr">
        <is>
          <t>KALMAR LÄN</t>
        </is>
      </c>
      <c r="E10664" t="inlineStr">
        <is>
          <t>HULTSFRED</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8619-2024</t>
        </is>
      </c>
      <c r="B10665" s="1" t="n">
        <v>45355</v>
      </c>
      <c r="C10665" s="1" t="n">
        <v>45715</v>
      </c>
      <c r="D10665" t="inlineStr">
        <is>
          <t>KALMAR LÄN</t>
        </is>
      </c>
      <c r="E10665" t="inlineStr">
        <is>
          <t>VÄSTERVIK</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8686-2024</t>
        </is>
      </c>
      <c r="B10666" s="1" t="n">
        <v>45356</v>
      </c>
      <c r="C10666" s="1" t="n">
        <v>45715</v>
      </c>
      <c r="D10666" t="inlineStr">
        <is>
          <t>KALMAR LÄN</t>
        </is>
      </c>
      <c r="E10666" t="inlineStr">
        <is>
          <t>NYBRO</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8696-2024</t>
        </is>
      </c>
      <c r="B10667" s="1" t="n">
        <v>45356</v>
      </c>
      <c r="C10667" s="1" t="n">
        <v>45715</v>
      </c>
      <c r="D10667" t="inlineStr">
        <is>
          <t>KALMAR LÄN</t>
        </is>
      </c>
      <c r="E10667" t="inlineStr">
        <is>
          <t>NYBRO</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8679-2024</t>
        </is>
      </c>
      <c r="B10668" s="1" t="n">
        <v>45356</v>
      </c>
      <c r="C10668" s="1" t="n">
        <v>45715</v>
      </c>
      <c r="D10668" t="inlineStr">
        <is>
          <t>KALMAR LÄN</t>
        </is>
      </c>
      <c r="E10668" t="inlineStr">
        <is>
          <t>KALMAR</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8688-2024</t>
        </is>
      </c>
      <c r="B10669" s="1" t="n">
        <v>45356</v>
      </c>
      <c r="C10669" s="1" t="n">
        <v>45715</v>
      </c>
      <c r="D10669" t="inlineStr">
        <is>
          <t>KALMAR LÄN</t>
        </is>
      </c>
      <c r="E10669" t="inlineStr">
        <is>
          <t>NYBRO</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8791-2024</t>
        </is>
      </c>
      <c r="B10670" s="1" t="n">
        <v>45356</v>
      </c>
      <c r="C10670" s="1" t="n">
        <v>45715</v>
      </c>
      <c r="D10670" t="inlineStr">
        <is>
          <t>KALMAR LÄN</t>
        </is>
      </c>
      <c r="E10670" t="inlineStr">
        <is>
          <t>TORSÅS</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8800-2024</t>
        </is>
      </c>
      <c r="B10671" s="1" t="n">
        <v>45356</v>
      </c>
      <c r="C10671" s="1" t="n">
        <v>45715</v>
      </c>
      <c r="D10671" t="inlineStr">
        <is>
          <t>KALMAR LÄN</t>
        </is>
      </c>
      <c r="E10671" t="inlineStr">
        <is>
          <t>HULTSFRED</t>
        </is>
      </c>
      <c r="G10671" t="n">
        <v>6.2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8731-2024</t>
        </is>
      </c>
      <c r="B10672" s="1" t="n">
        <v>45356</v>
      </c>
      <c r="C10672" s="1" t="n">
        <v>45715</v>
      </c>
      <c r="D10672" t="inlineStr">
        <is>
          <t>KALMAR LÄN</t>
        </is>
      </c>
      <c r="E10672" t="inlineStr">
        <is>
          <t>VÄSTERVIK</t>
        </is>
      </c>
      <c r="F10672" t="inlineStr">
        <is>
          <t>Sveaskog</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8700-2024</t>
        </is>
      </c>
      <c r="B10673" s="1" t="n">
        <v>45356</v>
      </c>
      <c r="C10673" s="1" t="n">
        <v>45715</v>
      </c>
      <c r="D10673" t="inlineStr">
        <is>
          <t>KALMAR LÄN</t>
        </is>
      </c>
      <c r="E10673" t="inlineStr">
        <is>
          <t>KALMAR</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8692-2024</t>
        </is>
      </c>
      <c r="B10674" s="1" t="n">
        <v>45356</v>
      </c>
      <c r="C10674" s="1" t="n">
        <v>45715</v>
      </c>
      <c r="D10674" t="inlineStr">
        <is>
          <t>KALMAR LÄN</t>
        </is>
      </c>
      <c r="E10674" t="inlineStr">
        <is>
          <t>NYBRO</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8697-2024</t>
        </is>
      </c>
      <c r="B10675" s="1" t="n">
        <v>45356</v>
      </c>
      <c r="C10675" s="1" t="n">
        <v>45715</v>
      </c>
      <c r="D10675" t="inlineStr">
        <is>
          <t>KALMAR LÄN</t>
        </is>
      </c>
      <c r="E10675" t="inlineStr">
        <is>
          <t>NYBRO</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8732-2024</t>
        </is>
      </c>
      <c r="B10676" s="1" t="n">
        <v>45356</v>
      </c>
      <c r="C10676" s="1" t="n">
        <v>45715</v>
      </c>
      <c r="D10676" t="inlineStr">
        <is>
          <t>KALMAR LÄN</t>
        </is>
      </c>
      <c r="E10676" t="inlineStr">
        <is>
          <t>VÄSTERVIK</t>
        </is>
      </c>
      <c r="F10676" t="inlineStr">
        <is>
          <t>Sveaskog</t>
        </is>
      </c>
      <c r="G10676" t="n">
        <v>9.199999999999999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8770-2024</t>
        </is>
      </c>
      <c r="B10677" s="1" t="n">
        <v>45356</v>
      </c>
      <c r="C10677" s="1" t="n">
        <v>45715</v>
      </c>
      <c r="D10677" t="inlineStr">
        <is>
          <t>KALMAR LÄN</t>
        </is>
      </c>
      <c r="E10677" t="inlineStr">
        <is>
          <t>VIMMERBY</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8963-2024</t>
        </is>
      </c>
      <c r="B10678" s="1" t="n">
        <v>45357</v>
      </c>
      <c r="C10678" s="1" t="n">
        <v>45715</v>
      </c>
      <c r="D10678" t="inlineStr">
        <is>
          <t>KALMAR LÄN</t>
        </is>
      </c>
      <c r="E10678" t="inlineStr">
        <is>
          <t>OSKARSHAMN</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8935-2024</t>
        </is>
      </c>
      <c r="B10679" s="1" t="n">
        <v>45357</v>
      </c>
      <c r="C10679" s="1" t="n">
        <v>45715</v>
      </c>
      <c r="D10679" t="inlineStr">
        <is>
          <t>KALMAR LÄN</t>
        </is>
      </c>
      <c r="E10679" t="inlineStr">
        <is>
          <t>OSKARSHAMN</t>
        </is>
      </c>
      <c r="G10679" t="n">
        <v>4.4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9052-2024</t>
        </is>
      </c>
      <c r="B10680" s="1" t="n">
        <v>45357</v>
      </c>
      <c r="C10680" s="1" t="n">
        <v>45715</v>
      </c>
      <c r="D10680" t="inlineStr">
        <is>
          <t>KALMAR LÄN</t>
        </is>
      </c>
      <c r="E10680" t="inlineStr">
        <is>
          <t>MÖNSTERÅS</t>
        </is>
      </c>
      <c r="G10680" t="n">
        <v>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8936-2024</t>
        </is>
      </c>
      <c r="B10681" s="1" t="n">
        <v>45357</v>
      </c>
      <c r="C10681" s="1" t="n">
        <v>45715</v>
      </c>
      <c r="D10681" t="inlineStr">
        <is>
          <t>KALMAR LÄN</t>
        </is>
      </c>
      <c r="E10681" t="inlineStr">
        <is>
          <t>HÖGSBY</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9005-2024</t>
        </is>
      </c>
      <c r="B10682" s="1" t="n">
        <v>45357</v>
      </c>
      <c r="C10682" s="1" t="n">
        <v>45715</v>
      </c>
      <c r="D10682" t="inlineStr">
        <is>
          <t>KALMAR LÄN</t>
        </is>
      </c>
      <c r="E10682" t="inlineStr">
        <is>
          <t>NYBRO</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9050-2024</t>
        </is>
      </c>
      <c r="B10683" s="1" t="n">
        <v>45357</v>
      </c>
      <c r="C10683" s="1" t="n">
        <v>45715</v>
      </c>
      <c r="D10683" t="inlineStr">
        <is>
          <t>KALMAR LÄN</t>
        </is>
      </c>
      <c r="E10683" t="inlineStr">
        <is>
          <t>MÖNSTERÅS</t>
        </is>
      </c>
      <c r="G10683" t="n">
        <v>14.7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9051-2024</t>
        </is>
      </c>
      <c r="B10684" s="1" t="n">
        <v>45357</v>
      </c>
      <c r="C10684" s="1" t="n">
        <v>45715</v>
      </c>
      <c r="D10684" t="inlineStr">
        <is>
          <t>KALMAR LÄN</t>
        </is>
      </c>
      <c r="E10684" t="inlineStr">
        <is>
          <t>MÖNSTERÅS</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9095-2024</t>
        </is>
      </c>
      <c r="B10685" s="1" t="n">
        <v>45357</v>
      </c>
      <c r="C10685" s="1" t="n">
        <v>45715</v>
      </c>
      <c r="D10685" t="inlineStr">
        <is>
          <t>KALMAR LÄN</t>
        </is>
      </c>
      <c r="E10685" t="inlineStr">
        <is>
          <t>HULTSFRED</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9107-2024</t>
        </is>
      </c>
      <c r="B10686" s="1" t="n">
        <v>45357</v>
      </c>
      <c r="C10686" s="1" t="n">
        <v>45715</v>
      </c>
      <c r="D10686" t="inlineStr">
        <is>
          <t>KALMAR LÄN</t>
        </is>
      </c>
      <c r="E10686" t="inlineStr">
        <is>
          <t>VÄSTERVIK</t>
        </is>
      </c>
      <c r="F10686" t="inlineStr">
        <is>
          <t>Holmen skog AB</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9061-2024</t>
        </is>
      </c>
      <c r="B10687" s="1" t="n">
        <v>45357</v>
      </c>
      <c r="C10687" s="1" t="n">
        <v>45715</v>
      </c>
      <c r="D10687" t="inlineStr">
        <is>
          <t>KALMAR LÄN</t>
        </is>
      </c>
      <c r="E10687" t="inlineStr">
        <is>
          <t>MÖNSTERÅS</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9093-2024</t>
        </is>
      </c>
      <c r="B10688" s="1" t="n">
        <v>45357</v>
      </c>
      <c r="C10688" s="1" t="n">
        <v>45715</v>
      </c>
      <c r="D10688" t="inlineStr">
        <is>
          <t>KALMAR LÄN</t>
        </is>
      </c>
      <c r="E10688" t="inlineStr">
        <is>
          <t>HULTSFRED</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9124-2024</t>
        </is>
      </c>
      <c r="B10689" s="1" t="n">
        <v>45358</v>
      </c>
      <c r="C10689" s="1" t="n">
        <v>45715</v>
      </c>
      <c r="D10689" t="inlineStr">
        <is>
          <t>KALMAR LÄN</t>
        </is>
      </c>
      <c r="E10689" t="inlineStr">
        <is>
          <t>VÄSTERVIK</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9219-2024</t>
        </is>
      </c>
      <c r="B10690" s="1" t="n">
        <v>45358</v>
      </c>
      <c r="C10690" s="1" t="n">
        <v>45715</v>
      </c>
      <c r="D10690" t="inlineStr">
        <is>
          <t>KALMAR LÄN</t>
        </is>
      </c>
      <c r="E10690" t="inlineStr">
        <is>
          <t>NYBRO</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9234-2024</t>
        </is>
      </c>
      <c r="B10691" s="1" t="n">
        <v>45358</v>
      </c>
      <c r="C10691" s="1" t="n">
        <v>45715</v>
      </c>
      <c r="D10691" t="inlineStr">
        <is>
          <t>KALMAR LÄN</t>
        </is>
      </c>
      <c r="E10691" t="inlineStr">
        <is>
          <t>MÖNSTERÅS</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9249-2024</t>
        </is>
      </c>
      <c r="B10692" s="1" t="n">
        <v>45358</v>
      </c>
      <c r="C10692" s="1" t="n">
        <v>45715</v>
      </c>
      <c r="D10692" t="inlineStr">
        <is>
          <t>KALMAR LÄN</t>
        </is>
      </c>
      <c r="E10692" t="inlineStr">
        <is>
          <t>VÄSTERVIK</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9274-2024</t>
        </is>
      </c>
      <c r="B10693" s="1" t="n">
        <v>45358</v>
      </c>
      <c r="C10693" s="1" t="n">
        <v>45715</v>
      </c>
      <c r="D10693" t="inlineStr">
        <is>
          <t>KALMAR LÄN</t>
        </is>
      </c>
      <c r="E10693" t="inlineStr">
        <is>
          <t>OSKARSHAMN</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9230-2024</t>
        </is>
      </c>
      <c r="B10694" s="1" t="n">
        <v>45358</v>
      </c>
      <c r="C10694" s="1" t="n">
        <v>45715</v>
      </c>
      <c r="D10694" t="inlineStr">
        <is>
          <t>KALMAR LÄN</t>
        </is>
      </c>
      <c r="E10694" t="inlineStr">
        <is>
          <t>MÖNSTERÅS</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9140-2024</t>
        </is>
      </c>
      <c r="B10695" s="1" t="n">
        <v>45358</v>
      </c>
      <c r="C10695" s="1" t="n">
        <v>45715</v>
      </c>
      <c r="D10695" t="inlineStr">
        <is>
          <t>KALMAR LÄN</t>
        </is>
      </c>
      <c r="E10695" t="inlineStr">
        <is>
          <t>VÄSTERVIK</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9272-2024</t>
        </is>
      </c>
      <c r="B10696" s="1" t="n">
        <v>45358</v>
      </c>
      <c r="C10696" s="1" t="n">
        <v>45715</v>
      </c>
      <c r="D10696" t="inlineStr">
        <is>
          <t>KALMAR LÄN</t>
        </is>
      </c>
      <c r="E10696" t="inlineStr">
        <is>
          <t>OSKARSHAMN</t>
        </is>
      </c>
      <c r="G10696" t="n">
        <v>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9372-2024</t>
        </is>
      </c>
      <c r="B10697" s="1" t="n">
        <v>45359</v>
      </c>
      <c r="C10697" s="1" t="n">
        <v>45715</v>
      </c>
      <c r="D10697" t="inlineStr">
        <is>
          <t>KALMAR LÄN</t>
        </is>
      </c>
      <c r="E10697" t="inlineStr">
        <is>
          <t>HULTSFRED</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9385-2024</t>
        </is>
      </c>
      <c r="B10698" s="1" t="n">
        <v>45359</v>
      </c>
      <c r="C10698" s="1" t="n">
        <v>45715</v>
      </c>
      <c r="D10698" t="inlineStr">
        <is>
          <t>KALMAR LÄN</t>
        </is>
      </c>
      <c r="E10698" t="inlineStr">
        <is>
          <t>OSKARSHAMN</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9418-2024</t>
        </is>
      </c>
      <c r="B10699" s="1" t="n">
        <v>45359</v>
      </c>
      <c r="C10699" s="1" t="n">
        <v>45715</v>
      </c>
      <c r="D10699" t="inlineStr">
        <is>
          <t>KALMAR LÄN</t>
        </is>
      </c>
      <c r="E10699" t="inlineStr">
        <is>
          <t>VIMMERBY</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9522-2024</t>
        </is>
      </c>
      <c r="B10700" s="1" t="n">
        <v>45359</v>
      </c>
      <c r="C10700" s="1" t="n">
        <v>45715</v>
      </c>
      <c r="D10700" t="inlineStr">
        <is>
          <t>KALMAR LÄN</t>
        </is>
      </c>
      <c r="E10700" t="inlineStr">
        <is>
          <t>HULTSFRED</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9369-2024</t>
        </is>
      </c>
      <c r="B10701" s="1" t="n">
        <v>45359</v>
      </c>
      <c r="C10701" s="1" t="n">
        <v>45715</v>
      </c>
      <c r="D10701" t="inlineStr">
        <is>
          <t>KALMAR LÄN</t>
        </is>
      </c>
      <c r="E10701" t="inlineStr">
        <is>
          <t>HULTSFRED</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9370-2024</t>
        </is>
      </c>
      <c r="B10702" s="1" t="n">
        <v>45359</v>
      </c>
      <c r="C10702" s="1" t="n">
        <v>45715</v>
      </c>
      <c r="D10702" t="inlineStr">
        <is>
          <t>KALMAR LÄN</t>
        </is>
      </c>
      <c r="E10702" t="inlineStr">
        <is>
          <t>HULTSFRED</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9384-2024</t>
        </is>
      </c>
      <c r="B10703" s="1" t="n">
        <v>45359</v>
      </c>
      <c r="C10703" s="1" t="n">
        <v>45715</v>
      </c>
      <c r="D10703" t="inlineStr">
        <is>
          <t>KALMAR LÄN</t>
        </is>
      </c>
      <c r="E10703" t="inlineStr">
        <is>
          <t>HÖGSBY</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9416-2024</t>
        </is>
      </c>
      <c r="B10704" s="1" t="n">
        <v>45359</v>
      </c>
      <c r="C10704" s="1" t="n">
        <v>45715</v>
      </c>
      <c r="D10704" t="inlineStr">
        <is>
          <t>KALMAR LÄN</t>
        </is>
      </c>
      <c r="E10704" t="inlineStr">
        <is>
          <t>VIMMERBY</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9436-2024</t>
        </is>
      </c>
      <c r="B10705" s="1" t="n">
        <v>45359</v>
      </c>
      <c r="C10705" s="1" t="n">
        <v>45715</v>
      </c>
      <c r="D10705" t="inlineStr">
        <is>
          <t>KALMAR LÄN</t>
        </is>
      </c>
      <c r="E10705" t="inlineStr">
        <is>
          <t>NYBRO</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9520-2024</t>
        </is>
      </c>
      <c r="B10706" s="1" t="n">
        <v>45359</v>
      </c>
      <c r="C10706" s="1" t="n">
        <v>45715</v>
      </c>
      <c r="D10706" t="inlineStr">
        <is>
          <t>KALMAR LÄN</t>
        </is>
      </c>
      <c r="E10706" t="inlineStr">
        <is>
          <t>NYBRO</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9536-2024</t>
        </is>
      </c>
      <c r="B10707" s="1" t="n">
        <v>45359</v>
      </c>
      <c r="C10707" s="1" t="n">
        <v>45715</v>
      </c>
      <c r="D10707" t="inlineStr">
        <is>
          <t>KALMAR LÄN</t>
        </is>
      </c>
      <c r="E10707" t="inlineStr">
        <is>
          <t>HÖGSBY</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9544-2024</t>
        </is>
      </c>
      <c r="B10708" s="1" t="n">
        <v>45359</v>
      </c>
      <c r="C10708" s="1" t="n">
        <v>45715</v>
      </c>
      <c r="D10708" t="inlineStr">
        <is>
          <t>KALMAR LÄN</t>
        </is>
      </c>
      <c r="E10708" t="inlineStr">
        <is>
          <t>MÖNSTERÅS</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9545-2024</t>
        </is>
      </c>
      <c r="B10709" s="1" t="n">
        <v>45359</v>
      </c>
      <c r="C10709" s="1" t="n">
        <v>45715</v>
      </c>
      <c r="D10709" t="inlineStr">
        <is>
          <t>KALMAR LÄN</t>
        </is>
      </c>
      <c r="E10709" t="inlineStr">
        <is>
          <t>MÖNSTERÅS</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9549-2024</t>
        </is>
      </c>
      <c r="B10710" s="1" t="n">
        <v>45359</v>
      </c>
      <c r="C10710" s="1" t="n">
        <v>45715</v>
      </c>
      <c r="D10710" t="inlineStr">
        <is>
          <t>KALMAR LÄN</t>
        </is>
      </c>
      <c r="E10710" t="inlineStr">
        <is>
          <t>VÄSTERVIK</t>
        </is>
      </c>
      <c r="F10710" t="inlineStr">
        <is>
          <t>Holmen skog AB</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9519-2024</t>
        </is>
      </c>
      <c r="B10711" s="1" t="n">
        <v>45359</v>
      </c>
      <c r="C10711" s="1" t="n">
        <v>45715</v>
      </c>
      <c r="D10711" t="inlineStr">
        <is>
          <t>KALMAR LÄN</t>
        </is>
      </c>
      <c r="E10711" t="inlineStr">
        <is>
          <t>NYBRO</t>
        </is>
      </c>
      <c r="G10711" t="n">
        <v>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9523-2024</t>
        </is>
      </c>
      <c r="B10712" s="1" t="n">
        <v>45359</v>
      </c>
      <c r="C10712" s="1" t="n">
        <v>45715</v>
      </c>
      <c r="D10712" t="inlineStr">
        <is>
          <t>KALMAR LÄN</t>
        </is>
      </c>
      <c r="E10712" t="inlineStr">
        <is>
          <t>NYBRO</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9591-2024</t>
        </is>
      </c>
      <c r="B10713" s="1" t="n">
        <v>45360</v>
      </c>
      <c r="C10713" s="1" t="n">
        <v>45715</v>
      </c>
      <c r="D10713" t="inlineStr">
        <is>
          <t>KALMAR LÄN</t>
        </is>
      </c>
      <c r="E10713" t="inlineStr">
        <is>
          <t>HULTSFRED</t>
        </is>
      </c>
      <c r="F10713" t="inlineStr">
        <is>
          <t>Sveaskog</t>
        </is>
      </c>
      <c r="G10713" t="n">
        <v>4.2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9587-2024</t>
        </is>
      </c>
      <c r="B10714" s="1" t="n">
        <v>45360</v>
      </c>
      <c r="C10714" s="1" t="n">
        <v>45715</v>
      </c>
      <c r="D10714" t="inlineStr">
        <is>
          <t>KALMAR LÄN</t>
        </is>
      </c>
      <c r="E10714" t="inlineStr">
        <is>
          <t>HULTSFRED</t>
        </is>
      </c>
      <c r="F10714" t="inlineStr">
        <is>
          <t>Sveaskog</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9593-2024</t>
        </is>
      </c>
      <c r="B10715" s="1" t="n">
        <v>45360</v>
      </c>
      <c r="C10715" s="1" t="n">
        <v>45715</v>
      </c>
      <c r="D10715" t="inlineStr">
        <is>
          <t>KALMAR LÄN</t>
        </is>
      </c>
      <c r="E10715" t="inlineStr">
        <is>
          <t>HÖGSBY</t>
        </is>
      </c>
      <c r="F10715" t="inlineStr">
        <is>
          <t>Sveaskog</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9589-2024</t>
        </is>
      </c>
      <c r="B10716" s="1" t="n">
        <v>45360</v>
      </c>
      <c r="C10716" s="1" t="n">
        <v>45715</v>
      </c>
      <c r="D10716" t="inlineStr">
        <is>
          <t>KALMAR LÄN</t>
        </is>
      </c>
      <c r="E10716" t="inlineStr">
        <is>
          <t>HULTSFRED</t>
        </is>
      </c>
      <c r="F10716" t="inlineStr">
        <is>
          <t>Sveaskog</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9592-2024</t>
        </is>
      </c>
      <c r="B10717" s="1" t="n">
        <v>45360</v>
      </c>
      <c r="C10717" s="1" t="n">
        <v>45715</v>
      </c>
      <c r="D10717" t="inlineStr">
        <is>
          <t>KALMAR LÄN</t>
        </is>
      </c>
      <c r="E10717" t="inlineStr">
        <is>
          <t>HÖGSBY</t>
        </is>
      </c>
      <c r="F10717" t="inlineStr">
        <is>
          <t>Sveaskog</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9588-2024</t>
        </is>
      </c>
      <c r="B10718" s="1" t="n">
        <v>45360</v>
      </c>
      <c r="C10718" s="1" t="n">
        <v>45715</v>
      </c>
      <c r="D10718" t="inlineStr">
        <is>
          <t>KALMAR LÄN</t>
        </is>
      </c>
      <c r="E10718" t="inlineStr">
        <is>
          <t>HULTSFRED</t>
        </is>
      </c>
      <c r="F10718" t="inlineStr">
        <is>
          <t>Sveaskog</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9586-2024</t>
        </is>
      </c>
      <c r="B10719" s="1" t="n">
        <v>45360</v>
      </c>
      <c r="C10719" s="1" t="n">
        <v>45715</v>
      </c>
      <c r="D10719" t="inlineStr">
        <is>
          <t>KALMAR LÄN</t>
        </is>
      </c>
      <c r="E10719" t="inlineStr">
        <is>
          <t>HULTSFRED</t>
        </is>
      </c>
      <c r="F10719" t="inlineStr">
        <is>
          <t>Sveaskog</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9590-2024</t>
        </is>
      </c>
      <c r="B10720" s="1" t="n">
        <v>45360</v>
      </c>
      <c r="C10720" s="1" t="n">
        <v>45715</v>
      </c>
      <c r="D10720" t="inlineStr">
        <is>
          <t>KALMAR LÄN</t>
        </is>
      </c>
      <c r="E10720" t="inlineStr">
        <is>
          <t>HULTSFRED</t>
        </is>
      </c>
      <c r="F10720" t="inlineStr">
        <is>
          <t>Sveaskog</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9624-2024</t>
        </is>
      </c>
      <c r="B10721" s="1" t="n">
        <v>45361</v>
      </c>
      <c r="C10721" s="1" t="n">
        <v>45715</v>
      </c>
      <c r="D10721" t="inlineStr">
        <is>
          <t>KALMAR LÄN</t>
        </is>
      </c>
      <c r="E10721" t="inlineStr">
        <is>
          <t>VIMMERBY</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9623-2024</t>
        </is>
      </c>
      <c r="B10722" s="1" t="n">
        <v>45361</v>
      </c>
      <c r="C10722" s="1" t="n">
        <v>45715</v>
      </c>
      <c r="D10722" t="inlineStr">
        <is>
          <t>KALMAR LÄN</t>
        </is>
      </c>
      <c r="E10722" t="inlineStr">
        <is>
          <t>VIMMERBY</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9647-2024</t>
        </is>
      </c>
      <c r="B10723" s="1" t="n">
        <v>45362</v>
      </c>
      <c r="C10723" s="1" t="n">
        <v>45715</v>
      </c>
      <c r="D10723" t="inlineStr">
        <is>
          <t>KALMAR LÄN</t>
        </is>
      </c>
      <c r="E10723" t="inlineStr">
        <is>
          <t>NYBRO</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9676-2024</t>
        </is>
      </c>
      <c r="B10724" s="1" t="n">
        <v>45362</v>
      </c>
      <c r="C10724" s="1" t="n">
        <v>45715</v>
      </c>
      <c r="D10724" t="inlineStr">
        <is>
          <t>KALMAR LÄN</t>
        </is>
      </c>
      <c r="E10724" t="inlineStr">
        <is>
          <t>TORSÅS</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9760-2024</t>
        </is>
      </c>
      <c r="B10725" s="1" t="n">
        <v>45362</v>
      </c>
      <c r="C10725" s="1" t="n">
        <v>45715</v>
      </c>
      <c r="D10725" t="inlineStr">
        <is>
          <t>KALMAR LÄN</t>
        </is>
      </c>
      <c r="E10725" t="inlineStr">
        <is>
          <t>VÄSTERVIK</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9653-2024</t>
        </is>
      </c>
      <c r="B10726" s="1" t="n">
        <v>45362</v>
      </c>
      <c r="C10726" s="1" t="n">
        <v>45715</v>
      </c>
      <c r="D10726" t="inlineStr">
        <is>
          <t>KALMAR LÄN</t>
        </is>
      </c>
      <c r="E10726" t="inlineStr">
        <is>
          <t>KALMAR</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9657-2024</t>
        </is>
      </c>
      <c r="B10727" s="1" t="n">
        <v>45362</v>
      </c>
      <c r="C10727" s="1" t="n">
        <v>45715</v>
      </c>
      <c r="D10727" t="inlineStr">
        <is>
          <t>KALMAR LÄN</t>
        </is>
      </c>
      <c r="E10727" t="inlineStr">
        <is>
          <t>VIMMERBY</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9683-2024</t>
        </is>
      </c>
      <c r="B10728" s="1" t="n">
        <v>45362</v>
      </c>
      <c r="C10728" s="1" t="n">
        <v>45715</v>
      </c>
      <c r="D10728" t="inlineStr">
        <is>
          <t>KALMAR LÄN</t>
        </is>
      </c>
      <c r="E10728" t="inlineStr">
        <is>
          <t>TORSÅS</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9753-2024</t>
        </is>
      </c>
      <c r="B10729" s="1" t="n">
        <v>45362</v>
      </c>
      <c r="C10729" s="1" t="n">
        <v>45715</v>
      </c>
      <c r="D10729" t="inlineStr">
        <is>
          <t>KALMAR LÄN</t>
        </is>
      </c>
      <c r="E10729" t="inlineStr">
        <is>
          <t>VÄSTERVIK</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9796-2024</t>
        </is>
      </c>
      <c r="B10730" s="1" t="n">
        <v>45362</v>
      </c>
      <c r="C10730" s="1" t="n">
        <v>45715</v>
      </c>
      <c r="D10730" t="inlineStr">
        <is>
          <t>KALMAR LÄN</t>
        </is>
      </c>
      <c r="E10730" t="inlineStr">
        <is>
          <t>OSKARSHAMN</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9812-2024</t>
        </is>
      </c>
      <c r="B10731" s="1" t="n">
        <v>45363</v>
      </c>
      <c r="C10731" s="1" t="n">
        <v>45715</v>
      </c>
      <c r="D10731" t="inlineStr">
        <is>
          <t>KALMAR LÄN</t>
        </is>
      </c>
      <c r="E10731" t="inlineStr">
        <is>
          <t>EMMABODA</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9845-2024</t>
        </is>
      </c>
      <c r="B10732" s="1" t="n">
        <v>45363</v>
      </c>
      <c r="C10732" s="1" t="n">
        <v>45715</v>
      </c>
      <c r="D10732" t="inlineStr">
        <is>
          <t>KALMAR LÄN</t>
        </is>
      </c>
      <c r="E10732" t="inlineStr">
        <is>
          <t>NYBRO</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9884-2024</t>
        </is>
      </c>
      <c r="B10733" s="1" t="n">
        <v>45363</v>
      </c>
      <c r="C10733" s="1" t="n">
        <v>45715</v>
      </c>
      <c r="D10733" t="inlineStr">
        <is>
          <t>KALMAR LÄN</t>
        </is>
      </c>
      <c r="E10733" t="inlineStr">
        <is>
          <t>KALMAR</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9891-2024</t>
        </is>
      </c>
      <c r="B10734" s="1" t="n">
        <v>45363</v>
      </c>
      <c r="C10734" s="1" t="n">
        <v>45715</v>
      </c>
      <c r="D10734" t="inlineStr">
        <is>
          <t>KALMAR LÄN</t>
        </is>
      </c>
      <c r="E10734" t="inlineStr">
        <is>
          <t>HULTSFRED</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9910-2024</t>
        </is>
      </c>
      <c r="B10735" s="1" t="n">
        <v>45363</v>
      </c>
      <c r="C10735" s="1" t="n">
        <v>45715</v>
      </c>
      <c r="D10735" t="inlineStr">
        <is>
          <t>KALMAR LÄN</t>
        </is>
      </c>
      <c r="E10735" t="inlineStr">
        <is>
          <t>OSKARSHAMN</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9918-2024</t>
        </is>
      </c>
      <c r="B10736" s="1" t="n">
        <v>45363</v>
      </c>
      <c r="C10736" s="1" t="n">
        <v>45715</v>
      </c>
      <c r="D10736" t="inlineStr">
        <is>
          <t>KALMAR LÄN</t>
        </is>
      </c>
      <c r="E10736" t="inlineStr">
        <is>
          <t>OSKARSHAMN</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9932-2024</t>
        </is>
      </c>
      <c r="B10737" s="1" t="n">
        <v>45363</v>
      </c>
      <c r="C10737" s="1" t="n">
        <v>45715</v>
      </c>
      <c r="D10737" t="inlineStr">
        <is>
          <t>KALMAR LÄN</t>
        </is>
      </c>
      <c r="E10737" t="inlineStr">
        <is>
          <t>OSKARSHAMN</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9944-2024</t>
        </is>
      </c>
      <c r="B10738" s="1" t="n">
        <v>45363</v>
      </c>
      <c r="C10738" s="1" t="n">
        <v>45715</v>
      </c>
      <c r="D10738" t="inlineStr">
        <is>
          <t>KALMAR LÄN</t>
        </is>
      </c>
      <c r="E10738" t="inlineStr">
        <is>
          <t>HULTSFRED</t>
        </is>
      </c>
      <c r="G10738" t="n">
        <v>6.9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9968-2024</t>
        </is>
      </c>
      <c r="B10739" s="1" t="n">
        <v>45363</v>
      </c>
      <c r="C10739" s="1" t="n">
        <v>45715</v>
      </c>
      <c r="D10739" t="inlineStr">
        <is>
          <t>KALMAR LÄN</t>
        </is>
      </c>
      <c r="E10739" t="inlineStr">
        <is>
          <t>NYBRO</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9869-2024</t>
        </is>
      </c>
      <c r="B10740" s="1" t="n">
        <v>45363</v>
      </c>
      <c r="C10740" s="1" t="n">
        <v>45715</v>
      </c>
      <c r="D10740" t="inlineStr">
        <is>
          <t>KALMAR LÄN</t>
        </is>
      </c>
      <c r="E10740" t="inlineStr">
        <is>
          <t>KALMAR</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9877-2024</t>
        </is>
      </c>
      <c r="B10741" s="1" t="n">
        <v>45363</v>
      </c>
      <c r="C10741" s="1" t="n">
        <v>45715</v>
      </c>
      <c r="D10741" t="inlineStr">
        <is>
          <t>KALMAR LÄN</t>
        </is>
      </c>
      <c r="E10741" t="inlineStr">
        <is>
          <t>KALMAR</t>
        </is>
      </c>
      <c r="G10741" t="n">
        <v>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9890-2024</t>
        </is>
      </c>
      <c r="B10742" s="1" t="n">
        <v>45363</v>
      </c>
      <c r="C10742" s="1" t="n">
        <v>45715</v>
      </c>
      <c r="D10742" t="inlineStr">
        <is>
          <t>KALMAR LÄN</t>
        </is>
      </c>
      <c r="E10742" t="inlineStr">
        <is>
          <t>HULTSFRED</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9899-2024</t>
        </is>
      </c>
      <c r="B10743" s="1" t="n">
        <v>45363</v>
      </c>
      <c r="C10743" s="1" t="n">
        <v>45715</v>
      </c>
      <c r="D10743" t="inlineStr">
        <is>
          <t>KALMAR LÄN</t>
        </is>
      </c>
      <c r="E10743" t="inlineStr">
        <is>
          <t>OSKARSHAMN</t>
        </is>
      </c>
      <c r="G10743" t="n">
        <v>6.5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9923-2024</t>
        </is>
      </c>
      <c r="B10744" s="1" t="n">
        <v>45363</v>
      </c>
      <c r="C10744" s="1" t="n">
        <v>45715</v>
      </c>
      <c r="D10744" t="inlineStr">
        <is>
          <t>KALMAR LÄN</t>
        </is>
      </c>
      <c r="E10744" t="inlineStr">
        <is>
          <t>OSKARSHAMN</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9858-2024</t>
        </is>
      </c>
      <c r="B10745" s="1" t="n">
        <v>45363</v>
      </c>
      <c r="C10745" s="1" t="n">
        <v>45715</v>
      </c>
      <c r="D10745" t="inlineStr">
        <is>
          <t>KALMAR LÄN</t>
        </is>
      </c>
      <c r="E10745" t="inlineStr">
        <is>
          <t>KALMAR</t>
        </is>
      </c>
      <c r="G10745" t="n">
        <v>1.8</v>
      </c>
      <c r="H10745" t="n">
        <v>0</v>
      </c>
      <c r="I10745" t="n">
        <v>0</v>
      </c>
      <c r="J10745" t="n">
        <v>0</v>
      </c>
      <c r="K10745" t="n">
        <v>0</v>
      </c>
      <c r="L10745" t="n">
        <v>0</v>
      </c>
      <c r="M10745" t="n">
        <v>0</v>
      </c>
      <c r="N10745" t="n">
        <v>0</v>
      </c>
      <c r="O10745" t="n">
        <v>0</v>
      </c>
      <c r="P10745" t="n">
        <v>0</v>
      </c>
      <c r="Q10745" t="n">
        <v>0</v>
      </c>
      <c r="R10745" s="2" t="inlineStr"/>
      <c r="U10745">
        <f>HYPERLINK("https://klasma.github.io/Logging_0880/knärot/A 9858-2024 karta knärot.png", "A 9858-2024")</f>
        <v/>
      </c>
      <c r="V10745">
        <f>HYPERLINK("https://klasma.github.io/Logging_0880/klagomål/A 9858-2024 FSC-klagomål.docx", "A 9858-2024")</f>
        <v/>
      </c>
      <c r="W10745">
        <f>HYPERLINK("https://klasma.github.io/Logging_0880/klagomålsmail/A 9858-2024 FSC-klagomål mail.docx", "A 9858-2024")</f>
        <v/>
      </c>
      <c r="X10745">
        <f>HYPERLINK("https://klasma.github.io/Logging_0880/tillsyn/A 9858-2024 tillsynsbegäran.docx", "A 9858-2024")</f>
        <v/>
      </c>
      <c r="Y10745">
        <f>HYPERLINK("https://klasma.github.io/Logging_0880/tillsynsmail/A 9858-2024 tillsynsbegäran mail.docx", "A 9858-2024")</f>
        <v/>
      </c>
    </row>
    <row r="10746" ht="15" customHeight="1">
      <c r="A10746" t="inlineStr">
        <is>
          <t>A 9888-2024</t>
        </is>
      </c>
      <c r="B10746" s="1" t="n">
        <v>45363</v>
      </c>
      <c r="C10746" s="1" t="n">
        <v>45715</v>
      </c>
      <c r="D10746" t="inlineStr">
        <is>
          <t>KALMAR LÄN</t>
        </is>
      </c>
      <c r="E10746" t="inlineStr">
        <is>
          <t>KALMAR</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10004-2024</t>
        </is>
      </c>
      <c r="B10747" s="1" t="n">
        <v>45363</v>
      </c>
      <c r="C10747" s="1" t="n">
        <v>45715</v>
      </c>
      <c r="D10747" t="inlineStr">
        <is>
          <t>KALMAR LÄN</t>
        </is>
      </c>
      <c r="E10747" t="inlineStr">
        <is>
          <t>KALMAR</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9985-2024</t>
        </is>
      </c>
      <c r="B10748" s="1" t="n">
        <v>45363</v>
      </c>
      <c r="C10748" s="1" t="n">
        <v>45715</v>
      </c>
      <c r="D10748" t="inlineStr">
        <is>
          <t>KALMAR LÄN</t>
        </is>
      </c>
      <c r="E10748" t="inlineStr">
        <is>
          <t>VÄSTERVIK</t>
        </is>
      </c>
      <c r="F10748" t="inlineStr">
        <is>
          <t>Övriga Aktiebolag</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10005-2024</t>
        </is>
      </c>
      <c r="B10749" s="1" t="n">
        <v>45363</v>
      </c>
      <c r="C10749" s="1" t="n">
        <v>45715</v>
      </c>
      <c r="D10749" t="inlineStr">
        <is>
          <t>KALMAR LÄN</t>
        </is>
      </c>
      <c r="E10749" t="inlineStr">
        <is>
          <t>NYBRO</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10101-2024</t>
        </is>
      </c>
      <c r="B10750" s="1" t="n">
        <v>45364</v>
      </c>
      <c r="C10750" s="1" t="n">
        <v>45715</v>
      </c>
      <c r="D10750" t="inlineStr">
        <is>
          <t>KALMAR LÄN</t>
        </is>
      </c>
      <c r="E10750" t="inlineStr">
        <is>
          <t>HULTSFRED</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10173-2024</t>
        </is>
      </c>
      <c r="B10751" s="1" t="n">
        <v>45364</v>
      </c>
      <c r="C10751" s="1" t="n">
        <v>45715</v>
      </c>
      <c r="D10751" t="inlineStr">
        <is>
          <t>KALMAR LÄN</t>
        </is>
      </c>
      <c r="E10751" t="inlineStr">
        <is>
          <t>NYBRO</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10090-2024</t>
        </is>
      </c>
      <c r="B10752" s="1" t="n">
        <v>45364</v>
      </c>
      <c r="C10752" s="1" t="n">
        <v>45715</v>
      </c>
      <c r="D10752" t="inlineStr">
        <is>
          <t>KALMAR LÄN</t>
        </is>
      </c>
      <c r="E10752" t="inlineStr">
        <is>
          <t>NYBRO</t>
        </is>
      </c>
      <c r="F10752" t="inlineStr">
        <is>
          <t>Sveaskog</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10059-2024</t>
        </is>
      </c>
      <c r="B10753" s="1" t="n">
        <v>45364</v>
      </c>
      <c r="C10753" s="1" t="n">
        <v>45715</v>
      </c>
      <c r="D10753" t="inlineStr">
        <is>
          <t>KALMAR LÄN</t>
        </is>
      </c>
      <c r="E10753" t="inlineStr">
        <is>
          <t>EMMABODA</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10083-2024</t>
        </is>
      </c>
      <c r="B10754" s="1" t="n">
        <v>45364</v>
      </c>
      <c r="C10754" s="1" t="n">
        <v>45715</v>
      </c>
      <c r="D10754" t="inlineStr">
        <is>
          <t>KALMAR LÄN</t>
        </is>
      </c>
      <c r="E10754" t="inlineStr">
        <is>
          <t>NYBRO</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10087-2024</t>
        </is>
      </c>
      <c r="B10755" s="1" t="n">
        <v>45364</v>
      </c>
      <c r="C10755" s="1" t="n">
        <v>45715</v>
      </c>
      <c r="D10755" t="inlineStr">
        <is>
          <t>KALMAR LÄN</t>
        </is>
      </c>
      <c r="E10755" t="inlineStr">
        <is>
          <t>OSKARSHAMN</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10099-2024</t>
        </is>
      </c>
      <c r="B10756" s="1" t="n">
        <v>45364</v>
      </c>
      <c r="C10756" s="1" t="n">
        <v>45715</v>
      </c>
      <c r="D10756" t="inlineStr">
        <is>
          <t>KALMAR LÄN</t>
        </is>
      </c>
      <c r="E10756" t="inlineStr">
        <is>
          <t>OSKARSHAMN</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10103-2024</t>
        </is>
      </c>
      <c r="B10757" s="1" t="n">
        <v>45364</v>
      </c>
      <c r="C10757" s="1" t="n">
        <v>45715</v>
      </c>
      <c r="D10757" t="inlineStr">
        <is>
          <t>KALMAR LÄN</t>
        </is>
      </c>
      <c r="E10757" t="inlineStr">
        <is>
          <t>HULTSFRED</t>
        </is>
      </c>
      <c r="G10757" t="n">
        <v>5.3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10111-2024</t>
        </is>
      </c>
      <c r="B10758" s="1" t="n">
        <v>45364</v>
      </c>
      <c r="C10758" s="1" t="n">
        <v>45715</v>
      </c>
      <c r="D10758" t="inlineStr">
        <is>
          <t>KALMAR LÄN</t>
        </is>
      </c>
      <c r="E10758" t="inlineStr">
        <is>
          <t>MÖNSTERÅS</t>
        </is>
      </c>
      <c r="G10758" t="n">
        <v>5.2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10175-2024</t>
        </is>
      </c>
      <c r="B10759" s="1" t="n">
        <v>45364</v>
      </c>
      <c r="C10759" s="1" t="n">
        <v>45715</v>
      </c>
      <c r="D10759" t="inlineStr">
        <is>
          <t>KALMAR LÄN</t>
        </is>
      </c>
      <c r="E10759" t="inlineStr">
        <is>
          <t>NYBRO</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10190-2024</t>
        </is>
      </c>
      <c r="B10760" s="1" t="n">
        <v>45364</v>
      </c>
      <c r="C10760" s="1" t="n">
        <v>45715</v>
      </c>
      <c r="D10760" t="inlineStr">
        <is>
          <t>KALMAR LÄN</t>
        </is>
      </c>
      <c r="E10760" t="inlineStr">
        <is>
          <t>KALMAR</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10188-2024</t>
        </is>
      </c>
      <c r="B10761" s="1" t="n">
        <v>45364</v>
      </c>
      <c r="C10761" s="1" t="n">
        <v>45715</v>
      </c>
      <c r="D10761" t="inlineStr">
        <is>
          <t>KALMAR LÄN</t>
        </is>
      </c>
      <c r="E10761" t="inlineStr">
        <is>
          <t>KALMAR</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10189-2024</t>
        </is>
      </c>
      <c r="B10762" s="1" t="n">
        <v>45364</v>
      </c>
      <c r="C10762" s="1" t="n">
        <v>45715</v>
      </c>
      <c r="D10762" t="inlineStr">
        <is>
          <t>KALMAR LÄN</t>
        </is>
      </c>
      <c r="E10762" t="inlineStr">
        <is>
          <t>KALMAR</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10224-2024</t>
        </is>
      </c>
      <c r="B10763" s="1" t="n">
        <v>45365</v>
      </c>
      <c r="C10763" s="1" t="n">
        <v>45715</v>
      </c>
      <c r="D10763" t="inlineStr">
        <is>
          <t>KALMAR LÄN</t>
        </is>
      </c>
      <c r="E10763" t="inlineStr">
        <is>
          <t>EMMABODA</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10251-2024</t>
        </is>
      </c>
      <c r="B10764" s="1" t="n">
        <v>45365</v>
      </c>
      <c r="C10764" s="1" t="n">
        <v>45715</v>
      </c>
      <c r="D10764" t="inlineStr">
        <is>
          <t>KALMAR LÄN</t>
        </is>
      </c>
      <c r="E10764" t="inlineStr">
        <is>
          <t>HÖGSBY</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10350-2024</t>
        </is>
      </c>
      <c r="B10765" s="1" t="n">
        <v>45365</v>
      </c>
      <c r="C10765" s="1" t="n">
        <v>45715</v>
      </c>
      <c r="D10765" t="inlineStr">
        <is>
          <t>KALMAR LÄN</t>
        </is>
      </c>
      <c r="E10765" t="inlineStr">
        <is>
          <t>HULTSFRED</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10223-2024</t>
        </is>
      </c>
      <c r="B10766" s="1" t="n">
        <v>45365</v>
      </c>
      <c r="C10766" s="1" t="n">
        <v>45715</v>
      </c>
      <c r="D10766" t="inlineStr">
        <is>
          <t>KALMAR LÄN</t>
        </is>
      </c>
      <c r="E10766" t="inlineStr">
        <is>
          <t>EMMABODA</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10222-2024</t>
        </is>
      </c>
      <c r="B10767" s="1" t="n">
        <v>45365</v>
      </c>
      <c r="C10767" s="1" t="n">
        <v>45715</v>
      </c>
      <c r="D10767" t="inlineStr">
        <is>
          <t>KALMAR LÄN</t>
        </is>
      </c>
      <c r="E10767" t="inlineStr">
        <is>
          <t>EMMABODA</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10244-2024</t>
        </is>
      </c>
      <c r="B10768" s="1" t="n">
        <v>45365</v>
      </c>
      <c r="C10768" s="1" t="n">
        <v>45715</v>
      </c>
      <c r="D10768" t="inlineStr">
        <is>
          <t>KALMAR LÄN</t>
        </is>
      </c>
      <c r="E10768" t="inlineStr">
        <is>
          <t>HÖGSBY</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10295-2024</t>
        </is>
      </c>
      <c r="B10769" s="1" t="n">
        <v>45365</v>
      </c>
      <c r="C10769" s="1" t="n">
        <v>45715</v>
      </c>
      <c r="D10769" t="inlineStr">
        <is>
          <t>KALMAR LÄN</t>
        </is>
      </c>
      <c r="E10769" t="inlineStr">
        <is>
          <t>HÖGSBY</t>
        </is>
      </c>
      <c r="G10769" t="n">
        <v>10.4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10342-2024</t>
        </is>
      </c>
      <c r="B10770" s="1" t="n">
        <v>45365</v>
      </c>
      <c r="C10770" s="1" t="n">
        <v>45715</v>
      </c>
      <c r="D10770" t="inlineStr">
        <is>
          <t>KALMAR LÄN</t>
        </is>
      </c>
      <c r="E10770" t="inlineStr">
        <is>
          <t>HULTSFRED</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10221-2024</t>
        </is>
      </c>
      <c r="B10771" s="1" t="n">
        <v>45365</v>
      </c>
      <c r="C10771" s="1" t="n">
        <v>45715</v>
      </c>
      <c r="D10771" t="inlineStr">
        <is>
          <t>KALMAR LÄN</t>
        </is>
      </c>
      <c r="E10771" t="inlineStr">
        <is>
          <t>EMMABODA</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10248-2024</t>
        </is>
      </c>
      <c r="B10772" s="1" t="n">
        <v>45365</v>
      </c>
      <c r="C10772" s="1" t="n">
        <v>45715</v>
      </c>
      <c r="D10772" t="inlineStr">
        <is>
          <t>KALMAR LÄN</t>
        </is>
      </c>
      <c r="E10772" t="inlineStr">
        <is>
          <t>HÖGSBY</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10388-2024</t>
        </is>
      </c>
      <c r="B10773" s="1" t="n">
        <v>45365</v>
      </c>
      <c r="C10773" s="1" t="n">
        <v>45715</v>
      </c>
      <c r="D10773" t="inlineStr">
        <is>
          <t>KALMAR LÄN</t>
        </is>
      </c>
      <c r="E10773" t="inlineStr">
        <is>
          <t>HULTSFRED</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10454-2024</t>
        </is>
      </c>
      <c r="B10774" s="1" t="n">
        <v>45366</v>
      </c>
      <c r="C10774" s="1" t="n">
        <v>45715</v>
      </c>
      <c r="D10774" t="inlineStr">
        <is>
          <t>KALMAR LÄN</t>
        </is>
      </c>
      <c r="E10774" t="inlineStr">
        <is>
          <t>NYBRO</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10570-2024</t>
        </is>
      </c>
      <c r="B10775" s="1" t="n">
        <v>45366</v>
      </c>
      <c r="C10775" s="1" t="n">
        <v>45715</v>
      </c>
      <c r="D10775" t="inlineStr">
        <is>
          <t>KALMAR LÄN</t>
        </is>
      </c>
      <c r="E10775" t="inlineStr">
        <is>
          <t>HULTSFRED</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10457-2024</t>
        </is>
      </c>
      <c r="B10776" s="1" t="n">
        <v>45366</v>
      </c>
      <c r="C10776" s="1" t="n">
        <v>45715</v>
      </c>
      <c r="D10776" t="inlineStr">
        <is>
          <t>KALMAR LÄN</t>
        </is>
      </c>
      <c r="E10776" t="inlineStr">
        <is>
          <t>NYBRO</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10515-2024</t>
        </is>
      </c>
      <c r="B10777" s="1" t="n">
        <v>45366</v>
      </c>
      <c r="C10777" s="1" t="n">
        <v>45715</v>
      </c>
      <c r="D10777" t="inlineStr">
        <is>
          <t>KALMAR LÄN</t>
        </is>
      </c>
      <c r="E10777" t="inlineStr">
        <is>
          <t>VÄSTERVIK</t>
        </is>
      </c>
      <c r="F10777" t="inlineStr">
        <is>
          <t>Kyrkan</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10504-2024</t>
        </is>
      </c>
      <c r="B10778" s="1" t="n">
        <v>45366</v>
      </c>
      <c r="C10778" s="1" t="n">
        <v>45715</v>
      </c>
      <c r="D10778" t="inlineStr">
        <is>
          <t>KALMAR LÄN</t>
        </is>
      </c>
      <c r="E10778" t="inlineStr">
        <is>
          <t>HÖGSBY</t>
        </is>
      </c>
      <c r="F10778" t="inlineStr">
        <is>
          <t>Sveaskog</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10521-2024</t>
        </is>
      </c>
      <c r="B10779" s="1" t="n">
        <v>45366</v>
      </c>
      <c r="C10779" s="1" t="n">
        <v>45715</v>
      </c>
      <c r="D10779" t="inlineStr">
        <is>
          <t>KALMAR LÄN</t>
        </is>
      </c>
      <c r="E10779" t="inlineStr">
        <is>
          <t>VÄSTERVIK</t>
        </is>
      </c>
      <c r="F10779" t="inlineStr">
        <is>
          <t>Kyrkan</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10565-2024</t>
        </is>
      </c>
      <c r="B10780" s="1" t="n">
        <v>45366</v>
      </c>
      <c r="C10780" s="1" t="n">
        <v>45715</v>
      </c>
      <c r="D10780" t="inlineStr">
        <is>
          <t>KALMAR LÄN</t>
        </is>
      </c>
      <c r="E10780" t="inlineStr">
        <is>
          <t>NYBRO</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10573-2024</t>
        </is>
      </c>
      <c r="B10781" s="1" t="n">
        <v>45366</v>
      </c>
      <c r="C10781" s="1" t="n">
        <v>45715</v>
      </c>
      <c r="D10781" t="inlineStr">
        <is>
          <t>KALMAR LÄN</t>
        </is>
      </c>
      <c r="E10781" t="inlineStr">
        <is>
          <t>EMMABODA</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10632-2024</t>
        </is>
      </c>
      <c r="B10782" s="1" t="n">
        <v>45367</v>
      </c>
      <c r="C10782" s="1" t="n">
        <v>45715</v>
      </c>
      <c r="D10782" t="inlineStr">
        <is>
          <t>KALMAR LÄN</t>
        </is>
      </c>
      <c r="E10782" t="inlineStr">
        <is>
          <t>NYBRO</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10631-2024</t>
        </is>
      </c>
      <c r="B10783" s="1" t="n">
        <v>45367</v>
      </c>
      <c r="C10783" s="1" t="n">
        <v>45715</v>
      </c>
      <c r="D10783" t="inlineStr">
        <is>
          <t>KALMAR LÄN</t>
        </is>
      </c>
      <c r="E10783" t="inlineStr">
        <is>
          <t>NYBRO</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10630-2024</t>
        </is>
      </c>
      <c r="B10784" s="1" t="n">
        <v>45367</v>
      </c>
      <c r="C10784" s="1" t="n">
        <v>45715</v>
      </c>
      <c r="D10784" t="inlineStr">
        <is>
          <t>KALMAR LÄN</t>
        </is>
      </c>
      <c r="E10784" t="inlineStr">
        <is>
          <t>NYBRO</t>
        </is>
      </c>
      <c r="G10784" t="n">
        <v>10</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10654-2024</t>
        </is>
      </c>
      <c r="B10785" s="1" t="n">
        <v>45368</v>
      </c>
      <c r="C10785" s="1" t="n">
        <v>45715</v>
      </c>
      <c r="D10785" t="inlineStr">
        <is>
          <t>KALMAR LÄN</t>
        </is>
      </c>
      <c r="E10785" t="inlineStr">
        <is>
          <t>NYBRO</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10699-2024</t>
        </is>
      </c>
      <c r="B10786" s="1" t="n">
        <v>45369</v>
      </c>
      <c r="C10786" s="1" t="n">
        <v>45715</v>
      </c>
      <c r="D10786" t="inlineStr">
        <is>
          <t>KALMAR LÄN</t>
        </is>
      </c>
      <c r="E10786" t="inlineStr">
        <is>
          <t>EMMABODA</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10707-2024</t>
        </is>
      </c>
      <c r="B10787" s="1" t="n">
        <v>45369</v>
      </c>
      <c r="C10787" s="1" t="n">
        <v>45715</v>
      </c>
      <c r="D10787" t="inlineStr">
        <is>
          <t>KALMAR LÄN</t>
        </is>
      </c>
      <c r="E10787" t="inlineStr">
        <is>
          <t>TORSÅS</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10727-2024</t>
        </is>
      </c>
      <c r="B10788" s="1" t="n">
        <v>45369</v>
      </c>
      <c r="C10788" s="1" t="n">
        <v>45715</v>
      </c>
      <c r="D10788" t="inlineStr">
        <is>
          <t>KALMAR LÄN</t>
        </is>
      </c>
      <c r="E10788" t="inlineStr">
        <is>
          <t>VÄSTERVIK</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10739-2024</t>
        </is>
      </c>
      <c r="B10789" s="1" t="n">
        <v>45369</v>
      </c>
      <c r="C10789" s="1" t="n">
        <v>45715</v>
      </c>
      <c r="D10789" t="inlineStr">
        <is>
          <t>KALMAR LÄN</t>
        </is>
      </c>
      <c r="E10789" t="inlineStr">
        <is>
          <t>NYBRO</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10728-2024</t>
        </is>
      </c>
      <c r="B10790" s="1" t="n">
        <v>45369</v>
      </c>
      <c r="C10790" s="1" t="n">
        <v>45715</v>
      </c>
      <c r="D10790" t="inlineStr">
        <is>
          <t>KALMAR LÄN</t>
        </is>
      </c>
      <c r="E10790" t="inlineStr">
        <is>
          <t>OSKARSHAMN</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10724-2024</t>
        </is>
      </c>
      <c r="B10791" s="1" t="n">
        <v>45369</v>
      </c>
      <c r="C10791" s="1" t="n">
        <v>45715</v>
      </c>
      <c r="D10791" t="inlineStr">
        <is>
          <t>KALMAR LÄN</t>
        </is>
      </c>
      <c r="E10791" t="inlineStr">
        <is>
          <t>OSKARSHAMN</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10712-2024</t>
        </is>
      </c>
      <c r="B10792" s="1" t="n">
        <v>45369</v>
      </c>
      <c r="C10792" s="1" t="n">
        <v>45715</v>
      </c>
      <c r="D10792" t="inlineStr">
        <is>
          <t>KALMAR LÄN</t>
        </is>
      </c>
      <c r="E10792" t="inlineStr">
        <is>
          <t>EMMABODA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10704-2024</t>
        </is>
      </c>
      <c r="B10793" s="1" t="n">
        <v>45369</v>
      </c>
      <c r="C10793" s="1" t="n">
        <v>45715</v>
      </c>
      <c r="D10793" t="inlineStr">
        <is>
          <t>KALMAR LÄN</t>
        </is>
      </c>
      <c r="E10793" t="inlineStr">
        <is>
          <t>TORSÅS</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10688-2024</t>
        </is>
      </c>
      <c r="B10794" s="1" t="n">
        <v>45369</v>
      </c>
      <c r="C10794" s="1" t="n">
        <v>45715</v>
      </c>
      <c r="D10794" t="inlineStr">
        <is>
          <t>KALMAR LÄN</t>
        </is>
      </c>
      <c r="E10794" t="inlineStr">
        <is>
          <t>VÄSTERVIK</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10677-2024</t>
        </is>
      </c>
      <c r="B10795" s="1" t="n">
        <v>45369</v>
      </c>
      <c r="C10795" s="1" t="n">
        <v>45715</v>
      </c>
      <c r="D10795" t="inlineStr">
        <is>
          <t>KALMAR LÄN</t>
        </is>
      </c>
      <c r="E10795" t="inlineStr">
        <is>
          <t>HULTSFRED</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10758-2024</t>
        </is>
      </c>
      <c r="B10796" s="1" t="n">
        <v>45369</v>
      </c>
      <c r="C10796" s="1" t="n">
        <v>45715</v>
      </c>
      <c r="D10796" t="inlineStr">
        <is>
          <t>KALMAR LÄN</t>
        </is>
      </c>
      <c r="E10796" t="inlineStr">
        <is>
          <t>NYBRO</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10807-2024</t>
        </is>
      </c>
      <c r="B10797" s="1" t="n">
        <v>45369</v>
      </c>
      <c r="C10797" s="1" t="n">
        <v>45715</v>
      </c>
      <c r="D10797" t="inlineStr">
        <is>
          <t>KALMAR LÄN</t>
        </is>
      </c>
      <c r="E10797" t="inlineStr">
        <is>
          <t>VIMMERBY</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10738-2024</t>
        </is>
      </c>
      <c r="B10798" s="1" t="n">
        <v>45369</v>
      </c>
      <c r="C10798" s="1" t="n">
        <v>45715</v>
      </c>
      <c r="D10798" t="inlineStr">
        <is>
          <t>KALMAR LÄN</t>
        </is>
      </c>
      <c r="E10798" t="inlineStr">
        <is>
          <t>HULTSFRED</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10718-2024</t>
        </is>
      </c>
      <c r="B10799" s="1" t="n">
        <v>45369</v>
      </c>
      <c r="C10799" s="1" t="n">
        <v>45715</v>
      </c>
      <c r="D10799" t="inlineStr">
        <is>
          <t>KALMAR LÄN</t>
        </is>
      </c>
      <c r="E10799" t="inlineStr">
        <is>
          <t>TORSÅS</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10839-2024</t>
        </is>
      </c>
      <c r="B10800" s="1" t="n">
        <v>45369</v>
      </c>
      <c r="C10800" s="1" t="n">
        <v>45715</v>
      </c>
      <c r="D10800" t="inlineStr">
        <is>
          <t>KALMAR LÄN</t>
        </is>
      </c>
      <c r="E10800" t="inlineStr">
        <is>
          <t>HULTSFRED</t>
        </is>
      </c>
      <c r="G10800" t="n">
        <v>8.6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10737-2024</t>
        </is>
      </c>
      <c r="B10801" s="1" t="n">
        <v>45369</v>
      </c>
      <c r="C10801" s="1" t="n">
        <v>45715</v>
      </c>
      <c r="D10801" t="inlineStr">
        <is>
          <t>KALMAR LÄN</t>
        </is>
      </c>
      <c r="E10801" t="inlineStr">
        <is>
          <t>NYBRO</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10725-2024</t>
        </is>
      </c>
      <c r="B10802" s="1" t="n">
        <v>45369</v>
      </c>
      <c r="C10802" s="1" t="n">
        <v>45715</v>
      </c>
      <c r="D10802" t="inlineStr">
        <is>
          <t>KALMAR LÄN</t>
        </is>
      </c>
      <c r="E10802" t="inlineStr">
        <is>
          <t>OSKARSHAMN</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10721-2024</t>
        </is>
      </c>
      <c r="B10803" s="1" t="n">
        <v>45369</v>
      </c>
      <c r="C10803" s="1" t="n">
        <v>45715</v>
      </c>
      <c r="D10803" t="inlineStr">
        <is>
          <t>KALMAR LÄN</t>
        </is>
      </c>
      <c r="E10803" t="inlineStr">
        <is>
          <t>OSKARSHAMN</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10926-2024</t>
        </is>
      </c>
      <c r="B10804" s="1" t="n">
        <v>45370</v>
      </c>
      <c r="C10804" s="1" t="n">
        <v>45715</v>
      </c>
      <c r="D10804" t="inlineStr">
        <is>
          <t>KALMAR LÄN</t>
        </is>
      </c>
      <c r="E10804" t="inlineStr">
        <is>
          <t>TORSÅS</t>
        </is>
      </c>
      <c r="G10804" t="n">
        <v>4.6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10942-2024</t>
        </is>
      </c>
      <c r="B10805" s="1" t="n">
        <v>45370</v>
      </c>
      <c r="C10805" s="1" t="n">
        <v>45715</v>
      </c>
      <c r="D10805" t="inlineStr">
        <is>
          <t>KALMAR LÄN</t>
        </is>
      </c>
      <c r="E10805" t="inlineStr">
        <is>
          <t>VÄSTERVIK</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10963-2024</t>
        </is>
      </c>
      <c r="B10806" s="1" t="n">
        <v>45370</v>
      </c>
      <c r="C10806" s="1" t="n">
        <v>45715</v>
      </c>
      <c r="D10806" t="inlineStr">
        <is>
          <t>KALMAR LÄN</t>
        </is>
      </c>
      <c r="E10806" t="inlineStr">
        <is>
          <t>MÖNSTERÅS</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10884-2024</t>
        </is>
      </c>
      <c r="B10807" s="1" t="n">
        <v>45370</v>
      </c>
      <c r="C10807" s="1" t="n">
        <v>45715</v>
      </c>
      <c r="D10807" t="inlineStr">
        <is>
          <t>KALMAR LÄN</t>
        </is>
      </c>
      <c r="E10807" t="inlineStr">
        <is>
          <t>VIMMERBY</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10904-2024</t>
        </is>
      </c>
      <c r="B10808" s="1" t="n">
        <v>45370</v>
      </c>
      <c r="C10808" s="1" t="n">
        <v>45715</v>
      </c>
      <c r="D10808" t="inlineStr">
        <is>
          <t>KALMAR LÄN</t>
        </is>
      </c>
      <c r="E10808" t="inlineStr">
        <is>
          <t>HULTSFRED</t>
        </is>
      </c>
      <c r="G10808" t="n">
        <v>7.8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10908-2024</t>
        </is>
      </c>
      <c r="B10809" s="1" t="n">
        <v>45370</v>
      </c>
      <c r="C10809" s="1" t="n">
        <v>45715</v>
      </c>
      <c r="D10809" t="inlineStr">
        <is>
          <t>KALMAR LÄN</t>
        </is>
      </c>
      <c r="E10809" t="inlineStr">
        <is>
          <t>HULTSFRED</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10954-2024</t>
        </is>
      </c>
      <c r="B10810" s="1" t="n">
        <v>45370</v>
      </c>
      <c r="C10810" s="1" t="n">
        <v>45715</v>
      </c>
      <c r="D10810" t="inlineStr">
        <is>
          <t>KALMAR LÄN</t>
        </is>
      </c>
      <c r="E10810" t="inlineStr">
        <is>
          <t>HÖGSBY</t>
        </is>
      </c>
      <c r="F10810" t="inlineStr">
        <is>
          <t>Sveaskog</t>
        </is>
      </c>
      <c r="G10810" t="n">
        <v>4.7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10962-2024</t>
        </is>
      </c>
      <c r="B10811" s="1" t="n">
        <v>45370</v>
      </c>
      <c r="C10811" s="1" t="n">
        <v>45715</v>
      </c>
      <c r="D10811" t="inlineStr">
        <is>
          <t>KALMAR LÄN</t>
        </is>
      </c>
      <c r="E10811" t="inlineStr">
        <is>
          <t>MÖNSTERÅS</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10994-2024</t>
        </is>
      </c>
      <c r="B10812" s="1" t="n">
        <v>45370</v>
      </c>
      <c r="C10812" s="1" t="n">
        <v>45715</v>
      </c>
      <c r="D10812" t="inlineStr">
        <is>
          <t>KALMAR LÄN</t>
        </is>
      </c>
      <c r="E10812" t="inlineStr">
        <is>
          <t>HULTSFRED</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10987-2024</t>
        </is>
      </c>
      <c r="B10813" s="1" t="n">
        <v>45370</v>
      </c>
      <c r="C10813" s="1" t="n">
        <v>45715</v>
      </c>
      <c r="D10813" t="inlineStr">
        <is>
          <t>KALMAR LÄN</t>
        </is>
      </c>
      <c r="E10813" t="inlineStr">
        <is>
          <t>HULTSFRED</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11014-2024</t>
        </is>
      </c>
      <c r="B10814" s="1" t="n">
        <v>45370</v>
      </c>
      <c r="C10814" s="1" t="n">
        <v>45715</v>
      </c>
      <c r="D10814" t="inlineStr">
        <is>
          <t>KALMAR LÄN</t>
        </is>
      </c>
      <c r="E10814" t="inlineStr">
        <is>
          <t>NYBRO</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11030-2024</t>
        </is>
      </c>
      <c r="B10815" s="1" t="n">
        <v>45370</v>
      </c>
      <c r="C10815" s="1" t="n">
        <v>45715</v>
      </c>
      <c r="D10815" t="inlineStr">
        <is>
          <t>KALMAR LÄN</t>
        </is>
      </c>
      <c r="E10815" t="inlineStr">
        <is>
          <t>NYBRO</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11054-2024</t>
        </is>
      </c>
      <c r="B10816" s="1" t="n">
        <v>45370</v>
      </c>
      <c r="C10816" s="1" t="n">
        <v>45715</v>
      </c>
      <c r="D10816" t="inlineStr">
        <is>
          <t>KALMAR LÄN</t>
        </is>
      </c>
      <c r="E10816" t="inlineStr">
        <is>
          <t>OSKARSHAMN</t>
        </is>
      </c>
      <c r="G10816" t="n">
        <v>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11058-2024</t>
        </is>
      </c>
      <c r="B10817" s="1" t="n">
        <v>45370</v>
      </c>
      <c r="C10817" s="1" t="n">
        <v>45715</v>
      </c>
      <c r="D10817" t="inlineStr">
        <is>
          <t>KALMAR LÄN</t>
        </is>
      </c>
      <c r="E10817" t="inlineStr">
        <is>
          <t>EMMABODA</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10923-2024</t>
        </is>
      </c>
      <c r="B10818" s="1" t="n">
        <v>45370</v>
      </c>
      <c r="C10818" s="1" t="n">
        <v>45715</v>
      </c>
      <c r="D10818" t="inlineStr">
        <is>
          <t>KALMAR LÄN</t>
        </is>
      </c>
      <c r="E10818" t="inlineStr">
        <is>
          <t>KALMAR</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11071-2024</t>
        </is>
      </c>
      <c r="B10819" s="1" t="n">
        <v>45370</v>
      </c>
      <c r="C10819" s="1" t="n">
        <v>45715</v>
      </c>
      <c r="D10819" t="inlineStr">
        <is>
          <t>KALMAR LÄN</t>
        </is>
      </c>
      <c r="E10819" t="inlineStr">
        <is>
          <t>TORSÅS</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10935-2024</t>
        </is>
      </c>
      <c r="B10820" s="1" t="n">
        <v>45370</v>
      </c>
      <c r="C10820" s="1" t="n">
        <v>45715</v>
      </c>
      <c r="D10820" t="inlineStr">
        <is>
          <t>KALMAR LÄN</t>
        </is>
      </c>
      <c r="E10820" t="inlineStr">
        <is>
          <t>VIMMERBY</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11061-2024</t>
        </is>
      </c>
      <c r="B10821" s="1" t="n">
        <v>45370</v>
      </c>
      <c r="C10821" s="1" t="n">
        <v>45715</v>
      </c>
      <c r="D10821" t="inlineStr">
        <is>
          <t>KALMAR LÄN</t>
        </is>
      </c>
      <c r="E10821" t="inlineStr">
        <is>
          <t>EMMABODA</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10964-2024</t>
        </is>
      </c>
      <c r="B10822" s="1" t="n">
        <v>45370</v>
      </c>
      <c r="C10822" s="1" t="n">
        <v>45715</v>
      </c>
      <c r="D10822" t="inlineStr">
        <is>
          <t>KALMAR LÄN</t>
        </is>
      </c>
      <c r="E10822" t="inlineStr">
        <is>
          <t>MÖNSTERÅS</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10988-2024</t>
        </is>
      </c>
      <c r="B10823" s="1" t="n">
        <v>45370</v>
      </c>
      <c r="C10823" s="1" t="n">
        <v>45715</v>
      </c>
      <c r="D10823" t="inlineStr">
        <is>
          <t>KALMAR LÄN</t>
        </is>
      </c>
      <c r="E10823" t="inlineStr">
        <is>
          <t>TORSÅS</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10992-2024</t>
        </is>
      </c>
      <c r="B10824" s="1" t="n">
        <v>45370</v>
      </c>
      <c r="C10824" s="1" t="n">
        <v>45715</v>
      </c>
      <c r="D10824" t="inlineStr">
        <is>
          <t>KALMAR LÄN</t>
        </is>
      </c>
      <c r="E10824" t="inlineStr">
        <is>
          <t>HULTSFRED</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11141-2024</t>
        </is>
      </c>
      <c r="B10825" s="1" t="n">
        <v>45371</v>
      </c>
      <c r="C10825" s="1" t="n">
        <v>45715</v>
      </c>
      <c r="D10825" t="inlineStr">
        <is>
          <t>KALMAR LÄN</t>
        </is>
      </c>
      <c r="E10825" t="inlineStr">
        <is>
          <t>VIMMERBY</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11111-2024</t>
        </is>
      </c>
      <c r="B10826" s="1" t="n">
        <v>45371</v>
      </c>
      <c r="C10826" s="1" t="n">
        <v>45715</v>
      </c>
      <c r="D10826" t="inlineStr">
        <is>
          <t>KALMAR LÄN</t>
        </is>
      </c>
      <c r="E10826" t="inlineStr">
        <is>
          <t>VIMMERBY</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11189-2024</t>
        </is>
      </c>
      <c r="B10827" s="1" t="n">
        <v>45371</v>
      </c>
      <c r="C10827" s="1" t="n">
        <v>45715</v>
      </c>
      <c r="D10827" t="inlineStr">
        <is>
          <t>KALMAR LÄN</t>
        </is>
      </c>
      <c r="E10827" t="inlineStr">
        <is>
          <t>VÄSTERVIK</t>
        </is>
      </c>
      <c r="G10827" t="n">
        <v>5.2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11167-2024</t>
        </is>
      </c>
      <c r="B10828" s="1" t="n">
        <v>45371</v>
      </c>
      <c r="C10828" s="1" t="n">
        <v>45715</v>
      </c>
      <c r="D10828" t="inlineStr">
        <is>
          <t>KALMAR LÄN</t>
        </is>
      </c>
      <c r="E10828" t="inlineStr">
        <is>
          <t>VÄSTERVIK</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11183-2024</t>
        </is>
      </c>
      <c r="B10829" s="1" t="n">
        <v>45371</v>
      </c>
      <c r="C10829" s="1" t="n">
        <v>45715</v>
      </c>
      <c r="D10829" t="inlineStr">
        <is>
          <t>KALMAR LÄN</t>
        </is>
      </c>
      <c r="E10829" t="inlineStr">
        <is>
          <t>VÄSTERVIK</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11150-2024</t>
        </is>
      </c>
      <c r="B10830" s="1" t="n">
        <v>45371</v>
      </c>
      <c r="C10830" s="1" t="n">
        <v>45715</v>
      </c>
      <c r="D10830" t="inlineStr">
        <is>
          <t>KALMAR LÄN</t>
        </is>
      </c>
      <c r="E10830" t="inlineStr">
        <is>
          <t>NYBRO</t>
        </is>
      </c>
      <c r="G10830" t="n">
        <v>0.4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11198-2024</t>
        </is>
      </c>
      <c r="B10831" s="1" t="n">
        <v>45371</v>
      </c>
      <c r="C10831" s="1" t="n">
        <v>45715</v>
      </c>
      <c r="D10831" t="inlineStr">
        <is>
          <t>KALMAR LÄN</t>
        </is>
      </c>
      <c r="E10831" t="inlineStr">
        <is>
          <t>VÄSTERVIK</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11206-2024</t>
        </is>
      </c>
      <c r="B10832" s="1" t="n">
        <v>45371</v>
      </c>
      <c r="C10832" s="1" t="n">
        <v>45715</v>
      </c>
      <c r="D10832" t="inlineStr">
        <is>
          <t>KALMAR LÄN</t>
        </is>
      </c>
      <c r="E10832" t="inlineStr">
        <is>
          <t>EMMABODA</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11269-2024</t>
        </is>
      </c>
      <c r="B10833" s="1" t="n">
        <v>45371</v>
      </c>
      <c r="C10833" s="1" t="n">
        <v>45715</v>
      </c>
      <c r="D10833" t="inlineStr">
        <is>
          <t>KALMAR LÄN</t>
        </is>
      </c>
      <c r="E10833" t="inlineStr">
        <is>
          <t>NYBRO</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11298-2024</t>
        </is>
      </c>
      <c r="B10834" s="1" t="n">
        <v>45371</v>
      </c>
      <c r="C10834" s="1" t="n">
        <v>45715</v>
      </c>
      <c r="D10834" t="inlineStr">
        <is>
          <t>KALMAR LÄN</t>
        </is>
      </c>
      <c r="E10834" t="inlineStr">
        <is>
          <t>OSKARSHAMN</t>
        </is>
      </c>
      <c r="F10834" t="inlineStr">
        <is>
          <t>Sveaskog</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11132-2024</t>
        </is>
      </c>
      <c r="B10835" s="1" t="n">
        <v>45371</v>
      </c>
      <c r="C10835" s="1" t="n">
        <v>45715</v>
      </c>
      <c r="D10835" t="inlineStr">
        <is>
          <t>KALMAR LÄN</t>
        </is>
      </c>
      <c r="E10835" t="inlineStr">
        <is>
          <t>NYBRO</t>
        </is>
      </c>
      <c r="G10835" t="n">
        <v>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11267-2024</t>
        </is>
      </c>
      <c r="B10836" s="1" t="n">
        <v>45371</v>
      </c>
      <c r="C10836" s="1" t="n">
        <v>45715</v>
      </c>
      <c r="D10836" t="inlineStr">
        <is>
          <t>KALMAR LÄN</t>
        </is>
      </c>
      <c r="E10836" t="inlineStr">
        <is>
          <t>NYBRO</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11297-2024</t>
        </is>
      </c>
      <c r="B10837" s="1" t="n">
        <v>45371</v>
      </c>
      <c r="C10837" s="1" t="n">
        <v>45715</v>
      </c>
      <c r="D10837" t="inlineStr">
        <is>
          <t>KALMAR LÄN</t>
        </is>
      </c>
      <c r="E10837" t="inlineStr">
        <is>
          <t>OSKARSHAMN</t>
        </is>
      </c>
      <c r="F10837" t="inlineStr">
        <is>
          <t>Sveaskog</t>
        </is>
      </c>
      <c r="G10837" t="n">
        <v>8.199999999999999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11301-2024</t>
        </is>
      </c>
      <c r="B10838" s="1" t="n">
        <v>45371</v>
      </c>
      <c r="C10838" s="1" t="n">
        <v>45715</v>
      </c>
      <c r="D10838" t="inlineStr">
        <is>
          <t>KALMAR LÄN</t>
        </is>
      </c>
      <c r="E10838" t="inlineStr">
        <is>
          <t>OSKARSHAMN</t>
        </is>
      </c>
      <c r="F10838" t="inlineStr">
        <is>
          <t>Sveaskog</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11208-2024</t>
        </is>
      </c>
      <c r="B10839" s="1" t="n">
        <v>45371</v>
      </c>
      <c r="C10839" s="1" t="n">
        <v>45715</v>
      </c>
      <c r="D10839" t="inlineStr">
        <is>
          <t>KALMAR LÄN</t>
        </is>
      </c>
      <c r="E10839" t="inlineStr">
        <is>
          <t>EMMABODA</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11232-2024</t>
        </is>
      </c>
      <c r="B10840" s="1" t="n">
        <v>45371</v>
      </c>
      <c r="C10840" s="1" t="n">
        <v>45715</v>
      </c>
      <c r="D10840" t="inlineStr">
        <is>
          <t>KALMAR LÄN</t>
        </is>
      </c>
      <c r="E10840" t="inlineStr">
        <is>
          <t>MÖNSTERÅS</t>
        </is>
      </c>
      <c r="G10840" t="n">
        <v>6.7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11300-2024</t>
        </is>
      </c>
      <c r="B10841" s="1" t="n">
        <v>45371</v>
      </c>
      <c r="C10841" s="1" t="n">
        <v>45715</v>
      </c>
      <c r="D10841" t="inlineStr">
        <is>
          <t>KALMAR LÄN</t>
        </is>
      </c>
      <c r="E10841" t="inlineStr">
        <is>
          <t>OSKARSHAMN</t>
        </is>
      </c>
      <c r="F10841" t="inlineStr">
        <is>
          <t>Sveaskog</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11400-2024</t>
        </is>
      </c>
      <c r="B10842" s="1" t="n">
        <v>45372</v>
      </c>
      <c r="C10842" s="1" t="n">
        <v>45715</v>
      </c>
      <c r="D10842" t="inlineStr">
        <is>
          <t>KALMAR LÄN</t>
        </is>
      </c>
      <c r="E10842" t="inlineStr">
        <is>
          <t>VIMMERBY</t>
        </is>
      </c>
      <c r="F10842" t="inlineStr">
        <is>
          <t>Sveaskog</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11352-2024</t>
        </is>
      </c>
      <c r="B10843" s="1" t="n">
        <v>45372</v>
      </c>
      <c r="C10843" s="1" t="n">
        <v>45715</v>
      </c>
      <c r="D10843" t="inlineStr">
        <is>
          <t>KALMAR LÄN</t>
        </is>
      </c>
      <c r="E10843" t="inlineStr">
        <is>
          <t>NYBRO</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11364-2024</t>
        </is>
      </c>
      <c r="B10844" s="1" t="n">
        <v>45372</v>
      </c>
      <c r="C10844" s="1" t="n">
        <v>45715</v>
      </c>
      <c r="D10844" t="inlineStr">
        <is>
          <t>KALMAR LÄN</t>
        </is>
      </c>
      <c r="E10844" t="inlineStr">
        <is>
          <t>KALMAR</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11461-2024</t>
        </is>
      </c>
      <c r="B10845" s="1" t="n">
        <v>45372</v>
      </c>
      <c r="C10845" s="1" t="n">
        <v>45715</v>
      </c>
      <c r="D10845" t="inlineStr">
        <is>
          <t>KALMAR LÄN</t>
        </is>
      </c>
      <c r="E10845" t="inlineStr">
        <is>
          <t>OSKARSHAMN</t>
        </is>
      </c>
      <c r="G10845" t="n">
        <v>5.8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11469-2024</t>
        </is>
      </c>
      <c r="B10846" s="1" t="n">
        <v>45372</v>
      </c>
      <c r="C10846" s="1" t="n">
        <v>45715</v>
      </c>
      <c r="D10846" t="inlineStr">
        <is>
          <t>KALMAR LÄN</t>
        </is>
      </c>
      <c r="E10846" t="inlineStr">
        <is>
          <t>OSKARSHAMN</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11473-2024</t>
        </is>
      </c>
      <c r="B10847" s="1" t="n">
        <v>45372</v>
      </c>
      <c r="C10847" s="1" t="n">
        <v>45715</v>
      </c>
      <c r="D10847" t="inlineStr">
        <is>
          <t>KALMAR LÄN</t>
        </is>
      </c>
      <c r="E10847" t="inlineStr">
        <is>
          <t>OSKARSHAMN</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11486-2024</t>
        </is>
      </c>
      <c r="B10848" s="1" t="n">
        <v>45372</v>
      </c>
      <c r="C10848" s="1" t="n">
        <v>45715</v>
      </c>
      <c r="D10848" t="inlineStr">
        <is>
          <t>KALMAR LÄN</t>
        </is>
      </c>
      <c r="E10848" t="inlineStr">
        <is>
          <t>OSKARSHAMN</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11357-2024</t>
        </is>
      </c>
      <c r="B10849" s="1" t="n">
        <v>45372</v>
      </c>
      <c r="C10849" s="1" t="n">
        <v>45715</v>
      </c>
      <c r="D10849" t="inlineStr">
        <is>
          <t>KALMAR LÄN</t>
        </is>
      </c>
      <c r="E10849" t="inlineStr">
        <is>
          <t>EMMABODA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11444-2024</t>
        </is>
      </c>
      <c r="B10850" s="1" t="n">
        <v>45372</v>
      </c>
      <c r="C10850" s="1" t="n">
        <v>45715</v>
      </c>
      <c r="D10850" t="inlineStr">
        <is>
          <t>KALMAR LÄN</t>
        </is>
      </c>
      <c r="E10850" t="inlineStr">
        <is>
          <t>OSKARSHAMN</t>
        </is>
      </c>
      <c r="G10850" t="n">
        <v>5.2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11433-2024</t>
        </is>
      </c>
      <c r="B10851" s="1" t="n">
        <v>45372</v>
      </c>
      <c r="C10851" s="1" t="n">
        <v>45715</v>
      </c>
      <c r="D10851" t="inlineStr">
        <is>
          <t>KALMAR LÄN</t>
        </is>
      </c>
      <c r="E10851" t="inlineStr">
        <is>
          <t>HULTSFRED</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11450-2024</t>
        </is>
      </c>
      <c r="B10852" s="1" t="n">
        <v>45372</v>
      </c>
      <c r="C10852" s="1" t="n">
        <v>45715</v>
      </c>
      <c r="D10852" t="inlineStr">
        <is>
          <t>KALMAR LÄN</t>
        </is>
      </c>
      <c r="E10852" t="inlineStr">
        <is>
          <t>OSKARSHAMN</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11476-2024</t>
        </is>
      </c>
      <c r="B10853" s="1" t="n">
        <v>45372</v>
      </c>
      <c r="C10853" s="1" t="n">
        <v>45715</v>
      </c>
      <c r="D10853" t="inlineStr">
        <is>
          <t>KALMAR LÄN</t>
        </is>
      </c>
      <c r="E10853" t="inlineStr">
        <is>
          <t>OSKARSHAMN</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11471-2024</t>
        </is>
      </c>
      <c r="B10854" s="1" t="n">
        <v>45372</v>
      </c>
      <c r="C10854" s="1" t="n">
        <v>45715</v>
      </c>
      <c r="D10854" t="inlineStr">
        <is>
          <t>KALMAR LÄN</t>
        </is>
      </c>
      <c r="E10854" t="inlineStr">
        <is>
          <t>OSKARSHAMN</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11484-2024</t>
        </is>
      </c>
      <c r="B10855" s="1" t="n">
        <v>45372</v>
      </c>
      <c r="C10855" s="1" t="n">
        <v>45715</v>
      </c>
      <c r="D10855" t="inlineStr">
        <is>
          <t>KALMAR LÄN</t>
        </is>
      </c>
      <c r="E10855" t="inlineStr">
        <is>
          <t>VIMMERBY</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11466-2024</t>
        </is>
      </c>
      <c r="B10856" s="1" t="n">
        <v>45372</v>
      </c>
      <c r="C10856" s="1" t="n">
        <v>45715</v>
      </c>
      <c r="D10856" t="inlineStr">
        <is>
          <t>KALMAR LÄN</t>
        </is>
      </c>
      <c r="E10856" t="inlineStr">
        <is>
          <t>OSKARSHAMN</t>
        </is>
      </c>
      <c r="G10856" t="n">
        <v>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11636-2024</t>
        </is>
      </c>
      <c r="B10857" s="1" t="n">
        <v>45373</v>
      </c>
      <c r="C10857" s="1" t="n">
        <v>45715</v>
      </c>
      <c r="D10857" t="inlineStr">
        <is>
          <t>KALMAR LÄN</t>
        </is>
      </c>
      <c r="E10857" t="inlineStr">
        <is>
          <t>EMMABODA</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11621-2024</t>
        </is>
      </c>
      <c r="B10858" s="1" t="n">
        <v>45373</v>
      </c>
      <c r="C10858" s="1" t="n">
        <v>45715</v>
      </c>
      <c r="D10858" t="inlineStr">
        <is>
          <t>KALMAR LÄN</t>
        </is>
      </c>
      <c r="E10858" t="inlineStr">
        <is>
          <t>NYBRO</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11645-2024</t>
        </is>
      </c>
      <c r="B10859" s="1" t="n">
        <v>45373</v>
      </c>
      <c r="C10859" s="1" t="n">
        <v>45715</v>
      </c>
      <c r="D10859" t="inlineStr">
        <is>
          <t>KALMAR LÄN</t>
        </is>
      </c>
      <c r="E10859" t="inlineStr">
        <is>
          <t>NYBRO</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11735-2024</t>
        </is>
      </c>
      <c r="B10860" s="1" t="n">
        <v>45373</v>
      </c>
      <c r="C10860" s="1" t="n">
        <v>45715</v>
      </c>
      <c r="D10860" t="inlineStr">
        <is>
          <t>KALMAR LÄN</t>
        </is>
      </c>
      <c r="E10860" t="inlineStr">
        <is>
          <t>OSKARSHAMN</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11647-2024</t>
        </is>
      </c>
      <c r="B10861" s="1" t="n">
        <v>45373</v>
      </c>
      <c r="C10861" s="1" t="n">
        <v>45715</v>
      </c>
      <c r="D10861" t="inlineStr">
        <is>
          <t>KALMAR LÄN</t>
        </is>
      </c>
      <c r="E10861" t="inlineStr">
        <is>
          <t>NYBRO</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11750-2024</t>
        </is>
      </c>
      <c r="B10862" s="1" t="n">
        <v>45373</v>
      </c>
      <c r="C10862" s="1" t="n">
        <v>45715</v>
      </c>
      <c r="D10862" t="inlineStr">
        <is>
          <t>KALMAR LÄN</t>
        </is>
      </c>
      <c r="E10862" t="inlineStr">
        <is>
          <t>VÄSTERVIK</t>
        </is>
      </c>
      <c r="F10862" t="inlineStr">
        <is>
          <t>Holmen skog AB</t>
        </is>
      </c>
      <c r="G10862" t="n">
        <v>6.3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11746-2024</t>
        </is>
      </c>
      <c r="B10863" s="1" t="n">
        <v>45373</v>
      </c>
      <c r="C10863" s="1" t="n">
        <v>45715</v>
      </c>
      <c r="D10863" t="inlineStr">
        <is>
          <t>KALMAR LÄN</t>
        </is>
      </c>
      <c r="E10863" t="inlineStr">
        <is>
          <t>VÄSTERVIK</t>
        </is>
      </c>
      <c r="F10863" t="inlineStr">
        <is>
          <t>Holmen skog AB</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11611-2024</t>
        </is>
      </c>
      <c r="B10864" s="1" t="n">
        <v>45373</v>
      </c>
      <c r="C10864" s="1" t="n">
        <v>45715</v>
      </c>
      <c r="D10864" t="inlineStr">
        <is>
          <t>KALMAR LÄN</t>
        </is>
      </c>
      <c r="E10864" t="inlineStr">
        <is>
          <t>VÄSTERVIK</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11791-2024</t>
        </is>
      </c>
      <c r="B10865" s="1" t="n">
        <v>45375</v>
      </c>
      <c r="C10865" s="1" t="n">
        <v>45715</v>
      </c>
      <c r="D10865" t="inlineStr">
        <is>
          <t>KALMAR LÄN</t>
        </is>
      </c>
      <c r="E10865" t="inlineStr">
        <is>
          <t>VÄSTERVIK</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11848-2024</t>
        </is>
      </c>
      <c r="B10866" s="1" t="n">
        <v>45376</v>
      </c>
      <c r="C10866" s="1" t="n">
        <v>45715</v>
      </c>
      <c r="D10866" t="inlineStr">
        <is>
          <t>KALMAR LÄN</t>
        </is>
      </c>
      <c r="E10866" t="inlineStr">
        <is>
          <t>VÄSTERVIK</t>
        </is>
      </c>
      <c r="F10866" t="inlineStr">
        <is>
          <t>Sveaskog</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11856-2024</t>
        </is>
      </c>
      <c r="B10867" s="1" t="n">
        <v>45376</v>
      </c>
      <c r="C10867" s="1" t="n">
        <v>45715</v>
      </c>
      <c r="D10867" t="inlineStr">
        <is>
          <t>KALMAR LÄN</t>
        </is>
      </c>
      <c r="E10867" t="inlineStr">
        <is>
          <t>VÄSTERVIK</t>
        </is>
      </c>
      <c r="F10867" t="inlineStr">
        <is>
          <t>Sveaskog</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11864-2024</t>
        </is>
      </c>
      <c r="B10868" s="1" t="n">
        <v>45376</v>
      </c>
      <c r="C10868" s="1" t="n">
        <v>45715</v>
      </c>
      <c r="D10868" t="inlineStr">
        <is>
          <t>KALMAR LÄN</t>
        </is>
      </c>
      <c r="E10868" t="inlineStr">
        <is>
          <t>VÄSTERVIK</t>
        </is>
      </c>
      <c r="F10868" t="inlineStr">
        <is>
          <t>Sveaskog</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11910-2024</t>
        </is>
      </c>
      <c r="B10869" s="1" t="n">
        <v>45376</v>
      </c>
      <c r="C10869" s="1" t="n">
        <v>45715</v>
      </c>
      <c r="D10869" t="inlineStr">
        <is>
          <t>KALMAR LÄN</t>
        </is>
      </c>
      <c r="E10869" t="inlineStr">
        <is>
          <t>NYBRO</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11854-2024</t>
        </is>
      </c>
      <c r="B10870" s="1" t="n">
        <v>45376</v>
      </c>
      <c r="C10870" s="1" t="n">
        <v>45715</v>
      </c>
      <c r="D10870" t="inlineStr">
        <is>
          <t>KALMAR LÄN</t>
        </is>
      </c>
      <c r="E10870" t="inlineStr">
        <is>
          <t>VÄSTERVIK</t>
        </is>
      </c>
      <c r="F10870" t="inlineStr">
        <is>
          <t>Sveaskog</t>
        </is>
      </c>
      <c r="G10870" t="n">
        <v>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11883-2024</t>
        </is>
      </c>
      <c r="B10871" s="1" t="n">
        <v>45376</v>
      </c>
      <c r="C10871" s="1" t="n">
        <v>45715</v>
      </c>
      <c r="D10871" t="inlineStr">
        <is>
          <t>KALMAR LÄN</t>
        </is>
      </c>
      <c r="E10871" t="inlineStr">
        <is>
          <t>HULTSFRED</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11884-2024</t>
        </is>
      </c>
      <c r="B10872" s="1" t="n">
        <v>45376</v>
      </c>
      <c r="C10872" s="1" t="n">
        <v>45715</v>
      </c>
      <c r="D10872" t="inlineStr">
        <is>
          <t>KALMAR LÄN</t>
        </is>
      </c>
      <c r="E10872" t="inlineStr">
        <is>
          <t>HULTSFRED</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11937-2024</t>
        </is>
      </c>
      <c r="B10873" s="1" t="n">
        <v>45376</v>
      </c>
      <c r="C10873" s="1" t="n">
        <v>45715</v>
      </c>
      <c r="D10873" t="inlineStr">
        <is>
          <t>KALMAR LÄN</t>
        </is>
      </c>
      <c r="E10873" t="inlineStr">
        <is>
          <t>TORSÅS</t>
        </is>
      </c>
      <c r="G10873" t="n">
        <v>4.7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11941-2024</t>
        </is>
      </c>
      <c r="B10874" s="1" t="n">
        <v>45376</v>
      </c>
      <c r="C10874" s="1" t="n">
        <v>45715</v>
      </c>
      <c r="D10874" t="inlineStr">
        <is>
          <t>KALMAR LÄN</t>
        </is>
      </c>
      <c r="E10874" t="inlineStr">
        <is>
          <t>EMMABODA</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11837-2024</t>
        </is>
      </c>
      <c r="B10875" s="1" t="n">
        <v>45376</v>
      </c>
      <c r="C10875" s="1" t="n">
        <v>45715</v>
      </c>
      <c r="D10875" t="inlineStr">
        <is>
          <t>KALMAR LÄN</t>
        </is>
      </c>
      <c r="E10875" t="inlineStr">
        <is>
          <t>EMMABODA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11865-2024</t>
        </is>
      </c>
      <c r="B10876" s="1" t="n">
        <v>45376</v>
      </c>
      <c r="C10876" s="1" t="n">
        <v>45715</v>
      </c>
      <c r="D10876" t="inlineStr">
        <is>
          <t>KALMAR LÄN</t>
        </is>
      </c>
      <c r="E10876" t="inlineStr">
        <is>
          <t>HÖGSBY</t>
        </is>
      </c>
      <c r="G10876" t="n">
        <v>13.2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11882-2024</t>
        </is>
      </c>
      <c r="B10877" s="1" t="n">
        <v>45376</v>
      </c>
      <c r="C10877" s="1" t="n">
        <v>45715</v>
      </c>
      <c r="D10877" t="inlineStr">
        <is>
          <t>KALMAR LÄN</t>
        </is>
      </c>
      <c r="E10877" t="inlineStr">
        <is>
          <t>HULTSFRED</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11886-2024</t>
        </is>
      </c>
      <c r="B10878" s="1" t="n">
        <v>45376</v>
      </c>
      <c r="C10878" s="1" t="n">
        <v>45715</v>
      </c>
      <c r="D10878" t="inlineStr">
        <is>
          <t>KALMAR LÄN</t>
        </is>
      </c>
      <c r="E10878" t="inlineStr">
        <is>
          <t>HULTSFRED</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12098-2024</t>
        </is>
      </c>
      <c r="B10879" s="1" t="n">
        <v>45377</v>
      </c>
      <c r="C10879" s="1" t="n">
        <v>45715</v>
      </c>
      <c r="D10879" t="inlineStr">
        <is>
          <t>KALMAR LÄN</t>
        </is>
      </c>
      <c r="E10879" t="inlineStr">
        <is>
          <t>OSKARSHAMN</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12136-2024</t>
        </is>
      </c>
      <c r="B10880" s="1" t="n">
        <v>45377</v>
      </c>
      <c r="C10880" s="1" t="n">
        <v>45715</v>
      </c>
      <c r="D10880" t="inlineStr">
        <is>
          <t>KALMAR LÄN</t>
        </is>
      </c>
      <c r="E10880" t="inlineStr">
        <is>
          <t>VIMMERBY</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12075-2024</t>
        </is>
      </c>
      <c r="B10881" s="1" t="n">
        <v>45377</v>
      </c>
      <c r="C10881" s="1" t="n">
        <v>45715</v>
      </c>
      <c r="D10881" t="inlineStr">
        <is>
          <t>KALMAR LÄN</t>
        </is>
      </c>
      <c r="E10881" t="inlineStr">
        <is>
          <t>VIMMERBY</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12033-2024</t>
        </is>
      </c>
      <c r="B10882" s="1" t="n">
        <v>45377</v>
      </c>
      <c r="C10882" s="1" t="n">
        <v>45715</v>
      </c>
      <c r="D10882" t="inlineStr">
        <is>
          <t>KALMAR LÄN</t>
        </is>
      </c>
      <c r="E10882" t="inlineStr">
        <is>
          <t>VIMMERBY</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12009-2024</t>
        </is>
      </c>
      <c r="B10883" s="1" t="n">
        <v>45377</v>
      </c>
      <c r="C10883" s="1" t="n">
        <v>45715</v>
      </c>
      <c r="D10883" t="inlineStr">
        <is>
          <t>KALMAR LÄN</t>
        </is>
      </c>
      <c r="E10883" t="inlineStr">
        <is>
          <t>VÄSTERVIK</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12146-2024</t>
        </is>
      </c>
      <c r="B10884" s="1" t="n">
        <v>45377</v>
      </c>
      <c r="C10884" s="1" t="n">
        <v>45715</v>
      </c>
      <c r="D10884" t="inlineStr">
        <is>
          <t>KALMAR LÄN</t>
        </is>
      </c>
      <c r="E10884" t="inlineStr">
        <is>
          <t>NYBRO</t>
        </is>
      </c>
      <c r="G10884" t="n">
        <v>4.5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12142-2024</t>
        </is>
      </c>
      <c r="B10885" s="1" t="n">
        <v>45377</v>
      </c>
      <c r="C10885" s="1" t="n">
        <v>45715</v>
      </c>
      <c r="D10885" t="inlineStr">
        <is>
          <t>KALMAR LÄN</t>
        </is>
      </c>
      <c r="E10885" t="inlineStr">
        <is>
          <t>VIMMERBY</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12111-2024</t>
        </is>
      </c>
      <c r="B10886" s="1" t="n">
        <v>45377</v>
      </c>
      <c r="C10886" s="1" t="n">
        <v>45715</v>
      </c>
      <c r="D10886" t="inlineStr">
        <is>
          <t>KALMAR LÄN</t>
        </is>
      </c>
      <c r="E10886" t="inlineStr">
        <is>
          <t>HULTSFRED</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12093-2024</t>
        </is>
      </c>
      <c r="B10887" s="1" t="n">
        <v>45377</v>
      </c>
      <c r="C10887" s="1" t="n">
        <v>45715</v>
      </c>
      <c r="D10887" t="inlineStr">
        <is>
          <t>KALMAR LÄN</t>
        </is>
      </c>
      <c r="E10887" t="inlineStr">
        <is>
          <t>OSKARSHAMN</t>
        </is>
      </c>
      <c r="G10887" t="n">
        <v>4.9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12265-2024</t>
        </is>
      </c>
      <c r="B10888" s="1" t="n">
        <v>45378</v>
      </c>
      <c r="C10888" s="1" t="n">
        <v>45715</v>
      </c>
      <c r="D10888" t="inlineStr">
        <is>
          <t>KALMAR LÄN</t>
        </is>
      </c>
      <c r="E10888" t="inlineStr">
        <is>
          <t>KALMAR</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12269-2024</t>
        </is>
      </c>
      <c r="B10889" s="1" t="n">
        <v>45378</v>
      </c>
      <c r="C10889" s="1" t="n">
        <v>45715</v>
      </c>
      <c r="D10889" t="inlineStr">
        <is>
          <t>KALMAR LÄN</t>
        </is>
      </c>
      <c r="E10889" t="inlineStr">
        <is>
          <t>KALMAR</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12348-2024</t>
        </is>
      </c>
      <c r="B10890" s="1" t="n">
        <v>45378</v>
      </c>
      <c r="C10890" s="1" t="n">
        <v>45715</v>
      </c>
      <c r="D10890" t="inlineStr">
        <is>
          <t>KALMAR LÄN</t>
        </is>
      </c>
      <c r="E10890" t="inlineStr">
        <is>
          <t>NYBRO</t>
        </is>
      </c>
      <c r="G10890" t="n">
        <v>4.2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12306-2024</t>
        </is>
      </c>
      <c r="B10891" s="1" t="n">
        <v>45378</v>
      </c>
      <c r="C10891" s="1" t="n">
        <v>45715</v>
      </c>
      <c r="D10891" t="inlineStr">
        <is>
          <t>KALMAR LÄN</t>
        </is>
      </c>
      <c r="E10891" t="inlineStr">
        <is>
          <t>HULTSFRED</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12215-2024</t>
        </is>
      </c>
      <c r="B10892" s="1" t="n">
        <v>45378</v>
      </c>
      <c r="C10892" s="1" t="n">
        <v>45715</v>
      </c>
      <c r="D10892" t="inlineStr">
        <is>
          <t>KALMAR LÄN</t>
        </is>
      </c>
      <c r="E10892" t="inlineStr">
        <is>
          <t>VIMMERBY</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12262-2024</t>
        </is>
      </c>
      <c r="B10893" s="1" t="n">
        <v>45378</v>
      </c>
      <c r="C10893" s="1" t="n">
        <v>45715</v>
      </c>
      <c r="D10893" t="inlineStr">
        <is>
          <t>KALMAR LÄN</t>
        </is>
      </c>
      <c r="E10893" t="inlineStr">
        <is>
          <t>KALMAR</t>
        </is>
      </c>
      <c r="G10893" t="n">
        <v>5.4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12301-2024</t>
        </is>
      </c>
      <c r="B10894" s="1" t="n">
        <v>45378</v>
      </c>
      <c r="C10894" s="1" t="n">
        <v>45715</v>
      </c>
      <c r="D10894" t="inlineStr">
        <is>
          <t>KALMAR LÄN</t>
        </is>
      </c>
      <c r="E10894" t="inlineStr">
        <is>
          <t>HULTSFRED</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12567-2024</t>
        </is>
      </c>
      <c r="B10895" s="1" t="n">
        <v>45379</v>
      </c>
      <c r="C10895" s="1" t="n">
        <v>45715</v>
      </c>
      <c r="D10895" t="inlineStr">
        <is>
          <t>KALMAR LÄN</t>
        </is>
      </c>
      <c r="E10895" t="inlineStr">
        <is>
          <t>OSKARSHAMN</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12433-2024</t>
        </is>
      </c>
      <c r="B10896" s="1" t="n">
        <v>45379</v>
      </c>
      <c r="C10896" s="1" t="n">
        <v>45715</v>
      </c>
      <c r="D10896" t="inlineStr">
        <is>
          <t>KALMAR LÄN</t>
        </is>
      </c>
      <c r="E10896" t="inlineStr">
        <is>
          <t>VÄSTERVIK</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12643-2024</t>
        </is>
      </c>
      <c r="B10897" s="1" t="n">
        <v>45379</v>
      </c>
      <c r="C10897" s="1" t="n">
        <v>45715</v>
      </c>
      <c r="D10897" t="inlineStr">
        <is>
          <t>KALMAR LÄN</t>
        </is>
      </c>
      <c r="E10897" t="inlineStr">
        <is>
          <t>VÄSTERVIK</t>
        </is>
      </c>
      <c r="F10897" t="inlineStr">
        <is>
          <t>Kommuner</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12431-2024</t>
        </is>
      </c>
      <c r="B10898" s="1" t="n">
        <v>45379</v>
      </c>
      <c r="C10898" s="1" t="n">
        <v>45715</v>
      </c>
      <c r="D10898" t="inlineStr">
        <is>
          <t>KALMAR LÄN</t>
        </is>
      </c>
      <c r="E10898" t="inlineStr">
        <is>
          <t>VÄSTERVIK</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12394-2024</t>
        </is>
      </c>
      <c r="B10899" s="1" t="n">
        <v>45379</v>
      </c>
      <c r="C10899" s="1" t="n">
        <v>45715</v>
      </c>
      <c r="D10899" t="inlineStr">
        <is>
          <t>KALMAR LÄN</t>
        </is>
      </c>
      <c r="E10899" t="inlineStr">
        <is>
          <t>NYBRO</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12380-2024</t>
        </is>
      </c>
      <c r="B10900" s="1" t="n">
        <v>45379</v>
      </c>
      <c r="C10900" s="1" t="n">
        <v>45715</v>
      </c>
      <c r="D10900" t="inlineStr">
        <is>
          <t>KALMAR LÄN</t>
        </is>
      </c>
      <c r="E10900" t="inlineStr">
        <is>
          <t>NYBRO</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12400-2024</t>
        </is>
      </c>
      <c r="B10901" s="1" t="n">
        <v>45379</v>
      </c>
      <c r="C10901" s="1" t="n">
        <v>45715</v>
      </c>
      <c r="D10901" t="inlineStr">
        <is>
          <t>KALMAR LÄN</t>
        </is>
      </c>
      <c r="E10901" t="inlineStr">
        <is>
          <t>NYBRO</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12553-2024</t>
        </is>
      </c>
      <c r="B10902" s="1" t="n">
        <v>45379</v>
      </c>
      <c r="C10902" s="1" t="n">
        <v>45715</v>
      </c>
      <c r="D10902" t="inlineStr">
        <is>
          <t>KALMAR LÄN</t>
        </is>
      </c>
      <c r="E10902" t="inlineStr">
        <is>
          <t>OSKARSHAMN</t>
        </is>
      </c>
      <c r="G10902" t="n">
        <v>6.8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12435-2024</t>
        </is>
      </c>
      <c r="B10903" s="1" t="n">
        <v>45379</v>
      </c>
      <c r="C10903" s="1" t="n">
        <v>45715</v>
      </c>
      <c r="D10903" t="inlineStr">
        <is>
          <t>KALMAR LÄN</t>
        </is>
      </c>
      <c r="E10903" t="inlineStr">
        <is>
          <t>VÄSTERVIK</t>
        </is>
      </c>
      <c r="G10903" t="n">
        <v>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12446-2024</t>
        </is>
      </c>
      <c r="B10904" s="1" t="n">
        <v>45379</v>
      </c>
      <c r="C10904" s="1" t="n">
        <v>45715</v>
      </c>
      <c r="D10904" t="inlineStr">
        <is>
          <t>KALMAR LÄN</t>
        </is>
      </c>
      <c r="E10904" t="inlineStr">
        <is>
          <t>VÄSTERVIK</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12480-2024</t>
        </is>
      </c>
      <c r="B10905" s="1" t="n">
        <v>45379</v>
      </c>
      <c r="C10905" s="1" t="n">
        <v>45715</v>
      </c>
      <c r="D10905" t="inlineStr">
        <is>
          <t>KALMAR LÄN</t>
        </is>
      </c>
      <c r="E10905" t="inlineStr">
        <is>
          <t>VIMMERBY</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12556-2024</t>
        </is>
      </c>
      <c r="B10906" s="1" t="n">
        <v>45379</v>
      </c>
      <c r="C10906" s="1" t="n">
        <v>45715</v>
      </c>
      <c r="D10906" t="inlineStr">
        <is>
          <t>KALMAR LÄN</t>
        </is>
      </c>
      <c r="E10906" t="inlineStr">
        <is>
          <t>OSKARSHAMN</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12808-2024</t>
        </is>
      </c>
      <c r="B10907" s="1" t="n">
        <v>45384</v>
      </c>
      <c r="C10907" s="1" t="n">
        <v>45715</v>
      </c>
      <c r="D10907" t="inlineStr">
        <is>
          <t>KALMAR LÄN</t>
        </is>
      </c>
      <c r="E10907" t="inlineStr">
        <is>
          <t>KALMAR</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12816-2024</t>
        </is>
      </c>
      <c r="B10908" s="1" t="n">
        <v>45384</v>
      </c>
      <c r="C10908" s="1" t="n">
        <v>45715</v>
      </c>
      <c r="D10908" t="inlineStr">
        <is>
          <t>KALMAR LÄN</t>
        </is>
      </c>
      <c r="E10908" t="inlineStr">
        <is>
          <t>KALMAR</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12802-2024</t>
        </is>
      </c>
      <c r="B10909" s="1" t="n">
        <v>45384</v>
      </c>
      <c r="C10909" s="1" t="n">
        <v>45715</v>
      </c>
      <c r="D10909" t="inlineStr">
        <is>
          <t>KALMAR LÄN</t>
        </is>
      </c>
      <c r="E10909" t="inlineStr">
        <is>
          <t>OSKARSHAMN</t>
        </is>
      </c>
      <c r="G10909" t="n">
        <v>6.2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12819-2024</t>
        </is>
      </c>
      <c r="B10910" s="1" t="n">
        <v>45384</v>
      </c>
      <c r="C10910" s="1" t="n">
        <v>45715</v>
      </c>
      <c r="D10910" t="inlineStr">
        <is>
          <t>KALMAR LÄN</t>
        </is>
      </c>
      <c r="E10910" t="inlineStr">
        <is>
          <t>VIMMERBY</t>
        </is>
      </c>
      <c r="G10910" t="n">
        <v>5.1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12852-2024</t>
        </is>
      </c>
      <c r="B10911" s="1" t="n">
        <v>45384</v>
      </c>
      <c r="C10911" s="1" t="n">
        <v>45715</v>
      </c>
      <c r="D10911" t="inlineStr">
        <is>
          <t>KALMAR LÄN</t>
        </is>
      </c>
      <c r="E10911" t="inlineStr">
        <is>
          <t>VÄSTERVIK</t>
        </is>
      </c>
      <c r="F10911" t="inlineStr">
        <is>
          <t>Holmen skog AB</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12849-2024</t>
        </is>
      </c>
      <c r="B10912" s="1" t="n">
        <v>45384</v>
      </c>
      <c r="C10912" s="1" t="n">
        <v>45715</v>
      </c>
      <c r="D10912" t="inlineStr">
        <is>
          <t>KALMAR LÄN</t>
        </is>
      </c>
      <c r="E10912" t="inlineStr">
        <is>
          <t>OSKARSHAMN</t>
        </is>
      </c>
      <c r="F10912" t="inlineStr">
        <is>
          <t>Sveaskog</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12847-2024</t>
        </is>
      </c>
      <c r="B10913" s="1" t="n">
        <v>45384</v>
      </c>
      <c r="C10913" s="1" t="n">
        <v>45715</v>
      </c>
      <c r="D10913" t="inlineStr">
        <is>
          <t>KALMAR LÄN</t>
        </is>
      </c>
      <c r="E10913" t="inlineStr">
        <is>
          <t>HÖGSBY</t>
        </is>
      </c>
      <c r="F10913" t="inlineStr">
        <is>
          <t>Sveaskog</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12814-2024</t>
        </is>
      </c>
      <c r="B10914" s="1" t="n">
        <v>45384</v>
      </c>
      <c r="C10914" s="1" t="n">
        <v>45715</v>
      </c>
      <c r="D10914" t="inlineStr">
        <is>
          <t>KALMAR LÄN</t>
        </is>
      </c>
      <c r="E10914" t="inlineStr">
        <is>
          <t>KALMAR</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12850-2024</t>
        </is>
      </c>
      <c r="B10915" s="1" t="n">
        <v>45384</v>
      </c>
      <c r="C10915" s="1" t="n">
        <v>45715</v>
      </c>
      <c r="D10915" t="inlineStr">
        <is>
          <t>KALMAR LÄN</t>
        </is>
      </c>
      <c r="E10915" t="inlineStr">
        <is>
          <t>OSKARSHAMN</t>
        </is>
      </c>
      <c r="F10915" t="inlineStr">
        <is>
          <t>Sveaskog</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12925-2024</t>
        </is>
      </c>
      <c r="B10916" s="1" t="n">
        <v>45385</v>
      </c>
      <c r="C10916" s="1" t="n">
        <v>45715</v>
      </c>
      <c r="D10916" t="inlineStr">
        <is>
          <t>KALMAR LÄN</t>
        </is>
      </c>
      <c r="E10916" t="inlineStr">
        <is>
          <t>OSKARSHAMN</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12897-2024</t>
        </is>
      </c>
      <c r="B10917" s="1" t="n">
        <v>45385</v>
      </c>
      <c r="C10917" s="1" t="n">
        <v>45715</v>
      </c>
      <c r="D10917" t="inlineStr">
        <is>
          <t>KALMAR LÄN</t>
        </is>
      </c>
      <c r="E10917" t="inlineStr">
        <is>
          <t>HÖGSBY</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12905-2024</t>
        </is>
      </c>
      <c r="B10918" s="1" t="n">
        <v>45385</v>
      </c>
      <c r="C10918" s="1" t="n">
        <v>45715</v>
      </c>
      <c r="D10918" t="inlineStr">
        <is>
          <t>KALMAR LÄN</t>
        </is>
      </c>
      <c r="E10918" t="inlineStr">
        <is>
          <t>HÖGSBY</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12919-2024</t>
        </is>
      </c>
      <c r="B10919" s="1" t="n">
        <v>45385</v>
      </c>
      <c r="C10919" s="1" t="n">
        <v>45715</v>
      </c>
      <c r="D10919" t="inlineStr">
        <is>
          <t>KALMAR LÄN</t>
        </is>
      </c>
      <c r="E10919" t="inlineStr">
        <is>
          <t>KALMAR</t>
        </is>
      </c>
      <c r="F10919" t="inlineStr">
        <is>
          <t>Sveaskog</t>
        </is>
      </c>
      <c r="G10919" t="n">
        <v>4.3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12943-2024</t>
        </is>
      </c>
      <c r="B10920" s="1" t="n">
        <v>45385</v>
      </c>
      <c r="C10920" s="1" t="n">
        <v>45715</v>
      </c>
      <c r="D10920" t="inlineStr">
        <is>
          <t>KALMAR LÄN</t>
        </is>
      </c>
      <c r="E10920" t="inlineStr">
        <is>
          <t>NYBRO</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12960-2024</t>
        </is>
      </c>
      <c r="B10921" s="1" t="n">
        <v>45385</v>
      </c>
      <c r="C10921" s="1" t="n">
        <v>45715</v>
      </c>
      <c r="D10921" t="inlineStr">
        <is>
          <t>KALMAR LÄN</t>
        </is>
      </c>
      <c r="E10921" t="inlineStr">
        <is>
          <t>EMMABODA</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13043-2024</t>
        </is>
      </c>
      <c r="B10922" s="1" t="n">
        <v>45385</v>
      </c>
      <c r="C10922" s="1" t="n">
        <v>45715</v>
      </c>
      <c r="D10922" t="inlineStr">
        <is>
          <t>KALMAR LÄN</t>
        </is>
      </c>
      <c r="E10922" t="inlineStr">
        <is>
          <t>BORGHOLM</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13072-2024</t>
        </is>
      </c>
      <c r="B10923" s="1" t="n">
        <v>45385</v>
      </c>
      <c r="C10923" s="1" t="n">
        <v>45715</v>
      </c>
      <c r="D10923" t="inlineStr">
        <is>
          <t>KALMAR LÄN</t>
        </is>
      </c>
      <c r="E10923" t="inlineStr">
        <is>
          <t>OSKARSHAMN</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13076-2024</t>
        </is>
      </c>
      <c r="B10924" s="1" t="n">
        <v>45385</v>
      </c>
      <c r="C10924" s="1" t="n">
        <v>45715</v>
      </c>
      <c r="D10924" t="inlineStr">
        <is>
          <t>KALMAR LÄN</t>
        </is>
      </c>
      <c r="E10924" t="inlineStr">
        <is>
          <t>OSKARSHAMN</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13011-2024</t>
        </is>
      </c>
      <c r="B10925" s="1" t="n">
        <v>45385</v>
      </c>
      <c r="C10925" s="1" t="n">
        <v>45715</v>
      </c>
      <c r="D10925" t="inlineStr">
        <is>
          <t>KALMAR LÄN</t>
        </is>
      </c>
      <c r="E10925" t="inlineStr">
        <is>
          <t>HULTSFRED</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13041-2024</t>
        </is>
      </c>
      <c r="B10926" s="1" t="n">
        <v>45385</v>
      </c>
      <c r="C10926" s="1" t="n">
        <v>45715</v>
      </c>
      <c r="D10926" t="inlineStr">
        <is>
          <t>KALMAR LÄN</t>
        </is>
      </c>
      <c r="E10926" t="inlineStr">
        <is>
          <t>BORGHOLM</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13045-2024</t>
        </is>
      </c>
      <c r="B10927" s="1" t="n">
        <v>45385</v>
      </c>
      <c r="C10927" s="1" t="n">
        <v>45715</v>
      </c>
      <c r="D10927" t="inlineStr">
        <is>
          <t>KALMAR LÄN</t>
        </is>
      </c>
      <c r="E10927" t="inlineStr">
        <is>
          <t>KALMAR</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12938-2024</t>
        </is>
      </c>
      <c r="B10928" s="1" t="n">
        <v>45385</v>
      </c>
      <c r="C10928" s="1" t="n">
        <v>45715</v>
      </c>
      <c r="D10928" t="inlineStr">
        <is>
          <t>KALMAR LÄN</t>
        </is>
      </c>
      <c r="E10928" t="inlineStr">
        <is>
          <t>OSKARSHAMN</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12959-2024</t>
        </is>
      </c>
      <c r="B10929" s="1" t="n">
        <v>45385</v>
      </c>
      <c r="C10929" s="1" t="n">
        <v>45715</v>
      </c>
      <c r="D10929" t="inlineStr">
        <is>
          <t>KALMAR LÄN</t>
        </is>
      </c>
      <c r="E10929" t="inlineStr">
        <is>
          <t>EMMABODA</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13058-2024</t>
        </is>
      </c>
      <c r="B10930" s="1" t="n">
        <v>45385</v>
      </c>
      <c r="C10930" s="1" t="n">
        <v>45715</v>
      </c>
      <c r="D10930" t="inlineStr">
        <is>
          <t>KALMAR LÄN</t>
        </is>
      </c>
      <c r="E10930" t="inlineStr">
        <is>
          <t>NYBRO</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13075-2024</t>
        </is>
      </c>
      <c r="B10931" s="1" t="n">
        <v>45385</v>
      </c>
      <c r="C10931" s="1" t="n">
        <v>45715</v>
      </c>
      <c r="D10931" t="inlineStr">
        <is>
          <t>KALMAR LÄN</t>
        </is>
      </c>
      <c r="E10931" t="inlineStr">
        <is>
          <t>OSKARSHAMN</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13005-2024</t>
        </is>
      </c>
      <c r="B10932" s="1" t="n">
        <v>45385</v>
      </c>
      <c r="C10932" s="1" t="n">
        <v>45715</v>
      </c>
      <c r="D10932" t="inlineStr">
        <is>
          <t>KALMAR LÄN</t>
        </is>
      </c>
      <c r="E10932" t="inlineStr">
        <is>
          <t>NYBRO</t>
        </is>
      </c>
      <c r="G10932" t="n">
        <v>6.9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13040-2024</t>
        </is>
      </c>
      <c r="B10933" s="1" t="n">
        <v>45385</v>
      </c>
      <c r="C10933" s="1" t="n">
        <v>45715</v>
      </c>
      <c r="D10933" t="inlineStr">
        <is>
          <t>KALMAR LÄN</t>
        </is>
      </c>
      <c r="E10933" t="inlineStr">
        <is>
          <t>MÖRBYLÅNGA</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13073-2024</t>
        </is>
      </c>
      <c r="B10934" s="1" t="n">
        <v>45385</v>
      </c>
      <c r="C10934" s="1" t="n">
        <v>45715</v>
      </c>
      <c r="D10934" t="inlineStr">
        <is>
          <t>KALMAR LÄN</t>
        </is>
      </c>
      <c r="E10934" t="inlineStr">
        <is>
          <t>OSKARSHAMN</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13123-2024</t>
        </is>
      </c>
      <c r="B10935" s="1" t="n">
        <v>45385</v>
      </c>
      <c r="C10935" s="1" t="n">
        <v>45715</v>
      </c>
      <c r="D10935" t="inlineStr">
        <is>
          <t>KALMAR LÄN</t>
        </is>
      </c>
      <c r="E10935" t="inlineStr">
        <is>
          <t>VIMMERBY</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13244-2024</t>
        </is>
      </c>
      <c r="B10936" s="1" t="n">
        <v>45386</v>
      </c>
      <c r="C10936" s="1" t="n">
        <v>45715</v>
      </c>
      <c r="D10936" t="inlineStr">
        <is>
          <t>KALMAR LÄN</t>
        </is>
      </c>
      <c r="E10936" t="inlineStr">
        <is>
          <t>MÖNSTERÅS</t>
        </is>
      </c>
      <c r="G10936" t="n">
        <v>7.2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13258-2024</t>
        </is>
      </c>
      <c r="B10937" s="1" t="n">
        <v>45386</v>
      </c>
      <c r="C10937" s="1" t="n">
        <v>45715</v>
      </c>
      <c r="D10937" t="inlineStr">
        <is>
          <t>KALMAR LÄN</t>
        </is>
      </c>
      <c r="E10937" t="inlineStr">
        <is>
          <t>OSKARSHAMN</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13148-2024</t>
        </is>
      </c>
      <c r="B10938" s="1" t="n">
        <v>45386</v>
      </c>
      <c r="C10938" s="1" t="n">
        <v>45715</v>
      </c>
      <c r="D10938" t="inlineStr">
        <is>
          <t>KALMAR LÄN</t>
        </is>
      </c>
      <c r="E10938" t="inlineStr">
        <is>
          <t>EMMABODA</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13308-2024</t>
        </is>
      </c>
      <c r="B10939" s="1" t="n">
        <v>45386</v>
      </c>
      <c r="C10939" s="1" t="n">
        <v>45715</v>
      </c>
      <c r="D10939" t="inlineStr">
        <is>
          <t>KALMAR LÄN</t>
        </is>
      </c>
      <c r="E10939" t="inlineStr">
        <is>
          <t>HÖGSBY</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13204-2024</t>
        </is>
      </c>
      <c r="B10940" s="1" t="n">
        <v>45386</v>
      </c>
      <c r="C10940" s="1" t="n">
        <v>45715</v>
      </c>
      <c r="D10940" t="inlineStr">
        <is>
          <t>KALMAR LÄN</t>
        </is>
      </c>
      <c r="E10940" t="inlineStr">
        <is>
          <t>OSKARSHAMN</t>
        </is>
      </c>
      <c r="G10940" t="n">
        <v>5.8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13253-2024</t>
        </is>
      </c>
      <c r="B10941" s="1" t="n">
        <v>45386</v>
      </c>
      <c r="C10941" s="1" t="n">
        <v>45715</v>
      </c>
      <c r="D10941" t="inlineStr">
        <is>
          <t>KALMAR LÄN</t>
        </is>
      </c>
      <c r="E10941" t="inlineStr">
        <is>
          <t>OSKARSHAMN</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13505-2024</t>
        </is>
      </c>
      <c r="B10942" s="1" t="n">
        <v>45387</v>
      </c>
      <c r="C10942" s="1" t="n">
        <v>45715</v>
      </c>
      <c r="D10942" t="inlineStr">
        <is>
          <t>KALMAR LÄN</t>
        </is>
      </c>
      <c r="E10942" t="inlineStr">
        <is>
          <t>EMMABODA</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13416-2024</t>
        </is>
      </c>
      <c r="B10943" s="1" t="n">
        <v>45387</v>
      </c>
      <c r="C10943" s="1" t="n">
        <v>45715</v>
      </c>
      <c r="D10943" t="inlineStr">
        <is>
          <t>KALMAR LÄN</t>
        </is>
      </c>
      <c r="E10943" t="inlineStr">
        <is>
          <t>KALMAR</t>
        </is>
      </c>
      <c r="G10943" t="n">
        <v>0.4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13400-2024</t>
        </is>
      </c>
      <c r="B10944" s="1" t="n">
        <v>45387</v>
      </c>
      <c r="C10944" s="1" t="n">
        <v>45715</v>
      </c>
      <c r="D10944" t="inlineStr">
        <is>
          <t>KALMAR LÄN</t>
        </is>
      </c>
      <c r="E10944" t="inlineStr">
        <is>
          <t>VÄSTERVIK</t>
        </is>
      </c>
      <c r="F10944" t="inlineStr">
        <is>
          <t>Holmen skog AB</t>
        </is>
      </c>
      <c r="G10944" t="n">
        <v>4.9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13503-2024</t>
        </is>
      </c>
      <c r="B10945" s="1" t="n">
        <v>45387</v>
      </c>
      <c r="C10945" s="1" t="n">
        <v>45715</v>
      </c>
      <c r="D10945" t="inlineStr">
        <is>
          <t>KALMAR LÄN</t>
        </is>
      </c>
      <c r="E10945" t="inlineStr">
        <is>
          <t>OSKARSHAMN</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13504-2024</t>
        </is>
      </c>
      <c r="B10946" s="1" t="n">
        <v>45387</v>
      </c>
      <c r="C10946" s="1" t="n">
        <v>45715</v>
      </c>
      <c r="D10946" t="inlineStr">
        <is>
          <t>KALMAR LÄN</t>
        </is>
      </c>
      <c r="E10946" t="inlineStr">
        <is>
          <t>EMMABODA</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13455-2024</t>
        </is>
      </c>
      <c r="B10947" s="1" t="n">
        <v>45387</v>
      </c>
      <c r="C10947" s="1" t="n">
        <v>45715</v>
      </c>
      <c r="D10947" t="inlineStr">
        <is>
          <t>KALMAR LÄN</t>
        </is>
      </c>
      <c r="E10947" t="inlineStr">
        <is>
          <t>KALMAR</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13414-2024</t>
        </is>
      </c>
      <c r="B10948" s="1" t="n">
        <v>45387</v>
      </c>
      <c r="C10948" s="1" t="n">
        <v>45715</v>
      </c>
      <c r="D10948" t="inlineStr">
        <is>
          <t>KALMAR LÄN</t>
        </is>
      </c>
      <c r="E10948" t="inlineStr">
        <is>
          <t>KALMAR</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13419-2024</t>
        </is>
      </c>
      <c r="B10949" s="1" t="n">
        <v>45387</v>
      </c>
      <c r="C10949" s="1" t="n">
        <v>45715</v>
      </c>
      <c r="D10949" t="inlineStr">
        <is>
          <t>KALMAR LÄN</t>
        </is>
      </c>
      <c r="E10949" t="inlineStr">
        <is>
          <t>KALMAR</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13415-2024</t>
        </is>
      </c>
      <c r="B10950" s="1" t="n">
        <v>45387</v>
      </c>
      <c r="C10950" s="1" t="n">
        <v>45715</v>
      </c>
      <c r="D10950" t="inlineStr">
        <is>
          <t>KALMAR LÄN</t>
        </is>
      </c>
      <c r="E10950" t="inlineStr">
        <is>
          <t>KALMAR</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13510-2024</t>
        </is>
      </c>
      <c r="B10951" s="1" t="n">
        <v>45387</v>
      </c>
      <c r="C10951" s="1" t="n">
        <v>45715</v>
      </c>
      <c r="D10951" t="inlineStr">
        <is>
          <t>KALMAR LÄN</t>
        </is>
      </c>
      <c r="E10951" t="inlineStr">
        <is>
          <t>OSKARSHAMN</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13506-2024</t>
        </is>
      </c>
      <c r="B10952" s="1" t="n">
        <v>45387</v>
      </c>
      <c r="C10952" s="1" t="n">
        <v>45715</v>
      </c>
      <c r="D10952" t="inlineStr">
        <is>
          <t>KALMAR LÄN</t>
        </is>
      </c>
      <c r="E10952" t="inlineStr">
        <is>
          <t>TORSÅS</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13753-2024</t>
        </is>
      </c>
      <c r="B10953" s="1" t="n">
        <v>45390</v>
      </c>
      <c r="C10953" s="1" t="n">
        <v>45715</v>
      </c>
      <c r="D10953" t="inlineStr">
        <is>
          <t>KALMAR LÄN</t>
        </is>
      </c>
      <c r="E10953" t="inlineStr">
        <is>
          <t>VÄSTERVIK</t>
        </is>
      </c>
      <c r="F10953" t="inlineStr">
        <is>
          <t>Sveaskog</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13743-2024</t>
        </is>
      </c>
      <c r="B10954" s="1" t="n">
        <v>45390</v>
      </c>
      <c r="C10954" s="1" t="n">
        <v>45715</v>
      </c>
      <c r="D10954" t="inlineStr">
        <is>
          <t>KALMAR LÄN</t>
        </is>
      </c>
      <c r="E10954" t="inlineStr">
        <is>
          <t>VÄSTERVIK</t>
        </is>
      </c>
      <c r="F10954" t="inlineStr">
        <is>
          <t>Sveaskog</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13748-2024</t>
        </is>
      </c>
      <c r="B10955" s="1" t="n">
        <v>45390</v>
      </c>
      <c r="C10955" s="1" t="n">
        <v>45715</v>
      </c>
      <c r="D10955" t="inlineStr">
        <is>
          <t>KALMAR LÄN</t>
        </is>
      </c>
      <c r="E10955" t="inlineStr">
        <is>
          <t>VÄSTERVIK</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13747-2024</t>
        </is>
      </c>
      <c r="B10956" s="1" t="n">
        <v>45390</v>
      </c>
      <c r="C10956" s="1" t="n">
        <v>45715</v>
      </c>
      <c r="D10956" t="inlineStr">
        <is>
          <t>KALMAR LÄN</t>
        </is>
      </c>
      <c r="E10956" t="inlineStr">
        <is>
          <t>VÄSTERVIK</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13751-2024</t>
        </is>
      </c>
      <c r="B10957" s="1" t="n">
        <v>45390</v>
      </c>
      <c r="C10957" s="1" t="n">
        <v>45715</v>
      </c>
      <c r="D10957" t="inlineStr">
        <is>
          <t>KALMAR LÄN</t>
        </is>
      </c>
      <c r="E10957" t="inlineStr">
        <is>
          <t>VÄSTERVIK</t>
        </is>
      </c>
      <c r="F10957" t="inlineStr">
        <is>
          <t>Sveaskog</t>
        </is>
      </c>
      <c r="G10957" t="n">
        <v>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13865-2024</t>
        </is>
      </c>
      <c r="B10958" s="1" t="n">
        <v>45390</v>
      </c>
      <c r="C10958" s="1" t="n">
        <v>45715</v>
      </c>
      <c r="D10958" t="inlineStr">
        <is>
          <t>KALMAR LÄN</t>
        </is>
      </c>
      <c r="E10958" t="inlineStr">
        <is>
          <t>HULTSFRED</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13862-2024</t>
        </is>
      </c>
      <c r="B10959" s="1" t="n">
        <v>45390</v>
      </c>
      <c r="C10959" s="1" t="n">
        <v>45715</v>
      </c>
      <c r="D10959" t="inlineStr">
        <is>
          <t>KALMAR LÄN</t>
        </is>
      </c>
      <c r="E10959" t="inlineStr">
        <is>
          <t>HULTSFRED</t>
        </is>
      </c>
      <c r="G10959" t="n">
        <v>5.3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13742-2024</t>
        </is>
      </c>
      <c r="B10960" s="1" t="n">
        <v>45390</v>
      </c>
      <c r="C10960" s="1" t="n">
        <v>45715</v>
      </c>
      <c r="D10960" t="inlineStr">
        <is>
          <t>KALMAR LÄN</t>
        </is>
      </c>
      <c r="E10960" t="inlineStr">
        <is>
          <t>VÄSTERVIK</t>
        </is>
      </c>
      <c r="F10960" t="inlineStr">
        <is>
          <t>Sveaskog</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13746-2024</t>
        </is>
      </c>
      <c r="B10961" s="1" t="n">
        <v>45390</v>
      </c>
      <c r="C10961" s="1" t="n">
        <v>45715</v>
      </c>
      <c r="D10961" t="inlineStr">
        <is>
          <t>KALMAR LÄN</t>
        </is>
      </c>
      <c r="E10961" t="inlineStr">
        <is>
          <t>VÄSTERVIK</t>
        </is>
      </c>
      <c r="F10961" t="inlineStr">
        <is>
          <t>Sveaskog</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13750-2024</t>
        </is>
      </c>
      <c r="B10962" s="1" t="n">
        <v>45390</v>
      </c>
      <c r="C10962" s="1" t="n">
        <v>45715</v>
      </c>
      <c r="D10962" t="inlineStr">
        <is>
          <t>KALMAR LÄN</t>
        </is>
      </c>
      <c r="E10962" t="inlineStr">
        <is>
          <t>VÄSTERVIK</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13864-2024</t>
        </is>
      </c>
      <c r="B10963" s="1" t="n">
        <v>45390</v>
      </c>
      <c r="C10963" s="1" t="n">
        <v>45715</v>
      </c>
      <c r="D10963" t="inlineStr">
        <is>
          <t>KALMAR LÄN</t>
        </is>
      </c>
      <c r="E10963" t="inlineStr">
        <is>
          <t>HULTSFRED</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13780-2024</t>
        </is>
      </c>
      <c r="B10964" s="1" t="n">
        <v>45391</v>
      </c>
      <c r="C10964" s="1" t="n">
        <v>45715</v>
      </c>
      <c r="D10964" t="inlineStr">
        <is>
          <t>KALMAR LÄN</t>
        </is>
      </c>
      <c r="E10964" t="inlineStr">
        <is>
          <t>HULTSFRED</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13788-2024</t>
        </is>
      </c>
      <c r="B10965" s="1" t="n">
        <v>45391</v>
      </c>
      <c r="C10965" s="1" t="n">
        <v>45715</v>
      </c>
      <c r="D10965" t="inlineStr">
        <is>
          <t>KALMAR LÄN</t>
        </is>
      </c>
      <c r="E10965" t="inlineStr">
        <is>
          <t>HULTSFRED</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13778-2024</t>
        </is>
      </c>
      <c r="B10966" s="1" t="n">
        <v>45391</v>
      </c>
      <c r="C10966" s="1" t="n">
        <v>45715</v>
      </c>
      <c r="D10966" t="inlineStr">
        <is>
          <t>KALMAR LÄN</t>
        </is>
      </c>
      <c r="E10966" t="inlineStr">
        <is>
          <t>OSKARSHAMN</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13782-2024</t>
        </is>
      </c>
      <c r="B10967" s="1" t="n">
        <v>45391</v>
      </c>
      <c r="C10967" s="1" t="n">
        <v>45715</v>
      </c>
      <c r="D10967" t="inlineStr">
        <is>
          <t>KALMAR LÄN</t>
        </is>
      </c>
      <c r="E10967" t="inlineStr">
        <is>
          <t>KALMAR</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13786-2024</t>
        </is>
      </c>
      <c r="B10968" s="1" t="n">
        <v>45391</v>
      </c>
      <c r="C10968" s="1" t="n">
        <v>45715</v>
      </c>
      <c r="D10968" t="inlineStr">
        <is>
          <t>KALMAR LÄN</t>
        </is>
      </c>
      <c r="E10968" t="inlineStr">
        <is>
          <t>HULTSFRED</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13809-2024</t>
        </is>
      </c>
      <c r="B10969" s="1" t="n">
        <v>45391</v>
      </c>
      <c r="C10969" s="1" t="n">
        <v>45715</v>
      </c>
      <c r="D10969" t="inlineStr">
        <is>
          <t>KALMAR LÄN</t>
        </is>
      </c>
      <c r="E10969" t="inlineStr">
        <is>
          <t>VIMMERBY</t>
        </is>
      </c>
      <c r="G10969" t="n">
        <v>3.9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13825-2024</t>
        </is>
      </c>
      <c r="B10970" s="1" t="n">
        <v>45391</v>
      </c>
      <c r="C10970" s="1" t="n">
        <v>45715</v>
      </c>
      <c r="D10970" t="inlineStr">
        <is>
          <t>KALMAR LÄN</t>
        </is>
      </c>
      <c r="E10970" t="inlineStr">
        <is>
          <t>VÄSTERVIK</t>
        </is>
      </c>
      <c r="F10970" t="inlineStr">
        <is>
          <t>Sveaskog</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13836-2024</t>
        </is>
      </c>
      <c r="B10971" s="1" t="n">
        <v>45391</v>
      </c>
      <c r="C10971" s="1" t="n">
        <v>45715</v>
      </c>
      <c r="D10971" t="inlineStr">
        <is>
          <t>KALMAR LÄN</t>
        </is>
      </c>
      <c r="E10971" t="inlineStr">
        <is>
          <t>VÄSTERVIK</t>
        </is>
      </c>
      <c r="F10971" t="inlineStr">
        <is>
          <t>Sveaskog</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13840-2024</t>
        </is>
      </c>
      <c r="B10972" s="1" t="n">
        <v>45391</v>
      </c>
      <c r="C10972" s="1" t="n">
        <v>45715</v>
      </c>
      <c r="D10972" t="inlineStr">
        <is>
          <t>KALMAR LÄN</t>
        </is>
      </c>
      <c r="E10972" t="inlineStr">
        <is>
          <t>VÄSTERVIK</t>
        </is>
      </c>
      <c r="F10972" t="inlineStr">
        <is>
          <t>Sveaskog</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13823-2024</t>
        </is>
      </c>
      <c r="B10973" s="1" t="n">
        <v>45391</v>
      </c>
      <c r="C10973" s="1" t="n">
        <v>45715</v>
      </c>
      <c r="D10973" t="inlineStr">
        <is>
          <t>KALMAR LÄN</t>
        </is>
      </c>
      <c r="E10973" t="inlineStr">
        <is>
          <t>VÄSTERVIK</t>
        </is>
      </c>
      <c r="F10973" t="inlineStr">
        <is>
          <t>Sveaskog</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13827-2024</t>
        </is>
      </c>
      <c r="B10974" s="1" t="n">
        <v>45391</v>
      </c>
      <c r="C10974" s="1" t="n">
        <v>45715</v>
      </c>
      <c r="D10974" t="inlineStr">
        <is>
          <t>KALMAR LÄN</t>
        </is>
      </c>
      <c r="E10974" t="inlineStr">
        <is>
          <t>VÄSTERVIK</t>
        </is>
      </c>
      <c r="F10974" t="inlineStr">
        <is>
          <t>Sveaskog</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13838-2024</t>
        </is>
      </c>
      <c r="B10975" s="1" t="n">
        <v>45391</v>
      </c>
      <c r="C10975" s="1" t="n">
        <v>45715</v>
      </c>
      <c r="D10975" t="inlineStr">
        <is>
          <t>KALMAR LÄN</t>
        </is>
      </c>
      <c r="E10975" t="inlineStr">
        <is>
          <t>VÄSTERVIK</t>
        </is>
      </c>
      <c r="F10975" t="inlineStr">
        <is>
          <t>Sveaskog</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13857-2024</t>
        </is>
      </c>
      <c r="B10976" s="1" t="n">
        <v>45391</v>
      </c>
      <c r="C10976" s="1" t="n">
        <v>45715</v>
      </c>
      <c r="D10976" t="inlineStr">
        <is>
          <t>KALMAR LÄN</t>
        </is>
      </c>
      <c r="E10976" t="inlineStr">
        <is>
          <t>VIMMERBY</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13909-2024</t>
        </is>
      </c>
      <c r="B10977" s="1" t="n">
        <v>45391</v>
      </c>
      <c r="C10977" s="1" t="n">
        <v>45715</v>
      </c>
      <c r="D10977" t="inlineStr">
        <is>
          <t>KALMAR LÄN</t>
        </is>
      </c>
      <c r="E10977" t="inlineStr">
        <is>
          <t>VIMMERBY</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13817-2024</t>
        </is>
      </c>
      <c r="B10978" s="1" t="n">
        <v>45391</v>
      </c>
      <c r="C10978" s="1" t="n">
        <v>45715</v>
      </c>
      <c r="D10978" t="inlineStr">
        <is>
          <t>KALMAR LÄN</t>
        </is>
      </c>
      <c r="E10978" t="inlineStr">
        <is>
          <t>VIMMERBY</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13837-2024</t>
        </is>
      </c>
      <c r="B10979" s="1" t="n">
        <v>45391</v>
      </c>
      <c r="C10979" s="1" t="n">
        <v>45715</v>
      </c>
      <c r="D10979" t="inlineStr">
        <is>
          <t>KALMAR LÄN</t>
        </is>
      </c>
      <c r="E10979" t="inlineStr">
        <is>
          <t>VÄSTERVIK</t>
        </is>
      </c>
      <c r="F10979" t="inlineStr">
        <is>
          <t>Sveaskog</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13843-2024</t>
        </is>
      </c>
      <c r="B10980" s="1" t="n">
        <v>45391</v>
      </c>
      <c r="C10980" s="1" t="n">
        <v>45715</v>
      </c>
      <c r="D10980" t="inlineStr">
        <is>
          <t>KALMAR LÄN</t>
        </is>
      </c>
      <c r="E10980" t="inlineStr">
        <is>
          <t>VÄSTERVIK</t>
        </is>
      </c>
      <c r="F10980" t="inlineStr">
        <is>
          <t>Sveaskog</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13781-2024</t>
        </is>
      </c>
      <c r="B10981" s="1" t="n">
        <v>45391</v>
      </c>
      <c r="C10981" s="1" t="n">
        <v>45715</v>
      </c>
      <c r="D10981" t="inlineStr">
        <is>
          <t>KALMAR LÄN</t>
        </is>
      </c>
      <c r="E10981" t="inlineStr">
        <is>
          <t>HULTSFRED</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13808-2024</t>
        </is>
      </c>
      <c r="B10982" s="1" t="n">
        <v>45391</v>
      </c>
      <c r="C10982" s="1" t="n">
        <v>45715</v>
      </c>
      <c r="D10982" t="inlineStr">
        <is>
          <t>KALMAR LÄN</t>
        </is>
      </c>
      <c r="E10982" t="inlineStr">
        <is>
          <t>HÖGSBY</t>
        </is>
      </c>
      <c r="F10982" t="inlineStr">
        <is>
          <t>Sveaskog</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13813-2024</t>
        </is>
      </c>
      <c r="B10983" s="1" t="n">
        <v>45391</v>
      </c>
      <c r="C10983" s="1" t="n">
        <v>45715</v>
      </c>
      <c r="D10983" t="inlineStr">
        <is>
          <t>KALMAR LÄN</t>
        </is>
      </c>
      <c r="E10983" t="inlineStr">
        <is>
          <t>VIMMERBY</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13839-2024</t>
        </is>
      </c>
      <c r="B10984" s="1" t="n">
        <v>45391</v>
      </c>
      <c r="C10984" s="1" t="n">
        <v>45715</v>
      </c>
      <c r="D10984" t="inlineStr">
        <is>
          <t>KALMAR LÄN</t>
        </is>
      </c>
      <c r="E10984" t="inlineStr">
        <is>
          <t>VÄSTERVIK</t>
        </is>
      </c>
      <c r="F10984" t="inlineStr">
        <is>
          <t>Sveaskog</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13923-2024</t>
        </is>
      </c>
      <c r="B10985" s="1" t="n">
        <v>45391</v>
      </c>
      <c r="C10985" s="1" t="n">
        <v>45715</v>
      </c>
      <c r="D10985" t="inlineStr">
        <is>
          <t>KALMAR LÄN</t>
        </is>
      </c>
      <c r="E10985" t="inlineStr">
        <is>
          <t>HULTSFRED</t>
        </is>
      </c>
      <c r="G10985" t="n">
        <v>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13908-2024</t>
        </is>
      </c>
      <c r="B10986" s="1" t="n">
        <v>45391</v>
      </c>
      <c r="C10986" s="1" t="n">
        <v>45715</v>
      </c>
      <c r="D10986" t="inlineStr">
        <is>
          <t>KALMAR LÄN</t>
        </is>
      </c>
      <c r="E10986" t="inlineStr">
        <is>
          <t>VIMMERBY</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14068-2024</t>
        </is>
      </c>
      <c r="B10987" s="1" t="n">
        <v>45392</v>
      </c>
      <c r="C10987" s="1" t="n">
        <v>45715</v>
      </c>
      <c r="D10987" t="inlineStr">
        <is>
          <t>KALMAR LÄN</t>
        </is>
      </c>
      <c r="E10987" t="inlineStr">
        <is>
          <t>EMMABODA</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14080-2024</t>
        </is>
      </c>
      <c r="B10988" s="1" t="n">
        <v>45392</v>
      </c>
      <c r="C10988" s="1" t="n">
        <v>45715</v>
      </c>
      <c r="D10988" t="inlineStr">
        <is>
          <t>KALMAR LÄN</t>
        </is>
      </c>
      <c r="E10988" t="inlineStr">
        <is>
          <t>EMMABODA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14021-2024</t>
        </is>
      </c>
      <c r="B10989" s="1" t="n">
        <v>45392</v>
      </c>
      <c r="C10989" s="1" t="n">
        <v>45715</v>
      </c>
      <c r="D10989" t="inlineStr">
        <is>
          <t>KALMAR LÄN</t>
        </is>
      </c>
      <c r="E10989" t="inlineStr">
        <is>
          <t>VIMMERBY</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14058-2024</t>
        </is>
      </c>
      <c r="B10990" s="1" t="n">
        <v>45392</v>
      </c>
      <c r="C10990" s="1" t="n">
        <v>45715</v>
      </c>
      <c r="D10990" t="inlineStr">
        <is>
          <t>KALMAR LÄN</t>
        </is>
      </c>
      <c r="E10990" t="inlineStr">
        <is>
          <t>NYBRO</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14066-2024</t>
        </is>
      </c>
      <c r="B10991" s="1" t="n">
        <v>45392</v>
      </c>
      <c r="C10991" s="1" t="n">
        <v>45715</v>
      </c>
      <c r="D10991" t="inlineStr">
        <is>
          <t>KALMAR LÄN</t>
        </is>
      </c>
      <c r="E10991" t="inlineStr">
        <is>
          <t>NYBRO</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14144-2024</t>
        </is>
      </c>
      <c r="B10992" s="1" t="n">
        <v>45392</v>
      </c>
      <c r="C10992" s="1" t="n">
        <v>45715</v>
      </c>
      <c r="D10992" t="inlineStr">
        <is>
          <t>KALMAR LÄN</t>
        </is>
      </c>
      <c r="E10992" t="inlineStr">
        <is>
          <t>VIMMERBY</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14024-2024</t>
        </is>
      </c>
      <c r="B10993" s="1" t="n">
        <v>45392</v>
      </c>
      <c r="C10993" s="1" t="n">
        <v>45715</v>
      </c>
      <c r="D10993" t="inlineStr">
        <is>
          <t>KALMAR LÄN</t>
        </is>
      </c>
      <c r="E10993" t="inlineStr">
        <is>
          <t>VÄSTERVIK</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14057-2024</t>
        </is>
      </c>
      <c r="B10994" s="1" t="n">
        <v>45392</v>
      </c>
      <c r="C10994" s="1" t="n">
        <v>45715</v>
      </c>
      <c r="D10994" t="inlineStr">
        <is>
          <t>KALMAR LÄN</t>
        </is>
      </c>
      <c r="E10994" t="inlineStr">
        <is>
          <t>NYBRO</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14061-2024</t>
        </is>
      </c>
      <c r="B10995" s="1" t="n">
        <v>45392</v>
      </c>
      <c r="C10995" s="1" t="n">
        <v>45715</v>
      </c>
      <c r="D10995" t="inlineStr">
        <is>
          <t>KALMAR LÄN</t>
        </is>
      </c>
      <c r="E10995" t="inlineStr">
        <is>
          <t>NYBRO</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14069-2024</t>
        </is>
      </c>
      <c r="B10996" s="1" t="n">
        <v>45392</v>
      </c>
      <c r="C10996" s="1" t="n">
        <v>45715</v>
      </c>
      <c r="D10996" t="inlineStr">
        <is>
          <t>KALMAR LÄN</t>
        </is>
      </c>
      <c r="E10996" t="inlineStr">
        <is>
          <t>EMMABODA</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14085-2024</t>
        </is>
      </c>
      <c r="B10997" s="1" t="n">
        <v>45392</v>
      </c>
      <c r="C10997" s="1" t="n">
        <v>45715</v>
      </c>
      <c r="D10997" t="inlineStr">
        <is>
          <t>KALMAR LÄN</t>
        </is>
      </c>
      <c r="E10997" t="inlineStr">
        <is>
          <t>NYBRO</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14089-2024</t>
        </is>
      </c>
      <c r="B10998" s="1" t="n">
        <v>45392</v>
      </c>
      <c r="C10998" s="1" t="n">
        <v>45715</v>
      </c>
      <c r="D10998" t="inlineStr">
        <is>
          <t>KALMAR LÄN</t>
        </is>
      </c>
      <c r="E10998" t="inlineStr">
        <is>
          <t>NYBRO</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14098-2024</t>
        </is>
      </c>
      <c r="B10999" s="1" t="n">
        <v>45392</v>
      </c>
      <c r="C10999" s="1" t="n">
        <v>45715</v>
      </c>
      <c r="D10999" t="inlineStr">
        <is>
          <t>KALMAR LÄN</t>
        </is>
      </c>
      <c r="E10999" t="inlineStr">
        <is>
          <t>NYBRO</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14147-2024</t>
        </is>
      </c>
      <c r="B11000" s="1" t="n">
        <v>45392</v>
      </c>
      <c r="C11000" s="1" t="n">
        <v>45715</v>
      </c>
      <c r="D11000" t="inlineStr">
        <is>
          <t>KALMAR LÄN</t>
        </is>
      </c>
      <c r="E11000" t="inlineStr">
        <is>
          <t>VÄSTERVIK</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14146-2024</t>
        </is>
      </c>
      <c r="B11001" s="1" t="n">
        <v>45392</v>
      </c>
      <c r="C11001" s="1" t="n">
        <v>45715</v>
      </c>
      <c r="D11001" t="inlineStr">
        <is>
          <t>KALMAR LÄN</t>
        </is>
      </c>
      <c r="E11001" t="inlineStr">
        <is>
          <t>VÄSTERVIK</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14071-2024</t>
        </is>
      </c>
      <c r="B11002" s="1" t="n">
        <v>45392</v>
      </c>
      <c r="C11002" s="1" t="n">
        <v>45715</v>
      </c>
      <c r="D11002" t="inlineStr">
        <is>
          <t>KALMAR LÄN</t>
        </is>
      </c>
      <c r="E11002" t="inlineStr">
        <is>
          <t>EMMABODA</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14079-2024</t>
        </is>
      </c>
      <c r="B11003" s="1" t="n">
        <v>45392</v>
      </c>
      <c r="C11003" s="1" t="n">
        <v>45715</v>
      </c>
      <c r="D11003" t="inlineStr">
        <is>
          <t>KALMAR LÄN</t>
        </is>
      </c>
      <c r="E11003" t="inlineStr">
        <is>
          <t>EMMABODA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14083-2024</t>
        </is>
      </c>
      <c r="B11004" s="1" t="n">
        <v>45392</v>
      </c>
      <c r="C11004" s="1" t="n">
        <v>45715</v>
      </c>
      <c r="D11004" t="inlineStr">
        <is>
          <t>KALMAR LÄN</t>
        </is>
      </c>
      <c r="E11004" t="inlineStr">
        <is>
          <t>EMMABODA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14145-2024</t>
        </is>
      </c>
      <c r="B11005" s="1" t="n">
        <v>45392</v>
      </c>
      <c r="C11005" s="1" t="n">
        <v>45715</v>
      </c>
      <c r="D11005" t="inlineStr">
        <is>
          <t>KALMAR LÄN</t>
        </is>
      </c>
      <c r="E11005" t="inlineStr">
        <is>
          <t>VÄSTERVIK</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14182-2024</t>
        </is>
      </c>
      <c r="B11006" s="1" t="n">
        <v>45393</v>
      </c>
      <c r="C11006" s="1" t="n">
        <v>45715</v>
      </c>
      <c r="D11006" t="inlineStr">
        <is>
          <t>KALMAR LÄN</t>
        </is>
      </c>
      <c r="E11006" t="inlineStr">
        <is>
          <t>VIMMERBY</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14193-2024</t>
        </is>
      </c>
      <c r="B11007" s="1" t="n">
        <v>45393</v>
      </c>
      <c r="C11007" s="1" t="n">
        <v>45715</v>
      </c>
      <c r="D11007" t="inlineStr">
        <is>
          <t>KALMAR LÄN</t>
        </is>
      </c>
      <c r="E11007" t="inlineStr">
        <is>
          <t>HÖGSBY</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14216-2024</t>
        </is>
      </c>
      <c r="B11008" s="1" t="n">
        <v>45393</v>
      </c>
      <c r="C11008" s="1" t="n">
        <v>45715</v>
      </c>
      <c r="D11008" t="inlineStr">
        <is>
          <t>KALMAR LÄN</t>
        </is>
      </c>
      <c r="E11008" t="inlineStr">
        <is>
          <t>OSKARSHAMN</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14228-2024</t>
        </is>
      </c>
      <c r="B11009" s="1" t="n">
        <v>45393</v>
      </c>
      <c r="C11009" s="1" t="n">
        <v>45715</v>
      </c>
      <c r="D11009" t="inlineStr">
        <is>
          <t>KALMAR LÄN</t>
        </is>
      </c>
      <c r="E11009" t="inlineStr">
        <is>
          <t>OSKARSHAMN</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14273-2024</t>
        </is>
      </c>
      <c r="B11010" s="1" t="n">
        <v>45393</v>
      </c>
      <c r="C11010" s="1" t="n">
        <v>45715</v>
      </c>
      <c r="D11010" t="inlineStr">
        <is>
          <t>KALMAR LÄN</t>
        </is>
      </c>
      <c r="E11010" t="inlineStr">
        <is>
          <t>HÖGSBY</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14281-2024</t>
        </is>
      </c>
      <c r="B11011" s="1" t="n">
        <v>45393</v>
      </c>
      <c r="C11011" s="1" t="n">
        <v>45715</v>
      </c>
      <c r="D11011" t="inlineStr">
        <is>
          <t>KALMAR LÄN</t>
        </is>
      </c>
      <c r="E11011" t="inlineStr">
        <is>
          <t>VÄSTERVIK</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14261-2024</t>
        </is>
      </c>
      <c r="B11012" s="1" t="n">
        <v>45393</v>
      </c>
      <c r="C11012" s="1" t="n">
        <v>45715</v>
      </c>
      <c r="D11012" t="inlineStr">
        <is>
          <t>KALMAR LÄN</t>
        </is>
      </c>
      <c r="E11012" t="inlineStr">
        <is>
          <t>HÖGSBY</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14274-2024</t>
        </is>
      </c>
      <c r="B11013" s="1" t="n">
        <v>45393</v>
      </c>
      <c r="C11013" s="1" t="n">
        <v>45715</v>
      </c>
      <c r="D11013" t="inlineStr">
        <is>
          <t>KALMAR LÄN</t>
        </is>
      </c>
      <c r="E11013" t="inlineStr">
        <is>
          <t>OSKARSHAMN</t>
        </is>
      </c>
      <c r="F11013" t="inlineStr">
        <is>
          <t>Kyrkan</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14282-2024</t>
        </is>
      </c>
      <c r="B11014" s="1" t="n">
        <v>45393</v>
      </c>
      <c r="C11014" s="1" t="n">
        <v>45715</v>
      </c>
      <c r="D11014" t="inlineStr">
        <is>
          <t>KALMAR LÄN</t>
        </is>
      </c>
      <c r="E11014" t="inlineStr">
        <is>
          <t>VÄSTERVIK</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14297-2024</t>
        </is>
      </c>
      <c r="B11015" s="1" t="n">
        <v>45393</v>
      </c>
      <c r="C11015" s="1" t="n">
        <v>45715</v>
      </c>
      <c r="D11015" t="inlineStr">
        <is>
          <t>KALMAR LÄN</t>
        </is>
      </c>
      <c r="E11015" t="inlineStr">
        <is>
          <t>TORSÅS</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14294-2024</t>
        </is>
      </c>
      <c r="B11016" s="1" t="n">
        <v>45393</v>
      </c>
      <c r="C11016" s="1" t="n">
        <v>45715</v>
      </c>
      <c r="D11016" t="inlineStr">
        <is>
          <t>KALMAR LÄN</t>
        </is>
      </c>
      <c r="E11016" t="inlineStr">
        <is>
          <t>HULTSFRED</t>
        </is>
      </c>
      <c r="G11016" t="n">
        <v>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14259-2024</t>
        </is>
      </c>
      <c r="B11017" s="1" t="n">
        <v>45393</v>
      </c>
      <c r="C11017" s="1" t="n">
        <v>45715</v>
      </c>
      <c r="D11017" t="inlineStr">
        <is>
          <t>KALMAR LÄN</t>
        </is>
      </c>
      <c r="E11017" t="inlineStr">
        <is>
          <t>HÖGSBY</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14188-2024</t>
        </is>
      </c>
      <c r="B11018" s="1" t="n">
        <v>45393</v>
      </c>
      <c r="C11018" s="1" t="n">
        <v>45715</v>
      </c>
      <c r="D11018" t="inlineStr">
        <is>
          <t>KALMAR LÄN</t>
        </is>
      </c>
      <c r="E11018" t="inlineStr">
        <is>
          <t>NYBRO</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14237-2024</t>
        </is>
      </c>
      <c r="B11019" s="1" t="n">
        <v>45393</v>
      </c>
      <c r="C11019" s="1" t="n">
        <v>45715</v>
      </c>
      <c r="D11019" t="inlineStr">
        <is>
          <t>KALMAR LÄN</t>
        </is>
      </c>
      <c r="E11019" t="inlineStr">
        <is>
          <t>VÄSTERVIK</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14295-2024</t>
        </is>
      </c>
      <c r="B11020" s="1" t="n">
        <v>45393</v>
      </c>
      <c r="C11020" s="1" t="n">
        <v>45715</v>
      </c>
      <c r="D11020" t="inlineStr">
        <is>
          <t>KALMAR LÄN</t>
        </is>
      </c>
      <c r="E11020" t="inlineStr">
        <is>
          <t>HÖGSBY</t>
        </is>
      </c>
      <c r="G11020" t="n">
        <v>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14534-2024</t>
        </is>
      </c>
      <c r="B11021" s="1" t="n">
        <v>45394</v>
      </c>
      <c r="C11021" s="1" t="n">
        <v>45715</v>
      </c>
      <c r="D11021" t="inlineStr">
        <is>
          <t>KALMAR LÄN</t>
        </is>
      </c>
      <c r="E11021" t="inlineStr">
        <is>
          <t>NYBRO</t>
        </is>
      </c>
      <c r="F11021" t="inlineStr">
        <is>
          <t>Kommuner</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14558-2024</t>
        </is>
      </c>
      <c r="B11022" s="1" t="n">
        <v>45394</v>
      </c>
      <c r="C11022" s="1" t="n">
        <v>45715</v>
      </c>
      <c r="D11022" t="inlineStr">
        <is>
          <t>KALMAR LÄN</t>
        </is>
      </c>
      <c r="E11022" t="inlineStr">
        <is>
          <t>VIMMERBY</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14552-2024</t>
        </is>
      </c>
      <c r="B11023" s="1" t="n">
        <v>45394</v>
      </c>
      <c r="C11023" s="1" t="n">
        <v>45715</v>
      </c>
      <c r="D11023" t="inlineStr">
        <is>
          <t>KALMAR LÄN</t>
        </is>
      </c>
      <c r="E11023" t="inlineStr">
        <is>
          <t>MÖNSTERÅS</t>
        </is>
      </c>
      <c r="G11023" t="n">
        <v>3.8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14548-2024</t>
        </is>
      </c>
      <c r="B11024" s="1" t="n">
        <v>45394</v>
      </c>
      <c r="C11024" s="1" t="n">
        <v>45715</v>
      </c>
      <c r="D11024" t="inlineStr">
        <is>
          <t>KALMAR LÄN</t>
        </is>
      </c>
      <c r="E11024" t="inlineStr">
        <is>
          <t>VIMMERBY</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14544-2024</t>
        </is>
      </c>
      <c r="B11025" s="1" t="n">
        <v>45394</v>
      </c>
      <c r="C11025" s="1" t="n">
        <v>45715</v>
      </c>
      <c r="D11025" t="inlineStr">
        <is>
          <t>KALMAR LÄN</t>
        </is>
      </c>
      <c r="E11025" t="inlineStr">
        <is>
          <t>NYBRO</t>
        </is>
      </c>
      <c r="F11025" t="inlineStr">
        <is>
          <t>Kommuner</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14549-2024</t>
        </is>
      </c>
      <c r="B11026" s="1" t="n">
        <v>45394</v>
      </c>
      <c r="C11026" s="1" t="n">
        <v>45715</v>
      </c>
      <c r="D11026" t="inlineStr">
        <is>
          <t>KALMAR LÄN</t>
        </is>
      </c>
      <c r="E11026" t="inlineStr">
        <is>
          <t>NYBRO</t>
        </is>
      </c>
      <c r="F11026" t="inlineStr">
        <is>
          <t>Kommuner</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14553-2024</t>
        </is>
      </c>
      <c r="B11027" s="1" t="n">
        <v>45394</v>
      </c>
      <c r="C11027" s="1" t="n">
        <v>45715</v>
      </c>
      <c r="D11027" t="inlineStr">
        <is>
          <t>KALMAR LÄN</t>
        </is>
      </c>
      <c r="E11027" t="inlineStr">
        <is>
          <t>MÖNSTERÅS</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14557-2024</t>
        </is>
      </c>
      <c r="B11028" s="1" t="n">
        <v>45394</v>
      </c>
      <c r="C11028" s="1" t="n">
        <v>45715</v>
      </c>
      <c r="D11028" t="inlineStr">
        <is>
          <t>KALMAR LÄN</t>
        </is>
      </c>
      <c r="E11028" t="inlineStr">
        <is>
          <t>VIMMERBY</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14452-2024</t>
        </is>
      </c>
      <c r="B11029" s="1" t="n">
        <v>45394</v>
      </c>
      <c r="C11029" s="1" t="n">
        <v>45715</v>
      </c>
      <c r="D11029" t="inlineStr">
        <is>
          <t>KALMAR LÄN</t>
        </is>
      </c>
      <c r="E11029" t="inlineStr">
        <is>
          <t>VÄSTERVIK</t>
        </is>
      </c>
      <c r="F11029" t="inlineStr">
        <is>
          <t>Holmen skog AB</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14451-2024</t>
        </is>
      </c>
      <c r="B11030" s="1" t="n">
        <v>45394</v>
      </c>
      <c r="C11030" s="1" t="n">
        <v>45715</v>
      </c>
      <c r="D11030" t="inlineStr">
        <is>
          <t>KALMAR LÄN</t>
        </is>
      </c>
      <c r="E11030" t="inlineStr">
        <is>
          <t>VIMMERBY</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14463-2024</t>
        </is>
      </c>
      <c r="B11031" s="1" t="n">
        <v>45394</v>
      </c>
      <c r="C11031" s="1" t="n">
        <v>45715</v>
      </c>
      <c r="D11031" t="inlineStr">
        <is>
          <t>KALMAR LÄN</t>
        </is>
      </c>
      <c r="E11031" t="inlineStr">
        <is>
          <t>EMMABODA</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14467-2024</t>
        </is>
      </c>
      <c r="B11032" s="1" t="n">
        <v>45394</v>
      </c>
      <c r="C11032" s="1" t="n">
        <v>45715</v>
      </c>
      <c r="D11032" t="inlineStr">
        <is>
          <t>KALMAR LÄN</t>
        </is>
      </c>
      <c r="E11032" t="inlineStr">
        <is>
          <t>EMMABODA</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14415-2024</t>
        </is>
      </c>
      <c r="B11033" s="1" t="n">
        <v>45394</v>
      </c>
      <c r="C11033" s="1" t="n">
        <v>45715</v>
      </c>
      <c r="D11033" t="inlineStr">
        <is>
          <t>KALMAR LÄN</t>
        </is>
      </c>
      <c r="E11033" t="inlineStr">
        <is>
          <t>EMMABODA</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14684-2024</t>
        </is>
      </c>
      <c r="B11034" s="1" t="n">
        <v>45396</v>
      </c>
      <c r="C11034" s="1" t="n">
        <v>45715</v>
      </c>
      <c r="D11034" t="inlineStr">
        <is>
          <t>KALMAR LÄN</t>
        </is>
      </c>
      <c r="E11034" t="inlineStr">
        <is>
          <t>OSKARSHAMN</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14732-2024</t>
        </is>
      </c>
      <c r="B11035" s="1" t="n">
        <v>45396</v>
      </c>
      <c r="C11035" s="1" t="n">
        <v>45715</v>
      </c>
      <c r="D11035" t="inlineStr">
        <is>
          <t>KALMAR LÄN</t>
        </is>
      </c>
      <c r="E11035" t="inlineStr">
        <is>
          <t>OSKARSHAMN</t>
        </is>
      </c>
      <c r="G11035" t="n">
        <v>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14722-2024</t>
        </is>
      </c>
      <c r="B11036" s="1" t="n">
        <v>45396</v>
      </c>
      <c r="C11036" s="1" t="n">
        <v>45715</v>
      </c>
      <c r="D11036" t="inlineStr">
        <is>
          <t>KALMAR LÄN</t>
        </is>
      </c>
      <c r="E11036" t="inlineStr">
        <is>
          <t>OSKARSHAMN</t>
        </is>
      </c>
      <c r="G11036" t="n">
        <v>4.9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14708-2024</t>
        </is>
      </c>
      <c r="B11037" s="1" t="n">
        <v>45396</v>
      </c>
      <c r="C11037" s="1" t="n">
        <v>45715</v>
      </c>
      <c r="D11037" t="inlineStr">
        <is>
          <t>KALMAR LÄN</t>
        </is>
      </c>
      <c r="E11037" t="inlineStr">
        <is>
          <t>OSKARSHAMN</t>
        </is>
      </c>
      <c r="G11037" t="n">
        <v>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14701-2024</t>
        </is>
      </c>
      <c r="B11038" s="1" t="n">
        <v>45396</v>
      </c>
      <c r="C11038" s="1" t="n">
        <v>45715</v>
      </c>
      <c r="D11038" t="inlineStr">
        <is>
          <t>KALMAR LÄN</t>
        </is>
      </c>
      <c r="E11038" t="inlineStr">
        <is>
          <t>OSKARSHAMN</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14655-2024</t>
        </is>
      </c>
      <c r="B11039" s="1" t="n">
        <v>45396</v>
      </c>
      <c r="C11039" s="1" t="n">
        <v>45715</v>
      </c>
      <c r="D11039" t="inlineStr">
        <is>
          <t>KALMAR LÄN</t>
        </is>
      </c>
      <c r="E11039" t="inlineStr">
        <is>
          <t>OSKARSHAMN</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14670-2024</t>
        </is>
      </c>
      <c r="B11040" s="1" t="n">
        <v>45397</v>
      </c>
      <c r="C11040" s="1" t="n">
        <v>45715</v>
      </c>
      <c r="D11040" t="inlineStr">
        <is>
          <t>KALMAR LÄN</t>
        </is>
      </c>
      <c r="E11040" t="inlineStr">
        <is>
          <t>EMMABODA</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14669-2024</t>
        </is>
      </c>
      <c r="B11041" s="1" t="n">
        <v>45397</v>
      </c>
      <c r="C11041" s="1" t="n">
        <v>45715</v>
      </c>
      <c r="D11041" t="inlineStr">
        <is>
          <t>KALMAR LÄN</t>
        </is>
      </c>
      <c r="E11041" t="inlineStr">
        <is>
          <t>EMMABODA</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14837-2024</t>
        </is>
      </c>
      <c r="B11042" s="1" t="n">
        <v>45398</v>
      </c>
      <c r="C11042" s="1" t="n">
        <v>45715</v>
      </c>
      <c r="D11042" t="inlineStr">
        <is>
          <t>KALMAR LÄN</t>
        </is>
      </c>
      <c r="E11042" t="inlineStr">
        <is>
          <t>OSKARSHAMN</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14946-2024</t>
        </is>
      </c>
      <c r="B11043" s="1" t="n">
        <v>45398</v>
      </c>
      <c r="C11043" s="1" t="n">
        <v>45715</v>
      </c>
      <c r="D11043" t="inlineStr">
        <is>
          <t>KALMAR LÄN</t>
        </is>
      </c>
      <c r="E11043" t="inlineStr">
        <is>
          <t>OSKARSHAMN</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14958-2024</t>
        </is>
      </c>
      <c r="B11044" s="1" t="n">
        <v>45398</v>
      </c>
      <c r="C11044" s="1" t="n">
        <v>45715</v>
      </c>
      <c r="D11044" t="inlineStr">
        <is>
          <t>KALMAR LÄN</t>
        </is>
      </c>
      <c r="E11044" t="inlineStr">
        <is>
          <t>HÖGSBY</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14955-2024</t>
        </is>
      </c>
      <c r="B11045" s="1" t="n">
        <v>45398</v>
      </c>
      <c r="C11045" s="1" t="n">
        <v>45715</v>
      </c>
      <c r="D11045" t="inlineStr">
        <is>
          <t>KALMAR LÄN</t>
        </is>
      </c>
      <c r="E11045" t="inlineStr">
        <is>
          <t>HÖGSBY</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14936-2024</t>
        </is>
      </c>
      <c r="B11046" s="1" t="n">
        <v>45398</v>
      </c>
      <c r="C11046" s="1" t="n">
        <v>45715</v>
      </c>
      <c r="D11046" t="inlineStr">
        <is>
          <t>KALMAR LÄN</t>
        </is>
      </c>
      <c r="E11046" t="inlineStr">
        <is>
          <t>KALMAR</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15009-2024</t>
        </is>
      </c>
      <c r="B11047" s="1" t="n">
        <v>45399</v>
      </c>
      <c r="C11047" s="1" t="n">
        <v>45715</v>
      </c>
      <c r="D11047" t="inlineStr">
        <is>
          <t>KALMAR LÄN</t>
        </is>
      </c>
      <c r="E11047" t="inlineStr">
        <is>
          <t>HULTSFRED</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15067-2024</t>
        </is>
      </c>
      <c r="B11048" s="1" t="n">
        <v>45399</v>
      </c>
      <c r="C11048" s="1" t="n">
        <v>45715</v>
      </c>
      <c r="D11048" t="inlineStr">
        <is>
          <t>KALMAR LÄN</t>
        </is>
      </c>
      <c r="E11048" t="inlineStr">
        <is>
          <t>MÖNSTERÅS</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15018-2024</t>
        </is>
      </c>
      <c r="B11049" s="1" t="n">
        <v>45399</v>
      </c>
      <c r="C11049" s="1" t="n">
        <v>45715</v>
      </c>
      <c r="D11049" t="inlineStr">
        <is>
          <t>KALMAR LÄN</t>
        </is>
      </c>
      <c r="E11049" t="inlineStr">
        <is>
          <t>HULTSFRED</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15121-2024</t>
        </is>
      </c>
      <c r="B11050" s="1" t="n">
        <v>45399</v>
      </c>
      <c r="C11050" s="1" t="n">
        <v>45715</v>
      </c>
      <c r="D11050" t="inlineStr">
        <is>
          <t>KALMAR LÄN</t>
        </is>
      </c>
      <c r="E11050" t="inlineStr">
        <is>
          <t>HÖGSBY</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15045-2024</t>
        </is>
      </c>
      <c r="B11051" s="1" t="n">
        <v>45399</v>
      </c>
      <c r="C11051" s="1" t="n">
        <v>45715</v>
      </c>
      <c r="D11051" t="inlineStr">
        <is>
          <t>KALMAR LÄN</t>
        </is>
      </c>
      <c r="E11051" t="inlineStr">
        <is>
          <t>MÖRBYLÅNGA</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15123-2024</t>
        </is>
      </c>
      <c r="B11052" s="1" t="n">
        <v>45399</v>
      </c>
      <c r="C11052" s="1" t="n">
        <v>45715</v>
      </c>
      <c r="D11052" t="inlineStr">
        <is>
          <t>KALMAR LÄN</t>
        </is>
      </c>
      <c r="E11052" t="inlineStr">
        <is>
          <t>VIMMERBY</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15161-2024</t>
        </is>
      </c>
      <c r="B11053" s="1" t="n">
        <v>45400</v>
      </c>
      <c r="C11053" s="1" t="n">
        <v>45715</v>
      </c>
      <c r="D11053" t="inlineStr">
        <is>
          <t>KALMAR LÄN</t>
        </is>
      </c>
      <c r="E11053" t="inlineStr">
        <is>
          <t>KALMAR</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15257-2024</t>
        </is>
      </c>
      <c r="B11054" s="1" t="n">
        <v>45400</v>
      </c>
      <c r="C11054" s="1" t="n">
        <v>45715</v>
      </c>
      <c r="D11054" t="inlineStr">
        <is>
          <t>KALMAR LÄN</t>
        </is>
      </c>
      <c r="E11054" t="inlineStr">
        <is>
          <t>KALMAR</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15292-2024</t>
        </is>
      </c>
      <c r="B11055" s="1" t="n">
        <v>45400</v>
      </c>
      <c r="C11055" s="1" t="n">
        <v>45715</v>
      </c>
      <c r="D11055" t="inlineStr">
        <is>
          <t>KALMAR LÄN</t>
        </is>
      </c>
      <c r="E11055" t="inlineStr">
        <is>
          <t>EMMABODA</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15179-2024</t>
        </is>
      </c>
      <c r="B11056" s="1" t="n">
        <v>45400</v>
      </c>
      <c r="C11056" s="1" t="n">
        <v>45715</v>
      </c>
      <c r="D11056" t="inlineStr">
        <is>
          <t>KALMAR LÄN</t>
        </is>
      </c>
      <c r="E11056" t="inlineStr">
        <is>
          <t>KALMAR</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15332-2024</t>
        </is>
      </c>
      <c r="B11057" s="1" t="n">
        <v>45400</v>
      </c>
      <c r="C11057" s="1" t="n">
        <v>45715</v>
      </c>
      <c r="D11057" t="inlineStr">
        <is>
          <t>KALMAR LÄN</t>
        </is>
      </c>
      <c r="E11057" t="inlineStr">
        <is>
          <t>NYBRO</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15329-2024</t>
        </is>
      </c>
      <c r="B11058" s="1" t="n">
        <v>45400</v>
      </c>
      <c r="C11058" s="1" t="n">
        <v>45715</v>
      </c>
      <c r="D11058" t="inlineStr">
        <is>
          <t>KALMAR LÄN</t>
        </is>
      </c>
      <c r="E11058" t="inlineStr">
        <is>
          <t>EMMABODA</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15348-2024</t>
        </is>
      </c>
      <c r="B11059" s="1" t="n">
        <v>45400</v>
      </c>
      <c r="C11059" s="1" t="n">
        <v>45715</v>
      </c>
      <c r="D11059" t="inlineStr">
        <is>
          <t>KALMAR LÄN</t>
        </is>
      </c>
      <c r="E11059" t="inlineStr">
        <is>
          <t>MÖNSTERÅS</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15356-2024</t>
        </is>
      </c>
      <c r="B11060" s="1" t="n">
        <v>45400</v>
      </c>
      <c r="C11060" s="1" t="n">
        <v>45715</v>
      </c>
      <c r="D11060" t="inlineStr">
        <is>
          <t>KALMAR LÄN</t>
        </is>
      </c>
      <c r="E11060" t="inlineStr">
        <is>
          <t>VÄSTERVIK</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15357-2024</t>
        </is>
      </c>
      <c r="B11061" s="1" t="n">
        <v>45400</v>
      </c>
      <c r="C11061" s="1" t="n">
        <v>45715</v>
      </c>
      <c r="D11061" t="inlineStr">
        <is>
          <t>KALMAR LÄN</t>
        </is>
      </c>
      <c r="E11061" t="inlineStr">
        <is>
          <t>VÄSTERVIK</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15365-2024</t>
        </is>
      </c>
      <c r="B11062" s="1" t="n">
        <v>45401</v>
      </c>
      <c r="C11062" s="1" t="n">
        <v>45715</v>
      </c>
      <c r="D11062" t="inlineStr">
        <is>
          <t>KALMAR LÄN</t>
        </is>
      </c>
      <c r="E11062" t="inlineStr">
        <is>
          <t>HULTSFRED</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15330-2024</t>
        </is>
      </c>
      <c r="B11063" s="1" t="n">
        <v>45400</v>
      </c>
      <c r="C11063" s="1" t="n">
        <v>45715</v>
      </c>
      <c r="D11063" t="inlineStr">
        <is>
          <t>KALMAR LÄN</t>
        </is>
      </c>
      <c r="E11063" t="inlineStr">
        <is>
          <t>NYBRO</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15362-2024</t>
        </is>
      </c>
      <c r="B11064" s="1" t="n">
        <v>45400</v>
      </c>
      <c r="C11064" s="1" t="n">
        <v>45715</v>
      </c>
      <c r="D11064" t="inlineStr">
        <is>
          <t>KALMAR LÄN</t>
        </is>
      </c>
      <c r="E11064" t="inlineStr">
        <is>
          <t>EMMABODA</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15446-2024</t>
        </is>
      </c>
      <c r="B11065" s="1" t="n">
        <v>45401</v>
      </c>
      <c r="C11065" s="1" t="n">
        <v>45715</v>
      </c>
      <c r="D11065" t="inlineStr">
        <is>
          <t>KALMAR LÄN</t>
        </is>
      </c>
      <c r="E11065" t="inlineStr">
        <is>
          <t>EMMABODA</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15584-2024</t>
        </is>
      </c>
      <c r="B11066" s="1" t="n">
        <v>45401</v>
      </c>
      <c r="C11066" s="1" t="n">
        <v>45715</v>
      </c>
      <c r="D11066" t="inlineStr">
        <is>
          <t>KALMAR LÄN</t>
        </is>
      </c>
      <c r="E11066" t="inlineStr">
        <is>
          <t>NYBRO</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15510-2024</t>
        </is>
      </c>
      <c r="B11067" s="1" t="n">
        <v>45401</v>
      </c>
      <c r="C11067" s="1" t="n">
        <v>45715</v>
      </c>
      <c r="D11067" t="inlineStr">
        <is>
          <t>KALMAR LÄN</t>
        </is>
      </c>
      <c r="E11067" t="inlineStr">
        <is>
          <t>NYBRO</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15494-2024</t>
        </is>
      </c>
      <c r="B11068" s="1" t="n">
        <v>45401</v>
      </c>
      <c r="C11068" s="1" t="n">
        <v>45715</v>
      </c>
      <c r="D11068" t="inlineStr">
        <is>
          <t>KALMAR LÄN</t>
        </is>
      </c>
      <c r="E11068" t="inlineStr">
        <is>
          <t>VIMMERBY</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15490-2024</t>
        </is>
      </c>
      <c r="B11069" s="1" t="n">
        <v>45401</v>
      </c>
      <c r="C11069" s="1" t="n">
        <v>45715</v>
      </c>
      <c r="D11069" t="inlineStr">
        <is>
          <t>KALMAR LÄN</t>
        </is>
      </c>
      <c r="E11069" t="inlineStr">
        <is>
          <t>KALMAR</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15448-2024</t>
        </is>
      </c>
      <c r="B11070" s="1" t="n">
        <v>45401</v>
      </c>
      <c r="C11070" s="1" t="n">
        <v>45715</v>
      </c>
      <c r="D11070" t="inlineStr">
        <is>
          <t>KALMAR LÄN</t>
        </is>
      </c>
      <c r="E11070" t="inlineStr">
        <is>
          <t>EMMABODA</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15553-2024</t>
        </is>
      </c>
      <c r="B11071" s="1" t="n">
        <v>45401</v>
      </c>
      <c r="C11071" s="1" t="n">
        <v>45715</v>
      </c>
      <c r="D11071" t="inlineStr">
        <is>
          <t>KALMAR LÄN</t>
        </is>
      </c>
      <c r="E11071" t="inlineStr">
        <is>
          <t>VÄSTERVIK</t>
        </is>
      </c>
      <c r="F11071" t="inlineStr">
        <is>
          <t>Holmen skog AB</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15483-2024</t>
        </is>
      </c>
      <c r="B11072" s="1" t="n">
        <v>45401</v>
      </c>
      <c r="C11072" s="1" t="n">
        <v>45715</v>
      </c>
      <c r="D11072" t="inlineStr">
        <is>
          <t>KALMAR LÄN</t>
        </is>
      </c>
      <c r="E11072" t="inlineStr">
        <is>
          <t>KALMAR</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15658-2024</t>
        </is>
      </c>
      <c r="B11073" s="1" t="n">
        <v>45402</v>
      </c>
      <c r="C11073" s="1" t="n">
        <v>45715</v>
      </c>
      <c r="D11073" t="inlineStr">
        <is>
          <t>KALMAR LÄN</t>
        </is>
      </c>
      <c r="E11073" t="inlineStr">
        <is>
          <t>KALMAR</t>
        </is>
      </c>
      <c r="F11073" t="inlineStr">
        <is>
          <t>Kyrkan</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15672-2024</t>
        </is>
      </c>
      <c r="B11074" s="1" t="n">
        <v>45404</v>
      </c>
      <c r="C11074" s="1" t="n">
        <v>45715</v>
      </c>
      <c r="D11074" t="inlineStr">
        <is>
          <t>KALMAR LÄN</t>
        </is>
      </c>
      <c r="E11074" t="inlineStr">
        <is>
          <t>VIMMERBY</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15717-2024</t>
        </is>
      </c>
      <c r="B11075" s="1" t="n">
        <v>45404</v>
      </c>
      <c r="C11075" s="1" t="n">
        <v>45715</v>
      </c>
      <c r="D11075" t="inlineStr">
        <is>
          <t>KALMAR LÄN</t>
        </is>
      </c>
      <c r="E11075" t="inlineStr">
        <is>
          <t>NYBRO</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15749-2024</t>
        </is>
      </c>
      <c r="B11076" s="1" t="n">
        <v>45404</v>
      </c>
      <c r="C11076" s="1" t="n">
        <v>45715</v>
      </c>
      <c r="D11076" t="inlineStr">
        <is>
          <t>KALMAR LÄN</t>
        </is>
      </c>
      <c r="E11076" t="inlineStr">
        <is>
          <t>TORSÅS</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15687-2024</t>
        </is>
      </c>
      <c r="B11077" s="1" t="n">
        <v>45404</v>
      </c>
      <c r="C11077" s="1" t="n">
        <v>45715</v>
      </c>
      <c r="D11077" t="inlineStr">
        <is>
          <t>KALMAR LÄN</t>
        </is>
      </c>
      <c r="E11077" t="inlineStr">
        <is>
          <t>HULTSFRED</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15719-2024</t>
        </is>
      </c>
      <c r="B11078" s="1" t="n">
        <v>45404</v>
      </c>
      <c r="C11078" s="1" t="n">
        <v>45715</v>
      </c>
      <c r="D11078" t="inlineStr">
        <is>
          <t>KALMAR LÄN</t>
        </is>
      </c>
      <c r="E11078" t="inlineStr">
        <is>
          <t>MÖNSTERÅS</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15840-2024</t>
        </is>
      </c>
      <c r="B11079" s="1" t="n">
        <v>45404</v>
      </c>
      <c r="C11079" s="1" t="n">
        <v>45715</v>
      </c>
      <c r="D11079" t="inlineStr">
        <is>
          <t>KALMAR LÄN</t>
        </is>
      </c>
      <c r="E11079" t="inlineStr">
        <is>
          <t>KALMAR</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15953-2024</t>
        </is>
      </c>
      <c r="B11080" s="1" t="n">
        <v>45405</v>
      </c>
      <c r="C11080" s="1" t="n">
        <v>45715</v>
      </c>
      <c r="D11080" t="inlineStr">
        <is>
          <t>KALMAR LÄN</t>
        </is>
      </c>
      <c r="E11080" t="inlineStr">
        <is>
          <t>OSKARSHAMN</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16040-2024</t>
        </is>
      </c>
      <c r="B11081" s="1" t="n">
        <v>45405</v>
      </c>
      <c r="C11081" s="1" t="n">
        <v>45715</v>
      </c>
      <c r="D11081" t="inlineStr">
        <is>
          <t>KALMAR LÄN</t>
        </is>
      </c>
      <c r="E11081" t="inlineStr">
        <is>
          <t>VÄSTERVIK</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15954-2024</t>
        </is>
      </c>
      <c r="B11082" s="1" t="n">
        <v>45405</v>
      </c>
      <c r="C11082" s="1" t="n">
        <v>45715</v>
      </c>
      <c r="D11082" t="inlineStr">
        <is>
          <t>KALMAR LÄN</t>
        </is>
      </c>
      <c r="E11082" t="inlineStr">
        <is>
          <t>OSKARSHAMN</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15897-2024</t>
        </is>
      </c>
      <c r="B11083" s="1" t="n">
        <v>45405</v>
      </c>
      <c r="C11083" s="1" t="n">
        <v>45715</v>
      </c>
      <c r="D11083" t="inlineStr">
        <is>
          <t>KALMAR LÄN</t>
        </is>
      </c>
      <c r="E11083" t="inlineStr">
        <is>
          <t>MÖNSTERÅS</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15865-2024</t>
        </is>
      </c>
      <c r="B11084" s="1" t="n">
        <v>45405</v>
      </c>
      <c r="C11084" s="1" t="n">
        <v>45715</v>
      </c>
      <c r="D11084" t="inlineStr">
        <is>
          <t>KALMAR LÄN</t>
        </is>
      </c>
      <c r="E11084" t="inlineStr">
        <is>
          <t>HULTSFRED</t>
        </is>
      </c>
      <c r="G11084" t="n">
        <v>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16011-2024</t>
        </is>
      </c>
      <c r="B11085" s="1" t="n">
        <v>45405</v>
      </c>
      <c r="C11085" s="1" t="n">
        <v>45715</v>
      </c>
      <c r="D11085" t="inlineStr">
        <is>
          <t>KALMAR LÄN</t>
        </is>
      </c>
      <c r="E11085" t="inlineStr">
        <is>
          <t>VÄSTERVIK</t>
        </is>
      </c>
      <c r="G11085" t="n">
        <v>7.8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15942-2024</t>
        </is>
      </c>
      <c r="B11086" s="1" t="n">
        <v>45405</v>
      </c>
      <c r="C11086" s="1" t="n">
        <v>45715</v>
      </c>
      <c r="D11086" t="inlineStr">
        <is>
          <t>KALMAR LÄN</t>
        </is>
      </c>
      <c r="E11086" t="inlineStr">
        <is>
          <t>MÖNSTERÅS</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15926-2024</t>
        </is>
      </c>
      <c r="B11087" s="1" t="n">
        <v>45405</v>
      </c>
      <c r="C11087" s="1" t="n">
        <v>45715</v>
      </c>
      <c r="D11087" t="inlineStr">
        <is>
          <t>KALMAR LÄN</t>
        </is>
      </c>
      <c r="E11087" t="inlineStr">
        <is>
          <t>VÄSTERVIK</t>
        </is>
      </c>
      <c r="F11087" t="inlineStr">
        <is>
          <t>Övriga Aktiebolag</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15866-2024</t>
        </is>
      </c>
      <c r="B11088" s="1" t="n">
        <v>45405</v>
      </c>
      <c r="C11088" s="1" t="n">
        <v>45715</v>
      </c>
      <c r="D11088" t="inlineStr">
        <is>
          <t>KALMAR LÄN</t>
        </is>
      </c>
      <c r="E11088" t="inlineStr">
        <is>
          <t>HULTSFRED</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16080-2024</t>
        </is>
      </c>
      <c r="B11089" s="1" t="n">
        <v>45406</v>
      </c>
      <c r="C11089" s="1" t="n">
        <v>45715</v>
      </c>
      <c r="D11089" t="inlineStr">
        <is>
          <t>KALMAR LÄN</t>
        </is>
      </c>
      <c r="E11089" t="inlineStr">
        <is>
          <t>NYBRO</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16107-2024</t>
        </is>
      </c>
      <c r="B11090" s="1" t="n">
        <v>45406</v>
      </c>
      <c r="C11090" s="1" t="n">
        <v>45715</v>
      </c>
      <c r="D11090" t="inlineStr">
        <is>
          <t>KALMAR LÄN</t>
        </is>
      </c>
      <c r="E11090" t="inlineStr">
        <is>
          <t>OSKARSHAMN</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16189-2024</t>
        </is>
      </c>
      <c r="B11091" s="1" t="n">
        <v>45406</v>
      </c>
      <c r="C11091" s="1" t="n">
        <v>45715</v>
      </c>
      <c r="D11091" t="inlineStr">
        <is>
          <t>KALMAR LÄN</t>
        </is>
      </c>
      <c r="E11091" t="inlineStr">
        <is>
          <t>OSKARSHAMN</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16113-2024</t>
        </is>
      </c>
      <c r="B11092" s="1" t="n">
        <v>45406</v>
      </c>
      <c r="C11092" s="1" t="n">
        <v>45715</v>
      </c>
      <c r="D11092" t="inlineStr">
        <is>
          <t>KALMAR LÄN</t>
        </is>
      </c>
      <c r="E11092" t="inlineStr">
        <is>
          <t>HULTSFRED</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16195-2024</t>
        </is>
      </c>
      <c r="B11093" s="1" t="n">
        <v>45406</v>
      </c>
      <c r="C11093" s="1" t="n">
        <v>45715</v>
      </c>
      <c r="D11093" t="inlineStr">
        <is>
          <t>KALMAR LÄN</t>
        </is>
      </c>
      <c r="E11093" t="inlineStr">
        <is>
          <t>OSKARSHAMN</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16186-2024</t>
        </is>
      </c>
      <c r="B11094" s="1" t="n">
        <v>45406</v>
      </c>
      <c r="C11094" s="1" t="n">
        <v>45715</v>
      </c>
      <c r="D11094" t="inlineStr">
        <is>
          <t>KALMAR LÄN</t>
        </is>
      </c>
      <c r="E11094" t="inlineStr">
        <is>
          <t>OSKARSHAMN</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16119-2024</t>
        </is>
      </c>
      <c r="B11095" s="1" t="n">
        <v>45406</v>
      </c>
      <c r="C11095" s="1" t="n">
        <v>45715</v>
      </c>
      <c r="D11095" t="inlineStr">
        <is>
          <t>KALMAR LÄN</t>
        </is>
      </c>
      <c r="E11095" t="inlineStr">
        <is>
          <t>KALMAR</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16269-2024</t>
        </is>
      </c>
      <c r="B11096" s="1" t="n">
        <v>45407</v>
      </c>
      <c r="C11096" s="1" t="n">
        <v>45715</v>
      </c>
      <c r="D11096" t="inlineStr">
        <is>
          <t>KALMAR LÄN</t>
        </is>
      </c>
      <c r="E11096" t="inlineStr">
        <is>
          <t>EMMABODA</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16263-2024</t>
        </is>
      </c>
      <c r="B11097" s="1" t="n">
        <v>45407</v>
      </c>
      <c r="C11097" s="1" t="n">
        <v>45715</v>
      </c>
      <c r="D11097" t="inlineStr">
        <is>
          <t>KALMAR LÄN</t>
        </is>
      </c>
      <c r="E11097" t="inlineStr">
        <is>
          <t>TORSÅS</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16275-2024</t>
        </is>
      </c>
      <c r="B11098" s="1" t="n">
        <v>45407</v>
      </c>
      <c r="C11098" s="1" t="n">
        <v>45715</v>
      </c>
      <c r="D11098" t="inlineStr">
        <is>
          <t>KALMAR LÄN</t>
        </is>
      </c>
      <c r="E11098" t="inlineStr">
        <is>
          <t>NYBRO</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16277-2024</t>
        </is>
      </c>
      <c r="B11099" s="1" t="n">
        <v>45407</v>
      </c>
      <c r="C11099" s="1" t="n">
        <v>45715</v>
      </c>
      <c r="D11099" t="inlineStr">
        <is>
          <t>KALMAR LÄN</t>
        </is>
      </c>
      <c r="E11099" t="inlineStr">
        <is>
          <t>OSKARSHAMN</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16297-2024</t>
        </is>
      </c>
      <c r="B11100" s="1" t="n">
        <v>45407</v>
      </c>
      <c r="C11100" s="1" t="n">
        <v>45715</v>
      </c>
      <c r="D11100" t="inlineStr">
        <is>
          <t>KALMAR LÄN</t>
        </is>
      </c>
      <c r="E11100" t="inlineStr">
        <is>
          <t>NYBRO</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16305-2024</t>
        </is>
      </c>
      <c r="B11101" s="1" t="n">
        <v>45407</v>
      </c>
      <c r="C11101" s="1" t="n">
        <v>45715</v>
      </c>
      <c r="D11101" t="inlineStr">
        <is>
          <t>KALMAR LÄN</t>
        </is>
      </c>
      <c r="E11101" t="inlineStr">
        <is>
          <t>TORSÅS</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16354-2024</t>
        </is>
      </c>
      <c r="B11102" s="1" t="n">
        <v>45407</v>
      </c>
      <c r="C11102" s="1" t="n">
        <v>45715</v>
      </c>
      <c r="D11102" t="inlineStr">
        <is>
          <t>KALMAR LÄN</t>
        </is>
      </c>
      <c r="E11102" t="inlineStr">
        <is>
          <t>NYBRO</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16395-2024</t>
        </is>
      </c>
      <c r="B11103" s="1" t="n">
        <v>45407</v>
      </c>
      <c r="C11103" s="1" t="n">
        <v>45715</v>
      </c>
      <c r="D11103" t="inlineStr">
        <is>
          <t>KALMAR LÄN</t>
        </is>
      </c>
      <c r="E11103" t="inlineStr">
        <is>
          <t>VÄSTERVIK</t>
        </is>
      </c>
      <c r="G11103" t="n">
        <v>1.3</v>
      </c>
      <c r="H11103" t="n">
        <v>0</v>
      </c>
      <c r="I11103" t="n">
        <v>0</v>
      </c>
      <c r="J11103" t="n">
        <v>0</v>
      </c>
      <c r="K11103" t="n">
        <v>0</v>
      </c>
      <c r="L11103" t="n">
        <v>0</v>
      </c>
      <c r="M11103" t="n">
        <v>0</v>
      </c>
      <c r="N11103" t="n">
        <v>0</v>
      </c>
      <c r="O11103" t="n">
        <v>0</v>
      </c>
      <c r="P11103" t="n">
        <v>0</v>
      </c>
      <c r="Q11103" t="n">
        <v>0</v>
      </c>
      <c r="R11103" s="2" t="inlineStr"/>
      <c r="U11103">
        <f>HYPERLINK("https://klasma.github.io/Logging_0883/knärot/A 16395-2024 karta knärot.png", "A 16395-2024")</f>
        <v/>
      </c>
      <c r="V11103">
        <f>HYPERLINK("https://klasma.github.io/Logging_0883/klagomål/A 16395-2024 FSC-klagomål.docx", "A 16395-2024")</f>
        <v/>
      </c>
      <c r="W11103">
        <f>HYPERLINK("https://klasma.github.io/Logging_0883/klagomålsmail/A 16395-2024 FSC-klagomål mail.docx", "A 16395-2024")</f>
        <v/>
      </c>
      <c r="X11103">
        <f>HYPERLINK("https://klasma.github.io/Logging_0883/tillsyn/A 16395-2024 tillsynsbegäran.docx", "A 16395-2024")</f>
        <v/>
      </c>
      <c r="Y11103">
        <f>HYPERLINK("https://klasma.github.io/Logging_0883/tillsynsmail/A 16395-2024 tillsynsbegäran mail.docx", "A 16395-2024")</f>
        <v/>
      </c>
    </row>
    <row r="11104" ht="15" customHeight="1">
      <c r="A11104" t="inlineStr">
        <is>
          <t>A 16381-2024</t>
        </is>
      </c>
      <c r="B11104" s="1" t="n">
        <v>45407</v>
      </c>
      <c r="C11104" s="1" t="n">
        <v>45715</v>
      </c>
      <c r="D11104" t="inlineStr">
        <is>
          <t>KALMAR LÄN</t>
        </is>
      </c>
      <c r="E11104" t="inlineStr">
        <is>
          <t>VÄSTERVIK</t>
        </is>
      </c>
      <c r="F11104" t="inlineStr">
        <is>
          <t>Holmen skog AB</t>
        </is>
      </c>
      <c r="G11104" t="n">
        <v>6.5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16385-2024</t>
        </is>
      </c>
      <c r="B11105" s="1" t="n">
        <v>45407</v>
      </c>
      <c r="C11105" s="1" t="n">
        <v>45715</v>
      </c>
      <c r="D11105" t="inlineStr">
        <is>
          <t>KALMAR LÄN</t>
        </is>
      </c>
      <c r="E11105" t="inlineStr">
        <is>
          <t>VÄSTERVIK</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16386-2024</t>
        </is>
      </c>
      <c r="B11106" s="1" t="n">
        <v>45407</v>
      </c>
      <c r="C11106" s="1" t="n">
        <v>45715</v>
      </c>
      <c r="D11106" t="inlineStr">
        <is>
          <t>KALMAR LÄN</t>
        </is>
      </c>
      <c r="E11106" t="inlineStr">
        <is>
          <t>VÄSTERVIK</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16390-2024</t>
        </is>
      </c>
      <c r="B11107" s="1" t="n">
        <v>45407</v>
      </c>
      <c r="C11107" s="1" t="n">
        <v>45715</v>
      </c>
      <c r="D11107" t="inlineStr">
        <is>
          <t>KALMAR LÄN</t>
        </is>
      </c>
      <c r="E11107" t="inlineStr">
        <is>
          <t>VÄSTERVIK</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16398-2024</t>
        </is>
      </c>
      <c r="B11108" s="1" t="n">
        <v>45407</v>
      </c>
      <c r="C11108" s="1" t="n">
        <v>45715</v>
      </c>
      <c r="D11108" t="inlineStr">
        <is>
          <t>KALMAR LÄN</t>
        </is>
      </c>
      <c r="E11108" t="inlineStr">
        <is>
          <t>VÄSTERVIK</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16268-2024</t>
        </is>
      </c>
      <c r="B11109" s="1" t="n">
        <v>45407</v>
      </c>
      <c r="C11109" s="1" t="n">
        <v>45715</v>
      </c>
      <c r="D11109" t="inlineStr">
        <is>
          <t>KALMAR LÄN</t>
        </is>
      </c>
      <c r="E11109" t="inlineStr">
        <is>
          <t>NYBRO</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16280-2024</t>
        </is>
      </c>
      <c r="B11110" s="1" t="n">
        <v>45407</v>
      </c>
      <c r="C11110" s="1" t="n">
        <v>45715</v>
      </c>
      <c r="D11110" t="inlineStr">
        <is>
          <t>KALMAR LÄN</t>
        </is>
      </c>
      <c r="E11110" t="inlineStr">
        <is>
          <t>OSKARSHAMN</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16284-2024</t>
        </is>
      </c>
      <c r="B11111" s="1" t="n">
        <v>45407</v>
      </c>
      <c r="C11111" s="1" t="n">
        <v>45715</v>
      </c>
      <c r="D11111" t="inlineStr">
        <is>
          <t>KALMAR LÄN</t>
        </is>
      </c>
      <c r="E11111" t="inlineStr">
        <is>
          <t>OSKARSHAMN</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16364-2024</t>
        </is>
      </c>
      <c r="B11112" s="1" t="n">
        <v>45407</v>
      </c>
      <c r="C11112" s="1" t="n">
        <v>45715</v>
      </c>
      <c r="D11112" t="inlineStr">
        <is>
          <t>KALMAR LÄN</t>
        </is>
      </c>
      <c r="E11112" t="inlineStr">
        <is>
          <t>NYBRO</t>
        </is>
      </c>
      <c r="G11112" t="n">
        <v>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16384-2024</t>
        </is>
      </c>
      <c r="B11113" s="1" t="n">
        <v>45407</v>
      </c>
      <c r="C11113" s="1" t="n">
        <v>45715</v>
      </c>
      <c r="D11113" t="inlineStr">
        <is>
          <t>KALMAR LÄN</t>
        </is>
      </c>
      <c r="E11113" t="inlineStr">
        <is>
          <t>KALMAR</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16493-2024</t>
        </is>
      </c>
      <c r="B11114" s="1" t="n">
        <v>45408</v>
      </c>
      <c r="C11114" s="1" t="n">
        <v>45715</v>
      </c>
      <c r="D11114" t="inlineStr">
        <is>
          <t>KALMAR LÄN</t>
        </is>
      </c>
      <c r="E11114" t="inlineStr">
        <is>
          <t>NYBRO</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16521-2024</t>
        </is>
      </c>
      <c r="B11115" s="1" t="n">
        <v>45408</v>
      </c>
      <c r="C11115" s="1" t="n">
        <v>45715</v>
      </c>
      <c r="D11115" t="inlineStr">
        <is>
          <t>KALMAR LÄN</t>
        </is>
      </c>
      <c r="E11115" t="inlineStr">
        <is>
          <t>EMMABODA</t>
        </is>
      </c>
      <c r="G11115" t="n">
        <v>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16541-2024</t>
        </is>
      </c>
      <c r="B11116" s="1" t="n">
        <v>45408</v>
      </c>
      <c r="C11116" s="1" t="n">
        <v>45715</v>
      </c>
      <c r="D11116" t="inlineStr">
        <is>
          <t>KALMAR LÄN</t>
        </is>
      </c>
      <c r="E11116" t="inlineStr">
        <is>
          <t>HULTSFRED</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16593-2024</t>
        </is>
      </c>
      <c r="B11117" s="1" t="n">
        <v>45408</v>
      </c>
      <c r="C11117" s="1" t="n">
        <v>45715</v>
      </c>
      <c r="D11117" t="inlineStr">
        <is>
          <t>KALMAR LÄN</t>
        </is>
      </c>
      <c r="E11117" t="inlineStr">
        <is>
          <t>MÖNSTERÅS</t>
        </is>
      </c>
      <c r="G11117" t="n">
        <v>4.9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16516-2024</t>
        </is>
      </c>
      <c r="B11118" s="1" t="n">
        <v>45408</v>
      </c>
      <c r="C11118" s="1" t="n">
        <v>45715</v>
      </c>
      <c r="D11118" t="inlineStr">
        <is>
          <t>KALMAR LÄN</t>
        </is>
      </c>
      <c r="E11118" t="inlineStr">
        <is>
          <t>EMMABODA</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16661-2024</t>
        </is>
      </c>
      <c r="B11119" s="1" t="n">
        <v>45408</v>
      </c>
      <c r="C11119" s="1" t="n">
        <v>45715</v>
      </c>
      <c r="D11119" t="inlineStr">
        <is>
          <t>KALMAR LÄN</t>
        </is>
      </c>
      <c r="E11119" t="inlineStr">
        <is>
          <t>OSKARSHAMN</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16669-2024</t>
        </is>
      </c>
      <c r="B11120" s="1" t="n">
        <v>45408</v>
      </c>
      <c r="C11120" s="1" t="n">
        <v>45715</v>
      </c>
      <c r="D11120" t="inlineStr">
        <is>
          <t>KALMAR LÄN</t>
        </is>
      </c>
      <c r="E11120" t="inlineStr">
        <is>
          <t>OSKARSHAMN</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16673-2024</t>
        </is>
      </c>
      <c r="B11121" s="1" t="n">
        <v>45408</v>
      </c>
      <c r="C11121" s="1" t="n">
        <v>45715</v>
      </c>
      <c r="D11121" t="inlineStr">
        <is>
          <t>KALMAR LÄN</t>
        </is>
      </c>
      <c r="E11121" t="inlineStr">
        <is>
          <t>OSKARSHAMN</t>
        </is>
      </c>
      <c r="G11121" t="n">
        <v>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16527-2024</t>
        </is>
      </c>
      <c r="B11122" s="1" t="n">
        <v>45408</v>
      </c>
      <c r="C11122" s="1" t="n">
        <v>45715</v>
      </c>
      <c r="D11122" t="inlineStr">
        <is>
          <t>KALMAR LÄN</t>
        </is>
      </c>
      <c r="E11122" t="inlineStr">
        <is>
          <t>NYBRO</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16571-2024</t>
        </is>
      </c>
      <c r="B11123" s="1" t="n">
        <v>45408</v>
      </c>
      <c r="C11123" s="1" t="n">
        <v>45715</v>
      </c>
      <c r="D11123" t="inlineStr">
        <is>
          <t>KALMAR LÄN</t>
        </is>
      </c>
      <c r="E11123" t="inlineStr">
        <is>
          <t>OSKARSHAMN</t>
        </is>
      </c>
      <c r="G11123" t="n">
        <v>3.9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16656-2024</t>
        </is>
      </c>
      <c r="B11124" s="1" t="n">
        <v>45408</v>
      </c>
      <c r="C11124" s="1" t="n">
        <v>45715</v>
      </c>
      <c r="D11124" t="inlineStr">
        <is>
          <t>KALMAR LÄN</t>
        </is>
      </c>
      <c r="E11124" t="inlineStr">
        <is>
          <t>HULTSFRED</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16664-2024</t>
        </is>
      </c>
      <c r="B11125" s="1" t="n">
        <v>45408</v>
      </c>
      <c r="C11125" s="1" t="n">
        <v>45715</v>
      </c>
      <c r="D11125" t="inlineStr">
        <is>
          <t>KALMAR LÄN</t>
        </is>
      </c>
      <c r="E11125" t="inlineStr">
        <is>
          <t>OSKARSHAMN</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16498-2024</t>
        </is>
      </c>
      <c r="B11126" s="1" t="n">
        <v>45408</v>
      </c>
      <c r="C11126" s="1" t="n">
        <v>45715</v>
      </c>
      <c r="D11126" t="inlineStr">
        <is>
          <t>KALMAR LÄN</t>
        </is>
      </c>
      <c r="E11126" t="inlineStr">
        <is>
          <t>TORSÅS</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16530-2024</t>
        </is>
      </c>
      <c r="B11127" s="1" t="n">
        <v>45408</v>
      </c>
      <c r="C11127" s="1" t="n">
        <v>45715</v>
      </c>
      <c r="D11127" t="inlineStr">
        <is>
          <t>KALMAR LÄN</t>
        </is>
      </c>
      <c r="E11127" t="inlineStr">
        <is>
          <t>NYBRO</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16550-2024</t>
        </is>
      </c>
      <c r="B11128" s="1" t="n">
        <v>45408</v>
      </c>
      <c r="C11128" s="1" t="n">
        <v>45715</v>
      </c>
      <c r="D11128" t="inlineStr">
        <is>
          <t>KALMAR LÄN</t>
        </is>
      </c>
      <c r="E11128" t="inlineStr">
        <is>
          <t>EMMABODA</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16558-2024</t>
        </is>
      </c>
      <c r="B11129" s="1" t="n">
        <v>45408</v>
      </c>
      <c r="C11129" s="1" t="n">
        <v>45715</v>
      </c>
      <c r="D11129" t="inlineStr">
        <is>
          <t>KALMAR LÄN</t>
        </is>
      </c>
      <c r="E11129" t="inlineStr">
        <is>
          <t>OSKARSHAMN</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16696-2024</t>
        </is>
      </c>
      <c r="B11130" s="1" t="n">
        <v>45409</v>
      </c>
      <c r="C11130" s="1" t="n">
        <v>45715</v>
      </c>
      <c r="D11130" t="inlineStr">
        <is>
          <t>KALMAR LÄN</t>
        </is>
      </c>
      <c r="E11130" t="inlineStr">
        <is>
          <t>VÄSTERVIK</t>
        </is>
      </c>
      <c r="F11130" t="inlineStr">
        <is>
          <t>Holmen skog AB</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16677-2024</t>
        </is>
      </c>
      <c r="B11131" s="1" t="n">
        <v>45408</v>
      </c>
      <c r="C11131" s="1" t="n">
        <v>45715</v>
      </c>
      <c r="D11131" t="inlineStr">
        <is>
          <t>KALMAR LÄN</t>
        </is>
      </c>
      <c r="E11131" t="inlineStr">
        <is>
          <t>OSKARSHAMN</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16681-2024</t>
        </is>
      </c>
      <c r="B11132" s="1" t="n">
        <v>45408</v>
      </c>
      <c r="C11132" s="1" t="n">
        <v>45715</v>
      </c>
      <c r="D11132" t="inlineStr">
        <is>
          <t>KALMAR LÄN</t>
        </is>
      </c>
      <c r="E11132" t="inlineStr">
        <is>
          <t>OSKARSHAMN</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16720-2024</t>
        </is>
      </c>
      <c r="B11133" s="1" t="n">
        <v>45409</v>
      </c>
      <c r="C11133" s="1" t="n">
        <v>45715</v>
      </c>
      <c r="D11133" t="inlineStr">
        <is>
          <t>KALMAR LÄN</t>
        </is>
      </c>
      <c r="E11133" t="inlineStr">
        <is>
          <t>NYBRO</t>
        </is>
      </c>
      <c r="G11133" t="n">
        <v>0.2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16719-2024</t>
        </is>
      </c>
      <c r="B11134" s="1" t="n">
        <v>45409</v>
      </c>
      <c r="C11134" s="1" t="n">
        <v>45715</v>
      </c>
      <c r="D11134" t="inlineStr">
        <is>
          <t>KALMAR LÄN</t>
        </is>
      </c>
      <c r="E11134" t="inlineStr">
        <is>
          <t>NYBRO</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16740-2024</t>
        </is>
      </c>
      <c r="B11135" s="1" t="n">
        <v>45411</v>
      </c>
      <c r="C11135" s="1" t="n">
        <v>45715</v>
      </c>
      <c r="D11135" t="inlineStr">
        <is>
          <t>KALMAR LÄN</t>
        </is>
      </c>
      <c r="E11135" t="inlineStr">
        <is>
          <t>VIMMERBY</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16819-2024</t>
        </is>
      </c>
      <c r="B11136" s="1" t="n">
        <v>45411</v>
      </c>
      <c r="C11136" s="1" t="n">
        <v>45715</v>
      </c>
      <c r="D11136" t="inlineStr">
        <is>
          <t>KALMAR LÄN</t>
        </is>
      </c>
      <c r="E11136" t="inlineStr">
        <is>
          <t>EMMABODA</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17018-2024</t>
        </is>
      </c>
      <c r="B11137" s="1" t="n">
        <v>45411</v>
      </c>
      <c r="C11137" s="1" t="n">
        <v>45715</v>
      </c>
      <c r="D11137" t="inlineStr">
        <is>
          <t>KALMAR LÄN</t>
        </is>
      </c>
      <c r="E11137" t="inlineStr">
        <is>
          <t>EMMABODA</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16799-2024</t>
        </is>
      </c>
      <c r="B11138" s="1" t="n">
        <v>45411</v>
      </c>
      <c r="C11138" s="1" t="n">
        <v>45715</v>
      </c>
      <c r="D11138" t="inlineStr">
        <is>
          <t>KALMAR LÄN</t>
        </is>
      </c>
      <c r="E11138" t="inlineStr">
        <is>
          <t>EMMABODA</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16945-2024</t>
        </is>
      </c>
      <c r="B11139" s="1" t="n">
        <v>45411</v>
      </c>
      <c r="C11139" s="1" t="n">
        <v>45715</v>
      </c>
      <c r="D11139" t="inlineStr">
        <is>
          <t>KALMAR LÄN</t>
        </is>
      </c>
      <c r="E11139" t="inlineStr">
        <is>
          <t>NYBRO</t>
        </is>
      </c>
      <c r="G11139" t="n">
        <v>7.9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16829-2024</t>
        </is>
      </c>
      <c r="B11140" s="1" t="n">
        <v>45411</v>
      </c>
      <c r="C11140" s="1" t="n">
        <v>45715</v>
      </c>
      <c r="D11140" t="inlineStr">
        <is>
          <t>KALMAR LÄN</t>
        </is>
      </c>
      <c r="E11140" t="inlineStr">
        <is>
          <t>OSKARSHAMN</t>
        </is>
      </c>
      <c r="G11140" t="n">
        <v>6.3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16804-2024</t>
        </is>
      </c>
      <c r="B11141" s="1" t="n">
        <v>45411</v>
      </c>
      <c r="C11141" s="1" t="n">
        <v>45715</v>
      </c>
      <c r="D11141" t="inlineStr">
        <is>
          <t>KALMAR LÄN</t>
        </is>
      </c>
      <c r="E11141" t="inlineStr">
        <is>
          <t>KALMAR</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16800-2024</t>
        </is>
      </c>
      <c r="B11142" s="1" t="n">
        <v>45411</v>
      </c>
      <c r="C11142" s="1" t="n">
        <v>45715</v>
      </c>
      <c r="D11142" t="inlineStr">
        <is>
          <t>KALMAR LÄN</t>
        </is>
      </c>
      <c r="E11142" t="inlineStr">
        <is>
          <t>KALMAR</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16862-2024</t>
        </is>
      </c>
      <c r="B11143" s="1" t="n">
        <v>45411</v>
      </c>
      <c r="C11143" s="1" t="n">
        <v>45715</v>
      </c>
      <c r="D11143" t="inlineStr">
        <is>
          <t>KALMAR LÄN</t>
        </is>
      </c>
      <c r="E11143" t="inlineStr">
        <is>
          <t>NYBRO</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16825-2024</t>
        </is>
      </c>
      <c r="B11144" s="1" t="n">
        <v>45411</v>
      </c>
      <c r="C11144" s="1" t="n">
        <v>45715</v>
      </c>
      <c r="D11144" t="inlineStr">
        <is>
          <t>KALMAR LÄN</t>
        </is>
      </c>
      <c r="E11144" t="inlineStr">
        <is>
          <t>VIMMERBY</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16805-2024</t>
        </is>
      </c>
      <c r="B11145" s="1" t="n">
        <v>45411</v>
      </c>
      <c r="C11145" s="1" t="n">
        <v>45715</v>
      </c>
      <c r="D11145" t="inlineStr">
        <is>
          <t>KALMAR LÄN</t>
        </is>
      </c>
      <c r="E11145" t="inlineStr">
        <is>
          <t>EMMABODA</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16793-2024</t>
        </is>
      </c>
      <c r="B11146" s="1" t="n">
        <v>45411</v>
      </c>
      <c r="C11146" s="1" t="n">
        <v>45715</v>
      </c>
      <c r="D11146" t="inlineStr">
        <is>
          <t>KALMAR LÄN</t>
        </is>
      </c>
      <c r="E11146" t="inlineStr">
        <is>
          <t>OSKARSHAMN</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16761-2024</t>
        </is>
      </c>
      <c r="B11147" s="1" t="n">
        <v>45411</v>
      </c>
      <c r="C11147" s="1" t="n">
        <v>45715</v>
      </c>
      <c r="D11147" t="inlineStr">
        <is>
          <t>KALMAR LÄN</t>
        </is>
      </c>
      <c r="E11147" t="inlineStr">
        <is>
          <t>OSKARSHAMN</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17131-2024</t>
        </is>
      </c>
      <c r="B11148" s="1" t="n">
        <v>45412</v>
      </c>
      <c r="C11148" s="1" t="n">
        <v>45715</v>
      </c>
      <c r="D11148" t="inlineStr">
        <is>
          <t>KALMAR LÄN</t>
        </is>
      </c>
      <c r="E11148" t="inlineStr">
        <is>
          <t>HULTSFRED</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17163-2024</t>
        </is>
      </c>
      <c r="B11149" s="1" t="n">
        <v>45412</v>
      </c>
      <c r="C11149" s="1" t="n">
        <v>45715</v>
      </c>
      <c r="D11149" t="inlineStr">
        <is>
          <t>KALMAR LÄN</t>
        </is>
      </c>
      <c r="E11149" t="inlineStr">
        <is>
          <t>OSKARSHAMN</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16985-2024</t>
        </is>
      </c>
      <c r="B11150" s="1" t="n">
        <v>45412</v>
      </c>
      <c r="C11150" s="1" t="n">
        <v>45715</v>
      </c>
      <c r="D11150" t="inlineStr">
        <is>
          <t>KALMAR LÄN</t>
        </is>
      </c>
      <c r="E11150" t="inlineStr">
        <is>
          <t>HULTSFRED</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17042-2024</t>
        </is>
      </c>
      <c r="B11151" s="1" t="n">
        <v>45412</v>
      </c>
      <c r="C11151" s="1" t="n">
        <v>45715</v>
      </c>
      <c r="D11151" t="inlineStr">
        <is>
          <t>KALMAR LÄN</t>
        </is>
      </c>
      <c r="E11151" t="inlineStr">
        <is>
          <t>NYBRO</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17058-2024</t>
        </is>
      </c>
      <c r="B11152" s="1" t="n">
        <v>45412</v>
      </c>
      <c r="C11152" s="1" t="n">
        <v>45715</v>
      </c>
      <c r="D11152" t="inlineStr">
        <is>
          <t>KALMAR LÄN</t>
        </is>
      </c>
      <c r="E11152" t="inlineStr">
        <is>
          <t>HULTSFRED</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17079-2024</t>
        </is>
      </c>
      <c r="B11153" s="1" t="n">
        <v>45412</v>
      </c>
      <c r="C11153" s="1" t="n">
        <v>45715</v>
      </c>
      <c r="D11153" t="inlineStr">
        <is>
          <t>KALMAR LÄN</t>
        </is>
      </c>
      <c r="E11153" t="inlineStr">
        <is>
          <t>NYBRO</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17156-2024</t>
        </is>
      </c>
      <c r="B11154" s="1" t="n">
        <v>45412</v>
      </c>
      <c r="C11154" s="1" t="n">
        <v>45715</v>
      </c>
      <c r="D11154" t="inlineStr">
        <is>
          <t>KALMAR LÄN</t>
        </is>
      </c>
      <c r="E11154" t="inlineStr">
        <is>
          <t>OSKARSHAMN</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17162-2024</t>
        </is>
      </c>
      <c r="B11155" s="1" t="n">
        <v>45412</v>
      </c>
      <c r="C11155" s="1" t="n">
        <v>45715</v>
      </c>
      <c r="D11155" t="inlineStr">
        <is>
          <t>KALMAR LÄN</t>
        </is>
      </c>
      <c r="E11155" t="inlineStr">
        <is>
          <t>OSKARSHAMN</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17158-2024</t>
        </is>
      </c>
      <c r="B11156" s="1" t="n">
        <v>45412</v>
      </c>
      <c r="C11156" s="1" t="n">
        <v>45715</v>
      </c>
      <c r="D11156" t="inlineStr">
        <is>
          <t>KALMAR LÄN</t>
        </is>
      </c>
      <c r="E11156" t="inlineStr">
        <is>
          <t>OSKARSHAMN</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17076-2024</t>
        </is>
      </c>
      <c r="B11157" s="1" t="n">
        <v>45412</v>
      </c>
      <c r="C11157" s="1" t="n">
        <v>45715</v>
      </c>
      <c r="D11157" t="inlineStr">
        <is>
          <t>KALMAR LÄN</t>
        </is>
      </c>
      <c r="E11157" t="inlineStr">
        <is>
          <t>NYBRO</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17072-2024</t>
        </is>
      </c>
      <c r="B11158" s="1" t="n">
        <v>45412</v>
      </c>
      <c r="C11158" s="1" t="n">
        <v>45715</v>
      </c>
      <c r="D11158" t="inlineStr">
        <is>
          <t>KALMAR LÄN</t>
        </is>
      </c>
      <c r="E11158" t="inlineStr">
        <is>
          <t>NYBRO</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17056-2024</t>
        </is>
      </c>
      <c r="B11159" s="1" t="n">
        <v>45412</v>
      </c>
      <c r="C11159" s="1" t="n">
        <v>45715</v>
      </c>
      <c r="D11159" t="inlineStr">
        <is>
          <t>KALMAR LÄN</t>
        </is>
      </c>
      <c r="E11159" t="inlineStr">
        <is>
          <t>KALMAR</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17057-2024</t>
        </is>
      </c>
      <c r="B11160" s="1" t="n">
        <v>45412</v>
      </c>
      <c r="C11160" s="1" t="n">
        <v>45715</v>
      </c>
      <c r="D11160" t="inlineStr">
        <is>
          <t>KALMAR LÄN</t>
        </is>
      </c>
      <c r="E11160" t="inlineStr">
        <is>
          <t>KALMAR</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17051-2024</t>
        </is>
      </c>
      <c r="B11161" s="1" t="n">
        <v>45412</v>
      </c>
      <c r="C11161" s="1" t="n">
        <v>45715</v>
      </c>
      <c r="D11161" t="inlineStr">
        <is>
          <t>KALMAR LÄN</t>
        </is>
      </c>
      <c r="E11161" t="inlineStr">
        <is>
          <t>OSKARSHAMN</t>
        </is>
      </c>
      <c r="G11161" t="n">
        <v>7.1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17153-2024</t>
        </is>
      </c>
      <c r="B11162" s="1" t="n">
        <v>45412</v>
      </c>
      <c r="C11162" s="1" t="n">
        <v>45715</v>
      </c>
      <c r="D11162" t="inlineStr">
        <is>
          <t>KALMAR LÄN</t>
        </is>
      </c>
      <c r="E11162" t="inlineStr">
        <is>
          <t>OSKARSHAMN</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17219-2024</t>
        </is>
      </c>
      <c r="B11163" s="1" t="n">
        <v>45414</v>
      </c>
      <c r="C11163" s="1" t="n">
        <v>45715</v>
      </c>
      <c r="D11163" t="inlineStr">
        <is>
          <t>KALMAR LÄN</t>
        </is>
      </c>
      <c r="E11163" t="inlineStr">
        <is>
          <t>VIMMERBY</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17239-2024</t>
        </is>
      </c>
      <c r="B11164" s="1" t="n">
        <v>45414</v>
      </c>
      <c r="C11164" s="1" t="n">
        <v>45715</v>
      </c>
      <c r="D11164" t="inlineStr">
        <is>
          <t>KALMAR LÄN</t>
        </is>
      </c>
      <c r="E11164" t="inlineStr">
        <is>
          <t>TORSÅS</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17216-2024</t>
        </is>
      </c>
      <c r="B11165" s="1" t="n">
        <v>45414</v>
      </c>
      <c r="C11165" s="1" t="n">
        <v>45715</v>
      </c>
      <c r="D11165" t="inlineStr">
        <is>
          <t>KALMAR LÄN</t>
        </is>
      </c>
      <c r="E11165" t="inlineStr">
        <is>
          <t>VÄSTERVIK</t>
        </is>
      </c>
      <c r="G11165" t="n">
        <v>4.1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17253-2024</t>
        </is>
      </c>
      <c r="B11166" s="1" t="n">
        <v>45414</v>
      </c>
      <c r="C11166" s="1" t="n">
        <v>45715</v>
      </c>
      <c r="D11166" t="inlineStr">
        <is>
          <t>KALMAR LÄN</t>
        </is>
      </c>
      <c r="E11166" t="inlineStr">
        <is>
          <t>KALMAR</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17214-2024</t>
        </is>
      </c>
      <c r="B11167" s="1" t="n">
        <v>45414</v>
      </c>
      <c r="C11167" s="1" t="n">
        <v>45715</v>
      </c>
      <c r="D11167" t="inlineStr">
        <is>
          <t>KALMAR LÄN</t>
        </is>
      </c>
      <c r="E11167" t="inlineStr">
        <is>
          <t>VÄSTERVIK</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17330-2024</t>
        </is>
      </c>
      <c r="B11168" s="1" t="n">
        <v>45414</v>
      </c>
      <c r="C11168" s="1" t="n">
        <v>45715</v>
      </c>
      <c r="D11168" t="inlineStr">
        <is>
          <t>KALMAR LÄN</t>
        </is>
      </c>
      <c r="E11168" t="inlineStr">
        <is>
          <t>HULTSFRED</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17356-2024</t>
        </is>
      </c>
      <c r="B11169" s="1" t="n">
        <v>45414</v>
      </c>
      <c r="C11169" s="1" t="n">
        <v>45715</v>
      </c>
      <c r="D11169" t="inlineStr">
        <is>
          <t>KALMAR LÄN</t>
        </is>
      </c>
      <c r="E11169" t="inlineStr">
        <is>
          <t>HULTSFRED</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17351-2024</t>
        </is>
      </c>
      <c r="B11170" s="1" t="n">
        <v>45414</v>
      </c>
      <c r="C11170" s="1" t="n">
        <v>45715</v>
      </c>
      <c r="D11170" t="inlineStr">
        <is>
          <t>KALMAR LÄN</t>
        </is>
      </c>
      <c r="E11170" t="inlineStr">
        <is>
          <t>HULTSFRED</t>
        </is>
      </c>
      <c r="G11170" t="n">
        <v>5.7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17355-2024</t>
        </is>
      </c>
      <c r="B11171" s="1" t="n">
        <v>45414</v>
      </c>
      <c r="C11171" s="1" t="n">
        <v>45715</v>
      </c>
      <c r="D11171" t="inlineStr">
        <is>
          <t>KALMAR LÄN</t>
        </is>
      </c>
      <c r="E11171" t="inlineStr">
        <is>
          <t>HULTSFRED</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17250-2024</t>
        </is>
      </c>
      <c r="B11172" s="1" t="n">
        <v>45414</v>
      </c>
      <c r="C11172" s="1" t="n">
        <v>45715</v>
      </c>
      <c r="D11172" t="inlineStr">
        <is>
          <t>KALMAR LÄN</t>
        </is>
      </c>
      <c r="E11172" t="inlineStr">
        <is>
          <t>HÖGSBY</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17346-2024</t>
        </is>
      </c>
      <c r="B11173" s="1" t="n">
        <v>45414</v>
      </c>
      <c r="C11173" s="1" t="n">
        <v>45715</v>
      </c>
      <c r="D11173" t="inlineStr">
        <is>
          <t>KALMAR LÄN</t>
        </is>
      </c>
      <c r="E11173" t="inlineStr">
        <is>
          <t>HULTSFRED</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17367-2024</t>
        </is>
      </c>
      <c r="B11174" s="1" t="n">
        <v>45414</v>
      </c>
      <c r="C11174" s="1" t="n">
        <v>45715</v>
      </c>
      <c r="D11174" t="inlineStr">
        <is>
          <t>KALMAR LÄN</t>
        </is>
      </c>
      <c r="E11174" t="inlineStr">
        <is>
          <t>VIMMERBY</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17366-2024</t>
        </is>
      </c>
      <c r="B11175" s="1" t="n">
        <v>45414</v>
      </c>
      <c r="C11175" s="1" t="n">
        <v>45715</v>
      </c>
      <c r="D11175" t="inlineStr">
        <is>
          <t>KALMAR LÄN</t>
        </is>
      </c>
      <c r="E11175" t="inlineStr">
        <is>
          <t>HULTSFRED</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17369-2024</t>
        </is>
      </c>
      <c r="B11176" s="1" t="n">
        <v>45414</v>
      </c>
      <c r="C11176" s="1" t="n">
        <v>45715</v>
      </c>
      <c r="D11176" t="inlineStr">
        <is>
          <t>KALMAR LÄN</t>
        </is>
      </c>
      <c r="E11176" t="inlineStr">
        <is>
          <t>HULTSFRED</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17407-2024</t>
        </is>
      </c>
      <c r="B11177" s="1" t="n">
        <v>45414</v>
      </c>
      <c r="C11177" s="1" t="n">
        <v>45715</v>
      </c>
      <c r="D11177" t="inlineStr">
        <is>
          <t>KALMAR LÄN</t>
        </is>
      </c>
      <c r="E11177" t="inlineStr">
        <is>
          <t>HÖGSBY</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17402-2024</t>
        </is>
      </c>
      <c r="B11178" s="1" t="n">
        <v>45414</v>
      </c>
      <c r="C11178" s="1" t="n">
        <v>45715</v>
      </c>
      <c r="D11178" t="inlineStr">
        <is>
          <t>KALMAR LÄN</t>
        </is>
      </c>
      <c r="E11178" t="inlineStr">
        <is>
          <t>NYBRO</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17405-2024</t>
        </is>
      </c>
      <c r="B11179" s="1" t="n">
        <v>45414</v>
      </c>
      <c r="C11179" s="1" t="n">
        <v>45715</v>
      </c>
      <c r="D11179" t="inlineStr">
        <is>
          <t>KALMAR LÄN</t>
        </is>
      </c>
      <c r="E11179" t="inlineStr">
        <is>
          <t>HÖGSBY</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17409-2024</t>
        </is>
      </c>
      <c r="B11180" s="1" t="n">
        <v>45414</v>
      </c>
      <c r="C11180" s="1" t="n">
        <v>45715</v>
      </c>
      <c r="D11180" t="inlineStr">
        <is>
          <t>KALMAR LÄN</t>
        </is>
      </c>
      <c r="E11180" t="inlineStr">
        <is>
          <t>NYBRO</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17408-2024</t>
        </is>
      </c>
      <c r="B11181" s="1" t="n">
        <v>45414</v>
      </c>
      <c r="C11181" s="1" t="n">
        <v>45715</v>
      </c>
      <c r="D11181" t="inlineStr">
        <is>
          <t>KALMAR LÄN</t>
        </is>
      </c>
      <c r="E11181" t="inlineStr">
        <is>
          <t>NYBRO</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17427-2024</t>
        </is>
      </c>
      <c r="B11182" s="1" t="n">
        <v>45415</v>
      </c>
      <c r="C11182" s="1" t="n">
        <v>45715</v>
      </c>
      <c r="D11182" t="inlineStr">
        <is>
          <t>KALMAR LÄN</t>
        </is>
      </c>
      <c r="E11182" t="inlineStr">
        <is>
          <t>VÄSTERVIK</t>
        </is>
      </c>
      <c r="F11182" t="inlineStr">
        <is>
          <t>Sveaskog</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17475-2024</t>
        </is>
      </c>
      <c r="B11183" s="1" t="n">
        <v>45415</v>
      </c>
      <c r="C11183" s="1" t="n">
        <v>45715</v>
      </c>
      <c r="D11183" t="inlineStr">
        <is>
          <t>KALMAR LÄN</t>
        </is>
      </c>
      <c r="E11183" t="inlineStr">
        <is>
          <t>EMMABODA</t>
        </is>
      </c>
      <c r="F11183" t="inlineStr">
        <is>
          <t>Sveaskog</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17483-2024</t>
        </is>
      </c>
      <c r="B11184" s="1" t="n">
        <v>45415</v>
      </c>
      <c r="C11184" s="1" t="n">
        <v>45715</v>
      </c>
      <c r="D11184" t="inlineStr">
        <is>
          <t>KALMAR LÄN</t>
        </is>
      </c>
      <c r="E11184" t="inlineStr">
        <is>
          <t>VIMMERBY</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17511-2024</t>
        </is>
      </c>
      <c r="B11185" s="1" t="n">
        <v>45415</v>
      </c>
      <c r="C11185" s="1" t="n">
        <v>45715</v>
      </c>
      <c r="D11185" t="inlineStr">
        <is>
          <t>KALMAR LÄN</t>
        </is>
      </c>
      <c r="E11185" t="inlineStr">
        <is>
          <t>VIMMERBY</t>
        </is>
      </c>
      <c r="G11185" t="n">
        <v>5.3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17527-2024</t>
        </is>
      </c>
      <c r="B11186" s="1" t="n">
        <v>45415</v>
      </c>
      <c r="C11186" s="1" t="n">
        <v>45715</v>
      </c>
      <c r="D11186" t="inlineStr">
        <is>
          <t>KALMAR LÄN</t>
        </is>
      </c>
      <c r="E11186" t="inlineStr">
        <is>
          <t>EMMABODA</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17531-2024</t>
        </is>
      </c>
      <c r="B11187" s="1" t="n">
        <v>45415</v>
      </c>
      <c r="C11187" s="1" t="n">
        <v>45715</v>
      </c>
      <c r="D11187" t="inlineStr">
        <is>
          <t>KALMAR LÄN</t>
        </is>
      </c>
      <c r="E11187" t="inlineStr">
        <is>
          <t>EMMABODA</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17425-2024</t>
        </is>
      </c>
      <c r="B11188" s="1" t="n">
        <v>45415</v>
      </c>
      <c r="C11188" s="1" t="n">
        <v>45715</v>
      </c>
      <c r="D11188" t="inlineStr">
        <is>
          <t>KALMAR LÄN</t>
        </is>
      </c>
      <c r="E11188" t="inlineStr">
        <is>
          <t>VÄSTERVIK</t>
        </is>
      </c>
      <c r="F11188" t="inlineStr">
        <is>
          <t>Sveaskog</t>
        </is>
      </c>
      <c r="G11188" t="n">
        <v>5.2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17437-2024</t>
        </is>
      </c>
      <c r="B11189" s="1" t="n">
        <v>45415</v>
      </c>
      <c r="C11189" s="1" t="n">
        <v>45715</v>
      </c>
      <c r="D11189" t="inlineStr">
        <is>
          <t>KALMAR LÄN</t>
        </is>
      </c>
      <c r="E11189" t="inlineStr">
        <is>
          <t>NYBRO</t>
        </is>
      </c>
      <c r="G11189" t="n">
        <v>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17426-2024</t>
        </is>
      </c>
      <c r="B11190" s="1" t="n">
        <v>45415</v>
      </c>
      <c r="C11190" s="1" t="n">
        <v>45715</v>
      </c>
      <c r="D11190" t="inlineStr">
        <is>
          <t>KALMAR LÄN</t>
        </is>
      </c>
      <c r="E11190" t="inlineStr">
        <is>
          <t>VÄSTERVIK</t>
        </is>
      </c>
      <c r="F11190" t="inlineStr">
        <is>
          <t>Sveaskog</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17454-2024</t>
        </is>
      </c>
      <c r="B11191" s="1" t="n">
        <v>45415</v>
      </c>
      <c r="C11191" s="1" t="n">
        <v>45715</v>
      </c>
      <c r="D11191" t="inlineStr">
        <is>
          <t>KALMAR LÄN</t>
        </is>
      </c>
      <c r="E11191" t="inlineStr">
        <is>
          <t>HULTSFRED</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17482-2024</t>
        </is>
      </c>
      <c r="B11192" s="1" t="n">
        <v>45415</v>
      </c>
      <c r="C11192" s="1" t="n">
        <v>45715</v>
      </c>
      <c r="D11192" t="inlineStr">
        <is>
          <t>KALMAR LÄN</t>
        </is>
      </c>
      <c r="E11192" t="inlineStr">
        <is>
          <t>VIMMERBY</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17486-2024</t>
        </is>
      </c>
      <c r="B11193" s="1" t="n">
        <v>45415</v>
      </c>
      <c r="C11193" s="1" t="n">
        <v>45715</v>
      </c>
      <c r="D11193" t="inlineStr">
        <is>
          <t>KALMAR LÄN</t>
        </is>
      </c>
      <c r="E11193" t="inlineStr">
        <is>
          <t>VIMMERBY</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17534-2024</t>
        </is>
      </c>
      <c r="B11194" s="1" t="n">
        <v>45415</v>
      </c>
      <c r="C11194" s="1" t="n">
        <v>45715</v>
      </c>
      <c r="D11194" t="inlineStr">
        <is>
          <t>KALMAR LÄN</t>
        </is>
      </c>
      <c r="E11194" t="inlineStr">
        <is>
          <t>NYBRO</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17432-2024</t>
        </is>
      </c>
      <c r="B11195" s="1" t="n">
        <v>45415</v>
      </c>
      <c r="C11195" s="1" t="n">
        <v>45715</v>
      </c>
      <c r="D11195" t="inlineStr">
        <is>
          <t>KALMAR LÄN</t>
        </is>
      </c>
      <c r="E11195" t="inlineStr">
        <is>
          <t>NYBRO</t>
        </is>
      </c>
      <c r="G11195" t="n">
        <v>0</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17436-2024</t>
        </is>
      </c>
      <c r="B11196" s="1" t="n">
        <v>45415</v>
      </c>
      <c r="C11196" s="1" t="n">
        <v>45715</v>
      </c>
      <c r="D11196" t="inlineStr">
        <is>
          <t>KALMAR LÄN</t>
        </is>
      </c>
      <c r="E11196" t="inlineStr">
        <is>
          <t>NYBRO</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17708-2024</t>
        </is>
      </c>
      <c r="B11197" s="1" t="n">
        <v>45415</v>
      </c>
      <c r="C11197" s="1" t="n">
        <v>45715</v>
      </c>
      <c r="D11197" t="inlineStr">
        <is>
          <t>KALMAR LÄN</t>
        </is>
      </c>
      <c r="E11197" t="inlineStr">
        <is>
          <t>EMMABODA</t>
        </is>
      </c>
      <c r="G11197" t="n">
        <v>4.3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17712-2024</t>
        </is>
      </c>
      <c r="B11198" s="1" t="n">
        <v>45415</v>
      </c>
      <c r="C11198" s="1" t="n">
        <v>45715</v>
      </c>
      <c r="D11198" t="inlineStr">
        <is>
          <t>KALMAR LÄN</t>
        </is>
      </c>
      <c r="E11198" t="inlineStr">
        <is>
          <t>EMMABODA</t>
        </is>
      </c>
      <c r="G11198" t="n">
        <v>5.1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17701-2024</t>
        </is>
      </c>
      <c r="B11199" s="1" t="n">
        <v>45418</v>
      </c>
      <c r="C11199" s="1" t="n">
        <v>45715</v>
      </c>
      <c r="D11199" t="inlineStr">
        <is>
          <t>KALMAR LÄN</t>
        </is>
      </c>
      <c r="E11199" t="inlineStr">
        <is>
          <t>KALMAR</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17906-2024</t>
        </is>
      </c>
      <c r="B11200" s="1" t="n">
        <v>45419</v>
      </c>
      <c r="C11200" s="1" t="n">
        <v>45715</v>
      </c>
      <c r="D11200" t="inlineStr">
        <is>
          <t>KALMAR LÄN</t>
        </is>
      </c>
      <c r="E11200" t="inlineStr">
        <is>
          <t>TORSÅS</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17909-2024</t>
        </is>
      </c>
      <c r="B11201" s="1" t="n">
        <v>45419</v>
      </c>
      <c r="C11201" s="1" t="n">
        <v>45715</v>
      </c>
      <c r="D11201" t="inlineStr">
        <is>
          <t>KALMAR LÄN</t>
        </is>
      </c>
      <c r="E11201" t="inlineStr">
        <is>
          <t>NYBRO</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17908-2024</t>
        </is>
      </c>
      <c r="B11202" s="1" t="n">
        <v>45419</v>
      </c>
      <c r="C11202" s="1" t="n">
        <v>45715</v>
      </c>
      <c r="D11202" t="inlineStr">
        <is>
          <t>KALMAR LÄN</t>
        </is>
      </c>
      <c r="E11202" t="inlineStr">
        <is>
          <t>NYBRO</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18134-2024</t>
        </is>
      </c>
      <c r="B11203" s="1" t="n">
        <v>45420</v>
      </c>
      <c r="C11203" s="1" t="n">
        <v>45715</v>
      </c>
      <c r="D11203" t="inlineStr">
        <is>
          <t>KALMAR LÄN</t>
        </is>
      </c>
      <c r="E11203" t="inlineStr">
        <is>
          <t>HULTSFRED</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18150-2024</t>
        </is>
      </c>
      <c r="B11204" s="1" t="n">
        <v>45420</v>
      </c>
      <c r="C11204" s="1" t="n">
        <v>45715</v>
      </c>
      <c r="D11204" t="inlineStr">
        <is>
          <t>KALMAR LÄN</t>
        </is>
      </c>
      <c r="E11204" t="inlineStr">
        <is>
          <t>KALMAR</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18034-2024</t>
        </is>
      </c>
      <c r="B11205" s="1" t="n">
        <v>45420</v>
      </c>
      <c r="C11205" s="1" t="n">
        <v>45715</v>
      </c>
      <c r="D11205" t="inlineStr">
        <is>
          <t>KALMAR LÄN</t>
        </is>
      </c>
      <c r="E11205" t="inlineStr">
        <is>
          <t>VÄSTERVIK</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18055-2024</t>
        </is>
      </c>
      <c r="B11206" s="1" t="n">
        <v>45420</v>
      </c>
      <c r="C11206" s="1" t="n">
        <v>45715</v>
      </c>
      <c r="D11206" t="inlineStr">
        <is>
          <t>KALMAR LÄN</t>
        </is>
      </c>
      <c r="E11206" t="inlineStr">
        <is>
          <t>HULTSFRED</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18143-2024</t>
        </is>
      </c>
      <c r="B11207" s="1" t="n">
        <v>45420</v>
      </c>
      <c r="C11207" s="1" t="n">
        <v>45715</v>
      </c>
      <c r="D11207" t="inlineStr">
        <is>
          <t>KALMAR LÄN</t>
        </is>
      </c>
      <c r="E11207" t="inlineStr">
        <is>
          <t>VÄSTERVIK</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18350-2024</t>
        </is>
      </c>
      <c r="B11208" s="1" t="n">
        <v>45422</v>
      </c>
      <c r="C11208" s="1" t="n">
        <v>45715</v>
      </c>
      <c r="D11208" t="inlineStr">
        <is>
          <t>KALMAR LÄN</t>
        </is>
      </c>
      <c r="E11208" t="inlineStr">
        <is>
          <t>TORSÅS</t>
        </is>
      </c>
      <c r="G11208" t="n">
        <v>3.6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18310-2024</t>
        </is>
      </c>
      <c r="B11209" s="1" t="n">
        <v>45422</v>
      </c>
      <c r="C11209" s="1" t="n">
        <v>45715</v>
      </c>
      <c r="D11209" t="inlineStr">
        <is>
          <t>KALMAR LÄN</t>
        </is>
      </c>
      <c r="E11209" t="inlineStr">
        <is>
          <t>EMMABODA</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18291-2024</t>
        </is>
      </c>
      <c r="B11210" s="1" t="n">
        <v>45422</v>
      </c>
      <c r="C11210" s="1" t="n">
        <v>45715</v>
      </c>
      <c r="D11210" t="inlineStr">
        <is>
          <t>KALMAR LÄN</t>
        </is>
      </c>
      <c r="E11210" t="inlineStr">
        <is>
          <t>EMMABODA</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18395-2024</t>
        </is>
      </c>
      <c r="B11211" s="1" t="n">
        <v>45425</v>
      </c>
      <c r="C11211" s="1" t="n">
        <v>45715</v>
      </c>
      <c r="D11211" t="inlineStr">
        <is>
          <t>KALMAR LÄN</t>
        </is>
      </c>
      <c r="E11211" t="inlineStr">
        <is>
          <t>VÄSTERVIK</t>
        </is>
      </c>
      <c r="F11211" t="inlineStr">
        <is>
          <t>Holmen skog AB</t>
        </is>
      </c>
      <c r="G11211" t="n">
        <v>8.5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18439-2024</t>
        </is>
      </c>
      <c r="B11212" s="1" t="n">
        <v>45425</v>
      </c>
      <c r="C11212" s="1" t="n">
        <v>45715</v>
      </c>
      <c r="D11212" t="inlineStr">
        <is>
          <t>KALMAR LÄN</t>
        </is>
      </c>
      <c r="E11212" t="inlineStr">
        <is>
          <t>NYBRO</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18501-2024</t>
        </is>
      </c>
      <c r="B11213" s="1" t="n">
        <v>45425</v>
      </c>
      <c r="C11213" s="1" t="n">
        <v>45715</v>
      </c>
      <c r="D11213" t="inlineStr">
        <is>
          <t>KALMAR LÄN</t>
        </is>
      </c>
      <c r="E11213" t="inlineStr">
        <is>
          <t>VIMMERBY</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18425-2024</t>
        </is>
      </c>
      <c r="B11214" s="1" t="n">
        <v>45425</v>
      </c>
      <c r="C11214" s="1" t="n">
        <v>45715</v>
      </c>
      <c r="D11214" t="inlineStr">
        <is>
          <t>KALMAR LÄN</t>
        </is>
      </c>
      <c r="E11214" t="inlineStr">
        <is>
          <t>TORSÅS</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18437-2024</t>
        </is>
      </c>
      <c r="B11215" s="1" t="n">
        <v>45425</v>
      </c>
      <c r="C11215" s="1" t="n">
        <v>45715</v>
      </c>
      <c r="D11215" t="inlineStr">
        <is>
          <t>KALMAR LÄN</t>
        </is>
      </c>
      <c r="E11215" t="inlineStr">
        <is>
          <t>TORSÅS</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18445-2024</t>
        </is>
      </c>
      <c r="B11216" s="1" t="n">
        <v>45425</v>
      </c>
      <c r="C11216" s="1" t="n">
        <v>45715</v>
      </c>
      <c r="D11216" t="inlineStr">
        <is>
          <t>KALMAR LÄN</t>
        </is>
      </c>
      <c r="E11216" t="inlineStr">
        <is>
          <t>VIMMERBY</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18478-2024</t>
        </is>
      </c>
      <c r="B11217" s="1" t="n">
        <v>45425</v>
      </c>
      <c r="C11217" s="1" t="n">
        <v>45715</v>
      </c>
      <c r="D11217" t="inlineStr">
        <is>
          <t>KALMAR LÄN</t>
        </is>
      </c>
      <c r="E11217" t="inlineStr">
        <is>
          <t>EMMABODA</t>
        </is>
      </c>
      <c r="G11217" t="n">
        <v>6.3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18440-2024</t>
        </is>
      </c>
      <c r="B11218" s="1" t="n">
        <v>45425</v>
      </c>
      <c r="C11218" s="1" t="n">
        <v>45715</v>
      </c>
      <c r="D11218" t="inlineStr">
        <is>
          <t>KALMAR LÄN</t>
        </is>
      </c>
      <c r="E11218" t="inlineStr">
        <is>
          <t>OSKARSHAMN</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18448-2024</t>
        </is>
      </c>
      <c r="B11219" s="1" t="n">
        <v>45425</v>
      </c>
      <c r="C11219" s="1" t="n">
        <v>45715</v>
      </c>
      <c r="D11219" t="inlineStr">
        <is>
          <t>KALMAR LÄN</t>
        </is>
      </c>
      <c r="E11219" t="inlineStr">
        <is>
          <t>NYBRO</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18460-2024</t>
        </is>
      </c>
      <c r="B11220" s="1" t="n">
        <v>45425</v>
      </c>
      <c r="C11220" s="1" t="n">
        <v>45715</v>
      </c>
      <c r="D11220" t="inlineStr">
        <is>
          <t>KALMAR LÄN</t>
        </is>
      </c>
      <c r="E11220" t="inlineStr">
        <is>
          <t>OSKARSHAMN</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18434-2024</t>
        </is>
      </c>
      <c r="B11221" s="1" t="n">
        <v>45425</v>
      </c>
      <c r="C11221" s="1" t="n">
        <v>45715</v>
      </c>
      <c r="D11221" t="inlineStr">
        <is>
          <t>KALMAR LÄN</t>
        </is>
      </c>
      <c r="E11221" t="inlineStr">
        <is>
          <t>VÄSTERVIK</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18689-2024</t>
        </is>
      </c>
      <c r="B11222" s="1" t="n">
        <v>45426</v>
      </c>
      <c r="C11222" s="1" t="n">
        <v>45715</v>
      </c>
      <c r="D11222" t="inlineStr">
        <is>
          <t>KALMAR LÄN</t>
        </is>
      </c>
      <c r="E11222" t="inlineStr">
        <is>
          <t>TORSÅS</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18694-2024</t>
        </is>
      </c>
      <c r="B11223" s="1" t="n">
        <v>45426</v>
      </c>
      <c r="C11223" s="1" t="n">
        <v>45715</v>
      </c>
      <c r="D11223" t="inlineStr">
        <is>
          <t>KALMAR LÄN</t>
        </is>
      </c>
      <c r="E11223" t="inlineStr">
        <is>
          <t>TORSÅS</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18662-2024</t>
        </is>
      </c>
      <c r="B11224" s="1" t="n">
        <v>45426</v>
      </c>
      <c r="C11224" s="1" t="n">
        <v>45715</v>
      </c>
      <c r="D11224" t="inlineStr">
        <is>
          <t>KALMAR LÄN</t>
        </is>
      </c>
      <c r="E11224" t="inlineStr">
        <is>
          <t>VIMMERBY</t>
        </is>
      </c>
      <c r="G11224" t="n">
        <v>4.9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18718-2024</t>
        </is>
      </c>
      <c r="B11225" s="1" t="n">
        <v>45426</v>
      </c>
      <c r="C11225" s="1" t="n">
        <v>45715</v>
      </c>
      <c r="D11225" t="inlineStr">
        <is>
          <t>KALMAR LÄN</t>
        </is>
      </c>
      <c r="E11225" t="inlineStr">
        <is>
          <t>TORSÅS</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18720-2024</t>
        </is>
      </c>
      <c r="B11226" s="1" t="n">
        <v>45426</v>
      </c>
      <c r="C11226" s="1" t="n">
        <v>45715</v>
      </c>
      <c r="D11226" t="inlineStr">
        <is>
          <t>KALMAR LÄN</t>
        </is>
      </c>
      <c r="E11226" t="inlineStr">
        <is>
          <t>VIMMERBY</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18754-2024</t>
        </is>
      </c>
      <c r="B11227" s="1" t="n">
        <v>45426</v>
      </c>
      <c r="C11227" s="1" t="n">
        <v>45715</v>
      </c>
      <c r="D11227" t="inlineStr">
        <is>
          <t>KALMAR LÄN</t>
        </is>
      </c>
      <c r="E11227" t="inlineStr">
        <is>
          <t>VIMMERBY</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18757-2024</t>
        </is>
      </c>
      <c r="B11228" s="1" t="n">
        <v>45426</v>
      </c>
      <c r="C11228" s="1" t="n">
        <v>45715</v>
      </c>
      <c r="D11228" t="inlineStr">
        <is>
          <t>KALMAR LÄN</t>
        </is>
      </c>
      <c r="E11228" t="inlineStr">
        <is>
          <t>VIMMERBY</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18831-2024</t>
        </is>
      </c>
      <c r="B11229" s="1" t="n">
        <v>45426</v>
      </c>
      <c r="C11229" s="1" t="n">
        <v>45715</v>
      </c>
      <c r="D11229" t="inlineStr">
        <is>
          <t>KALMAR LÄN</t>
        </is>
      </c>
      <c r="E11229" t="inlineStr">
        <is>
          <t>NYBRO</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18714-2024</t>
        </is>
      </c>
      <c r="B11230" s="1" t="n">
        <v>45426</v>
      </c>
      <c r="C11230" s="1" t="n">
        <v>45715</v>
      </c>
      <c r="D11230" t="inlineStr">
        <is>
          <t>KALMAR LÄN</t>
        </is>
      </c>
      <c r="E11230" t="inlineStr">
        <is>
          <t>TORSÅS</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18787-2024</t>
        </is>
      </c>
      <c r="B11231" s="1" t="n">
        <v>45426</v>
      </c>
      <c r="C11231" s="1" t="n">
        <v>45715</v>
      </c>
      <c r="D11231" t="inlineStr">
        <is>
          <t>KALMAR LÄN</t>
        </is>
      </c>
      <c r="E11231" t="inlineStr">
        <is>
          <t>NYBRO</t>
        </is>
      </c>
      <c r="G11231" t="n">
        <v>4.8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19050-2024</t>
        </is>
      </c>
      <c r="B11232" s="1" t="n">
        <v>45427</v>
      </c>
      <c r="C11232" s="1" t="n">
        <v>45715</v>
      </c>
      <c r="D11232" t="inlineStr">
        <is>
          <t>KALMAR LÄN</t>
        </is>
      </c>
      <c r="E11232" t="inlineStr">
        <is>
          <t>OSKARSHAMN</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18926-2024</t>
        </is>
      </c>
      <c r="B11233" s="1" t="n">
        <v>45427</v>
      </c>
      <c r="C11233" s="1" t="n">
        <v>45715</v>
      </c>
      <c r="D11233" t="inlineStr">
        <is>
          <t>KALMAR LÄN</t>
        </is>
      </c>
      <c r="E11233" t="inlineStr">
        <is>
          <t>NYBRO</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19117-2024</t>
        </is>
      </c>
      <c r="B11234" s="1" t="n">
        <v>45427</v>
      </c>
      <c r="C11234" s="1" t="n">
        <v>45715</v>
      </c>
      <c r="D11234" t="inlineStr">
        <is>
          <t>KALMAR LÄN</t>
        </is>
      </c>
      <c r="E11234" t="inlineStr">
        <is>
          <t>HULTSFRED</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19305-2024</t>
        </is>
      </c>
      <c r="B11235" s="1" t="n">
        <v>45428</v>
      </c>
      <c r="C11235" s="1" t="n">
        <v>45715</v>
      </c>
      <c r="D11235" t="inlineStr">
        <is>
          <t>KALMAR LÄN</t>
        </is>
      </c>
      <c r="E11235" t="inlineStr">
        <is>
          <t>NYBRO</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19363-2024</t>
        </is>
      </c>
      <c r="B11236" s="1" t="n">
        <v>45429</v>
      </c>
      <c r="C11236" s="1" t="n">
        <v>45715</v>
      </c>
      <c r="D11236" t="inlineStr">
        <is>
          <t>KALMAR LÄN</t>
        </is>
      </c>
      <c r="E11236" t="inlineStr">
        <is>
          <t>NYBRO</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19436-2024</t>
        </is>
      </c>
      <c r="B11237" s="1" t="n">
        <v>45429</v>
      </c>
      <c r="C11237" s="1" t="n">
        <v>45715</v>
      </c>
      <c r="D11237" t="inlineStr">
        <is>
          <t>KALMAR LÄN</t>
        </is>
      </c>
      <c r="E11237" t="inlineStr">
        <is>
          <t>OSKARSHAMN</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19461-2024</t>
        </is>
      </c>
      <c r="B11238" s="1" t="n">
        <v>45429</v>
      </c>
      <c r="C11238" s="1" t="n">
        <v>45715</v>
      </c>
      <c r="D11238" t="inlineStr">
        <is>
          <t>KALMAR LÄN</t>
        </is>
      </c>
      <c r="E11238" t="inlineStr">
        <is>
          <t>NYBRO</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19456-2024</t>
        </is>
      </c>
      <c r="B11239" s="1" t="n">
        <v>45429</v>
      </c>
      <c r="C11239" s="1" t="n">
        <v>45715</v>
      </c>
      <c r="D11239" t="inlineStr">
        <is>
          <t>KALMAR LÄN</t>
        </is>
      </c>
      <c r="E11239" t="inlineStr">
        <is>
          <t>NYBRO</t>
        </is>
      </c>
      <c r="F11239" t="inlineStr">
        <is>
          <t>Sveaskog</t>
        </is>
      </c>
      <c r="G11239" t="n">
        <v>3.9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19512-2024</t>
        </is>
      </c>
      <c r="B11240" s="1" t="n">
        <v>45429</v>
      </c>
      <c r="C11240" s="1" t="n">
        <v>45715</v>
      </c>
      <c r="D11240" t="inlineStr">
        <is>
          <t>KALMAR LÄN</t>
        </is>
      </c>
      <c r="E11240" t="inlineStr">
        <is>
          <t>KALMAR</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19510-2024</t>
        </is>
      </c>
      <c r="B11241" s="1" t="n">
        <v>45429</v>
      </c>
      <c r="C11241" s="1" t="n">
        <v>45715</v>
      </c>
      <c r="D11241" t="inlineStr">
        <is>
          <t>KALMAR LÄN</t>
        </is>
      </c>
      <c r="E11241" t="inlineStr">
        <is>
          <t>KALMAR</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19599-2024</t>
        </is>
      </c>
      <c r="B11242" s="1" t="n">
        <v>45431</v>
      </c>
      <c r="C11242" s="1" t="n">
        <v>45715</v>
      </c>
      <c r="D11242" t="inlineStr">
        <is>
          <t>KALMAR LÄN</t>
        </is>
      </c>
      <c r="E11242" t="inlineStr">
        <is>
          <t>VIMMERBY</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19679-2024</t>
        </is>
      </c>
      <c r="B11243" s="1" t="n">
        <v>45432</v>
      </c>
      <c r="C11243" s="1" t="n">
        <v>45715</v>
      </c>
      <c r="D11243" t="inlineStr">
        <is>
          <t>KALMAR LÄN</t>
        </is>
      </c>
      <c r="E11243" t="inlineStr">
        <is>
          <t>HULTSFRED</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19703-2024</t>
        </is>
      </c>
      <c r="B11244" s="1" t="n">
        <v>45432</v>
      </c>
      <c r="C11244" s="1" t="n">
        <v>45715</v>
      </c>
      <c r="D11244" t="inlineStr">
        <is>
          <t>KALMAR LÄN</t>
        </is>
      </c>
      <c r="E11244" t="inlineStr">
        <is>
          <t>OSKARSHAMN</t>
        </is>
      </c>
      <c r="G11244" t="n">
        <v>4.8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19790-2024</t>
        </is>
      </c>
      <c r="B11245" s="1" t="n">
        <v>45432</v>
      </c>
      <c r="C11245" s="1" t="n">
        <v>45715</v>
      </c>
      <c r="D11245" t="inlineStr">
        <is>
          <t>KALMAR LÄN</t>
        </is>
      </c>
      <c r="E11245" t="inlineStr">
        <is>
          <t>OSKARSHAMN</t>
        </is>
      </c>
      <c r="F11245" t="inlineStr">
        <is>
          <t>Sveaskog</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19638-2024</t>
        </is>
      </c>
      <c r="B11246" s="1" t="n">
        <v>45432</v>
      </c>
      <c r="C11246" s="1" t="n">
        <v>45715</v>
      </c>
      <c r="D11246" t="inlineStr">
        <is>
          <t>KALMAR LÄN</t>
        </is>
      </c>
      <c r="E11246" t="inlineStr">
        <is>
          <t>NYBRO</t>
        </is>
      </c>
      <c r="G11246" t="n">
        <v>5.2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19640-2024</t>
        </is>
      </c>
      <c r="B11247" s="1" t="n">
        <v>45432</v>
      </c>
      <c r="C11247" s="1" t="n">
        <v>45715</v>
      </c>
      <c r="D11247" t="inlineStr">
        <is>
          <t>KALMAR LÄN</t>
        </is>
      </c>
      <c r="E11247" t="inlineStr">
        <is>
          <t>NYBRO</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19704-2024</t>
        </is>
      </c>
      <c r="B11248" s="1" t="n">
        <v>45432</v>
      </c>
      <c r="C11248" s="1" t="n">
        <v>45715</v>
      </c>
      <c r="D11248" t="inlineStr">
        <is>
          <t>KALMAR LÄN</t>
        </is>
      </c>
      <c r="E11248" t="inlineStr">
        <is>
          <t>OSKARSHAMN</t>
        </is>
      </c>
      <c r="G11248" t="n">
        <v>5.8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19728-2024</t>
        </is>
      </c>
      <c r="B11249" s="1" t="n">
        <v>45432</v>
      </c>
      <c r="C11249" s="1" t="n">
        <v>45715</v>
      </c>
      <c r="D11249" t="inlineStr">
        <is>
          <t>KALMAR LÄN</t>
        </is>
      </c>
      <c r="E11249" t="inlineStr">
        <is>
          <t>HÖGSBY</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19789-2024</t>
        </is>
      </c>
      <c r="B11250" s="1" t="n">
        <v>45432</v>
      </c>
      <c r="C11250" s="1" t="n">
        <v>45715</v>
      </c>
      <c r="D11250" t="inlineStr">
        <is>
          <t>KALMAR LÄN</t>
        </is>
      </c>
      <c r="E11250" t="inlineStr">
        <is>
          <t>OSKARSHAMN</t>
        </is>
      </c>
      <c r="F11250" t="inlineStr">
        <is>
          <t>Sveaskog</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19824-2024</t>
        </is>
      </c>
      <c r="B11251" s="1" t="n">
        <v>45433</v>
      </c>
      <c r="C11251" s="1" t="n">
        <v>45715</v>
      </c>
      <c r="D11251" t="inlineStr">
        <is>
          <t>KALMAR LÄN</t>
        </is>
      </c>
      <c r="E11251" t="inlineStr">
        <is>
          <t>OSKARSHAMN</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19828-2024</t>
        </is>
      </c>
      <c r="B11252" s="1" t="n">
        <v>45433</v>
      </c>
      <c r="C11252" s="1" t="n">
        <v>45715</v>
      </c>
      <c r="D11252" t="inlineStr">
        <is>
          <t>KALMAR LÄN</t>
        </is>
      </c>
      <c r="E11252" t="inlineStr">
        <is>
          <t>OSKARSHAMN</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19857-2024</t>
        </is>
      </c>
      <c r="B11253" s="1" t="n">
        <v>45433</v>
      </c>
      <c r="C11253" s="1" t="n">
        <v>45715</v>
      </c>
      <c r="D11253" t="inlineStr">
        <is>
          <t>KALMAR LÄN</t>
        </is>
      </c>
      <c r="E11253" t="inlineStr">
        <is>
          <t>EMMABODA</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19881-2024</t>
        </is>
      </c>
      <c r="B11254" s="1" t="n">
        <v>45433</v>
      </c>
      <c r="C11254" s="1" t="n">
        <v>45715</v>
      </c>
      <c r="D11254" t="inlineStr">
        <is>
          <t>KALMAR LÄN</t>
        </is>
      </c>
      <c r="E11254" t="inlineStr">
        <is>
          <t>EMMABODA</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19876-2024</t>
        </is>
      </c>
      <c r="B11255" s="1" t="n">
        <v>45433</v>
      </c>
      <c r="C11255" s="1" t="n">
        <v>45715</v>
      </c>
      <c r="D11255" t="inlineStr">
        <is>
          <t>KALMAR LÄN</t>
        </is>
      </c>
      <c r="E11255" t="inlineStr">
        <is>
          <t>KALMAR</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19854-2024</t>
        </is>
      </c>
      <c r="B11256" s="1" t="n">
        <v>45433</v>
      </c>
      <c r="C11256" s="1" t="n">
        <v>45715</v>
      </c>
      <c r="D11256" t="inlineStr">
        <is>
          <t>KALMAR LÄN</t>
        </is>
      </c>
      <c r="E11256" t="inlineStr">
        <is>
          <t>EMMABODA</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19867-2024</t>
        </is>
      </c>
      <c r="B11257" s="1" t="n">
        <v>45433</v>
      </c>
      <c r="C11257" s="1" t="n">
        <v>45715</v>
      </c>
      <c r="D11257" t="inlineStr">
        <is>
          <t>KALMAR LÄN</t>
        </is>
      </c>
      <c r="E11257" t="inlineStr">
        <is>
          <t>BORGHOLM</t>
        </is>
      </c>
      <c r="G11257" t="n">
        <v>3.9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19875-2024</t>
        </is>
      </c>
      <c r="B11258" s="1" t="n">
        <v>45433</v>
      </c>
      <c r="C11258" s="1" t="n">
        <v>45715</v>
      </c>
      <c r="D11258" t="inlineStr">
        <is>
          <t>KALMAR LÄN</t>
        </is>
      </c>
      <c r="E11258" t="inlineStr">
        <is>
          <t>TORSÅS</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19879-2024</t>
        </is>
      </c>
      <c r="B11259" s="1" t="n">
        <v>45433</v>
      </c>
      <c r="C11259" s="1" t="n">
        <v>45715</v>
      </c>
      <c r="D11259" t="inlineStr">
        <is>
          <t>KALMAR LÄN</t>
        </is>
      </c>
      <c r="E11259" t="inlineStr">
        <is>
          <t>TORSÅS</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20015-2024</t>
        </is>
      </c>
      <c r="B11260" s="1" t="n">
        <v>45433</v>
      </c>
      <c r="C11260" s="1" t="n">
        <v>45715</v>
      </c>
      <c r="D11260" t="inlineStr">
        <is>
          <t>KALMAR LÄN</t>
        </is>
      </c>
      <c r="E11260" t="inlineStr">
        <is>
          <t>HÖGSBY</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20136-2024</t>
        </is>
      </c>
      <c r="B11261" s="1" t="n">
        <v>45434</v>
      </c>
      <c r="C11261" s="1" t="n">
        <v>45715</v>
      </c>
      <c r="D11261" t="inlineStr">
        <is>
          <t>KALMAR LÄN</t>
        </is>
      </c>
      <c r="E11261" t="inlineStr">
        <is>
          <t>VIMMERBY</t>
        </is>
      </c>
      <c r="F11261" t="inlineStr">
        <is>
          <t>Sveaskog</t>
        </is>
      </c>
      <c r="G11261" t="n">
        <v>8.4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20126-2024</t>
        </is>
      </c>
      <c r="B11262" s="1" t="n">
        <v>45434</v>
      </c>
      <c r="C11262" s="1" t="n">
        <v>45715</v>
      </c>
      <c r="D11262" t="inlineStr">
        <is>
          <t>KALMAR LÄN</t>
        </is>
      </c>
      <c r="E11262" t="inlineStr">
        <is>
          <t>VIMMERBY</t>
        </is>
      </c>
      <c r="F11262" t="inlineStr">
        <is>
          <t>Sveaskog</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20073-2024</t>
        </is>
      </c>
      <c r="B11263" s="1" t="n">
        <v>45434</v>
      </c>
      <c r="C11263" s="1" t="n">
        <v>45715</v>
      </c>
      <c r="D11263" t="inlineStr">
        <is>
          <t>KALMAR LÄN</t>
        </is>
      </c>
      <c r="E11263" t="inlineStr">
        <is>
          <t>NYBRO</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20129-2024</t>
        </is>
      </c>
      <c r="B11264" s="1" t="n">
        <v>45434</v>
      </c>
      <c r="C11264" s="1" t="n">
        <v>45715</v>
      </c>
      <c r="D11264" t="inlineStr">
        <is>
          <t>KALMAR LÄN</t>
        </is>
      </c>
      <c r="E11264" t="inlineStr">
        <is>
          <t>VIMMERBY</t>
        </is>
      </c>
      <c r="F11264" t="inlineStr">
        <is>
          <t>Sveaskog</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20137-2024</t>
        </is>
      </c>
      <c r="B11265" s="1" t="n">
        <v>45434</v>
      </c>
      <c r="C11265" s="1" t="n">
        <v>45715</v>
      </c>
      <c r="D11265" t="inlineStr">
        <is>
          <t>KALMAR LÄN</t>
        </is>
      </c>
      <c r="E11265" t="inlineStr">
        <is>
          <t>VIMMERBY</t>
        </is>
      </c>
      <c r="F11265" t="inlineStr">
        <is>
          <t>Sveaskog</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20201-2024</t>
        </is>
      </c>
      <c r="B11266" s="1" t="n">
        <v>45434</v>
      </c>
      <c r="C11266" s="1" t="n">
        <v>45715</v>
      </c>
      <c r="D11266" t="inlineStr">
        <is>
          <t>KALMAR LÄN</t>
        </is>
      </c>
      <c r="E11266" t="inlineStr">
        <is>
          <t>MÖNSTERÅS</t>
        </is>
      </c>
      <c r="F11266" t="inlineStr">
        <is>
          <t>Kommuner</t>
        </is>
      </c>
      <c r="G11266" t="n">
        <v>2.2</v>
      </c>
      <c r="H11266" t="n">
        <v>0</v>
      </c>
      <c r="I11266" t="n">
        <v>0</v>
      </c>
      <c r="J11266" t="n">
        <v>0</v>
      </c>
      <c r="K11266" t="n">
        <v>0</v>
      </c>
      <c r="L11266" t="n">
        <v>0</v>
      </c>
      <c r="M11266" t="n">
        <v>0</v>
      </c>
      <c r="N11266" t="n">
        <v>0</v>
      </c>
      <c r="O11266" t="n">
        <v>0</v>
      </c>
      <c r="P11266" t="n">
        <v>0</v>
      </c>
      <c r="Q11266" t="n">
        <v>0</v>
      </c>
      <c r="R11266" s="2" t="inlineStr"/>
      <c r="U11266">
        <f>HYPERLINK("https://klasma.github.io/Logging_0861/knärot/A 20201-2024 karta knärot.png", "A 20201-2024")</f>
        <v/>
      </c>
      <c r="V11266">
        <f>HYPERLINK("https://klasma.github.io/Logging_0861/klagomål/A 20201-2024 FSC-klagomål.docx", "A 20201-2024")</f>
        <v/>
      </c>
      <c r="W11266">
        <f>HYPERLINK("https://klasma.github.io/Logging_0861/klagomålsmail/A 20201-2024 FSC-klagomål mail.docx", "A 20201-2024")</f>
        <v/>
      </c>
      <c r="X11266">
        <f>HYPERLINK("https://klasma.github.io/Logging_0861/tillsyn/A 20201-2024 tillsynsbegäran.docx", "A 20201-2024")</f>
        <v/>
      </c>
      <c r="Y11266">
        <f>HYPERLINK("https://klasma.github.io/Logging_0861/tillsynsmail/A 20201-2024 tillsynsbegäran mail.docx", "A 20201-2024")</f>
        <v/>
      </c>
    </row>
    <row r="11267" ht="15" customHeight="1">
      <c r="A11267" t="inlineStr">
        <is>
          <t>A 20204-2024</t>
        </is>
      </c>
      <c r="B11267" s="1" t="n">
        <v>45434</v>
      </c>
      <c r="C11267" s="1" t="n">
        <v>45715</v>
      </c>
      <c r="D11267" t="inlineStr">
        <is>
          <t>KALMAR LÄN</t>
        </is>
      </c>
      <c r="E11267" t="inlineStr">
        <is>
          <t>MÖNSTERÅS</t>
        </is>
      </c>
      <c r="F11267" t="inlineStr">
        <is>
          <t>Kommuner</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20164-2024</t>
        </is>
      </c>
      <c r="B11268" s="1" t="n">
        <v>45434</v>
      </c>
      <c r="C11268" s="1" t="n">
        <v>45715</v>
      </c>
      <c r="D11268" t="inlineStr">
        <is>
          <t>KALMAR LÄN</t>
        </is>
      </c>
      <c r="E11268" t="inlineStr">
        <is>
          <t>EMMABODA</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20340-2024</t>
        </is>
      </c>
      <c r="B11269" s="1" t="n">
        <v>45435</v>
      </c>
      <c r="C11269" s="1" t="n">
        <v>45715</v>
      </c>
      <c r="D11269" t="inlineStr">
        <is>
          <t>KALMAR LÄN</t>
        </is>
      </c>
      <c r="E11269" t="inlineStr">
        <is>
          <t>OSKARSHAMN</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20368-2024</t>
        </is>
      </c>
      <c r="B11270" s="1" t="n">
        <v>45435</v>
      </c>
      <c r="C11270" s="1" t="n">
        <v>45715</v>
      </c>
      <c r="D11270" t="inlineStr">
        <is>
          <t>KALMAR LÄN</t>
        </is>
      </c>
      <c r="E11270" t="inlineStr">
        <is>
          <t>VÄSTERVIK</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20329-2024</t>
        </is>
      </c>
      <c r="B11271" s="1" t="n">
        <v>45435</v>
      </c>
      <c r="C11271" s="1" t="n">
        <v>45715</v>
      </c>
      <c r="D11271" t="inlineStr">
        <is>
          <t>KALMAR LÄN</t>
        </is>
      </c>
      <c r="E11271" t="inlineStr">
        <is>
          <t>VIMMERBY</t>
        </is>
      </c>
      <c r="G11271" t="n">
        <v>5.3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20365-2024</t>
        </is>
      </c>
      <c r="B11272" s="1" t="n">
        <v>45435</v>
      </c>
      <c r="C11272" s="1" t="n">
        <v>45715</v>
      </c>
      <c r="D11272" t="inlineStr">
        <is>
          <t>KALMAR LÄN</t>
        </is>
      </c>
      <c r="E11272" t="inlineStr">
        <is>
          <t>VÄSTERVIK</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20441-2024</t>
        </is>
      </c>
      <c r="B11273" s="1" t="n">
        <v>45435</v>
      </c>
      <c r="C11273" s="1" t="n">
        <v>45715</v>
      </c>
      <c r="D11273" t="inlineStr">
        <is>
          <t>KALMAR LÄN</t>
        </is>
      </c>
      <c r="E11273" t="inlineStr">
        <is>
          <t>EMMABODA</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20477-2024</t>
        </is>
      </c>
      <c r="B11274" s="1" t="n">
        <v>45435</v>
      </c>
      <c r="C11274" s="1" t="n">
        <v>45715</v>
      </c>
      <c r="D11274" t="inlineStr">
        <is>
          <t>KALMAR LÄN</t>
        </is>
      </c>
      <c r="E11274" t="inlineStr">
        <is>
          <t>NYBRO</t>
        </is>
      </c>
      <c r="G11274" t="n">
        <v>3.6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20334-2024</t>
        </is>
      </c>
      <c r="B11275" s="1" t="n">
        <v>45435</v>
      </c>
      <c r="C11275" s="1" t="n">
        <v>45715</v>
      </c>
      <c r="D11275" t="inlineStr">
        <is>
          <t>KALMAR LÄN</t>
        </is>
      </c>
      <c r="E11275" t="inlineStr">
        <is>
          <t>OSKARSHAMN</t>
        </is>
      </c>
      <c r="G11275" t="n">
        <v>5.6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20370-2024</t>
        </is>
      </c>
      <c r="B11276" s="1" t="n">
        <v>45435</v>
      </c>
      <c r="C11276" s="1" t="n">
        <v>45715</v>
      </c>
      <c r="D11276" t="inlineStr">
        <is>
          <t>KALMAR LÄN</t>
        </is>
      </c>
      <c r="E11276" t="inlineStr">
        <is>
          <t>VÄSTERVIK</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20598-2024</t>
        </is>
      </c>
      <c r="B11277" s="1" t="n">
        <v>45436</v>
      </c>
      <c r="C11277" s="1" t="n">
        <v>45715</v>
      </c>
      <c r="D11277" t="inlineStr">
        <is>
          <t>KALMAR LÄN</t>
        </is>
      </c>
      <c r="E11277" t="inlineStr">
        <is>
          <t>EMMABODA</t>
        </is>
      </c>
      <c r="G11277" t="n">
        <v>5.6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20695-2024</t>
        </is>
      </c>
      <c r="B11278" s="1" t="n">
        <v>45436</v>
      </c>
      <c r="C11278" s="1" t="n">
        <v>45715</v>
      </c>
      <c r="D11278" t="inlineStr">
        <is>
          <t>KALMAR LÄN</t>
        </is>
      </c>
      <c r="E11278" t="inlineStr">
        <is>
          <t>VIMMERBY</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20913-2024</t>
        </is>
      </c>
      <c r="B11279" s="1" t="n">
        <v>45439</v>
      </c>
      <c r="C11279" s="1" t="n">
        <v>45715</v>
      </c>
      <c r="D11279" t="inlineStr">
        <is>
          <t>KALMAR LÄN</t>
        </is>
      </c>
      <c r="E11279" t="inlineStr">
        <is>
          <t>KALMAR</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20984-2024</t>
        </is>
      </c>
      <c r="B11280" s="1" t="n">
        <v>45439</v>
      </c>
      <c r="C11280" s="1" t="n">
        <v>45715</v>
      </c>
      <c r="D11280" t="inlineStr">
        <is>
          <t>KALMAR LÄN</t>
        </is>
      </c>
      <c r="E11280" t="inlineStr">
        <is>
          <t>HULTSFRED</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20947-2024</t>
        </is>
      </c>
      <c r="B11281" s="1" t="n">
        <v>45439</v>
      </c>
      <c r="C11281" s="1" t="n">
        <v>45715</v>
      </c>
      <c r="D11281" t="inlineStr">
        <is>
          <t>KALMAR LÄN</t>
        </is>
      </c>
      <c r="E11281" t="inlineStr">
        <is>
          <t>HULTSFRED</t>
        </is>
      </c>
      <c r="F11281" t="inlineStr">
        <is>
          <t>Övriga Aktiebolag</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20877-2024</t>
        </is>
      </c>
      <c r="B11282" s="1" t="n">
        <v>45439</v>
      </c>
      <c r="C11282" s="1" t="n">
        <v>45715</v>
      </c>
      <c r="D11282" t="inlineStr">
        <is>
          <t>KALMAR LÄN</t>
        </is>
      </c>
      <c r="E11282" t="inlineStr">
        <is>
          <t>NYBRO</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20969-2024</t>
        </is>
      </c>
      <c r="B11283" s="1" t="n">
        <v>45439</v>
      </c>
      <c r="C11283" s="1" t="n">
        <v>45715</v>
      </c>
      <c r="D11283" t="inlineStr">
        <is>
          <t>KALMAR LÄN</t>
        </is>
      </c>
      <c r="E11283" t="inlineStr">
        <is>
          <t>HULTSFRED</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20867-2024</t>
        </is>
      </c>
      <c r="B11284" s="1" t="n">
        <v>45439</v>
      </c>
      <c r="C11284" s="1" t="n">
        <v>45715</v>
      </c>
      <c r="D11284" t="inlineStr">
        <is>
          <t>KALMAR LÄN</t>
        </is>
      </c>
      <c r="E11284" t="inlineStr">
        <is>
          <t>EMMABODA</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20952-2024</t>
        </is>
      </c>
      <c r="B11285" s="1" t="n">
        <v>45439</v>
      </c>
      <c r="C11285" s="1" t="n">
        <v>45715</v>
      </c>
      <c r="D11285" t="inlineStr">
        <is>
          <t>KALMAR LÄN</t>
        </is>
      </c>
      <c r="E11285" t="inlineStr">
        <is>
          <t>NYBRO</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20983-2024</t>
        </is>
      </c>
      <c r="B11286" s="1" t="n">
        <v>45439</v>
      </c>
      <c r="C11286" s="1" t="n">
        <v>45715</v>
      </c>
      <c r="D11286" t="inlineStr">
        <is>
          <t>KALMAR LÄN</t>
        </is>
      </c>
      <c r="E11286" t="inlineStr">
        <is>
          <t>NYBRO</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20878-2024</t>
        </is>
      </c>
      <c r="B11287" s="1" t="n">
        <v>45439</v>
      </c>
      <c r="C11287" s="1" t="n">
        <v>45715</v>
      </c>
      <c r="D11287" t="inlineStr">
        <is>
          <t>KALMAR LÄN</t>
        </is>
      </c>
      <c r="E11287" t="inlineStr">
        <is>
          <t>BORGHOLM</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20874-2024</t>
        </is>
      </c>
      <c r="B11288" s="1" t="n">
        <v>45439</v>
      </c>
      <c r="C11288" s="1" t="n">
        <v>45715</v>
      </c>
      <c r="D11288" t="inlineStr">
        <is>
          <t>KALMAR LÄN</t>
        </is>
      </c>
      <c r="E11288" t="inlineStr">
        <is>
          <t>NYBRO</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21184-2024</t>
        </is>
      </c>
      <c r="B11289" s="1" t="n">
        <v>45440</v>
      </c>
      <c r="C11289" s="1" t="n">
        <v>45715</v>
      </c>
      <c r="D11289" t="inlineStr">
        <is>
          <t>KALMAR LÄN</t>
        </is>
      </c>
      <c r="E11289" t="inlineStr">
        <is>
          <t>EMMABODA</t>
        </is>
      </c>
      <c r="F11289" t="inlineStr">
        <is>
          <t>Kommuner</t>
        </is>
      </c>
      <c r="G11289" t="n">
        <v>8.5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21166-2024</t>
        </is>
      </c>
      <c r="B11290" s="1" t="n">
        <v>45440</v>
      </c>
      <c r="C11290" s="1" t="n">
        <v>45715</v>
      </c>
      <c r="D11290" t="inlineStr">
        <is>
          <t>KALMAR LÄN</t>
        </is>
      </c>
      <c r="E11290" t="inlineStr">
        <is>
          <t>NYBRO</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21169-2024</t>
        </is>
      </c>
      <c r="B11291" s="1" t="n">
        <v>45440</v>
      </c>
      <c r="C11291" s="1" t="n">
        <v>45715</v>
      </c>
      <c r="D11291" t="inlineStr">
        <is>
          <t>KALMAR LÄN</t>
        </is>
      </c>
      <c r="E11291" t="inlineStr">
        <is>
          <t>EMMABODA</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21163-2024</t>
        </is>
      </c>
      <c r="B11292" s="1" t="n">
        <v>45440</v>
      </c>
      <c r="C11292" s="1" t="n">
        <v>45715</v>
      </c>
      <c r="D11292" t="inlineStr">
        <is>
          <t>KALMAR LÄN</t>
        </is>
      </c>
      <c r="E11292" t="inlineStr">
        <is>
          <t>EMMABODA</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21144-2024</t>
        </is>
      </c>
      <c r="B11293" s="1" t="n">
        <v>45440</v>
      </c>
      <c r="C11293" s="1" t="n">
        <v>45715</v>
      </c>
      <c r="D11293" t="inlineStr">
        <is>
          <t>KALMAR LÄN</t>
        </is>
      </c>
      <c r="E11293" t="inlineStr">
        <is>
          <t>HÖGSBY</t>
        </is>
      </c>
      <c r="G11293" t="n">
        <v>7.3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21110-2024</t>
        </is>
      </c>
      <c r="B11294" s="1" t="n">
        <v>45440</v>
      </c>
      <c r="C11294" s="1" t="n">
        <v>45715</v>
      </c>
      <c r="D11294" t="inlineStr">
        <is>
          <t>KALMAR LÄN</t>
        </is>
      </c>
      <c r="E11294" t="inlineStr">
        <is>
          <t>VIMMERBY</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21307-2024</t>
        </is>
      </c>
      <c r="B11295" s="1" t="n">
        <v>45440</v>
      </c>
      <c r="C11295" s="1" t="n">
        <v>45715</v>
      </c>
      <c r="D11295" t="inlineStr">
        <is>
          <t>KALMAR LÄN</t>
        </is>
      </c>
      <c r="E11295" t="inlineStr">
        <is>
          <t>TORSÅS</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21305-2024</t>
        </is>
      </c>
      <c r="B11296" s="1" t="n">
        <v>45440</v>
      </c>
      <c r="C11296" s="1" t="n">
        <v>45715</v>
      </c>
      <c r="D11296" t="inlineStr">
        <is>
          <t>KALMAR LÄN</t>
        </is>
      </c>
      <c r="E11296" t="inlineStr">
        <is>
          <t>TORSÅS</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21109-2024</t>
        </is>
      </c>
      <c r="B11297" s="1" t="n">
        <v>45440</v>
      </c>
      <c r="C11297" s="1" t="n">
        <v>45715</v>
      </c>
      <c r="D11297" t="inlineStr">
        <is>
          <t>KALMAR LÄN</t>
        </is>
      </c>
      <c r="E11297" t="inlineStr">
        <is>
          <t>VIMMERBY</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21337-2024</t>
        </is>
      </c>
      <c r="B11298" s="1" t="n">
        <v>45441</v>
      </c>
      <c r="C11298" s="1" t="n">
        <v>45715</v>
      </c>
      <c r="D11298" t="inlineStr">
        <is>
          <t>KALMAR LÄN</t>
        </is>
      </c>
      <c r="E11298" t="inlineStr">
        <is>
          <t>KALMAR</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21388-2024</t>
        </is>
      </c>
      <c r="B11299" s="1" t="n">
        <v>45440</v>
      </c>
      <c r="C11299" s="1" t="n">
        <v>45715</v>
      </c>
      <c r="D11299" t="inlineStr">
        <is>
          <t>KALMAR LÄN</t>
        </is>
      </c>
      <c r="E11299" t="inlineStr">
        <is>
          <t>NYBRO</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21444-2024</t>
        </is>
      </c>
      <c r="B11300" s="1" t="n">
        <v>45441</v>
      </c>
      <c r="C11300" s="1" t="n">
        <v>45715</v>
      </c>
      <c r="D11300" t="inlineStr">
        <is>
          <t>KALMAR LÄN</t>
        </is>
      </c>
      <c r="E11300" t="inlineStr">
        <is>
          <t>KALMAR</t>
        </is>
      </c>
      <c r="G11300" t="n">
        <v>5.5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21397-2024</t>
        </is>
      </c>
      <c r="B11301" s="1" t="n">
        <v>45441</v>
      </c>
      <c r="C11301" s="1" t="n">
        <v>45715</v>
      </c>
      <c r="D11301" t="inlineStr">
        <is>
          <t>KALMAR LÄN</t>
        </is>
      </c>
      <c r="E11301" t="inlineStr">
        <is>
          <t>OSKARSHAMN</t>
        </is>
      </c>
      <c r="F11301" t="inlineStr">
        <is>
          <t>Kyrkan</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21398-2024</t>
        </is>
      </c>
      <c r="B11302" s="1" t="n">
        <v>45441</v>
      </c>
      <c r="C11302" s="1" t="n">
        <v>45715</v>
      </c>
      <c r="D11302" t="inlineStr">
        <is>
          <t>KALMAR LÄN</t>
        </is>
      </c>
      <c r="E11302" t="inlineStr">
        <is>
          <t>OSKARSHAMN</t>
        </is>
      </c>
      <c r="F11302" t="inlineStr">
        <is>
          <t>Kyrkan</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21479-2024</t>
        </is>
      </c>
      <c r="B11303" s="1" t="n">
        <v>45441</v>
      </c>
      <c r="C11303" s="1" t="n">
        <v>45715</v>
      </c>
      <c r="D11303" t="inlineStr">
        <is>
          <t>KALMAR LÄN</t>
        </is>
      </c>
      <c r="E11303" t="inlineStr">
        <is>
          <t>NYBRO</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21569-2024</t>
        </is>
      </c>
      <c r="B11304" s="1" t="n">
        <v>45441</v>
      </c>
      <c r="C11304" s="1" t="n">
        <v>45715</v>
      </c>
      <c r="D11304" t="inlineStr">
        <is>
          <t>KALMAR LÄN</t>
        </is>
      </c>
      <c r="E11304" t="inlineStr">
        <is>
          <t>NYBRO</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21575-2024</t>
        </is>
      </c>
      <c r="B11305" s="1" t="n">
        <v>45441</v>
      </c>
      <c r="C11305" s="1" t="n">
        <v>45715</v>
      </c>
      <c r="D11305" t="inlineStr">
        <is>
          <t>KALMAR LÄN</t>
        </is>
      </c>
      <c r="E11305" t="inlineStr">
        <is>
          <t>NYBRO</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21573-2024</t>
        </is>
      </c>
      <c r="B11306" s="1" t="n">
        <v>45441</v>
      </c>
      <c r="C11306" s="1" t="n">
        <v>45715</v>
      </c>
      <c r="D11306" t="inlineStr">
        <is>
          <t>KALMAR LÄN</t>
        </is>
      </c>
      <c r="E11306" t="inlineStr">
        <is>
          <t>NYBRO</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21567-2024</t>
        </is>
      </c>
      <c r="B11307" s="1" t="n">
        <v>45441</v>
      </c>
      <c r="C11307" s="1" t="n">
        <v>45715</v>
      </c>
      <c r="D11307" t="inlineStr">
        <is>
          <t>KALMAR LÄN</t>
        </is>
      </c>
      <c r="E11307" t="inlineStr">
        <is>
          <t>MÖNSTERÅS</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21477-2024</t>
        </is>
      </c>
      <c r="B11308" s="1" t="n">
        <v>45441</v>
      </c>
      <c r="C11308" s="1" t="n">
        <v>45715</v>
      </c>
      <c r="D11308" t="inlineStr">
        <is>
          <t>KALMAR LÄN</t>
        </is>
      </c>
      <c r="E11308" t="inlineStr">
        <is>
          <t>NYBRO</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21461-2024</t>
        </is>
      </c>
      <c r="B11309" s="1" t="n">
        <v>45441</v>
      </c>
      <c r="C11309" s="1" t="n">
        <v>45715</v>
      </c>
      <c r="D11309" t="inlineStr">
        <is>
          <t>KALMAR LÄN</t>
        </is>
      </c>
      <c r="E11309" t="inlineStr">
        <is>
          <t>OSKARSHAMN</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21648-2024</t>
        </is>
      </c>
      <c r="B11310" s="1" t="n">
        <v>45442</v>
      </c>
      <c r="C11310" s="1" t="n">
        <v>45715</v>
      </c>
      <c r="D11310" t="inlineStr">
        <is>
          <t>KALMAR LÄN</t>
        </is>
      </c>
      <c r="E11310" t="inlineStr">
        <is>
          <t>VÄSTERVIK</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21646-2024</t>
        </is>
      </c>
      <c r="B11311" s="1" t="n">
        <v>45442</v>
      </c>
      <c r="C11311" s="1" t="n">
        <v>45715</v>
      </c>
      <c r="D11311" t="inlineStr">
        <is>
          <t>KALMAR LÄN</t>
        </is>
      </c>
      <c r="E11311" t="inlineStr">
        <is>
          <t>KALMAR</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21714-2024</t>
        </is>
      </c>
      <c r="B11312" s="1" t="n">
        <v>45442</v>
      </c>
      <c r="C11312" s="1" t="n">
        <v>45715</v>
      </c>
      <c r="D11312" t="inlineStr">
        <is>
          <t>KALMAR LÄN</t>
        </is>
      </c>
      <c r="E11312" t="inlineStr">
        <is>
          <t>HULTSFRED</t>
        </is>
      </c>
      <c r="G11312" t="n">
        <v>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21758-2024</t>
        </is>
      </c>
      <c r="B11313" s="1" t="n">
        <v>45442</v>
      </c>
      <c r="C11313" s="1" t="n">
        <v>45715</v>
      </c>
      <c r="D11313" t="inlineStr">
        <is>
          <t>KALMAR LÄN</t>
        </is>
      </c>
      <c r="E11313" t="inlineStr">
        <is>
          <t>HULTSFRED</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21693-2024</t>
        </is>
      </c>
      <c r="B11314" s="1" t="n">
        <v>45442</v>
      </c>
      <c r="C11314" s="1" t="n">
        <v>45715</v>
      </c>
      <c r="D11314" t="inlineStr">
        <is>
          <t>KALMAR LÄN</t>
        </is>
      </c>
      <c r="E11314" t="inlineStr">
        <is>
          <t>NYBRO</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21697-2024</t>
        </is>
      </c>
      <c r="B11315" s="1" t="n">
        <v>45442</v>
      </c>
      <c r="C11315" s="1" t="n">
        <v>45715</v>
      </c>
      <c r="D11315" t="inlineStr">
        <is>
          <t>KALMAR LÄN</t>
        </is>
      </c>
      <c r="E11315" t="inlineStr">
        <is>
          <t>HULTSFRED</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21717-2024</t>
        </is>
      </c>
      <c r="B11316" s="1" t="n">
        <v>45442</v>
      </c>
      <c r="C11316" s="1" t="n">
        <v>45715</v>
      </c>
      <c r="D11316" t="inlineStr">
        <is>
          <t>KALMAR LÄN</t>
        </is>
      </c>
      <c r="E11316" t="inlineStr">
        <is>
          <t>HULTSFRED</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21769-2024</t>
        </is>
      </c>
      <c r="B11317" s="1" t="n">
        <v>45442</v>
      </c>
      <c r="C11317" s="1" t="n">
        <v>45715</v>
      </c>
      <c r="D11317" t="inlineStr">
        <is>
          <t>KALMAR LÄN</t>
        </is>
      </c>
      <c r="E11317" t="inlineStr">
        <is>
          <t>NYBRO</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21752-2024</t>
        </is>
      </c>
      <c r="B11318" s="1" t="n">
        <v>45442</v>
      </c>
      <c r="C11318" s="1" t="n">
        <v>45715</v>
      </c>
      <c r="D11318" t="inlineStr">
        <is>
          <t>KALMAR LÄN</t>
        </is>
      </c>
      <c r="E11318" t="inlineStr">
        <is>
          <t>VÄSTERVIK</t>
        </is>
      </c>
      <c r="F11318" t="inlineStr">
        <is>
          <t>Holmen skog AB</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21760-2024</t>
        </is>
      </c>
      <c r="B11319" s="1" t="n">
        <v>45442</v>
      </c>
      <c r="C11319" s="1" t="n">
        <v>45715</v>
      </c>
      <c r="D11319" t="inlineStr">
        <is>
          <t>KALMAR LÄN</t>
        </is>
      </c>
      <c r="E11319" t="inlineStr">
        <is>
          <t>NYBRO</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21768-2024</t>
        </is>
      </c>
      <c r="B11320" s="1" t="n">
        <v>45442</v>
      </c>
      <c r="C11320" s="1" t="n">
        <v>45715</v>
      </c>
      <c r="D11320" t="inlineStr">
        <is>
          <t>KALMAR LÄN</t>
        </is>
      </c>
      <c r="E11320" t="inlineStr">
        <is>
          <t>NYBRO</t>
        </is>
      </c>
      <c r="G11320" t="n">
        <v>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21695-2024</t>
        </is>
      </c>
      <c r="B11321" s="1" t="n">
        <v>45442</v>
      </c>
      <c r="C11321" s="1" t="n">
        <v>45715</v>
      </c>
      <c r="D11321" t="inlineStr">
        <is>
          <t>KALMAR LÄN</t>
        </is>
      </c>
      <c r="E11321" t="inlineStr">
        <is>
          <t>NYBRO</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21787-2024</t>
        </is>
      </c>
      <c r="B11322" s="1" t="n">
        <v>45442</v>
      </c>
      <c r="C11322" s="1" t="n">
        <v>45715</v>
      </c>
      <c r="D11322" t="inlineStr">
        <is>
          <t>KALMAR LÄN</t>
        </is>
      </c>
      <c r="E11322" t="inlineStr">
        <is>
          <t>OSKARSHAMN</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21896-2024</t>
        </is>
      </c>
      <c r="B11323" s="1" t="n">
        <v>45443</v>
      </c>
      <c r="C11323" s="1" t="n">
        <v>45715</v>
      </c>
      <c r="D11323" t="inlineStr">
        <is>
          <t>KALMAR LÄN</t>
        </is>
      </c>
      <c r="E11323" t="inlineStr">
        <is>
          <t>VIMMERBY</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21919-2024</t>
        </is>
      </c>
      <c r="B11324" s="1" t="n">
        <v>45443</v>
      </c>
      <c r="C11324" s="1" t="n">
        <v>45715</v>
      </c>
      <c r="D11324" t="inlineStr">
        <is>
          <t>KALMAR LÄN</t>
        </is>
      </c>
      <c r="E11324" t="inlineStr">
        <is>
          <t>VIMMERBY</t>
        </is>
      </c>
      <c r="F11324" t="inlineStr">
        <is>
          <t>Kyrkan</t>
        </is>
      </c>
      <c r="G11324" t="n">
        <v>5.9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21962-2024</t>
        </is>
      </c>
      <c r="B11325" s="1" t="n">
        <v>45443</v>
      </c>
      <c r="C11325" s="1" t="n">
        <v>45715</v>
      </c>
      <c r="D11325" t="inlineStr">
        <is>
          <t>KALMAR LÄN</t>
        </is>
      </c>
      <c r="E11325" t="inlineStr">
        <is>
          <t>KALMAR</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21964-2024</t>
        </is>
      </c>
      <c r="B11326" s="1" t="n">
        <v>45443</v>
      </c>
      <c r="C11326" s="1" t="n">
        <v>45715</v>
      </c>
      <c r="D11326" t="inlineStr">
        <is>
          <t>KALMAR LÄN</t>
        </is>
      </c>
      <c r="E11326" t="inlineStr">
        <is>
          <t>KALMAR</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22148-2024</t>
        </is>
      </c>
      <c r="B11327" s="1" t="n">
        <v>45445</v>
      </c>
      <c r="C11327" s="1" t="n">
        <v>45715</v>
      </c>
      <c r="D11327" t="inlineStr">
        <is>
          <t>KALMAR LÄN</t>
        </is>
      </c>
      <c r="E11327" t="inlineStr">
        <is>
          <t>EMMABODA</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22146-2024</t>
        </is>
      </c>
      <c r="B11328" s="1" t="n">
        <v>45445</v>
      </c>
      <c r="C11328" s="1" t="n">
        <v>45715</v>
      </c>
      <c r="D11328" t="inlineStr">
        <is>
          <t>KALMAR LÄN</t>
        </is>
      </c>
      <c r="E11328" t="inlineStr">
        <is>
          <t>EMMABODA</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22150-2024</t>
        </is>
      </c>
      <c r="B11329" s="1" t="n">
        <v>45445</v>
      </c>
      <c r="C11329" s="1" t="n">
        <v>45715</v>
      </c>
      <c r="D11329" t="inlineStr">
        <is>
          <t>KALMAR LÄN</t>
        </is>
      </c>
      <c r="E11329" t="inlineStr">
        <is>
          <t>EMMABODA</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22147-2024</t>
        </is>
      </c>
      <c r="B11330" s="1" t="n">
        <v>45445</v>
      </c>
      <c r="C11330" s="1" t="n">
        <v>45715</v>
      </c>
      <c r="D11330" t="inlineStr">
        <is>
          <t>KALMAR LÄN</t>
        </is>
      </c>
      <c r="E11330" t="inlineStr">
        <is>
          <t>EMMABODA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22145-2024</t>
        </is>
      </c>
      <c r="B11331" s="1" t="n">
        <v>45445</v>
      </c>
      <c r="C11331" s="1" t="n">
        <v>45715</v>
      </c>
      <c r="D11331" t="inlineStr">
        <is>
          <t>KALMAR LÄN</t>
        </is>
      </c>
      <c r="E11331" t="inlineStr">
        <is>
          <t>EMMABODA</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22194-2024</t>
        </is>
      </c>
      <c r="B11332" s="1" t="n">
        <v>45446</v>
      </c>
      <c r="C11332" s="1" t="n">
        <v>45715</v>
      </c>
      <c r="D11332" t="inlineStr">
        <is>
          <t>KALMAR LÄN</t>
        </is>
      </c>
      <c r="E11332" t="inlineStr">
        <is>
          <t>VIMMERBY</t>
        </is>
      </c>
      <c r="F11332" t="inlineStr">
        <is>
          <t>Sveaskog</t>
        </is>
      </c>
      <c r="G11332" t="n">
        <v>8.699999999999999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22342-2024</t>
        </is>
      </c>
      <c r="B11333" s="1" t="n">
        <v>45446</v>
      </c>
      <c r="C11333" s="1" t="n">
        <v>45715</v>
      </c>
      <c r="D11333" t="inlineStr">
        <is>
          <t>KALMAR LÄN</t>
        </is>
      </c>
      <c r="E11333" t="inlineStr">
        <is>
          <t>MÖNSTERÅS</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22423-2024</t>
        </is>
      </c>
      <c r="B11334" s="1" t="n">
        <v>45446</v>
      </c>
      <c r="C11334" s="1" t="n">
        <v>45715</v>
      </c>
      <c r="D11334" t="inlineStr">
        <is>
          <t>KALMAR LÄN</t>
        </is>
      </c>
      <c r="E11334" t="inlineStr">
        <is>
          <t>HULTSFRED</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22684-2024</t>
        </is>
      </c>
      <c r="B11335" s="1" t="n">
        <v>45446</v>
      </c>
      <c r="C11335" s="1" t="n">
        <v>45715</v>
      </c>
      <c r="D11335" t="inlineStr">
        <is>
          <t>KALMAR LÄN</t>
        </is>
      </c>
      <c r="E11335" t="inlineStr">
        <is>
          <t>HULTSFRED</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22443-2024</t>
        </is>
      </c>
      <c r="B11336" s="1" t="n">
        <v>45446</v>
      </c>
      <c r="C11336" s="1" t="n">
        <v>45715</v>
      </c>
      <c r="D11336" t="inlineStr">
        <is>
          <t>KALMAR LÄN</t>
        </is>
      </c>
      <c r="E11336" t="inlineStr">
        <is>
          <t>HULTSFRED</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22316-2024</t>
        </is>
      </c>
      <c r="B11337" s="1" t="n">
        <v>45446</v>
      </c>
      <c r="C11337" s="1" t="n">
        <v>45715</v>
      </c>
      <c r="D11337" t="inlineStr">
        <is>
          <t>KALMAR LÄN</t>
        </is>
      </c>
      <c r="E11337" t="inlineStr">
        <is>
          <t>NYBRO</t>
        </is>
      </c>
      <c r="F11337" t="inlineStr">
        <is>
          <t>Sveaskog</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22312-2024</t>
        </is>
      </c>
      <c r="B11338" s="1" t="n">
        <v>45446</v>
      </c>
      <c r="C11338" s="1" t="n">
        <v>45715</v>
      </c>
      <c r="D11338" t="inlineStr">
        <is>
          <t>KALMAR LÄN</t>
        </is>
      </c>
      <c r="E11338" t="inlineStr">
        <is>
          <t>NYBRO</t>
        </is>
      </c>
      <c r="F11338" t="inlineStr">
        <is>
          <t>Sveaskog</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22266-2024</t>
        </is>
      </c>
      <c r="B11339" s="1" t="n">
        <v>45446</v>
      </c>
      <c r="C11339" s="1" t="n">
        <v>45715</v>
      </c>
      <c r="D11339" t="inlineStr">
        <is>
          <t>KALMAR LÄN</t>
        </is>
      </c>
      <c r="E11339" t="inlineStr">
        <is>
          <t>VÄSTERVIK</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22441-2024</t>
        </is>
      </c>
      <c r="B11340" s="1" t="n">
        <v>45446</v>
      </c>
      <c r="C11340" s="1" t="n">
        <v>45715</v>
      </c>
      <c r="D11340" t="inlineStr">
        <is>
          <t>KALMAR LÄN</t>
        </is>
      </c>
      <c r="E11340" t="inlineStr">
        <is>
          <t>HULTSFRED</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22198-2024</t>
        </is>
      </c>
      <c r="B11341" s="1" t="n">
        <v>45446</v>
      </c>
      <c r="C11341" s="1" t="n">
        <v>45715</v>
      </c>
      <c r="D11341" t="inlineStr">
        <is>
          <t>KALMAR LÄN</t>
        </is>
      </c>
      <c r="E11341" t="inlineStr">
        <is>
          <t>VIMMERBY</t>
        </is>
      </c>
      <c r="F11341" t="inlineStr">
        <is>
          <t>Sveaskog</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22314-2024</t>
        </is>
      </c>
      <c r="B11342" s="1" t="n">
        <v>45446</v>
      </c>
      <c r="C11342" s="1" t="n">
        <v>45715</v>
      </c>
      <c r="D11342" t="inlineStr">
        <is>
          <t>KALMAR LÄN</t>
        </is>
      </c>
      <c r="E11342" t="inlineStr">
        <is>
          <t>NYBRO</t>
        </is>
      </c>
      <c r="F11342" t="inlineStr">
        <is>
          <t>Sveaskog</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22420-2024</t>
        </is>
      </c>
      <c r="B11343" s="1" t="n">
        <v>45446</v>
      </c>
      <c r="C11343" s="1" t="n">
        <v>45715</v>
      </c>
      <c r="D11343" t="inlineStr">
        <is>
          <t>KALMAR LÄN</t>
        </is>
      </c>
      <c r="E11343" t="inlineStr">
        <is>
          <t>HULTSFRED</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22424-2024</t>
        </is>
      </c>
      <c r="B11344" s="1" t="n">
        <v>45446</v>
      </c>
      <c r="C11344" s="1" t="n">
        <v>45715</v>
      </c>
      <c r="D11344" t="inlineStr">
        <is>
          <t>KALMAR LÄN</t>
        </is>
      </c>
      <c r="E11344" t="inlineStr">
        <is>
          <t>HULTSFRED</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22440-2024</t>
        </is>
      </c>
      <c r="B11345" s="1" t="n">
        <v>45446</v>
      </c>
      <c r="C11345" s="1" t="n">
        <v>45715</v>
      </c>
      <c r="D11345" t="inlineStr">
        <is>
          <t>KALMAR LÄN</t>
        </is>
      </c>
      <c r="E11345" t="inlineStr">
        <is>
          <t>HULTSFRED</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22442-2024</t>
        </is>
      </c>
      <c r="B11346" s="1" t="n">
        <v>45446</v>
      </c>
      <c r="C11346" s="1" t="n">
        <v>45715</v>
      </c>
      <c r="D11346" t="inlineStr">
        <is>
          <t>KALMAR LÄN</t>
        </is>
      </c>
      <c r="E11346" t="inlineStr">
        <is>
          <t>HULTSFRED</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22430-2024</t>
        </is>
      </c>
      <c r="B11347" s="1" t="n">
        <v>45446</v>
      </c>
      <c r="C11347" s="1" t="n">
        <v>45715</v>
      </c>
      <c r="D11347" t="inlineStr">
        <is>
          <t>KALMAR LÄN</t>
        </is>
      </c>
      <c r="E11347" t="inlineStr">
        <is>
          <t>KALMAR</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22197-2024</t>
        </is>
      </c>
      <c r="B11348" s="1" t="n">
        <v>45446</v>
      </c>
      <c r="C11348" s="1" t="n">
        <v>45715</v>
      </c>
      <c r="D11348" t="inlineStr">
        <is>
          <t>KALMAR LÄN</t>
        </is>
      </c>
      <c r="E11348" t="inlineStr">
        <is>
          <t>VIMMERBY</t>
        </is>
      </c>
      <c r="F11348" t="inlineStr">
        <is>
          <t>Sveaskog</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22620-2024</t>
        </is>
      </c>
      <c r="B11349" s="1" t="n">
        <v>45447</v>
      </c>
      <c r="C11349" s="1" t="n">
        <v>45715</v>
      </c>
      <c r="D11349" t="inlineStr">
        <is>
          <t>KALMAR LÄN</t>
        </is>
      </c>
      <c r="E11349" t="inlineStr">
        <is>
          <t>HÖGSBY</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22621-2024</t>
        </is>
      </c>
      <c r="B11350" s="1" t="n">
        <v>45447</v>
      </c>
      <c r="C11350" s="1" t="n">
        <v>45715</v>
      </c>
      <c r="D11350" t="inlineStr">
        <is>
          <t>KALMAR LÄN</t>
        </is>
      </c>
      <c r="E11350" t="inlineStr">
        <is>
          <t>HULTSFRED</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22568-2024</t>
        </is>
      </c>
      <c r="B11351" s="1" t="n">
        <v>45447</v>
      </c>
      <c r="C11351" s="1" t="n">
        <v>45715</v>
      </c>
      <c r="D11351" t="inlineStr">
        <is>
          <t>KALMAR LÄN</t>
        </is>
      </c>
      <c r="E11351" t="inlineStr">
        <is>
          <t>TORSÅS</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22564-2024</t>
        </is>
      </c>
      <c r="B11352" s="1" t="n">
        <v>45447</v>
      </c>
      <c r="C11352" s="1" t="n">
        <v>45715</v>
      </c>
      <c r="D11352" t="inlineStr">
        <is>
          <t>KALMAR LÄN</t>
        </is>
      </c>
      <c r="E11352" t="inlineStr">
        <is>
          <t>TORSÅS</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22523-2024</t>
        </is>
      </c>
      <c r="B11353" s="1" t="n">
        <v>45447</v>
      </c>
      <c r="C11353" s="1" t="n">
        <v>45715</v>
      </c>
      <c r="D11353" t="inlineStr">
        <is>
          <t>KALMAR LÄN</t>
        </is>
      </c>
      <c r="E11353" t="inlineStr">
        <is>
          <t>HÖGSBY</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22590-2024</t>
        </is>
      </c>
      <c r="B11354" s="1" t="n">
        <v>45447</v>
      </c>
      <c r="C11354" s="1" t="n">
        <v>45715</v>
      </c>
      <c r="D11354" t="inlineStr">
        <is>
          <t>KALMAR LÄN</t>
        </is>
      </c>
      <c r="E11354" t="inlineStr">
        <is>
          <t>MÖNSTERÅS</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22586-2024</t>
        </is>
      </c>
      <c r="B11355" s="1" t="n">
        <v>45447</v>
      </c>
      <c r="C11355" s="1" t="n">
        <v>45715</v>
      </c>
      <c r="D11355" t="inlineStr">
        <is>
          <t>KALMAR LÄN</t>
        </is>
      </c>
      <c r="E11355" t="inlineStr">
        <is>
          <t>NYBRO</t>
        </is>
      </c>
      <c r="G11355" t="n">
        <v>5.9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22570-2024</t>
        </is>
      </c>
      <c r="B11356" s="1" t="n">
        <v>45447</v>
      </c>
      <c r="C11356" s="1" t="n">
        <v>45715</v>
      </c>
      <c r="D11356" t="inlineStr">
        <is>
          <t>KALMAR LÄN</t>
        </is>
      </c>
      <c r="E11356" t="inlineStr">
        <is>
          <t>OSKARSHAMN</t>
        </is>
      </c>
      <c r="G11356" t="n">
        <v>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22566-2024</t>
        </is>
      </c>
      <c r="B11357" s="1" t="n">
        <v>45447</v>
      </c>
      <c r="C11357" s="1" t="n">
        <v>45715</v>
      </c>
      <c r="D11357" t="inlineStr">
        <is>
          <t>KALMAR LÄN</t>
        </is>
      </c>
      <c r="E11357" t="inlineStr">
        <is>
          <t>TORSÅS</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22522-2024</t>
        </is>
      </c>
      <c r="B11358" s="1" t="n">
        <v>45447</v>
      </c>
      <c r="C11358" s="1" t="n">
        <v>45715</v>
      </c>
      <c r="D11358" t="inlineStr">
        <is>
          <t>KALMAR LÄN</t>
        </is>
      </c>
      <c r="E11358" t="inlineStr">
        <is>
          <t>HÖGSBY</t>
        </is>
      </c>
      <c r="G11358" t="n">
        <v>4.6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22545-2024</t>
        </is>
      </c>
      <c r="B11359" s="1" t="n">
        <v>45447</v>
      </c>
      <c r="C11359" s="1" t="n">
        <v>45715</v>
      </c>
      <c r="D11359" t="inlineStr">
        <is>
          <t>KALMAR LÄN</t>
        </is>
      </c>
      <c r="E11359" t="inlineStr">
        <is>
          <t>NYBRO</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22622-2024</t>
        </is>
      </c>
      <c r="B11360" s="1" t="n">
        <v>45447</v>
      </c>
      <c r="C11360" s="1" t="n">
        <v>45715</v>
      </c>
      <c r="D11360" t="inlineStr">
        <is>
          <t>KALMAR LÄN</t>
        </is>
      </c>
      <c r="E11360" t="inlineStr">
        <is>
          <t>HULTSFRED</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22524-2024</t>
        </is>
      </c>
      <c r="B11361" s="1" t="n">
        <v>45447</v>
      </c>
      <c r="C11361" s="1" t="n">
        <v>45715</v>
      </c>
      <c r="D11361" t="inlineStr">
        <is>
          <t>KALMAR LÄN</t>
        </is>
      </c>
      <c r="E11361" t="inlineStr">
        <is>
          <t>HÖGSBY</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22516-2024</t>
        </is>
      </c>
      <c r="B11362" s="1" t="n">
        <v>45447</v>
      </c>
      <c r="C11362" s="1" t="n">
        <v>45715</v>
      </c>
      <c r="D11362" t="inlineStr">
        <is>
          <t>KALMAR LÄN</t>
        </is>
      </c>
      <c r="E11362" t="inlineStr">
        <is>
          <t>OSKARSHAMN</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22828-2024</t>
        </is>
      </c>
      <c r="B11363" s="1" t="n">
        <v>45448</v>
      </c>
      <c r="C11363" s="1" t="n">
        <v>45715</v>
      </c>
      <c r="D11363" t="inlineStr">
        <is>
          <t>KALMAR LÄN</t>
        </is>
      </c>
      <c r="E11363" t="inlineStr">
        <is>
          <t>NYBRO</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22880-2024</t>
        </is>
      </c>
      <c r="B11364" s="1" t="n">
        <v>45448</v>
      </c>
      <c r="C11364" s="1" t="n">
        <v>45715</v>
      </c>
      <c r="D11364" t="inlineStr">
        <is>
          <t>KALMAR LÄN</t>
        </is>
      </c>
      <c r="E11364" t="inlineStr">
        <is>
          <t>OSKARSHAMN</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22744-2024</t>
        </is>
      </c>
      <c r="B11365" s="1" t="n">
        <v>45448</v>
      </c>
      <c r="C11365" s="1" t="n">
        <v>45715</v>
      </c>
      <c r="D11365" t="inlineStr">
        <is>
          <t>KALMAR LÄN</t>
        </is>
      </c>
      <c r="E11365" t="inlineStr">
        <is>
          <t>NYBRO</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22726-2024</t>
        </is>
      </c>
      <c r="B11366" s="1" t="n">
        <v>45448</v>
      </c>
      <c r="C11366" s="1" t="n">
        <v>45715</v>
      </c>
      <c r="D11366" t="inlineStr">
        <is>
          <t>KALMAR LÄN</t>
        </is>
      </c>
      <c r="E11366" t="inlineStr">
        <is>
          <t>MÖNSTERÅS</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22801-2024</t>
        </is>
      </c>
      <c r="B11367" s="1" t="n">
        <v>45448</v>
      </c>
      <c r="C11367" s="1" t="n">
        <v>45715</v>
      </c>
      <c r="D11367" t="inlineStr">
        <is>
          <t>KALMAR LÄN</t>
        </is>
      </c>
      <c r="E11367" t="inlineStr">
        <is>
          <t>OSKARSHAMN</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22805-2024</t>
        </is>
      </c>
      <c r="B11368" s="1" t="n">
        <v>45448</v>
      </c>
      <c r="C11368" s="1" t="n">
        <v>45715</v>
      </c>
      <c r="D11368" t="inlineStr">
        <is>
          <t>KALMAR LÄN</t>
        </is>
      </c>
      <c r="E11368" t="inlineStr">
        <is>
          <t>OSKARSHAMN</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22857-2024</t>
        </is>
      </c>
      <c r="B11369" s="1" t="n">
        <v>45448</v>
      </c>
      <c r="C11369" s="1" t="n">
        <v>45715</v>
      </c>
      <c r="D11369" t="inlineStr">
        <is>
          <t>KALMAR LÄN</t>
        </is>
      </c>
      <c r="E11369" t="inlineStr">
        <is>
          <t>OSKARSHAMN</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22889-2024</t>
        </is>
      </c>
      <c r="B11370" s="1" t="n">
        <v>45448</v>
      </c>
      <c r="C11370" s="1" t="n">
        <v>45715</v>
      </c>
      <c r="D11370" t="inlineStr">
        <is>
          <t>KALMAR LÄN</t>
        </is>
      </c>
      <c r="E11370" t="inlineStr">
        <is>
          <t>OSKARSHAMN</t>
        </is>
      </c>
      <c r="G11370" t="n">
        <v>6.2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22740-2024</t>
        </is>
      </c>
      <c r="B11371" s="1" t="n">
        <v>45448</v>
      </c>
      <c r="C11371" s="1" t="n">
        <v>45715</v>
      </c>
      <c r="D11371" t="inlineStr">
        <is>
          <t>KALMAR LÄN</t>
        </is>
      </c>
      <c r="E11371" t="inlineStr">
        <is>
          <t>VÄSTERVIK</t>
        </is>
      </c>
      <c r="F11371" t="inlineStr">
        <is>
          <t>Holmen skog AB</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22818-2024</t>
        </is>
      </c>
      <c r="B11372" s="1" t="n">
        <v>45448</v>
      </c>
      <c r="C11372" s="1" t="n">
        <v>45715</v>
      </c>
      <c r="D11372" t="inlineStr">
        <is>
          <t>KALMAR LÄN</t>
        </is>
      </c>
      <c r="E11372" t="inlineStr">
        <is>
          <t>OSKARSHAMN</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22878-2024</t>
        </is>
      </c>
      <c r="B11373" s="1" t="n">
        <v>45448</v>
      </c>
      <c r="C11373" s="1" t="n">
        <v>45715</v>
      </c>
      <c r="D11373" t="inlineStr">
        <is>
          <t>KALMAR LÄN</t>
        </is>
      </c>
      <c r="E11373" t="inlineStr">
        <is>
          <t>OSKARSHAMN</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22930-2024</t>
        </is>
      </c>
      <c r="B11374" s="1" t="n">
        <v>45449</v>
      </c>
      <c r="C11374" s="1" t="n">
        <v>45715</v>
      </c>
      <c r="D11374" t="inlineStr">
        <is>
          <t>KALMAR LÄN</t>
        </is>
      </c>
      <c r="E11374" t="inlineStr">
        <is>
          <t>OSKARSHAMN</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22773-2024</t>
        </is>
      </c>
      <c r="B11375" s="1" t="n">
        <v>45448</v>
      </c>
      <c r="C11375" s="1" t="n">
        <v>45715</v>
      </c>
      <c r="D11375" t="inlineStr">
        <is>
          <t>KALMAR LÄN</t>
        </is>
      </c>
      <c r="E11375" t="inlineStr">
        <is>
          <t>OSKARSHAMN</t>
        </is>
      </c>
      <c r="F11375" t="inlineStr">
        <is>
          <t>Övriga Aktiebolag</t>
        </is>
      </c>
      <c r="G11375" t="n">
        <v>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22839-2024</t>
        </is>
      </c>
      <c r="B11376" s="1" t="n">
        <v>45448</v>
      </c>
      <c r="C11376" s="1" t="n">
        <v>45715</v>
      </c>
      <c r="D11376" t="inlineStr">
        <is>
          <t>KALMAR LÄN</t>
        </is>
      </c>
      <c r="E11376" t="inlineStr">
        <is>
          <t>NYBRO</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22855-2024</t>
        </is>
      </c>
      <c r="B11377" s="1" t="n">
        <v>45448</v>
      </c>
      <c r="C11377" s="1" t="n">
        <v>45715</v>
      </c>
      <c r="D11377" t="inlineStr">
        <is>
          <t>KALMAR LÄN</t>
        </is>
      </c>
      <c r="E11377" t="inlineStr">
        <is>
          <t>OSKARSHAMN</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22974-2024</t>
        </is>
      </c>
      <c r="B11378" s="1" t="n">
        <v>45449</v>
      </c>
      <c r="C11378" s="1" t="n">
        <v>45715</v>
      </c>
      <c r="D11378" t="inlineStr">
        <is>
          <t>KALMAR LÄN</t>
        </is>
      </c>
      <c r="E11378" t="inlineStr">
        <is>
          <t>NYBRO</t>
        </is>
      </c>
      <c r="G11378" t="n">
        <v>8.4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23060-2024</t>
        </is>
      </c>
      <c r="B11379" s="1" t="n">
        <v>45450</v>
      </c>
      <c r="C11379" s="1" t="n">
        <v>45715</v>
      </c>
      <c r="D11379" t="inlineStr">
        <is>
          <t>KALMAR LÄN</t>
        </is>
      </c>
      <c r="E11379" t="inlineStr">
        <is>
          <t>EMMABODA</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23088-2024</t>
        </is>
      </c>
      <c r="B11380" s="1" t="n">
        <v>45450</v>
      </c>
      <c r="C11380" s="1" t="n">
        <v>45715</v>
      </c>
      <c r="D11380" t="inlineStr">
        <is>
          <t>KALMAR LÄN</t>
        </is>
      </c>
      <c r="E11380" t="inlineStr">
        <is>
          <t>VIMMERBY</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23095-2024</t>
        </is>
      </c>
      <c r="B11381" s="1" t="n">
        <v>45450</v>
      </c>
      <c r="C11381" s="1" t="n">
        <v>45715</v>
      </c>
      <c r="D11381" t="inlineStr">
        <is>
          <t>KALMAR LÄN</t>
        </is>
      </c>
      <c r="E11381" t="inlineStr">
        <is>
          <t>VIMMERBY</t>
        </is>
      </c>
      <c r="G11381" t="n">
        <v>4.9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23187-2024</t>
        </is>
      </c>
      <c r="B11382" s="1" t="n">
        <v>45450</v>
      </c>
      <c r="C11382" s="1" t="n">
        <v>45715</v>
      </c>
      <c r="D11382" t="inlineStr">
        <is>
          <t>KALMAR LÄN</t>
        </is>
      </c>
      <c r="E11382" t="inlineStr">
        <is>
          <t>HULTSFRED</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23221-2024</t>
        </is>
      </c>
      <c r="B11383" s="1" t="n">
        <v>45452</v>
      </c>
      <c r="C11383" s="1" t="n">
        <v>45715</v>
      </c>
      <c r="D11383" t="inlineStr">
        <is>
          <t>KALMAR LÄN</t>
        </is>
      </c>
      <c r="E11383" t="inlineStr">
        <is>
          <t>VÄSTERVIK</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23263-2024</t>
        </is>
      </c>
      <c r="B11384" s="1" t="n">
        <v>45453</v>
      </c>
      <c r="C11384" s="1" t="n">
        <v>45715</v>
      </c>
      <c r="D11384" t="inlineStr">
        <is>
          <t>KALMAR LÄN</t>
        </is>
      </c>
      <c r="E11384" t="inlineStr">
        <is>
          <t>VIMMERBY</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23261-2024</t>
        </is>
      </c>
      <c r="B11385" s="1" t="n">
        <v>45453</v>
      </c>
      <c r="C11385" s="1" t="n">
        <v>45715</v>
      </c>
      <c r="D11385" t="inlineStr">
        <is>
          <t>KALMAR LÄN</t>
        </is>
      </c>
      <c r="E11385" t="inlineStr">
        <is>
          <t>TORSÅS</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23356-2024</t>
        </is>
      </c>
      <c r="B11386" s="1" t="n">
        <v>45453</v>
      </c>
      <c r="C11386" s="1" t="n">
        <v>45715</v>
      </c>
      <c r="D11386" t="inlineStr">
        <is>
          <t>KALMAR LÄN</t>
        </is>
      </c>
      <c r="E11386" t="inlineStr">
        <is>
          <t>KALMAR</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23422-2024</t>
        </is>
      </c>
      <c r="B11387" s="1" t="n">
        <v>45453</v>
      </c>
      <c r="C11387" s="1" t="n">
        <v>45715</v>
      </c>
      <c r="D11387" t="inlineStr">
        <is>
          <t>KALMAR LÄN</t>
        </is>
      </c>
      <c r="E11387" t="inlineStr">
        <is>
          <t>VIMMERBY</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23256-2024</t>
        </is>
      </c>
      <c r="B11388" s="1" t="n">
        <v>45453</v>
      </c>
      <c r="C11388" s="1" t="n">
        <v>45715</v>
      </c>
      <c r="D11388" t="inlineStr">
        <is>
          <t>KALMAR LÄN</t>
        </is>
      </c>
      <c r="E11388" t="inlineStr">
        <is>
          <t>TORSÅS</t>
        </is>
      </c>
      <c r="G11388" t="n">
        <v>5.9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23254-2024</t>
        </is>
      </c>
      <c r="B11389" s="1" t="n">
        <v>45453</v>
      </c>
      <c r="C11389" s="1" t="n">
        <v>45715</v>
      </c>
      <c r="D11389" t="inlineStr">
        <is>
          <t>KALMAR LÄN</t>
        </is>
      </c>
      <c r="E11389" t="inlineStr">
        <is>
          <t>VIMMERBY</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23245-2024</t>
        </is>
      </c>
      <c r="B11390" s="1" t="n">
        <v>45453</v>
      </c>
      <c r="C11390" s="1" t="n">
        <v>45715</v>
      </c>
      <c r="D11390" t="inlineStr">
        <is>
          <t>KALMAR LÄN</t>
        </is>
      </c>
      <c r="E11390" t="inlineStr">
        <is>
          <t>EMMABODA</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23252-2024</t>
        </is>
      </c>
      <c r="B11391" s="1" t="n">
        <v>45453</v>
      </c>
      <c r="C11391" s="1" t="n">
        <v>45715</v>
      </c>
      <c r="D11391" t="inlineStr">
        <is>
          <t>KALMAR LÄN</t>
        </is>
      </c>
      <c r="E11391" t="inlineStr">
        <is>
          <t>VIMMERBY</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23248-2024</t>
        </is>
      </c>
      <c r="B11392" s="1" t="n">
        <v>45453</v>
      </c>
      <c r="C11392" s="1" t="n">
        <v>45715</v>
      </c>
      <c r="D11392" t="inlineStr">
        <is>
          <t>KALMAR LÄN</t>
        </is>
      </c>
      <c r="E11392" t="inlineStr">
        <is>
          <t>VÄSTERVIK</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23243-2024</t>
        </is>
      </c>
      <c r="B11393" s="1" t="n">
        <v>45453</v>
      </c>
      <c r="C11393" s="1" t="n">
        <v>45715</v>
      </c>
      <c r="D11393" t="inlineStr">
        <is>
          <t>KALMAR LÄN</t>
        </is>
      </c>
      <c r="E11393" t="inlineStr">
        <is>
          <t>NYBRO</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23664-2024</t>
        </is>
      </c>
      <c r="B11394" s="1" t="n">
        <v>45454</v>
      </c>
      <c r="C11394" s="1" t="n">
        <v>45715</v>
      </c>
      <c r="D11394" t="inlineStr">
        <is>
          <t>KALMAR LÄN</t>
        </is>
      </c>
      <c r="E11394" t="inlineStr">
        <is>
          <t>KALMAR</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23626-2024</t>
        </is>
      </c>
      <c r="B11395" s="1" t="n">
        <v>45454</v>
      </c>
      <c r="C11395" s="1" t="n">
        <v>45715</v>
      </c>
      <c r="D11395" t="inlineStr">
        <is>
          <t>KALMAR LÄN</t>
        </is>
      </c>
      <c r="E11395" t="inlineStr">
        <is>
          <t>VÄSTERVIK</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23662-2024</t>
        </is>
      </c>
      <c r="B11396" s="1" t="n">
        <v>45454</v>
      </c>
      <c r="C11396" s="1" t="n">
        <v>45715</v>
      </c>
      <c r="D11396" t="inlineStr">
        <is>
          <t>KALMAR LÄN</t>
        </is>
      </c>
      <c r="E11396" t="inlineStr">
        <is>
          <t>KALMAR</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23723-2024</t>
        </is>
      </c>
      <c r="B11397" s="1" t="n">
        <v>45454</v>
      </c>
      <c r="C11397" s="1" t="n">
        <v>45715</v>
      </c>
      <c r="D11397" t="inlineStr">
        <is>
          <t>KALMAR LÄN</t>
        </is>
      </c>
      <c r="E11397" t="inlineStr">
        <is>
          <t>NYBRO</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23673-2024</t>
        </is>
      </c>
      <c r="B11398" s="1" t="n">
        <v>45454</v>
      </c>
      <c r="C11398" s="1" t="n">
        <v>45715</v>
      </c>
      <c r="D11398" t="inlineStr">
        <is>
          <t>KALMAR LÄN</t>
        </is>
      </c>
      <c r="E11398" t="inlineStr">
        <is>
          <t>KALMAR</t>
        </is>
      </c>
      <c r="F11398" t="inlineStr">
        <is>
          <t>Sveaskog</t>
        </is>
      </c>
      <c r="G11398" t="n">
        <v>5.4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23776-2024</t>
        </is>
      </c>
      <c r="B11399" s="1" t="n">
        <v>45455</v>
      </c>
      <c r="C11399" s="1" t="n">
        <v>45715</v>
      </c>
      <c r="D11399" t="inlineStr">
        <is>
          <t>KALMAR LÄN</t>
        </is>
      </c>
      <c r="E11399" t="inlineStr">
        <is>
          <t>EMMABODA</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23773-2024</t>
        </is>
      </c>
      <c r="B11400" s="1" t="n">
        <v>45455</v>
      </c>
      <c r="C11400" s="1" t="n">
        <v>45715</v>
      </c>
      <c r="D11400" t="inlineStr">
        <is>
          <t>KALMAR LÄN</t>
        </is>
      </c>
      <c r="E11400" t="inlineStr">
        <is>
          <t>EMMABODA</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23781-2024</t>
        </is>
      </c>
      <c r="B11401" s="1" t="n">
        <v>45455</v>
      </c>
      <c r="C11401" s="1" t="n">
        <v>45715</v>
      </c>
      <c r="D11401" t="inlineStr">
        <is>
          <t>KALMAR LÄN</t>
        </is>
      </c>
      <c r="E11401" t="inlineStr">
        <is>
          <t>HÖGSBY</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23921-2024</t>
        </is>
      </c>
      <c r="B11402" s="1" t="n">
        <v>45455</v>
      </c>
      <c r="C11402" s="1" t="n">
        <v>45715</v>
      </c>
      <c r="D11402" t="inlineStr">
        <is>
          <t>KALMAR LÄN</t>
        </is>
      </c>
      <c r="E11402" t="inlineStr">
        <is>
          <t>MÖNSTERÅS</t>
        </is>
      </c>
      <c r="G11402" t="n">
        <v>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23873-2024</t>
        </is>
      </c>
      <c r="B11403" s="1" t="n">
        <v>45455</v>
      </c>
      <c r="C11403" s="1" t="n">
        <v>45715</v>
      </c>
      <c r="D11403" t="inlineStr">
        <is>
          <t>KALMAR LÄN</t>
        </is>
      </c>
      <c r="E11403" t="inlineStr">
        <is>
          <t>VÄSTERVIK</t>
        </is>
      </c>
      <c r="F11403" t="inlineStr">
        <is>
          <t>Övriga Aktiebolag</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23849-2024</t>
        </is>
      </c>
      <c r="B11404" s="1" t="n">
        <v>45455</v>
      </c>
      <c r="C11404" s="1" t="n">
        <v>45715</v>
      </c>
      <c r="D11404" t="inlineStr">
        <is>
          <t>KALMAR LÄN</t>
        </is>
      </c>
      <c r="E11404" t="inlineStr">
        <is>
          <t>HULTSFRED</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23837-2024</t>
        </is>
      </c>
      <c r="B11405" s="1" t="n">
        <v>45455</v>
      </c>
      <c r="C11405" s="1" t="n">
        <v>45715</v>
      </c>
      <c r="D11405" t="inlineStr">
        <is>
          <t>KALMAR LÄN</t>
        </is>
      </c>
      <c r="E11405" t="inlineStr">
        <is>
          <t>HULTSFRED</t>
        </is>
      </c>
      <c r="F11405" t="inlineStr">
        <is>
          <t>Kyrkan</t>
        </is>
      </c>
      <c r="G11405" t="n">
        <v>8.1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23920-2024</t>
        </is>
      </c>
      <c r="B11406" s="1" t="n">
        <v>45456</v>
      </c>
      <c r="C11406" s="1" t="n">
        <v>45715</v>
      </c>
      <c r="D11406" t="inlineStr">
        <is>
          <t>KALMAR LÄN</t>
        </is>
      </c>
      <c r="E11406" t="inlineStr">
        <is>
          <t>MÖNSTERÅS</t>
        </is>
      </c>
      <c r="F11406" t="inlineStr">
        <is>
          <t>Övriga Aktiebolag</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23852-2024</t>
        </is>
      </c>
      <c r="B11407" s="1" t="n">
        <v>45455</v>
      </c>
      <c r="C11407" s="1" t="n">
        <v>45715</v>
      </c>
      <c r="D11407" t="inlineStr">
        <is>
          <t>KALMAR LÄN</t>
        </is>
      </c>
      <c r="E11407" t="inlineStr">
        <is>
          <t>HULTSFRED</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23847-2024</t>
        </is>
      </c>
      <c r="B11408" s="1" t="n">
        <v>45455</v>
      </c>
      <c r="C11408" s="1" t="n">
        <v>45715</v>
      </c>
      <c r="D11408" t="inlineStr">
        <is>
          <t>KALMAR LÄN</t>
        </is>
      </c>
      <c r="E11408" t="inlineStr">
        <is>
          <t>HULTSFRED</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24096-2024</t>
        </is>
      </c>
      <c r="B11409" s="1" t="n">
        <v>45456</v>
      </c>
      <c r="C11409" s="1" t="n">
        <v>45715</v>
      </c>
      <c r="D11409" t="inlineStr">
        <is>
          <t>KALMAR LÄN</t>
        </is>
      </c>
      <c r="E11409" t="inlineStr">
        <is>
          <t>VIMMERBY</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23983-2024</t>
        </is>
      </c>
      <c r="B11410" s="1" t="n">
        <v>45456</v>
      </c>
      <c r="C11410" s="1" t="n">
        <v>45715</v>
      </c>
      <c r="D11410" t="inlineStr">
        <is>
          <t>KALMAR LÄN</t>
        </is>
      </c>
      <c r="E11410" t="inlineStr">
        <is>
          <t>VÄSTERVIK</t>
        </is>
      </c>
      <c r="G11410" t="n">
        <v>2.8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23978-2024</t>
        </is>
      </c>
      <c r="B11411" s="1" t="n">
        <v>45456</v>
      </c>
      <c r="C11411" s="1" t="n">
        <v>45715</v>
      </c>
      <c r="D11411" t="inlineStr">
        <is>
          <t>KALMAR LÄN</t>
        </is>
      </c>
      <c r="E11411" t="inlineStr">
        <is>
          <t>HULTSFRED</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23990-2024</t>
        </is>
      </c>
      <c r="B11412" s="1" t="n">
        <v>45456</v>
      </c>
      <c r="C11412" s="1" t="n">
        <v>45715</v>
      </c>
      <c r="D11412" t="inlineStr">
        <is>
          <t>KALMAR LÄN</t>
        </is>
      </c>
      <c r="E11412" t="inlineStr">
        <is>
          <t>TORSÅS</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23995-2024</t>
        </is>
      </c>
      <c r="B11413" s="1" t="n">
        <v>45456</v>
      </c>
      <c r="C11413" s="1" t="n">
        <v>45715</v>
      </c>
      <c r="D11413" t="inlineStr">
        <is>
          <t>KALMAR LÄN</t>
        </is>
      </c>
      <c r="E11413" t="inlineStr">
        <is>
          <t>NYBRO</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24334-2024</t>
        </is>
      </c>
      <c r="B11414" s="1" t="n">
        <v>45457</v>
      </c>
      <c r="C11414" s="1" t="n">
        <v>45715</v>
      </c>
      <c r="D11414" t="inlineStr">
        <is>
          <t>KALMAR LÄN</t>
        </is>
      </c>
      <c r="E11414" t="inlineStr">
        <is>
          <t>HULTSFRED</t>
        </is>
      </c>
      <c r="G11414" t="n">
        <v>3.3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24488-2024</t>
        </is>
      </c>
      <c r="B11415" s="1" t="n">
        <v>45459</v>
      </c>
      <c r="C11415" s="1" t="n">
        <v>45715</v>
      </c>
      <c r="D11415" t="inlineStr">
        <is>
          <t>KALMAR LÄN</t>
        </is>
      </c>
      <c r="E11415" t="inlineStr">
        <is>
          <t>MÖNSTERÅS</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24487-2024</t>
        </is>
      </c>
      <c r="B11416" s="1" t="n">
        <v>45459</v>
      </c>
      <c r="C11416" s="1" t="n">
        <v>45715</v>
      </c>
      <c r="D11416" t="inlineStr">
        <is>
          <t>KALMAR LÄN</t>
        </is>
      </c>
      <c r="E11416" t="inlineStr">
        <is>
          <t>MÖNSTERÅS</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24699-2024</t>
        </is>
      </c>
      <c r="B11417" s="1" t="n">
        <v>45460</v>
      </c>
      <c r="C11417" s="1" t="n">
        <v>45715</v>
      </c>
      <c r="D11417" t="inlineStr">
        <is>
          <t>KALMAR LÄN</t>
        </is>
      </c>
      <c r="E11417" t="inlineStr">
        <is>
          <t>VIMMERBY</t>
        </is>
      </c>
      <c r="G11417" t="n">
        <v>5.9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24707-2024</t>
        </is>
      </c>
      <c r="B11418" s="1" t="n">
        <v>45460</v>
      </c>
      <c r="C11418" s="1" t="n">
        <v>45715</v>
      </c>
      <c r="D11418" t="inlineStr">
        <is>
          <t>KALMAR LÄN</t>
        </is>
      </c>
      <c r="E11418" t="inlineStr">
        <is>
          <t>VIMMERBY</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24735-2024</t>
        </is>
      </c>
      <c r="B11419" s="1" t="n">
        <v>45460</v>
      </c>
      <c r="C11419" s="1" t="n">
        <v>45715</v>
      </c>
      <c r="D11419" t="inlineStr">
        <is>
          <t>KALMAR LÄN</t>
        </is>
      </c>
      <c r="E11419" t="inlineStr">
        <is>
          <t>OSKARSHAMN</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24612-2024</t>
        </is>
      </c>
      <c r="B11420" s="1" t="n">
        <v>45460</v>
      </c>
      <c r="C11420" s="1" t="n">
        <v>45715</v>
      </c>
      <c r="D11420" t="inlineStr">
        <is>
          <t>KALMAR LÄN</t>
        </is>
      </c>
      <c r="E11420" t="inlineStr">
        <is>
          <t>HÖGSBY</t>
        </is>
      </c>
      <c r="F11420" t="inlineStr">
        <is>
          <t>Sveaskog</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24600-2024</t>
        </is>
      </c>
      <c r="B11421" s="1" t="n">
        <v>45460</v>
      </c>
      <c r="C11421" s="1" t="n">
        <v>45715</v>
      </c>
      <c r="D11421" t="inlineStr">
        <is>
          <t>KALMAR LÄN</t>
        </is>
      </c>
      <c r="E11421" t="inlineStr">
        <is>
          <t>VÄSTERVIK</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24596-2024</t>
        </is>
      </c>
      <c r="B11422" s="1" t="n">
        <v>45460</v>
      </c>
      <c r="C11422" s="1" t="n">
        <v>45715</v>
      </c>
      <c r="D11422" t="inlineStr">
        <is>
          <t>KALMAR LÄN</t>
        </is>
      </c>
      <c r="E11422" t="inlineStr">
        <is>
          <t>VÄSTERVIK</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24592-2024</t>
        </is>
      </c>
      <c r="B11423" s="1" t="n">
        <v>45460</v>
      </c>
      <c r="C11423" s="1" t="n">
        <v>45715</v>
      </c>
      <c r="D11423" t="inlineStr">
        <is>
          <t>KALMAR LÄN</t>
        </is>
      </c>
      <c r="E11423" t="inlineStr">
        <is>
          <t>VÄSTERVIK</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24584-2024</t>
        </is>
      </c>
      <c r="B11424" s="1" t="n">
        <v>45460</v>
      </c>
      <c r="C11424" s="1" t="n">
        <v>45715</v>
      </c>
      <c r="D11424" t="inlineStr">
        <is>
          <t>KALMAR LÄN</t>
        </is>
      </c>
      <c r="E11424" t="inlineStr">
        <is>
          <t>VÄSTERVIK</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24571-2024</t>
        </is>
      </c>
      <c r="B11425" s="1" t="n">
        <v>45460</v>
      </c>
      <c r="C11425" s="1" t="n">
        <v>45715</v>
      </c>
      <c r="D11425" t="inlineStr">
        <is>
          <t>KALMAR LÄN</t>
        </is>
      </c>
      <c r="E11425" t="inlineStr">
        <is>
          <t>VÄSTERVIK</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24567-2024</t>
        </is>
      </c>
      <c r="B11426" s="1" t="n">
        <v>45460</v>
      </c>
      <c r="C11426" s="1" t="n">
        <v>45715</v>
      </c>
      <c r="D11426" t="inlineStr">
        <is>
          <t>KALMAR LÄN</t>
        </is>
      </c>
      <c r="E11426" t="inlineStr">
        <is>
          <t>VÄSTERVIK</t>
        </is>
      </c>
      <c r="G11426" t="n">
        <v>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24517-2024</t>
        </is>
      </c>
      <c r="B11427" s="1" t="n">
        <v>45460</v>
      </c>
      <c r="C11427" s="1" t="n">
        <v>45715</v>
      </c>
      <c r="D11427" t="inlineStr">
        <is>
          <t>KALMAR LÄN</t>
        </is>
      </c>
      <c r="E11427" t="inlineStr">
        <is>
          <t>HULTSFRED</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24536-2024</t>
        </is>
      </c>
      <c r="B11428" s="1" t="n">
        <v>45460</v>
      </c>
      <c r="C11428" s="1" t="n">
        <v>45715</v>
      </c>
      <c r="D11428" t="inlineStr">
        <is>
          <t>KALMAR LÄN</t>
        </is>
      </c>
      <c r="E11428" t="inlineStr">
        <is>
          <t>VÄSTERVIK</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24565-2024</t>
        </is>
      </c>
      <c r="B11429" s="1" t="n">
        <v>45460</v>
      </c>
      <c r="C11429" s="1" t="n">
        <v>45715</v>
      </c>
      <c r="D11429" t="inlineStr">
        <is>
          <t>KALMAR LÄN</t>
        </is>
      </c>
      <c r="E11429" t="inlineStr">
        <is>
          <t>EMMABODA</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24643-2024</t>
        </is>
      </c>
      <c r="B11430" s="1" t="n">
        <v>45460</v>
      </c>
      <c r="C11430" s="1" t="n">
        <v>45715</v>
      </c>
      <c r="D11430" t="inlineStr">
        <is>
          <t>KALMAR LÄN</t>
        </is>
      </c>
      <c r="E11430" t="inlineStr">
        <is>
          <t>KALMAR</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24611-2024</t>
        </is>
      </c>
      <c r="B11431" s="1" t="n">
        <v>45460</v>
      </c>
      <c r="C11431" s="1" t="n">
        <v>45715</v>
      </c>
      <c r="D11431" t="inlineStr">
        <is>
          <t>KALMAR LÄN</t>
        </is>
      </c>
      <c r="E11431" t="inlineStr">
        <is>
          <t>HÖGSBY</t>
        </is>
      </c>
      <c r="F11431" t="inlineStr">
        <is>
          <t>Sveaskog</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24578-2024</t>
        </is>
      </c>
      <c r="B11432" s="1" t="n">
        <v>45460</v>
      </c>
      <c r="C11432" s="1" t="n">
        <v>45715</v>
      </c>
      <c r="D11432" t="inlineStr">
        <is>
          <t>KALMAR LÄN</t>
        </is>
      </c>
      <c r="E11432" t="inlineStr">
        <is>
          <t>VÄSTERVIK</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24562-2024</t>
        </is>
      </c>
      <c r="B11433" s="1" t="n">
        <v>45460</v>
      </c>
      <c r="C11433" s="1" t="n">
        <v>45715</v>
      </c>
      <c r="D11433" t="inlineStr">
        <is>
          <t>KALMAR LÄN</t>
        </is>
      </c>
      <c r="E11433" t="inlineStr">
        <is>
          <t>VÄSTERVIK</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24518-2024</t>
        </is>
      </c>
      <c r="B11434" s="1" t="n">
        <v>45460</v>
      </c>
      <c r="C11434" s="1" t="n">
        <v>45715</v>
      </c>
      <c r="D11434" t="inlineStr">
        <is>
          <t>KALMAR LÄN</t>
        </is>
      </c>
      <c r="E11434" t="inlineStr">
        <is>
          <t>HULTSFRED</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24745-2024</t>
        </is>
      </c>
      <c r="B11435" s="1" t="n">
        <v>45460</v>
      </c>
      <c r="C11435" s="1" t="n">
        <v>45715</v>
      </c>
      <c r="D11435" t="inlineStr">
        <is>
          <t>KALMAR LÄN</t>
        </is>
      </c>
      <c r="E11435" t="inlineStr">
        <is>
          <t>VIMMERBY</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24516-2024</t>
        </is>
      </c>
      <c r="B11436" s="1" t="n">
        <v>45460</v>
      </c>
      <c r="C11436" s="1" t="n">
        <v>45715</v>
      </c>
      <c r="D11436" t="inlineStr">
        <is>
          <t>KALMAR LÄN</t>
        </is>
      </c>
      <c r="E11436" t="inlineStr">
        <is>
          <t>HULTSFRED</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24572-2024</t>
        </is>
      </c>
      <c r="B11437" s="1" t="n">
        <v>45460</v>
      </c>
      <c r="C11437" s="1" t="n">
        <v>45715</v>
      </c>
      <c r="D11437" t="inlineStr">
        <is>
          <t>KALMAR LÄN</t>
        </is>
      </c>
      <c r="E11437" t="inlineStr">
        <is>
          <t>VÄSTERVIK</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24601-2024</t>
        </is>
      </c>
      <c r="B11438" s="1" t="n">
        <v>45460</v>
      </c>
      <c r="C11438" s="1" t="n">
        <v>45715</v>
      </c>
      <c r="D11438" t="inlineStr">
        <is>
          <t>KALMAR LÄN</t>
        </is>
      </c>
      <c r="E11438" t="inlineStr">
        <is>
          <t>HÖGSBY</t>
        </is>
      </c>
      <c r="F11438" t="inlineStr">
        <is>
          <t>Sveaskog</t>
        </is>
      </c>
      <c r="G11438" t="n">
        <v>14.7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24609-2024</t>
        </is>
      </c>
      <c r="B11439" s="1" t="n">
        <v>45460</v>
      </c>
      <c r="C11439" s="1" t="n">
        <v>45715</v>
      </c>
      <c r="D11439" t="inlineStr">
        <is>
          <t>KALMAR LÄN</t>
        </is>
      </c>
      <c r="E11439" t="inlineStr">
        <is>
          <t>HÖGSBY</t>
        </is>
      </c>
      <c r="F11439" t="inlineStr">
        <is>
          <t>Sveaskog</t>
        </is>
      </c>
      <c r="G11439" t="n">
        <v>7.7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24649-2024</t>
        </is>
      </c>
      <c r="B11440" s="1" t="n">
        <v>45460</v>
      </c>
      <c r="C11440" s="1" t="n">
        <v>45715</v>
      </c>
      <c r="D11440" t="inlineStr">
        <is>
          <t>KALMAR LÄN</t>
        </is>
      </c>
      <c r="E11440" t="inlineStr">
        <is>
          <t>KALMAR</t>
        </is>
      </c>
      <c r="G11440" t="n">
        <v>5.8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24525-2024</t>
        </is>
      </c>
      <c r="B11441" s="1" t="n">
        <v>45460</v>
      </c>
      <c r="C11441" s="1" t="n">
        <v>45715</v>
      </c>
      <c r="D11441" t="inlineStr">
        <is>
          <t>KALMAR LÄN</t>
        </is>
      </c>
      <c r="E11441" t="inlineStr">
        <is>
          <t>VIMMERBY</t>
        </is>
      </c>
      <c r="G11441" t="n">
        <v>4.2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24642-2024</t>
        </is>
      </c>
      <c r="B11442" s="1" t="n">
        <v>45460</v>
      </c>
      <c r="C11442" s="1" t="n">
        <v>45715</v>
      </c>
      <c r="D11442" t="inlineStr">
        <is>
          <t>KALMAR LÄN</t>
        </is>
      </c>
      <c r="E11442" t="inlineStr">
        <is>
          <t>OSKARSHAMN</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24646-2024</t>
        </is>
      </c>
      <c r="B11443" s="1" t="n">
        <v>45460</v>
      </c>
      <c r="C11443" s="1" t="n">
        <v>45715</v>
      </c>
      <c r="D11443" t="inlineStr">
        <is>
          <t>KALMAR LÄN</t>
        </is>
      </c>
      <c r="E11443" t="inlineStr">
        <is>
          <t>KALMAR</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24845-2024</t>
        </is>
      </c>
      <c r="B11444" s="1" t="n">
        <v>45461</v>
      </c>
      <c r="C11444" s="1" t="n">
        <v>45715</v>
      </c>
      <c r="D11444" t="inlineStr">
        <is>
          <t>KALMAR LÄN</t>
        </is>
      </c>
      <c r="E11444" t="inlineStr">
        <is>
          <t>NYBRO</t>
        </is>
      </c>
      <c r="F11444" t="inlineStr">
        <is>
          <t>Sveaskog</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24898-2024</t>
        </is>
      </c>
      <c r="B11445" s="1" t="n">
        <v>45461</v>
      </c>
      <c r="C11445" s="1" t="n">
        <v>45715</v>
      </c>
      <c r="D11445" t="inlineStr">
        <is>
          <t>KALMAR LÄN</t>
        </is>
      </c>
      <c r="E11445" t="inlineStr">
        <is>
          <t>HÖGSBY</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24869-2024</t>
        </is>
      </c>
      <c r="B11446" s="1" t="n">
        <v>45461</v>
      </c>
      <c r="C11446" s="1" t="n">
        <v>45715</v>
      </c>
      <c r="D11446" t="inlineStr">
        <is>
          <t>KALMAR LÄN</t>
        </is>
      </c>
      <c r="E11446" t="inlineStr">
        <is>
          <t>EMMABODA</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24912-2024</t>
        </is>
      </c>
      <c r="B11447" s="1" t="n">
        <v>45461</v>
      </c>
      <c r="C11447" s="1" t="n">
        <v>45715</v>
      </c>
      <c r="D11447" t="inlineStr">
        <is>
          <t>KALMAR LÄN</t>
        </is>
      </c>
      <c r="E11447" t="inlineStr">
        <is>
          <t>NYBRO</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24867-2024</t>
        </is>
      </c>
      <c r="B11448" s="1" t="n">
        <v>45461</v>
      </c>
      <c r="C11448" s="1" t="n">
        <v>45715</v>
      </c>
      <c r="D11448" t="inlineStr">
        <is>
          <t>KALMAR LÄN</t>
        </is>
      </c>
      <c r="E11448" t="inlineStr">
        <is>
          <t>EMMABODA</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24960-2024</t>
        </is>
      </c>
      <c r="B11449" s="1" t="n">
        <v>45461</v>
      </c>
      <c r="C11449" s="1" t="n">
        <v>45715</v>
      </c>
      <c r="D11449" t="inlineStr">
        <is>
          <t>KALMAR LÄN</t>
        </is>
      </c>
      <c r="E11449" t="inlineStr">
        <is>
          <t>EMMABODA</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24988-2024</t>
        </is>
      </c>
      <c r="B11450" s="1" t="n">
        <v>45461</v>
      </c>
      <c r="C11450" s="1" t="n">
        <v>45715</v>
      </c>
      <c r="D11450" t="inlineStr">
        <is>
          <t>KALMAR LÄN</t>
        </is>
      </c>
      <c r="E11450" t="inlineStr">
        <is>
          <t>VÄSTERVIK</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25149-2024</t>
        </is>
      </c>
      <c r="B11451" s="1" t="n">
        <v>45462</v>
      </c>
      <c r="C11451" s="1" t="n">
        <v>45715</v>
      </c>
      <c r="D11451" t="inlineStr">
        <is>
          <t>KALMAR LÄN</t>
        </is>
      </c>
      <c r="E11451" t="inlineStr">
        <is>
          <t>HULTSFRED</t>
        </is>
      </c>
      <c r="G11451" t="n">
        <v>6.2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25102-2024</t>
        </is>
      </c>
      <c r="B11452" s="1" t="n">
        <v>45462</v>
      </c>
      <c r="C11452" s="1" t="n">
        <v>45715</v>
      </c>
      <c r="D11452" t="inlineStr">
        <is>
          <t>KALMAR LÄN</t>
        </is>
      </c>
      <c r="E11452" t="inlineStr">
        <is>
          <t>KALMAR</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25196-2024</t>
        </is>
      </c>
      <c r="B11453" s="1" t="n">
        <v>45462</v>
      </c>
      <c r="C11453" s="1" t="n">
        <v>45715</v>
      </c>
      <c r="D11453" t="inlineStr">
        <is>
          <t>KALMAR LÄN</t>
        </is>
      </c>
      <c r="E11453" t="inlineStr">
        <is>
          <t>MÖNSTERÅS</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25190-2024</t>
        </is>
      </c>
      <c r="B11454" s="1" t="n">
        <v>45462</v>
      </c>
      <c r="C11454" s="1" t="n">
        <v>45715</v>
      </c>
      <c r="D11454" t="inlineStr">
        <is>
          <t>KALMAR LÄN</t>
        </is>
      </c>
      <c r="E11454" t="inlineStr">
        <is>
          <t>MÖNSTERÅS</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25304-2024</t>
        </is>
      </c>
      <c r="B11455" s="1" t="n">
        <v>45462</v>
      </c>
      <c r="C11455" s="1" t="n">
        <v>45715</v>
      </c>
      <c r="D11455" t="inlineStr">
        <is>
          <t>KALMAR LÄN</t>
        </is>
      </c>
      <c r="E11455" t="inlineStr">
        <is>
          <t>VIMMERBY</t>
        </is>
      </c>
      <c r="G11455" t="n">
        <v>7.5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25143-2024</t>
        </is>
      </c>
      <c r="B11456" s="1" t="n">
        <v>45462</v>
      </c>
      <c r="C11456" s="1" t="n">
        <v>45715</v>
      </c>
      <c r="D11456" t="inlineStr">
        <is>
          <t>KALMAR LÄN</t>
        </is>
      </c>
      <c r="E11456" t="inlineStr">
        <is>
          <t>VIMMERBY</t>
        </is>
      </c>
      <c r="F11456" t="inlineStr">
        <is>
          <t>Sveaskog</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25100-2024</t>
        </is>
      </c>
      <c r="B11457" s="1" t="n">
        <v>45462</v>
      </c>
      <c r="C11457" s="1" t="n">
        <v>45715</v>
      </c>
      <c r="D11457" t="inlineStr">
        <is>
          <t>KALMAR LÄN</t>
        </is>
      </c>
      <c r="E11457" t="inlineStr">
        <is>
          <t>KALMAR</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25600-2024</t>
        </is>
      </c>
      <c r="B11458" s="1" t="n">
        <v>45463</v>
      </c>
      <c r="C11458" s="1" t="n">
        <v>45715</v>
      </c>
      <c r="D11458" t="inlineStr">
        <is>
          <t>KALMAR LÄN</t>
        </is>
      </c>
      <c r="E11458" t="inlineStr">
        <is>
          <t>EMMABODA</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25594-2024</t>
        </is>
      </c>
      <c r="B11459" s="1" t="n">
        <v>45463</v>
      </c>
      <c r="C11459" s="1" t="n">
        <v>45715</v>
      </c>
      <c r="D11459" t="inlineStr">
        <is>
          <t>KALMAR LÄN</t>
        </is>
      </c>
      <c r="E11459" t="inlineStr">
        <is>
          <t>KALMAR</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25582-2024</t>
        </is>
      </c>
      <c r="B11460" s="1" t="n">
        <v>45463</v>
      </c>
      <c r="C11460" s="1" t="n">
        <v>45715</v>
      </c>
      <c r="D11460" t="inlineStr">
        <is>
          <t>KALMAR LÄN</t>
        </is>
      </c>
      <c r="E11460" t="inlineStr">
        <is>
          <t>VIMMERBY</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25547-2024</t>
        </is>
      </c>
      <c r="B11461" s="1" t="n">
        <v>45463</v>
      </c>
      <c r="C11461" s="1" t="n">
        <v>45715</v>
      </c>
      <c r="D11461" t="inlineStr">
        <is>
          <t>KALMAR LÄN</t>
        </is>
      </c>
      <c r="E11461" t="inlineStr">
        <is>
          <t>NYBRO</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25597-2024</t>
        </is>
      </c>
      <c r="B11462" s="1" t="n">
        <v>45463</v>
      </c>
      <c r="C11462" s="1" t="n">
        <v>45715</v>
      </c>
      <c r="D11462" t="inlineStr">
        <is>
          <t>KALMAR LÄN</t>
        </is>
      </c>
      <c r="E11462" t="inlineStr">
        <is>
          <t>KALMAR</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25561-2024</t>
        </is>
      </c>
      <c r="B11463" s="1" t="n">
        <v>45463</v>
      </c>
      <c r="C11463" s="1" t="n">
        <v>45715</v>
      </c>
      <c r="D11463" t="inlineStr">
        <is>
          <t>KALMAR LÄN</t>
        </is>
      </c>
      <c r="E11463" t="inlineStr">
        <is>
          <t>VÄSTERVIK</t>
        </is>
      </c>
      <c r="F11463" t="inlineStr">
        <is>
          <t>Holmen skog AB</t>
        </is>
      </c>
      <c r="G11463" t="n">
        <v>7.2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25480-2024</t>
        </is>
      </c>
      <c r="B11464" s="1" t="n">
        <v>45463</v>
      </c>
      <c r="C11464" s="1" t="n">
        <v>45715</v>
      </c>
      <c r="D11464" t="inlineStr">
        <is>
          <t>KALMAR LÄN</t>
        </is>
      </c>
      <c r="E11464" t="inlineStr">
        <is>
          <t>HULTSFRED</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25415-2024</t>
        </is>
      </c>
      <c r="B11465" s="1" t="n">
        <v>45463</v>
      </c>
      <c r="C11465" s="1" t="n">
        <v>45715</v>
      </c>
      <c r="D11465" t="inlineStr">
        <is>
          <t>KALMAR LÄN</t>
        </is>
      </c>
      <c r="E11465" t="inlineStr">
        <is>
          <t>VIMMERBY</t>
        </is>
      </c>
      <c r="G11465" t="n">
        <v>4.5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25400-2024</t>
        </is>
      </c>
      <c r="B11466" s="1" t="n">
        <v>45463</v>
      </c>
      <c r="C11466" s="1" t="n">
        <v>45715</v>
      </c>
      <c r="D11466" t="inlineStr">
        <is>
          <t>KALMAR LÄN</t>
        </is>
      </c>
      <c r="E11466" t="inlineStr">
        <is>
          <t>OSKARSHAMN</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25447-2024</t>
        </is>
      </c>
      <c r="B11467" s="1" t="n">
        <v>45463</v>
      </c>
      <c r="C11467" s="1" t="n">
        <v>45715</v>
      </c>
      <c r="D11467" t="inlineStr">
        <is>
          <t>KALMAR LÄN</t>
        </is>
      </c>
      <c r="E11467" t="inlineStr">
        <is>
          <t>OSKARSHAMN</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25442-2024</t>
        </is>
      </c>
      <c r="B11468" s="1" t="n">
        <v>45463</v>
      </c>
      <c r="C11468" s="1" t="n">
        <v>45715</v>
      </c>
      <c r="D11468" t="inlineStr">
        <is>
          <t>KALMAR LÄN</t>
        </is>
      </c>
      <c r="E11468" t="inlineStr">
        <is>
          <t>OSKARSHAMN</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25436-2024</t>
        </is>
      </c>
      <c r="B11469" s="1" t="n">
        <v>45463</v>
      </c>
      <c r="C11469" s="1" t="n">
        <v>45715</v>
      </c>
      <c r="D11469" t="inlineStr">
        <is>
          <t>KALMAR LÄN</t>
        </is>
      </c>
      <c r="E11469" t="inlineStr">
        <is>
          <t>OSKARSHAMN</t>
        </is>
      </c>
      <c r="F11469" t="inlineStr">
        <is>
          <t>Kommuner</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25444-2024</t>
        </is>
      </c>
      <c r="B11470" s="1" t="n">
        <v>45463</v>
      </c>
      <c r="C11470" s="1" t="n">
        <v>45715</v>
      </c>
      <c r="D11470" t="inlineStr">
        <is>
          <t>KALMAR LÄN</t>
        </is>
      </c>
      <c r="E11470" t="inlineStr">
        <is>
          <t>OSKARSHAMN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25429-2024</t>
        </is>
      </c>
      <c r="B11471" s="1" t="n">
        <v>45463</v>
      </c>
      <c r="C11471" s="1" t="n">
        <v>45715</v>
      </c>
      <c r="D11471" t="inlineStr">
        <is>
          <t>KALMAR LÄN</t>
        </is>
      </c>
      <c r="E11471" t="inlineStr">
        <is>
          <t>VÄSTERVIK</t>
        </is>
      </c>
      <c r="F11471" t="inlineStr">
        <is>
          <t>Holmen skog AB</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25783-2024</t>
        </is>
      </c>
      <c r="B11472" s="1" t="n">
        <v>45466</v>
      </c>
      <c r="C11472" s="1" t="n">
        <v>45715</v>
      </c>
      <c r="D11472" t="inlineStr">
        <is>
          <t>KALMAR LÄN</t>
        </is>
      </c>
      <c r="E11472" t="inlineStr">
        <is>
          <t>EMMABODA</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25878-2024</t>
        </is>
      </c>
      <c r="B11473" s="1" t="n">
        <v>45467</v>
      </c>
      <c r="C11473" s="1" t="n">
        <v>45715</v>
      </c>
      <c r="D11473" t="inlineStr">
        <is>
          <t>KALMAR LÄN</t>
        </is>
      </c>
      <c r="E11473" t="inlineStr">
        <is>
          <t>HULTSFRED</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25882-2024</t>
        </is>
      </c>
      <c r="B11474" s="1" t="n">
        <v>45467</v>
      </c>
      <c r="C11474" s="1" t="n">
        <v>45715</v>
      </c>
      <c r="D11474" t="inlineStr">
        <is>
          <t>KALMAR LÄN</t>
        </is>
      </c>
      <c r="E11474" t="inlineStr">
        <is>
          <t>VÄSTERVIK</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25879-2024</t>
        </is>
      </c>
      <c r="B11475" s="1" t="n">
        <v>45467</v>
      </c>
      <c r="C11475" s="1" t="n">
        <v>45715</v>
      </c>
      <c r="D11475" t="inlineStr">
        <is>
          <t>KALMAR LÄN</t>
        </is>
      </c>
      <c r="E11475" t="inlineStr">
        <is>
          <t>HULTSFRED</t>
        </is>
      </c>
      <c r="G11475" t="n">
        <v>3.7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25948-2024</t>
        </is>
      </c>
      <c r="B11476" s="1" t="n">
        <v>45467</v>
      </c>
      <c r="C11476" s="1" t="n">
        <v>45715</v>
      </c>
      <c r="D11476" t="inlineStr">
        <is>
          <t>KALMAR LÄN</t>
        </is>
      </c>
      <c r="E11476" t="inlineStr">
        <is>
          <t>HULTSFRED</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25974-2024</t>
        </is>
      </c>
      <c r="B11477" s="1" t="n">
        <v>45467</v>
      </c>
      <c r="C11477" s="1" t="n">
        <v>45715</v>
      </c>
      <c r="D11477" t="inlineStr">
        <is>
          <t>KALMAR LÄN</t>
        </is>
      </c>
      <c r="E11477" t="inlineStr">
        <is>
          <t>HULTSFRED</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25987-2024</t>
        </is>
      </c>
      <c r="B11478" s="1" t="n">
        <v>45467</v>
      </c>
      <c r="C11478" s="1" t="n">
        <v>45715</v>
      </c>
      <c r="D11478" t="inlineStr">
        <is>
          <t>KALMAR LÄN</t>
        </is>
      </c>
      <c r="E11478" t="inlineStr">
        <is>
          <t>VIMMERBY</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26298-2024</t>
        </is>
      </c>
      <c r="B11479" s="1" t="n">
        <v>45468</v>
      </c>
      <c r="C11479" s="1" t="n">
        <v>45715</v>
      </c>
      <c r="D11479" t="inlineStr">
        <is>
          <t>KALMAR LÄN</t>
        </is>
      </c>
      <c r="E11479" t="inlineStr">
        <is>
          <t>EMMABODA</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26208-2024</t>
        </is>
      </c>
      <c r="B11480" s="1" t="n">
        <v>45468</v>
      </c>
      <c r="C11480" s="1" t="n">
        <v>45715</v>
      </c>
      <c r="D11480" t="inlineStr">
        <is>
          <t>KALMAR LÄN</t>
        </is>
      </c>
      <c r="E11480" t="inlineStr">
        <is>
          <t>OSKARSHAMN</t>
        </is>
      </c>
      <c r="F11480" t="inlineStr">
        <is>
          <t>Kommuner</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26267-2024</t>
        </is>
      </c>
      <c r="B11481" s="1" t="n">
        <v>45468</v>
      </c>
      <c r="C11481" s="1" t="n">
        <v>45715</v>
      </c>
      <c r="D11481" t="inlineStr">
        <is>
          <t>KALMAR LÄN</t>
        </is>
      </c>
      <c r="E11481" t="inlineStr">
        <is>
          <t>EMMABODA</t>
        </is>
      </c>
      <c r="F11481" t="inlineStr">
        <is>
          <t>Sveaskog</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26445-2024</t>
        </is>
      </c>
      <c r="B11482" s="1" t="n">
        <v>45468</v>
      </c>
      <c r="C11482" s="1" t="n">
        <v>45715</v>
      </c>
      <c r="D11482" t="inlineStr">
        <is>
          <t>KALMAR LÄN</t>
        </is>
      </c>
      <c r="E11482" t="inlineStr">
        <is>
          <t>VIMMERBY</t>
        </is>
      </c>
      <c r="G11482" t="n">
        <v>7.8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26285-2024</t>
        </is>
      </c>
      <c r="B11483" s="1" t="n">
        <v>45468</v>
      </c>
      <c r="C11483" s="1" t="n">
        <v>45715</v>
      </c>
      <c r="D11483" t="inlineStr">
        <is>
          <t>KALMAR LÄN</t>
        </is>
      </c>
      <c r="E11483" t="inlineStr">
        <is>
          <t>VÄSTERVIK</t>
        </is>
      </c>
      <c r="F11483" t="inlineStr">
        <is>
          <t>Holmen skog AB</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26273-2024</t>
        </is>
      </c>
      <c r="B11484" s="1" t="n">
        <v>45468</v>
      </c>
      <c r="C11484" s="1" t="n">
        <v>45715</v>
      </c>
      <c r="D11484" t="inlineStr">
        <is>
          <t>KALMAR LÄN</t>
        </is>
      </c>
      <c r="E11484" t="inlineStr">
        <is>
          <t>EMMABODA</t>
        </is>
      </c>
      <c r="F11484" t="inlineStr">
        <is>
          <t>Sveaskog</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26140-2024</t>
        </is>
      </c>
      <c r="B11485" s="1" t="n">
        <v>45468</v>
      </c>
      <c r="C11485" s="1" t="n">
        <v>45715</v>
      </c>
      <c r="D11485" t="inlineStr">
        <is>
          <t>KALMAR LÄN</t>
        </is>
      </c>
      <c r="E11485" t="inlineStr">
        <is>
          <t>VÄSTERVIK</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26066-2024</t>
        </is>
      </c>
      <c r="B11486" s="1" t="n">
        <v>45468</v>
      </c>
      <c r="C11486" s="1" t="n">
        <v>45715</v>
      </c>
      <c r="D11486" t="inlineStr">
        <is>
          <t>KALMAR LÄN</t>
        </is>
      </c>
      <c r="E11486" t="inlineStr">
        <is>
          <t>VÄSTERVIK</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26061-2024</t>
        </is>
      </c>
      <c r="B11487" s="1" t="n">
        <v>45468</v>
      </c>
      <c r="C11487" s="1" t="n">
        <v>45715</v>
      </c>
      <c r="D11487" t="inlineStr">
        <is>
          <t>KALMAR LÄN</t>
        </is>
      </c>
      <c r="E11487" t="inlineStr">
        <is>
          <t>VÄSTERVIK</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26053-2024</t>
        </is>
      </c>
      <c r="B11488" s="1" t="n">
        <v>45468</v>
      </c>
      <c r="C11488" s="1" t="n">
        <v>45715</v>
      </c>
      <c r="D11488" t="inlineStr">
        <is>
          <t>KALMAR LÄN</t>
        </is>
      </c>
      <c r="E11488" t="inlineStr">
        <is>
          <t>VÄSTERVIK</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26442-2024</t>
        </is>
      </c>
      <c r="B11489" s="1" t="n">
        <v>45469</v>
      </c>
      <c r="C11489" s="1" t="n">
        <v>45715</v>
      </c>
      <c r="D11489" t="inlineStr">
        <is>
          <t>KALMAR LÄN</t>
        </is>
      </c>
      <c r="E11489" t="inlineStr">
        <is>
          <t>NYBRO</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26549-2024</t>
        </is>
      </c>
      <c r="B11490" s="1" t="n">
        <v>45469</v>
      </c>
      <c r="C11490" s="1" t="n">
        <v>45715</v>
      </c>
      <c r="D11490" t="inlineStr">
        <is>
          <t>KALMAR LÄN</t>
        </is>
      </c>
      <c r="E11490" t="inlineStr">
        <is>
          <t>OSKARSHAMN</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26553-2024</t>
        </is>
      </c>
      <c r="B11491" s="1" t="n">
        <v>45469</v>
      </c>
      <c r="C11491" s="1" t="n">
        <v>45715</v>
      </c>
      <c r="D11491" t="inlineStr">
        <is>
          <t>KALMAR LÄN</t>
        </is>
      </c>
      <c r="E11491" t="inlineStr">
        <is>
          <t>OSKARSHAMN</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26512-2024</t>
        </is>
      </c>
      <c r="B11492" s="1" t="n">
        <v>45469</v>
      </c>
      <c r="C11492" s="1" t="n">
        <v>45715</v>
      </c>
      <c r="D11492" t="inlineStr">
        <is>
          <t>KALMAR LÄN</t>
        </is>
      </c>
      <c r="E11492" t="inlineStr">
        <is>
          <t>OSKARSHAMN</t>
        </is>
      </c>
      <c r="G11492" t="n">
        <v>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26583-2024</t>
        </is>
      </c>
      <c r="B11493" s="1" t="n">
        <v>45469</v>
      </c>
      <c r="C11493" s="1" t="n">
        <v>45715</v>
      </c>
      <c r="D11493" t="inlineStr">
        <is>
          <t>KALMAR LÄN</t>
        </is>
      </c>
      <c r="E11493" t="inlineStr">
        <is>
          <t>OSKARSHAMN</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26579-2024</t>
        </is>
      </c>
      <c r="B11494" s="1" t="n">
        <v>45469</v>
      </c>
      <c r="C11494" s="1" t="n">
        <v>45715</v>
      </c>
      <c r="D11494" t="inlineStr">
        <is>
          <t>KALMAR LÄN</t>
        </is>
      </c>
      <c r="E11494" t="inlineStr">
        <is>
          <t>OSKARSHAMN</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26571-2024</t>
        </is>
      </c>
      <c r="B11495" s="1" t="n">
        <v>45469</v>
      </c>
      <c r="C11495" s="1" t="n">
        <v>45715</v>
      </c>
      <c r="D11495" t="inlineStr">
        <is>
          <t>KALMAR LÄN</t>
        </is>
      </c>
      <c r="E11495" t="inlineStr">
        <is>
          <t>OSKARSHAMN</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26555-2024</t>
        </is>
      </c>
      <c r="B11496" s="1" t="n">
        <v>45469</v>
      </c>
      <c r="C11496" s="1" t="n">
        <v>45715</v>
      </c>
      <c r="D11496" t="inlineStr">
        <is>
          <t>KALMAR LÄN</t>
        </is>
      </c>
      <c r="E11496" t="inlineStr">
        <is>
          <t>OSKARSHAMN</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26451-2024</t>
        </is>
      </c>
      <c r="B11497" s="1" t="n">
        <v>45469</v>
      </c>
      <c r="C11497" s="1" t="n">
        <v>45715</v>
      </c>
      <c r="D11497" t="inlineStr">
        <is>
          <t>KALMAR LÄN</t>
        </is>
      </c>
      <c r="E11497" t="inlineStr">
        <is>
          <t>OSKARSHAMN</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26585-2024</t>
        </is>
      </c>
      <c r="B11498" s="1" t="n">
        <v>45469</v>
      </c>
      <c r="C11498" s="1" t="n">
        <v>45715</v>
      </c>
      <c r="D11498" t="inlineStr">
        <is>
          <t>KALMAR LÄN</t>
        </is>
      </c>
      <c r="E11498" t="inlineStr">
        <is>
          <t>OSKARSHAMN</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26545-2024</t>
        </is>
      </c>
      <c r="B11499" s="1" t="n">
        <v>45469</v>
      </c>
      <c r="C11499" s="1" t="n">
        <v>45715</v>
      </c>
      <c r="D11499" t="inlineStr">
        <is>
          <t>KALMAR LÄN</t>
        </is>
      </c>
      <c r="E11499" t="inlineStr">
        <is>
          <t>HÖGSBY</t>
        </is>
      </c>
      <c r="F11499" t="inlineStr">
        <is>
          <t>Sveaskog</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26520-2024</t>
        </is>
      </c>
      <c r="B11500" s="1" t="n">
        <v>45469</v>
      </c>
      <c r="C11500" s="1" t="n">
        <v>45715</v>
      </c>
      <c r="D11500" t="inlineStr">
        <is>
          <t>KALMAR LÄN</t>
        </is>
      </c>
      <c r="E11500" t="inlineStr">
        <is>
          <t>OSKARSHAMN</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26620-2024</t>
        </is>
      </c>
      <c r="B11501" s="1" t="n">
        <v>45469</v>
      </c>
      <c r="C11501" s="1" t="n">
        <v>45715</v>
      </c>
      <c r="D11501" t="inlineStr">
        <is>
          <t>KALMAR LÄN</t>
        </is>
      </c>
      <c r="E11501" t="inlineStr">
        <is>
          <t>MÖNSTERÅS</t>
        </is>
      </c>
      <c r="F11501" t="inlineStr">
        <is>
          <t>Övriga Aktiebolag</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26903-2024</t>
        </is>
      </c>
      <c r="B11502" s="1" t="n">
        <v>45470</v>
      </c>
      <c r="C11502" s="1" t="n">
        <v>45715</v>
      </c>
      <c r="D11502" t="inlineStr">
        <is>
          <t>KALMAR LÄN</t>
        </is>
      </c>
      <c r="E11502" t="inlineStr">
        <is>
          <t>KALMAR</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26892-2024</t>
        </is>
      </c>
      <c r="B11503" s="1" t="n">
        <v>45470</v>
      </c>
      <c r="C11503" s="1" t="n">
        <v>45715</v>
      </c>
      <c r="D11503" t="inlineStr">
        <is>
          <t>KALMAR LÄN</t>
        </is>
      </c>
      <c r="E11503" t="inlineStr">
        <is>
          <t>NYBRO</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26893-2024</t>
        </is>
      </c>
      <c r="B11504" s="1" t="n">
        <v>45470</v>
      </c>
      <c r="C11504" s="1" t="n">
        <v>45715</v>
      </c>
      <c r="D11504" t="inlineStr">
        <is>
          <t>KALMAR LÄN</t>
        </is>
      </c>
      <c r="E11504" t="inlineStr">
        <is>
          <t>NYBRO</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26781-2024</t>
        </is>
      </c>
      <c r="B11505" s="1" t="n">
        <v>45470</v>
      </c>
      <c r="C11505" s="1" t="n">
        <v>45715</v>
      </c>
      <c r="D11505" t="inlineStr">
        <is>
          <t>KALMAR LÄN</t>
        </is>
      </c>
      <c r="E11505" t="inlineStr">
        <is>
          <t>OSKARSHAMN</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27048-2024</t>
        </is>
      </c>
      <c r="B11506" s="1" t="n">
        <v>45471</v>
      </c>
      <c r="C11506" s="1" t="n">
        <v>45715</v>
      </c>
      <c r="D11506" t="inlineStr">
        <is>
          <t>KALMAR LÄN</t>
        </is>
      </c>
      <c r="E11506" t="inlineStr">
        <is>
          <t>VIMMERBY</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27063-2024</t>
        </is>
      </c>
      <c r="B11507" s="1" t="n">
        <v>45471</v>
      </c>
      <c r="C11507" s="1" t="n">
        <v>45715</v>
      </c>
      <c r="D11507" t="inlineStr">
        <is>
          <t>KALMAR LÄN</t>
        </is>
      </c>
      <c r="E11507" t="inlineStr">
        <is>
          <t>VIMMERBY</t>
        </is>
      </c>
      <c r="G11507" t="n">
        <v>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27168-2024</t>
        </is>
      </c>
      <c r="B11508" s="1" t="n">
        <v>45471</v>
      </c>
      <c r="C11508" s="1" t="n">
        <v>45715</v>
      </c>
      <c r="D11508" t="inlineStr">
        <is>
          <t>KALMAR LÄN</t>
        </is>
      </c>
      <c r="E11508" t="inlineStr">
        <is>
          <t>EMMABODA</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27169-2024</t>
        </is>
      </c>
      <c r="B11509" s="1" t="n">
        <v>45471</v>
      </c>
      <c r="C11509" s="1" t="n">
        <v>45715</v>
      </c>
      <c r="D11509" t="inlineStr">
        <is>
          <t>KALMAR LÄN</t>
        </is>
      </c>
      <c r="E11509" t="inlineStr">
        <is>
          <t>HULTSFRED</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27219-2024</t>
        </is>
      </c>
      <c r="B11510" s="1" t="n">
        <v>45471</v>
      </c>
      <c r="C11510" s="1" t="n">
        <v>45715</v>
      </c>
      <c r="D11510" t="inlineStr">
        <is>
          <t>KALMAR LÄN</t>
        </is>
      </c>
      <c r="E11510" t="inlineStr">
        <is>
          <t>HULTSFRED</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27204-2024</t>
        </is>
      </c>
      <c r="B11511" s="1" t="n">
        <v>45471</v>
      </c>
      <c r="C11511" s="1" t="n">
        <v>45715</v>
      </c>
      <c r="D11511" t="inlineStr">
        <is>
          <t>KALMAR LÄN</t>
        </is>
      </c>
      <c r="E11511" t="inlineStr">
        <is>
          <t>HULTSFRED</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27241-2024</t>
        </is>
      </c>
      <c r="B11512" s="1" t="n">
        <v>45471</v>
      </c>
      <c r="C11512" s="1" t="n">
        <v>45715</v>
      </c>
      <c r="D11512" t="inlineStr">
        <is>
          <t>KALMAR LÄN</t>
        </is>
      </c>
      <c r="E11512" t="inlineStr">
        <is>
          <t>TORSÅS</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27210-2024</t>
        </is>
      </c>
      <c r="B11513" s="1" t="n">
        <v>45471</v>
      </c>
      <c r="C11513" s="1" t="n">
        <v>45715</v>
      </c>
      <c r="D11513" t="inlineStr">
        <is>
          <t>KALMAR LÄN</t>
        </is>
      </c>
      <c r="E11513" t="inlineStr">
        <is>
          <t>OSKARSHAMN</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27209-2024</t>
        </is>
      </c>
      <c r="B11514" s="1" t="n">
        <v>45471</v>
      </c>
      <c r="C11514" s="1" t="n">
        <v>45715</v>
      </c>
      <c r="D11514" t="inlineStr">
        <is>
          <t>KALMAR LÄN</t>
        </is>
      </c>
      <c r="E11514" t="inlineStr">
        <is>
          <t>HULTSFRED</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27094-2024</t>
        </is>
      </c>
      <c r="B11515" s="1" t="n">
        <v>45471</v>
      </c>
      <c r="C11515" s="1" t="n">
        <v>45715</v>
      </c>
      <c r="D11515" t="inlineStr">
        <is>
          <t>KALMAR LÄN</t>
        </is>
      </c>
      <c r="E11515" t="inlineStr">
        <is>
          <t>VÄSTERVIK</t>
        </is>
      </c>
      <c r="F11515" t="inlineStr">
        <is>
          <t>Holmen skog AB</t>
        </is>
      </c>
      <c r="G11515" t="n">
        <v>2.4</v>
      </c>
      <c r="H11515" t="n">
        <v>0</v>
      </c>
      <c r="I11515" t="n">
        <v>0</v>
      </c>
      <c r="J11515" t="n">
        <v>0</v>
      </c>
      <c r="K11515" t="n">
        <v>0</v>
      </c>
      <c r="L11515" t="n">
        <v>0</v>
      </c>
      <c r="M11515" t="n">
        <v>0</v>
      </c>
      <c r="N11515" t="n">
        <v>0</v>
      </c>
      <c r="O11515" t="n">
        <v>0</v>
      </c>
      <c r="P11515" t="n">
        <v>0</v>
      </c>
      <c r="Q11515" t="n">
        <v>0</v>
      </c>
      <c r="R11515" s="2" t="inlineStr"/>
      <c r="U11515">
        <f>HYPERLINK("https://klasma.github.io/Logging_0883/knärot/A 27094-2024 karta knärot.png", "A 27094-2024")</f>
        <v/>
      </c>
      <c r="V11515">
        <f>HYPERLINK("https://klasma.github.io/Logging_0883/klagomål/A 27094-2024 FSC-klagomål.docx", "A 27094-2024")</f>
        <v/>
      </c>
      <c r="W11515">
        <f>HYPERLINK("https://klasma.github.io/Logging_0883/klagomålsmail/A 27094-2024 FSC-klagomål mail.docx", "A 27094-2024")</f>
        <v/>
      </c>
      <c r="X11515">
        <f>HYPERLINK("https://klasma.github.io/Logging_0883/tillsyn/A 27094-2024 tillsynsbegäran.docx", "A 27094-2024")</f>
        <v/>
      </c>
      <c r="Y11515">
        <f>HYPERLINK("https://klasma.github.io/Logging_0883/tillsynsmail/A 27094-2024 tillsynsbegäran mail.docx", "A 27094-2024")</f>
        <v/>
      </c>
    </row>
    <row r="11516" ht="15" customHeight="1">
      <c r="A11516" t="inlineStr">
        <is>
          <t>A 27239-2024</t>
        </is>
      </c>
      <c r="B11516" s="1" t="n">
        <v>45471</v>
      </c>
      <c r="C11516" s="1" t="n">
        <v>45715</v>
      </c>
      <c r="D11516" t="inlineStr">
        <is>
          <t>KALMAR LÄN</t>
        </is>
      </c>
      <c r="E11516" t="inlineStr">
        <is>
          <t>TORSÅS</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27028-2024</t>
        </is>
      </c>
      <c r="B11517" s="1" t="n">
        <v>45471</v>
      </c>
      <c r="C11517" s="1" t="n">
        <v>45715</v>
      </c>
      <c r="D11517" t="inlineStr">
        <is>
          <t>KALMAR LÄN</t>
        </is>
      </c>
      <c r="E11517" t="inlineStr">
        <is>
          <t>VIMMERBY</t>
        </is>
      </c>
      <c r="G11517" t="n">
        <v>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27030-2024</t>
        </is>
      </c>
      <c r="B11518" s="1" t="n">
        <v>45471</v>
      </c>
      <c r="C11518" s="1" t="n">
        <v>45715</v>
      </c>
      <c r="D11518" t="inlineStr">
        <is>
          <t>KALMAR LÄN</t>
        </is>
      </c>
      <c r="E11518" t="inlineStr">
        <is>
          <t>VIMMERBY</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27488-2024</t>
        </is>
      </c>
      <c r="B11519" s="1" t="n">
        <v>45474</v>
      </c>
      <c r="C11519" s="1" t="n">
        <v>45715</v>
      </c>
      <c r="D11519" t="inlineStr">
        <is>
          <t>KALMAR LÄN</t>
        </is>
      </c>
      <c r="E11519" t="inlineStr">
        <is>
          <t>EMMABODA</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27504-2024</t>
        </is>
      </c>
      <c r="B11520" s="1" t="n">
        <v>45474</v>
      </c>
      <c r="C11520" s="1" t="n">
        <v>45715</v>
      </c>
      <c r="D11520" t="inlineStr">
        <is>
          <t>KALMAR LÄN</t>
        </is>
      </c>
      <c r="E11520" t="inlineStr">
        <is>
          <t>TORSÅS</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27532-2024</t>
        </is>
      </c>
      <c r="B11521" s="1" t="n">
        <v>45474</v>
      </c>
      <c r="C11521" s="1" t="n">
        <v>45715</v>
      </c>
      <c r="D11521" t="inlineStr">
        <is>
          <t>KALMAR LÄN</t>
        </is>
      </c>
      <c r="E11521" t="inlineStr">
        <is>
          <t>EMMABODA</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27406-2024</t>
        </is>
      </c>
      <c r="B11522" s="1" t="n">
        <v>45474</v>
      </c>
      <c r="C11522" s="1" t="n">
        <v>45715</v>
      </c>
      <c r="D11522" t="inlineStr">
        <is>
          <t>KALMAR LÄN</t>
        </is>
      </c>
      <c r="E11522" t="inlineStr">
        <is>
          <t>NYBRO</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27411-2024</t>
        </is>
      </c>
      <c r="B11523" s="1" t="n">
        <v>45474</v>
      </c>
      <c r="C11523" s="1" t="n">
        <v>45715</v>
      </c>
      <c r="D11523" t="inlineStr">
        <is>
          <t>KALMAR LÄN</t>
        </is>
      </c>
      <c r="E11523" t="inlineStr">
        <is>
          <t>NYBRO</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27503-2024</t>
        </is>
      </c>
      <c r="B11524" s="1" t="n">
        <v>45474</v>
      </c>
      <c r="C11524" s="1" t="n">
        <v>45715</v>
      </c>
      <c r="D11524" t="inlineStr">
        <is>
          <t>KALMAR LÄN</t>
        </is>
      </c>
      <c r="E11524" t="inlineStr">
        <is>
          <t>OSKARSHAMN</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27507-2024</t>
        </is>
      </c>
      <c r="B11525" s="1" t="n">
        <v>45474</v>
      </c>
      <c r="C11525" s="1" t="n">
        <v>45715</v>
      </c>
      <c r="D11525" t="inlineStr">
        <is>
          <t>KALMAR LÄN</t>
        </is>
      </c>
      <c r="E11525" t="inlineStr">
        <is>
          <t>TORSÅS</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27511-2024</t>
        </is>
      </c>
      <c r="B11526" s="1" t="n">
        <v>45474</v>
      </c>
      <c r="C11526" s="1" t="n">
        <v>45715</v>
      </c>
      <c r="D11526" t="inlineStr">
        <is>
          <t>KALMAR LÄN</t>
        </is>
      </c>
      <c r="E11526" t="inlineStr">
        <is>
          <t>TORSÅS</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27551-2024</t>
        </is>
      </c>
      <c r="B11527" s="1" t="n">
        <v>45474</v>
      </c>
      <c r="C11527" s="1" t="n">
        <v>45715</v>
      </c>
      <c r="D11527" t="inlineStr">
        <is>
          <t>KALMAR LÄN</t>
        </is>
      </c>
      <c r="E11527" t="inlineStr">
        <is>
          <t>EMMABODA</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27510-2024</t>
        </is>
      </c>
      <c r="B11528" s="1" t="n">
        <v>45474</v>
      </c>
      <c r="C11528" s="1" t="n">
        <v>45715</v>
      </c>
      <c r="D11528" t="inlineStr">
        <is>
          <t>KALMAR LÄN</t>
        </is>
      </c>
      <c r="E11528" t="inlineStr">
        <is>
          <t>NYBRO</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27546-2024</t>
        </is>
      </c>
      <c r="B11529" s="1" t="n">
        <v>45474</v>
      </c>
      <c r="C11529" s="1" t="n">
        <v>45715</v>
      </c>
      <c r="D11529" t="inlineStr">
        <is>
          <t>KALMAR LÄN</t>
        </is>
      </c>
      <c r="E11529" t="inlineStr">
        <is>
          <t>TORSÅS</t>
        </is>
      </c>
      <c r="G11529" t="n">
        <v>3.6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27568-2024</t>
        </is>
      </c>
      <c r="B11530" s="1" t="n">
        <v>45474</v>
      </c>
      <c r="C11530" s="1" t="n">
        <v>45715</v>
      </c>
      <c r="D11530" t="inlineStr">
        <is>
          <t>KALMAR LÄN</t>
        </is>
      </c>
      <c r="E11530" t="inlineStr">
        <is>
          <t>VÄSTERVIK</t>
        </is>
      </c>
      <c r="G11530" t="n">
        <v>7.7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27509-2024</t>
        </is>
      </c>
      <c r="B11531" s="1" t="n">
        <v>45474</v>
      </c>
      <c r="C11531" s="1" t="n">
        <v>45715</v>
      </c>
      <c r="D11531" t="inlineStr">
        <is>
          <t>KALMAR LÄN</t>
        </is>
      </c>
      <c r="E11531" t="inlineStr">
        <is>
          <t>OSKARSHAMN</t>
        </is>
      </c>
      <c r="G11531" t="n">
        <v>5.9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27513-2024</t>
        </is>
      </c>
      <c r="B11532" s="1" t="n">
        <v>45474</v>
      </c>
      <c r="C11532" s="1" t="n">
        <v>45715</v>
      </c>
      <c r="D11532" t="inlineStr">
        <is>
          <t>KALMAR LÄN</t>
        </is>
      </c>
      <c r="E11532" t="inlineStr">
        <is>
          <t>NYBRO</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27707-2024</t>
        </is>
      </c>
      <c r="B11533" s="1" t="n">
        <v>45475</v>
      </c>
      <c r="C11533" s="1" t="n">
        <v>45715</v>
      </c>
      <c r="D11533" t="inlineStr">
        <is>
          <t>KALMAR LÄN</t>
        </is>
      </c>
      <c r="E11533" t="inlineStr">
        <is>
          <t>EMMABODA</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27879-2024</t>
        </is>
      </c>
      <c r="B11534" s="1" t="n">
        <v>45475</v>
      </c>
      <c r="C11534" s="1" t="n">
        <v>45715</v>
      </c>
      <c r="D11534" t="inlineStr">
        <is>
          <t>KALMAR LÄN</t>
        </is>
      </c>
      <c r="E11534" t="inlineStr">
        <is>
          <t>NYBRO</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27870-2024</t>
        </is>
      </c>
      <c r="B11535" s="1" t="n">
        <v>45475</v>
      </c>
      <c r="C11535" s="1" t="n">
        <v>45715</v>
      </c>
      <c r="D11535" t="inlineStr">
        <is>
          <t>KALMAR LÄN</t>
        </is>
      </c>
      <c r="E11535" t="inlineStr">
        <is>
          <t>NYBRO</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27758-2024</t>
        </is>
      </c>
      <c r="B11536" s="1" t="n">
        <v>45475</v>
      </c>
      <c r="C11536" s="1" t="n">
        <v>45715</v>
      </c>
      <c r="D11536" t="inlineStr">
        <is>
          <t>KALMAR LÄN</t>
        </is>
      </c>
      <c r="E11536" t="inlineStr">
        <is>
          <t>VIMMERBY</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27746-2024</t>
        </is>
      </c>
      <c r="B11537" s="1" t="n">
        <v>45475</v>
      </c>
      <c r="C11537" s="1" t="n">
        <v>45715</v>
      </c>
      <c r="D11537" t="inlineStr">
        <is>
          <t>KALMAR LÄN</t>
        </is>
      </c>
      <c r="E11537" t="inlineStr">
        <is>
          <t>EMMABODA</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27710-2024</t>
        </is>
      </c>
      <c r="B11538" s="1" t="n">
        <v>45475</v>
      </c>
      <c r="C11538" s="1" t="n">
        <v>45715</v>
      </c>
      <c r="D11538" t="inlineStr">
        <is>
          <t>KALMAR LÄN</t>
        </is>
      </c>
      <c r="E11538" t="inlineStr">
        <is>
          <t>EMMABODA</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27885-2024</t>
        </is>
      </c>
      <c r="B11539" s="1" t="n">
        <v>45475</v>
      </c>
      <c r="C11539" s="1" t="n">
        <v>45715</v>
      </c>
      <c r="D11539" t="inlineStr">
        <is>
          <t>KALMAR LÄN</t>
        </is>
      </c>
      <c r="E11539" t="inlineStr">
        <is>
          <t>NYBRO</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27881-2024</t>
        </is>
      </c>
      <c r="B11540" s="1" t="n">
        <v>45475</v>
      </c>
      <c r="C11540" s="1" t="n">
        <v>45715</v>
      </c>
      <c r="D11540" t="inlineStr">
        <is>
          <t>KALMAR LÄN</t>
        </is>
      </c>
      <c r="E11540" t="inlineStr">
        <is>
          <t>NYBRO</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27873-2024</t>
        </is>
      </c>
      <c r="B11541" s="1" t="n">
        <v>45475</v>
      </c>
      <c r="C11541" s="1" t="n">
        <v>45715</v>
      </c>
      <c r="D11541" t="inlineStr">
        <is>
          <t>KALMAR LÄN</t>
        </is>
      </c>
      <c r="E11541" t="inlineStr">
        <is>
          <t>NYBRO</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27761-2024</t>
        </is>
      </c>
      <c r="B11542" s="1" t="n">
        <v>45475</v>
      </c>
      <c r="C11542" s="1" t="n">
        <v>45715</v>
      </c>
      <c r="D11542" t="inlineStr">
        <is>
          <t>KALMAR LÄN</t>
        </is>
      </c>
      <c r="E11542" t="inlineStr">
        <is>
          <t>VIMMERBY</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27759-2024</t>
        </is>
      </c>
      <c r="B11543" s="1" t="n">
        <v>45475</v>
      </c>
      <c r="C11543" s="1" t="n">
        <v>45715</v>
      </c>
      <c r="D11543" t="inlineStr">
        <is>
          <t>KALMAR LÄN</t>
        </is>
      </c>
      <c r="E11543" t="inlineStr">
        <is>
          <t>VIMMERBY</t>
        </is>
      </c>
      <c r="G11543" t="n">
        <v>3.9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27705-2024</t>
        </is>
      </c>
      <c r="B11544" s="1" t="n">
        <v>45475</v>
      </c>
      <c r="C11544" s="1" t="n">
        <v>45715</v>
      </c>
      <c r="D11544" t="inlineStr">
        <is>
          <t>KALMAR LÄN</t>
        </is>
      </c>
      <c r="E11544" t="inlineStr">
        <is>
          <t>EMMABODA</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27701-2024</t>
        </is>
      </c>
      <c r="B11545" s="1" t="n">
        <v>45475</v>
      </c>
      <c r="C11545" s="1" t="n">
        <v>45715</v>
      </c>
      <c r="D11545" t="inlineStr">
        <is>
          <t>KALMAR LÄN</t>
        </is>
      </c>
      <c r="E11545" t="inlineStr">
        <is>
          <t>EMMABODA</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27693-2024</t>
        </is>
      </c>
      <c r="B11546" s="1" t="n">
        <v>45475</v>
      </c>
      <c r="C11546" s="1" t="n">
        <v>45715</v>
      </c>
      <c r="D11546" t="inlineStr">
        <is>
          <t>KALMAR LÄN</t>
        </is>
      </c>
      <c r="E11546" t="inlineStr">
        <is>
          <t>HULTSFRED</t>
        </is>
      </c>
      <c r="F11546" t="inlineStr">
        <is>
          <t>Sveaskog</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28050-2024</t>
        </is>
      </c>
      <c r="B11547" s="1" t="n">
        <v>45476</v>
      </c>
      <c r="C11547" s="1" t="n">
        <v>45715</v>
      </c>
      <c r="D11547" t="inlineStr">
        <is>
          <t>KALMAR LÄN</t>
        </is>
      </c>
      <c r="E11547" t="inlineStr">
        <is>
          <t>HULTSFRED</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28066-2024</t>
        </is>
      </c>
      <c r="B11548" s="1" t="n">
        <v>45476</v>
      </c>
      <c r="C11548" s="1" t="n">
        <v>45715</v>
      </c>
      <c r="D11548" t="inlineStr">
        <is>
          <t>KALMAR LÄN</t>
        </is>
      </c>
      <c r="E11548" t="inlineStr">
        <is>
          <t>VIMMERBY</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28110-2024</t>
        </is>
      </c>
      <c r="B11549" s="1" t="n">
        <v>45476</v>
      </c>
      <c r="C11549" s="1" t="n">
        <v>45715</v>
      </c>
      <c r="D11549" t="inlineStr">
        <is>
          <t>KALMAR LÄN</t>
        </is>
      </c>
      <c r="E11549" t="inlineStr">
        <is>
          <t>VÄSTERVIK</t>
        </is>
      </c>
      <c r="G11549" t="n">
        <v>3.2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28122-2024</t>
        </is>
      </c>
      <c r="B11550" s="1" t="n">
        <v>45476</v>
      </c>
      <c r="C11550" s="1" t="n">
        <v>45715</v>
      </c>
      <c r="D11550" t="inlineStr">
        <is>
          <t>KALMAR LÄN</t>
        </is>
      </c>
      <c r="E11550" t="inlineStr">
        <is>
          <t>VÄSTERVIK</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28030-2024</t>
        </is>
      </c>
      <c r="B11551" s="1" t="n">
        <v>45476</v>
      </c>
      <c r="C11551" s="1" t="n">
        <v>45715</v>
      </c>
      <c r="D11551" t="inlineStr">
        <is>
          <t>KALMAR LÄN</t>
        </is>
      </c>
      <c r="E11551" t="inlineStr">
        <is>
          <t>OSKARSHAMN</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27970-2024</t>
        </is>
      </c>
      <c r="B11552" s="1" t="n">
        <v>45476</v>
      </c>
      <c r="C11552" s="1" t="n">
        <v>45715</v>
      </c>
      <c r="D11552" t="inlineStr">
        <is>
          <t>KALMAR LÄN</t>
        </is>
      </c>
      <c r="E11552" t="inlineStr">
        <is>
          <t>NYBRO</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27966-2024</t>
        </is>
      </c>
      <c r="B11553" s="1" t="n">
        <v>45476</v>
      </c>
      <c r="C11553" s="1" t="n">
        <v>45715</v>
      </c>
      <c r="D11553" t="inlineStr">
        <is>
          <t>KALMAR LÄN</t>
        </is>
      </c>
      <c r="E11553" t="inlineStr">
        <is>
          <t>NYBRO</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28008-2024</t>
        </is>
      </c>
      <c r="B11554" s="1" t="n">
        <v>45476</v>
      </c>
      <c r="C11554" s="1" t="n">
        <v>45715</v>
      </c>
      <c r="D11554" t="inlineStr">
        <is>
          <t>KALMAR LÄN</t>
        </is>
      </c>
      <c r="E11554" t="inlineStr">
        <is>
          <t>OSKARSHAMN</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28051-2024</t>
        </is>
      </c>
      <c r="B11555" s="1" t="n">
        <v>45476</v>
      </c>
      <c r="C11555" s="1" t="n">
        <v>45715</v>
      </c>
      <c r="D11555" t="inlineStr">
        <is>
          <t>KALMAR LÄN</t>
        </is>
      </c>
      <c r="E11555" t="inlineStr">
        <is>
          <t>HULTSFRED</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27975-2024</t>
        </is>
      </c>
      <c r="B11556" s="1" t="n">
        <v>45476</v>
      </c>
      <c r="C11556" s="1" t="n">
        <v>45715</v>
      </c>
      <c r="D11556" t="inlineStr">
        <is>
          <t>KALMAR LÄN</t>
        </is>
      </c>
      <c r="E11556" t="inlineStr">
        <is>
          <t>EMMABODA</t>
        </is>
      </c>
      <c r="G11556" t="n">
        <v>4.5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27947-2024</t>
        </is>
      </c>
      <c r="B11557" s="1" t="n">
        <v>45476</v>
      </c>
      <c r="C11557" s="1" t="n">
        <v>45715</v>
      </c>
      <c r="D11557" t="inlineStr">
        <is>
          <t>KALMAR LÄN</t>
        </is>
      </c>
      <c r="E11557" t="inlineStr">
        <is>
          <t>KALMAR</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27992-2024</t>
        </is>
      </c>
      <c r="B11558" s="1" t="n">
        <v>45476</v>
      </c>
      <c r="C11558" s="1" t="n">
        <v>45715</v>
      </c>
      <c r="D11558" t="inlineStr">
        <is>
          <t>KALMAR LÄN</t>
        </is>
      </c>
      <c r="E11558" t="inlineStr">
        <is>
          <t>VIMMERBY</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28037-2024</t>
        </is>
      </c>
      <c r="B11559" s="1" t="n">
        <v>45476</v>
      </c>
      <c r="C11559" s="1" t="n">
        <v>45715</v>
      </c>
      <c r="D11559" t="inlineStr">
        <is>
          <t>KALMAR LÄN</t>
        </is>
      </c>
      <c r="E11559" t="inlineStr">
        <is>
          <t>VÄSTERVIK</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28013-2024</t>
        </is>
      </c>
      <c r="B11560" s="1" t="n">
        <v>45476</v>
      </c>
      <c r="C11560" s="1" t="n">
        <v>45715</v>
      </c>
      <c r="D11560" t="inlineStr">
        <is>
          <t>KALMAR LÄN</t>
        </is>
      </c>
      <c r="E11560" t="inlineStr">
        <is>
          <t>OSKARSHAMN</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27985-2024</t>
        </is>
      </c>
      <c r="B11561" s="1" t="n">
        <v>45476</v>
      </c>
      <c r="C11561" s="1" t="n">
        <v>45715</v>
      </c>
      <c r="D11561" t="inlineStr">
        <is>
          <t>KALMAR LÄN</t>
        </is>
      </c>
      <c r="E11561" t="inlineStr">
        <is>
          <t>EMMABODA</t>
        </is>
      </c>
      <c r="G11561" t="n">
        <v>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28365-2024</t>
        </is>
      </c>
      <c r="B11562" s="1" t="n">
        <v>45477</v>
      </c>
      <c r="C11562" s="1" t="n">
        <v>45715</v>
      </c>
      <c r="D11562" t="inlineStr">
        <is>
          <t>KALMAR LÄN</t>
        </is>
      </c>
      <c r="E11562" t="inlineStr">
        <is>
          <t>MÖNSTERÅS</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28404-2024</t>
        </is>
      </c>
      <c r="B11563" s="1" t="n">
        <v>45477</v>
      </c>
      <c r="C11563" s="1" t="n">
        <v>45715</v>
      </c>
      <c r="D11563" t="inlineStr">
        <is>
          <t>KALMAR LÄN</t>
        </is>
      </c>
      <c r="E11563" t="inlineStr">
        <is>
          <t>VÄSTERVIK</t>
        </is>
      </c>
      <c r="F11563" t="inlineStr">
        <is>
          <t>Holmen skog AB</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28461-2024</t>
        </is>
      </c>
      <c r="B11564" s="1" t="n">
        <v>45477</v>
      </c>
      <c r="C11564" s="1" t="n">
        <v>45715</v>
      </c>
      <c r="D11564" t="inlineStr">
        <is>
          <t>KALMAR LÄN</t>
        </is>
      </c>
      <c r="E11564" t="inlineStr">
        <is>
          <t>EMMABODA</t>
        </is>
      </c>
      <c r="F11564" t="inlineStr">
        <is>
          <t>Sveaskog</t>
        </is>
      </c>
      <c r="G11564" t="n">
        <v>6.1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28355-2024</t>
        </is>
      </c>
      <c r="B11565" s="1" t="n">
        <v>45477</v>
      </c>
      <c r="C11565" s="1" t="n">
        <v>45715</v>
      </c>
      <c r="D11565" t="inlineStr">
        <is>
          <t>KALMAR LÄN</t>
        </is>
      </c>
      <c r="E11565" t="inlineStr">
        <is>
          <t>MÖNSTERÅS</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28323-2024</t>
        </is>
      </c>
      <c r="B11566" s="1" t="n">
        <v>45477</v>
      </c>
      <c r="C11566" s="1" t="n">
        <v>45715</v>
      </c>
      <c r="D11566" t="inlineStr">
        <is>
          <t>KALMAR LÄN</t>
        </is>
      </c>
      <c r="E11566" t="inlineStr">
        <is>
          <t>EMMABODA</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28315-2024</t>
        </is>
      </c>
      <c r="B11567" s="1" t="n">
        <v>45477</v>
      </c>
      <c r="C11567" s="1" t="n">
        <v>45715</v>
      </c>
      <c r="D11567" t="inlineStr">
        <is>
          <t>KALMAR LÄN</t>
        </is>
      </c>
      <c r="E11567" t="inlineStr">
        <is>
          <t>VÄSTERVIK</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28380-2024</t>
        </is>
      </c>
      <c r="B11568" s="1" t="n">
        <v>45477</v>
      </c>
      <c r="C11568" s="1" t="n">
        <v>45715</v>
      </c>
      <c r="D11568" t="inlineStr">
        <is>
          <t>KALMAR LÄN</t>
        </is>
      </c>
      <c r="E11568" t="inlineStr">
        <is>
          <t>MÖNSTERÅS</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28291-2024</t>
        </is>
      </c>
      <c r="B11569" s="1" t="n">
        <v>45477</v>
      </c>
      <c r="C11569" s="1" t="n">
        <v>45715</v>
      </c>
      <c r="D11569" t="inlineStr">
        <is>
          <t>KALMAR LÄN</t>
        </is>
      </c>
      <c r="E11569" t="inlineStr">
        <is>
          <t>VÄSTERVIK</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28279-2024</t>
        </is>
      </c>
      <c r="B11570" s="1" t="n">
        <v>45477</v>
      </c>
      <c r="C11570" s="1" t="n">
        <v>45715</v>
      </c>
      <c r="D11570" t="inlineStr">
        <is>
          <t>KALMAR LÄN</t>
        </is>
      </c>
      <c r="E11570" t="inlineStr">
        <is>
          <t>HULTSFRED</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28415-2024</t>
        </is>
      </c>
      <c r="B11571" s="1" t="n">
        <v>45477</v>
      </c>
      <c r="C11571" s="1" t="n">
        <v>45715</v>
      </c>
      <c r="D11571" t="inlineStr">
        <is>
          <t>KALMAR LÄN</t>
        </is>
      </c>
      <c r="E11571" t="inlineStr">
        <is>
          <t>VÄSTERVIK</t>
        </is>
      </c>
      <c r="F11571" t="inlineStr">
        <is>
          <t>Holmen skog AB</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28390-2024</t>
        </is>
      </c>
      <c r="B11572" s="1" t="n">
        <v>45477</v>
      </c>
      <c r="C11572" s="1" t="n">
        <v>45715</v>
      </c>
      <c r="D11572" t="inlineStr">
        <is>
          <t>KALMAR LÄN</t>
        </is>
      </c>
      <c r="E11572" t="inlineStr">
        <is>
          <t>VÄSTERVIK</t>
        </is>
      </c>
      <c r="F11572" t="inlineStr">
        <is>
          <t>Holmen skog AB</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28378-2024</t>
        </is>
      </c>
      <c r="B11573" s="1" t="n">
        <v>45477</v>
      </c>
      <c r="C11573" s="1" t="n">
        <v>45715</v>
      </c>
      <c r="D11573" t="inlineStr">
        <is>
          <t>KALMAR LÄN</t>
        </is>
      </c>
      <c r="E11573" t="inlineStr">
        <is>
          <t>VÄSTERVIK</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28289-2024</t>
        </is>
      </c>
      <c r="B11574" s="1" t="n">
        <v>45477</v>
      </c>
      <c r="C11574" s="1" t="n">
        <v>45715</v>
      </c>
      <c r="D11574" t="inlineStr">
        <is>
          <t>KALMAR LÄN</t>
        </is>
      </c>
      <c r="E11574" t="inlineStr">
        <is>
          <t>HULTSFRED</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28490-2024</t>
        </is>
      </c>
      <c r="B11575" s="1" t="n">
        <v>45477</v>
      </c>
      <c r="C11575" s="1" t="n">
        <v>45715</v>
      </c>
      <c r="D11575" t="inlineStr">
        <is>
          <t>KALMAR LÄN</t>
        </is>
      </c>
      <c r="E11575" t="inlineStr">
        <is>
          <t>EMMABODA</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28216-2024</t>
        </is>
      </c>
      <c r="B11576" s="1" t="n">
        <v>45477</v>
      </c>
      <c r="C11576" s="1" t="n">
        <v>45715</v>
      </c>
      <c r="D11576" t="inlineStr">
        <is>
          <t>KALMAR LÄN</t>
        </is>
      </c>
      <c r="E11576" t="inlineStr">
        <is>
          <t>HULTSFRED</t>
        </is>
      </c>
      <c r="G11576" t="n">
        <v>7.4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28224-2024</t>
        </is>
      </c>
      <c r="B11577" s="1" t="n">
        <v>45477</v>
      </c>
      <c r="C11577" s="1" t="n">
        <v>45715</v>
      </c>
      <c r="D11577" t="inlineStr">
        <is>
          <t>KALMAR LÄN</t>
        </is>
      </c>
      <c r="E11577" t="inlineStr">
        <is>
          <t>HULTSFRED</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28270-2024</t>
        </is>
      </c>
      <c r="B11578" s="1" t="n">
        <v>45477</v>
      </c>
      <c r="C11578" s="1" t="n">
        <v>45715</v>
      </c>
      <c r="D11578" t="inlineStr">
        <is>
          <t>KALMAR LÄN</t>
        </is>
      </c>
      <c r="E11578" t="inlineStr">
        <is>
          <t>HULTSFRED</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28258-2024</t>
        </is>
      </c>
      <c r="B11579" s="1" t="n">
        <v>45477</v>
      </c>
      <c r="C11579" s="1" t="n">
        <v>45715</v>
      </c>
      <c r="D11579" t="inlineStr">
        <is>
          <t>KALMAR LÄN</t>
        </is>
      </c>
      <c r="E11579" t="inlineStr">
        <is>
          <t>HULTSFRED</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28254-2024</t>
        </is>
      </c>
      <c r="B11580" s="1" t="n">
        <v>45477</v>
      </c>
      <c r="C11580" s="1" t="n">
        <v>45715</v>
      </c>
      <c r="D11580" t="inlineStr">
        <is>
          <t>KALMAR LÄN</t>
        </is>
      </c>
      <c r="E11580" t="inlineStr">
        <is>
          <t>HULTSFRED</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28246-2024</t>
        </is>
      </c>
      <c r="B11581" s="1" t="n">
        <v>45477</v>
      </c>
      <c r="C11581" s="1" t="n">
        <v>45715</v>
      </c>
      <c r="D11581" t="inlineStr">
        <is>
          <t>KALMAR LÄN</t>
        </is>
      </c>
      <c r="E11581" t="inlineStr">
        <is>
          <t>NYBRO</t>
        </is>
      </c>
      <c r="G11581" t="n">
        <v>6.9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28221-2024</t>
        </is>
      </c>
      <c r="B11582" s="1" t="n">
        <v>45477</v>
      </c>
      <c r="C11582" s="1" t="n">
        <v>45715</v>
      </c>
      <c r="D11582" t="inlineStr">
        <is>
          <t>KALMAR LÄN</t>
        </is>
      </c>
      <c r="E11582" t="inlineStr">
        <is>
          <t>HULTSFRED</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28214-2024</t>
        </is>
      </c>
      <c r="B11583" s="1" t="n">
        <v>45477</v>
      </c>
      <c r="C11583" s="1" t="n">
        <v>45715</v>
      </c>
      <c r="D11583" t="inlineStr">
        <is>
          <t>KALMAR LÄN</t>
        </is>
      </c>
      <c r="E11583" t="inlineStr">
        <is>
          <t>HULTSFRED</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28222-2024</t>
        </is>
      </c>
      <c r="B11584" s="1" t="n">
        <v>45477</v>
      </c>
      <c r="C11584" s="1" t="n">
        <v>45715</v>
      </c>
      <c r="D11584" t="inlineStr">
        <is>
          <t>KALMAR LÄN</t>
        </is>
      </c>
      <c r="E11584" t="inlineStr">
        <is>
          <t>VÄSTERVIK</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28238-2024</t>
        </is>
      </c>
      <c r="B11585" s="1" t="n">
        <v>45477</v>
      </c>
      <c r="C11585" s="1" t="n">
        <v>45715</v>
      </c>
      <c r="D11585" t="inlineStr">
        <is>
          <t>KALMAR LÄN</t>
        </is>
      </c>
      <c r="E11585" t="inlineStr">
        <is>
          <t>HULTSFRED</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28344-2024</t>
        </is>
      </c>
      <c r="B11586" s="1" t="n">
        <v>45477</v>
      </c>
      <c r="C11586" s="1" t="n">
        <v>45715</v>
      </c>
      <c r="D11586" t="inlineStr">
        <is>
          <t>KALMAR LÄN</t>
        </is>
      </c>
      <c r="E11586" t="inlineStr">
        <is>
          <t>VÄSTERVIK</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28320-2024</t>
        </is>
      </c>
      <c r="B11587" s="1" t="n">
        <v>45477</v>
      </c>
      <c r="C11587" s="1" t="n">
        <v>45715</v>
      </c>
      <c r="D11587" t="inlineStr">
        <is>
          <t>KALMAR LÄN</t>
        </is>
      </c>
      <c r="E11587" t="inlineStr">
        <is>
          <t>EMMABODA</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28272-2024</t>
        </is>
      </c>
      <c r="B11588" s="1" t="n">
        <v>45477</v>
      </c>
      <c r="C11588" s="1" t="n">
        <v>45715</v>
      </c>
      <c r="D11588" t="inlineStr">
        <is>
          <t>KALMAR LÄN</t>
        </is>
      </c>
      <c r="E11588" t="inlineStr">
        <is>
          <t>NYBRO</t>
        </is>
      </c>
      <c r="G11588" t="n">
        <v>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28177-2024</t>
        </is>
      </c>
      <c r="B11589" s="1" t="n">
        <v>45477</v>
      </c>
      <c r="C11589" s="1" t="n">
        <v>45715</v>
      </c>
      <c r="D11589" t="inlineStr">
        <is>
          <t>KALMAR LÄN</t>
        </is>
      </c>
      <c r="E11589" t="inlineStr">
        <is>
          <t>VIMMERBY</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28607-2024</t>
        </is>
      </c>
      <c r="B11590" s="1" t="n">
        <v>45478</v>
      </c>
      <c r="C11590" s="1" t="n">
        <v>45715</v>
      </c>
      <c r="D11590" t="inlineStr">
        <is>
          <t>KALMAR LÄN</t>
        </is>
      </c>
      <c r="E11590" t="inlineStr">
        <is>
          <t>HULTSFRED</t>
        </is>
      </c>
      <c r="G11590" t="n">
        <v>5.8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28570-2024</t>
        </is>
      </c>
      <c r="B11591" s="1" t="n">
        <v>45478</v>
      </c>
      <c r="C11591" s="1" t="n">
        <v>45715</v>
      </c>
      <c r="D11591" t="inlineStr">
        <is>
          <t>KALMAR LÄN</t>
        </is>
      </c>
      <c r="E11591" t="inlineStr">
        <is>
          <t>HULTSFRED</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28594-2024</t>
        </is>
      </c>
      <c r="B11592" s="1" t="n">
        <v>45478</v>
      </c>
      <c r="C11592" s="1" t="n">
        <v>45715</v>
      </c>
      <c r="D11592" t="inlineStr">
        <is>
          <t>KALMAR LÄN</t>
        </is>
      </c>
      <c r="E11592" t="inlineStr">
        <is>
          <t>HULTSFRED</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28634-2024</t>
        </is>
      </c>
      <c r="B11593" s="1" t="n">
        <v>45478</v>
      </c>
      <c r="C11593" s="1" t="n">
        <v>45715</v>
      </c>
      <c r="D11593" t="inlineStr">
        <is>
          <t>KALMAR LÄN</t>
        </is>
      </c>
      <c r="E11593" t="inlineStr">
        <is>
          <t>HULTSFRED</t>
        </is>
      </c>
      <c r="G11593" t="n">
        <v>3.7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28638-2024</t>
        </is>
      </c>
      <c r="B11594" s="1" t="n">
        <v>45478</v>
      </c>
      <c r="C11594" s="1" t="n">
        <v>45715</v>
      </c>
      <c r="D11594" t="inlineStr">
        <is>
          <t>KALMAR LÄN</t>
        </is>
      </c>
      <c r="E11594" t="inlineStr">
        <is>
          <t>HULTSFRED</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28667-2024</t>
        </is>
      </c>
      <c r="B11595" s="1" t="n">
        <v>45478</v>
      </c>
      <c r="C11595" s="1" t="n">
        <v>45715</v>
      </c>
      <c r="D11595" t="inlineStr">
        <is>
          <t>KALMAR LÄN</t>
        </is>
      </c>
      <c r="E11595" t="inlineStr">
        <is>
          <t>VÄSTERVIK</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28683-2024</t>
        </is>
      </c>
      <c r="B11596" s="1" t="n">
        <v>45478</v>
      </c>
      <c r="C11596" s="1" t="n">
        <v>45715</v>
      </c>
      <c r="D11596" t="inlineStr">
        <is>
          <t>KALMAR LÄN</t>
        </is>
      </c>
      <c r="E11596" t="inlineStr">
        <is>
          <t>NYBRO</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28728-2024</t>
        </is>
      </c>
      <c r="B11597" s="1" t="n">
        <v>45478</v>
      </c>
      <c r="C11597" s="1" t="n">
        <v>45715</v>
      </c>
      <c r="D11597" t="inlineStr">
        <is>
          <t>KALMAR LÄN</t>
        </is>
      </c>
      <c r="E11597" t="inlineStr">
        <is>
          <t>NYBRO</t>
        </is>
      </c>
      <c r="G11597" t="n">
        <v>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28676-2024</t>
        </is>
      </c>
      <c r="B11598" s="1" t="n">
        <v>45478</v>
      </c>
      <c r="C11598" s="1" t="n">
        <v>45715</v>
      </c>
      <c r="D11598" t="inlineStr">
        <is>
          <t>KALMAR LÄN</t>
        </is>
      </c>
      <c r="E11598" t="inlineStr">
        <is>
          <t>NYBRO</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28717-2024</t>
        </is>
      </c>
      <c r="B11599" s="1" t="n">
        <v>45478</v>
      </c>
      <c r="C11599" s="1" t="n">
        <v>45715</v>
      </c>
      <c r="D11599" t="inlineStr">
        <is>
          <t>KALMAR LÄN</t>
        </is>
      </c>
      <c r="E11599" t="inlineStr">
        <is>
          <t>HULTSFRED</t>
        </is>
      </c>
      <c r="F11599" t="inlineStr">
        <is>
          <t>Sveaskog</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28552-2024</t>
        </is>
      </c>
      <c r="B11600" s="1" t="n">
        <v>45478</v>
      </c>
      <c r="C11600" s="1" t="n">
        <v>45715</v>
      </c>
      <c r="D11600" t="inlineStr">
        <is>
          <t>KALMAR LÄN</t>
        </is>
      </c>
      <c r="E11600" t="inlineStr">
        <is>
          <t>KALMAR</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28572-2024</t>
        </is>
      </c>
      <c r="B11601" s="1" t="n">
        <v>45478</v>
      </c>
      <c r="C11601" s="1" t="n">
        <v>45715</v>
      </c>
      <c r="D11601" t="inlineStr">
        <is>
          <t>KALMAR LÄN</t>
        </is>
      </c>
      <c r="E11601" t="inlineStr">
        <is>
          <t>KALMAR</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28640-2024</t>
        </is>
      </c>
      <c r="B11602" s="1" t="n">
        <v>45478</v>
      </c>
      <c r="C11602" s="1" t="n">
        <v>45715</v>
      </c>
      <c r="D11602" t="inlineStr">
        <is>
          <t>KALMAR LÄN</t>
        </is>
      </c>
      <c r="E11602" t="inlineStr">
        <is>
          <t>VÄSTERVIK</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28722-2024</t>
        </is>
      </c>
      <c r="B11603" s="1" t="n">
        <v>45478</v>
      </c>
      <c r="C11603" s="1" t="n">
        <v>45715</v>
      </c>
      <c r="D11603" t="inlineStr">
        <is>
          <t>KALMAR LÄN</t>
        </is>
      </c>
      <c r="E11603" t="inlineStr">
        <is>
          <t>HULTSFRED</t>
        </is>
      </c>
      <c r="F11603" t="inlineStr">
        <is>
          <t>Sveaskog</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28816-2024</t>
        </is>
      </c>
      <c r="B11604" s="1" t="n">
        <v>45478</v>
      </c>
      <c r="C11604" s="1" t="n">
        <v>45715</v>
      </c>
      <c r="D11604" t="inlineStr">
        <is>
          <t>KALMAR LÄN</t>
        </is>
      </c>
      <c r="E11604" t="inlineStr">
        <is>
          <t>NYBRO</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29020-2024</t>
        </is>
      </c>
      <c r="B11605" s="1" t="n">
        <v>45481</v>
      </c>
      <c r="C11605" s="1" t="n">
        <v>45715</v>
      </c>
      <c r="D11605" t="inlineStr">
        <is>
          <t>KALMAR LÄN</t>
        </is>
      </c>
      <c r="E11605" t="inlineStr">
        <is>
          <t>VIMMERBY</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29031-2024</t>
        </is>
      </c>
      <c r="B11606" s="1" t="n">
        <v>45481</v>
      </c>
      <c r="C11606" s="1" t="n">
        <v>45715</v>
      </c>
      <c r="D11606" t="inlineStr">
        <is>
          <t>KALMAR LÄN</t>
        </is>
      </c>
      <c r="E11606" t="inlineStr">
        <is>
          <t>OSKARSHAMN</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29015-2024</t>
        </is>
      </c>
      <c r="B11607" s="1" t="n">
        <v>45481</v>
      </c>
      <c r="C11607" s="1" t="n">
        <v>45715</v>
      </c>
      <c r="D11607" t="inlineStr">
        <is>
          <t>KALMAR LÄN</t>
        </is>
      </c>
      <c r="E11607" t="inlineStr">
        <is>
          <t>VIMMERBY</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29030-2024</t>
        </is>
      </c>
      <c r="B11608" s="1" t="n">
        <v>45481</v>
      </c>
      <c r="C11608" s="1" t="n">
        <v>45715</v>
      </c>
      <c r="D11608" t="inlineStr">
        <is>
          <t>KALMAR LÄN</t>
        </is>
      </c>
      <c r="E11608" t="inlineStr">
        <is>
          <t>OSKARSHAMN</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29018-2024</t>
        </is>
      </c>
      <c r="B11609" s="1" t="n">
        <v>45481</v>
      </c>
      <c r="C11609" s="1" t="n">
        <v>45715</v>
      </c>
      <c r="D11609" t="inlineStr">
        <is>
          <t>KALMAR LÄN</t>
        </is>
      </c>
      <c r="E11609" t="inlineStr">
        <is>
          <t>VIMMERBY</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28981-2024</t>
        </is>
      </c>
      <c r="B11610" s="1" t="n">
        <v>45481</v>
      </c>
      <c r="C11610" s="1" t="n">
        <v>45715</v>
      </c>
      <c r="D11610" t="inlineStr">
        <is>
          <t>KALMAR LÄN</t>
        </is>
      </c>
      <c r="E11610" t="inlineStr">
        <is>
          <t>HULTSFRED</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29029-2024</t>
        </is>
      </c>
      <c r="B11611" s="1" t="n">
        <v>45481</v>
      </c>
      <c r="C11611" s="1" t="n">
        <v>45715</v>
      </c>
      <c r="D11611" t="inlineStr">
        <is>
          <t>KALMAR LÄN</t>
        </is>
      </c>
      <c r="E11611" t="inlineStr">
        <is>
          <t>HÖGSBY</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29017-2024</t>
        </is>
      </c>
      <c r="B11612" s="1" t="n">
        <v>45481</v>
      </c>
      <c r="C11612" s="1" t="n">
        <v>45715</v>
      </c>
      <c r="D11612" t="inlineStr">
        <is>
          <t>KALMAR LÄN</t>
        </is>
      </c>
      <c r="E11612" t="inlineStr">
        <is>
          <t>VIMMERBY</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29013-2024</t>
        </is>
      </c>
      <c r="B11613" s="1" t="n">
        <v>45481</v>
      </c>
      <c r="C11613" s="1" t="n">
        <v>45715</v>
      </c>
      <c r="D11613" t="inlineStr">
        <is>
          <t>KALMAR LÄN</t>
        </is>
      </c>
      <c r="E11613" t="inlineStr">
        <is>
          <t>VIMMERBY</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29085-2024</t>
        </is>
      </c>
      <c r="B11614" s="1" t="n">
        <v>45482</v>
      </c>
      <c r="C11614" s="1" t="n">
        <v>45715</v>
      </c>
      <c r="D11614" t="inlineStr">
        <is>
          <t>KALMAR LÄN</t>
        </is>
      </c>
      <c r="E11614" t="inlineStr">
        <is>
          <t>EMMABODA</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29060-2024</t>
        </is>
      </c>
      <c r="B11615" s="1" t="n">
        <v>45481</v>
      </c>
      <c r="C11615" s="1" t="n">
        <v>45715</v>
      </c>
      <c r="D11615" t="inlineStr">
        <is>
          <t>KALMAR LÄN</t>
        </is>
      </c>
      <c r="E11615" t="inlineStr">
        <is>
          <t>BORGHOLM</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28979-2024</t>
        </is>
      </c>
      <c r="B11616" s="1" t="n">
        <v>45481</v>
      </c>
      <c r="C11616" s="1" t="n">
        <v>45715</v>
      </c>
      <c r="D11616" t="inlineStr">
        <is>
          <t>KALMAR LÄN</t>
        </is>
      </c>
      <c r="E11616" t="inlineStr">
        <is>
          <t>HULTSFRED</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29166-2024</t>
        </is>
      </c>
      <c r="B11617" s="1" t="n">
        <v>45482</v>
      </c>
      <c r="C11617" s="1" t="n">
        <v>45715</v>
      </c>
      <c r="D11617" t="inlineStr">
        <is>
          <t>KALMAR LÄN</t>
        </is>
      </c>
      <c r="E11617" t="inlineStr">
        <is>
          <t>VIMMERBY</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29183-2024</t>
        </is>
      </c>
      <c r="B11618" s="1" t="n">
        <v>45482</v>
      </c>
      <c r="C11618" s="1" t="n">
        <v>45715</v>
      </c>
      <c r="D11618" t="inlineStr">
        <is>
          <t>KALMAR LÄN</t>
        </is>
      </c>
      <c r="E11618" t="inlineStr">
        <is>
          <t>VIMMERBY</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29126-2024</t>
        </is>
      </c>
      <c r="B11619" s="1" t="n">
        <v>45482</v>
      </c>
      <c r="C11619" s="1" t="n">
        <v>45715</v>
      </c>
      <c r="D11619" t="inlineStr">
        <is>
          <t>KALMAR LÄN</t>
        </is>
      </c>
      <c r="E11619" t="inlineStr">
        <is>
          <t>TORSÅS</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29168-2024</t>
        </is>
      </c>
      <c r="B11620" s="1" t="n">
        <v>45482</v>
      </c>
      <c r="C11620" s="1" t="n">
        <v>45715</v>
      </c>
      <c r="D11620" t="inlineStr">
        <is>
          <t>KALMAR LÄN</t>
        </is>
      </c>
      <c r="E11620" t="inlineStr">
        <is>
          <t>VIMMERBY</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29173-2024</t>
        </is>
      </c>
      <c r="B11621" s="1" t="n">
        <v>45482</v>
      </c>
      <c r="C11621" s="1" t="n">
        <v>45715</v>
      </c>
      <c r="D11621" t="inlineStr">
        <is>
          <t>KALMAR LÄN</t>
        </is>
      </c>
      <c r="E11621" t="inlineStr">
        <is>
          <t>VIMMERBY</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29181-2024</t>
        </is>
      </c>
      <c r="B11622" s="1" t="n">
        <v>45482</v>
      </c>
      <c r="C11622" s="1" t="n">
        <v>45715</v>
      </c>
      <c r="D11622" t="inlineStr">
        <is>
          <t>KALMAR LÄN</t>
        </is>
      </c>
      <c r="E11622" t="inlineStr">
        <is>
          <t>NYBRO</t>
        </is>
      </c>
      <c r="G11622" t="n">
        <v>4.2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29186-2024</t>
        </is>
      </c>
      <c r="B11623" s="1" t="n">
        <v>45482</v>
      </c>
      <c r="C11623" s="1" t="n">
        <v>45715</v>
      </c>
      <c r="D11623" t="inlineStr">
        <is>
          <t>KALMAR LÄN</t>
        </is>
      </c>
      <c r="E11623" t="inlineStr">
        <is>
          <t>VIMMERBY</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29180-2024</t>
        </is>
      </c>
      <c r="B11624" s="1" t="n">
        <v>45482</v>
      </c>
      <c r="C11624" s="1" t="n">
        <v>45715</v>
      </c>
      <c r="D11624" t="inlineStr">
        <is>
          <t>KALMAR LÄN</t>
        </is>
      </c>
      <c r="E11624" t="inlineStr">
        <is>
          <t>VIMMERBY</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29165-2024</t>
        </is>
      </c>
      <c r="B11625" s="1" t="n">
        <v>45482</v>
      </c>
      <c r="C11625" s="1" t="n">
        <v>45715</v>
      </c>
      <c r="D11625" t="inlineStr">
        <is>
          <t>KALMAR LÄN</t>
        </is>
      </c>
      <c r="E11625" t="inlineStr">
        <is>
          <t>VIMMERBY</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29283-2024</t>
        </is>
      </c>
      <c r="B11626" s="1" t="n">
        <v>45483</v>
      </c>
      <c r="C11626" s="1" t="n">
        <v>45715</v>
      </c>
      <c r="D11626" t="inlineStr">
        <is>
          <t>KALMAR LÄN</t>
        </is>
      </c>
      <c r="E11626" t="inlineStr">
        <is>
          <t>OSKARSHAMN</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29346-2024</t>
        </is>
      </c>
      <c r="B11627" s="1" t="n">
        <v>45483</v>
      </c>
      <c r="C11627" s="1" t="n">
        <v>45715</v>
      </c>
      <c r="D11627" t="inlineStr">
        <is>
          <t>KALMAR LÄN</t>
        </is>
      </c>
      <c r="E11627" t="inlineStr">
        <is>
          <t>OSKARSHAMN</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29400-2024</t>
        </is>
      </c>
      <c r="B11628" s="1" t="n">
        <v>45483</v>
      </c>
      <c r="C11628" s="1" t="n">
        <v>45715</v>
      </c>
      <c r="D11628" t="inlineStr">
        <is>
          <t>KALMAR LÄN</t>
        </is>
      </c>
      <c r="E11628" t="inlineStr">
        <is>
          <t>VÄSTERVIK</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29404-2024</t>
        </is>
      </c>
      <c r="B11629" s="1" t="n">
        <v>45483</v>
      </c>
      <c r="C11629" s="1" t="n">
        <v>45715</v>
      </c>
      <c r="D11629" t="inlineStr">
        <is>
          <t>KALMAR LÄN</t>
        </is>
      </c>
      <c r="E11629" t="inlineStr">
        <is>
          <t>VÄSTERVIK</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29412-2024</t>
        </is>
      </c>
      <c r="B11630" s="1" t="n">
        <v>45483</v>
      </c>
      <c r="C11630" s="1" t="n">
        <v>45715</v>
      </c>
      <c r="D11630" t="inlineStr">
        <is>
          <t>KALMAR LÄN</t>
        </is>
      </c>
      <c r="E11630" t="inlineStr">
        <is>
          <t>VÄSTERVIK</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29420-2024</t>
        </is>
      </c>
      <c r="B11631" s="1" t="n">
        <v>45483</v>
      </c>
      <c r="C11631" s="1" t="n">
        <v>45715</v>
      </c>
      <c r="D11631" t="inlineStr">
        <is>
          <t>KALMAR LÄN</t>
        </is>
      </c>
      <c r="E11631" t="inlineStr">
        <is>
          <t>VÄSTERVIK</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29440-2024</t>
        </is>
      </c>
      <c r="B11632" s="1" t="n">
        <v>45483</v>
      </c>
      <c r="C11632" s="1" t="n">
        <v>45715</v>
      </c>
      <c r="D11632" t="inlineStr">
        <is>
          <t>KALMAR LÄN</t>
        </is>
      </c>
      <c r="E11632" t="inlineStr">
        <is>
          <t>VIMMERBY</t>
        </is>
      </c>
      <c r="G11632" t="n">
        <v>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29396-2024</t>
        </is>
      </c>
      <c r="B11633" s="1" t="n">
        <v>45483</v>
      </c>
      <c r="C11633" s="1" t="n">
        <v>45715</v>
      </c>
      <c r="D11633" t="inlineStr">
        <is>
          <t>KALMAR LÄN</t>
        </is>
      </c>
      <c r="E11633" t="inlineStr">
        <is>
          <t>VÄSTERVIK</t>
        </is>
      </c>
      <c r="G11633" t="n">
        <v>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29405-2024</t>
        </is>
      </c>
      <c r="B11634" s="1" t="n">
        <v>45483</v>
      </c>
      <c r="C11634" s="1" t="n">
        <v>45715</v>
      </c>
      <c r="D11634" t="inlineStr">
        <is>
          <t>KALMAR LÄN</t>
        </is>
      </c>
      <c r="E11634" t="inlineStr">
        <is>
          <t>VÄSTERVIK</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29341-2024</t>
        </is>
      </c>
      <c r="B11635" s="1" t="n">
        <v>45483</v>
      </c>
      <c r="C11635" s="1" t="n">
        <v>45715</v>
      </c>
      <c r="D11635" t="inlineStr">
        <is>
          <t>KALMAR LÄN</t>
        </is>
      </c>
      <c r="E11635" t="inlineStr">
        <is>
          <t>MÖNSTERÅS</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29417-2024</t>
        </is>
      </c>
      <c r="B11636" s="1" t="n">
        <v>45483</v>
      </c>
      <c r="C11636" s="1" t="n">
        <v>45715</v>
      </c>
      <c r="D11636" t="inlineStr">
        <is>
          <t>KALMAR LÄN</t>
        </is>
      </c>
      <c r="E11636" t="inlineStr">
        <is>
          <t>VÄSTERVIK</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29441-2024</t>
        </is>
      </c>
      <c r="B11637" s="1" t="n">
        <v>45483</v>
      </c>
      <c r="C11637" s="1" t="n">
        <v>45715</v>
      </c>
      <c r="D11637" t="inlineStr">
        <is>
          <t>KALMAR LÄN</t>
        </is>
      </c>
      <c r="E11637" t="inlineStr">
        <is>
          <t>VIMMERBY</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29407-2024</t>
        </is>
      </c>
      <c r="B11638" s="1" t="n">
        <v>45483</v>
      </c>
      <c r="C11638" s="1" t="n">
        <v>45715</v>
      </c>
      <c r="D11638" t="inlineStr">
        <is>
          <t>KALMAR LÄN</t>
        </is>
      </c>
      <c r="E11638" t="inlineStr">
        <is>
          <t>VÄSTERVIK</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29414-2024</t>
        </is>
      </c>
      <c r="B11639" s="1" t="n">
        <v>45483</v>
      </c>
      <c r="C11639" s="1" t="n">
        <v>45715</v>
      </c>
      <c r="D11639" t="inlineStr">
        <is>
          <t>KALMAR LÄN</t>
        </is>
      </c>
      <c r="E11639" t="inlineStr">
        <is>
          <t>VÄSTERVIK</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29418-2024</t>
        </is>
      </c>
      <c r="B11640" s="1" t="n">
        <v>45483</v>
      </c>
      <c r="C11640" s="1" t="n">
        <v>45715</v>
      </c>
      <c r="D11640" t="inlineStr">
        <is>
          <t>KALMAR LÄN</t>
        </is>
      </c>
      <c r="E11640" t="inlineStr">
        <is>
          <t>VÄSTERVIK</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29569-2024</t>
        </is>
      </c>
      <c r="B11641" s="1" t="n">
        <v>45484</v>
      </c>
      <c r="C11641" s="1" t="n">
        <v>45715</v>
      </c>
      <c r="D11641" t="inlineStr">
        <is>
          <t>KALMAR LÄN</t>
        </is>
      </c>
      <c r="E11641" t="inlineStr">
        <is>
          <t>HULTSFRED</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29565-2024</t>
        </is>
      </c>
      <c r="B11642" s="1" t="n">
        <v>45484</v>
      </c>
      <c r="C11642" s="1" t="n">
        <v>45715</v>
      </c>
      <c r="D11642" t="inlineStr">
        <is>
          <t>KALMAR LÄN</t>
        </is>
      </c>
      <c r="E11642" t="inlineStr">
        <is>
          <t>HULTSFRED</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29557-2024</t>
        </is>
      </c>
      <c r="B11643" s="1" t="n">
        <v>45484</v>
      </c>
      <c r="C11643" s="1" t="n">
        <v>45715</v>
      </c>
      <c r="D11643" t="inlineStr">
        <is>
          <t>KALMAR LÄN</t>
        </is>
      </c>
      <c r="E11643" t="inlineStr">
        <is>
          <t>VÄSTERVIK</t>
        </is>
      </c>
      <c r="G11643" t="n">
        <v>5.9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29544-2024</t>
        </is>
      </c>
      <c r="B11644" s="1" t="n">
        <v>45484</v>
      </c>
      <c r="C11644" s="1" t="n">
        <v>45715</v>
      </c>
      <c r="D11644" t="inlineStr">
        <is>
          <t>KALMAR LÄN</t>
        </is>
      </c>
      <c r="E11644" t="inlineStr">
        <is>
          <t>NYBRO</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29539-2024</t>
        </is>
      </c>
      <c r="B11645" s="1" t="n">
        <v>45484</v>
      </c>
      <c r="C11645" s="1" t="n">
        <v>45715</v>
      </c>
      <c r="D11645" t="inlineStr">
        <is>
          <t>KALMAR LÄN</t>
        </is>
      </c>
      <c r="E11645" t="inlineStr">
        <is>
          <t>EMMABODA</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29491-2024</t>
        </is>
      </c>
      <c r="B11646" s="1" t="n">
        <v>45484</v>
      </c>
      <c r="C11646" s="1" t="n">
        <v>45715</v>
      </c>
      <c r="D11646" t="inlineStr">
        <is>
          <t>KALMAR LÄN</t>
        </is>
      </c>
      <c r="E11646" t="inlineStr">
        <is>
          <t>EMMABODA</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29571-2024</t>
        </is>
      </c>
      <c r="B11647" s="1" t="n">
        <v>45484</v>
      </c>
      <c r="C11647" s="1" t="n">
        <v>45715</v>
      </c>
      <c r="D11647" t="inlineStr">
        <is>
          <t>KALMAR LÄN</t>
        </is>
      </c>
      <c r="E11647" t="inlineStr">
        <is>
          <t>VÄSTERVIK</t>
        </is>
      </c>
      <c r="F11647" t="inlineStr">
        <is>
          <t>Holmen skog AB</t>
        </is>
      </c>
      <c r="G11647" t="n">
        <v>6.9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29543-2024</t>
        </is>
      </c>
      <c r="B11648" s="1" t="n">
        <v>45484</v>
      </c>
      <c r="C11648" s="1" t="n">
        <v>45715</v>
      </c>
      <c r="D11648" t="inlineStr">
        <is>
          <t>KALMAR LÄN</t>
        </is>
      </c>
      <c r="E11648" t="inlineStr">
        <is>
          <t>NYBRO</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29787-2024</t>
        </is>
      </c>
      <c r="B11649" s="1" t="n">
        <v>45485</v>
      </c>
      <c r="C11649" s="1" t="n">
        <v>45715</v>
      </c>
      <c r="D11649" t="inlineStr">
        <is>
          <t>KALMAR LÄN</t>
        </is>
      </c>
      <c r="E11649" t="inlineStr">
        <is>
          <t>VIMMERBY</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29783-2024</t>
        </is>
      </c>
      <c r="B11650" s="1" t="n">
        <v>45485</v>
      </c>
      <c r="C11650" s="1" t="n">
        <v>45715</v>
      </c>
      <c r="D11650" t="inlineStr">
        <is>
          <t>KALMAR LÄN</t>
        </is>
      </c>
      <c r="E11650" t="inlineStr">
        <is>
          <t>VIMMERBY</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29779-2024</t>
        </is>
      </c>
      <c r="B11651" s="1" t="n">
        <v>45485</v>
      </c>
      <c r="C11651" s="1" t="n">
        <v>45715</v>
      </c>
      <c r="D11651" t="inlineStr">
        <is>
          <t>KALMAR LÄN</t>
        </is>
      </c>
      <c r="E11651" t="inlineStr">
        <is>
          <t>VIMMERBY</t>
        </is>
      </c>
      <c r="G11651" t="n">
        <v>4.9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29778-2024</t>
        </is>
      </c>
      <c r="B11652" s="1" t="n">
        <v>45485</v>
      </c>
      <c r="C11652" s="1" t="n">
        <v>45715</v>
      </c>
      <c r="D11652" t="inlineStr">
        <is>
          <t>KALMAR LÄN</t>
        </is>
      </c>
      <c r="E11652" t="inlineStr">
        <is>
          <t>VIMMERBY</t>
        </is>
      </c>
      <c r="G11652" t="n">
        <v>5.8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29786-2024</t>
        </is>
      </c>
      <c r="B11653" s="1" t="n">
        <v>45485</v>
      </c>
      <c r="C11653" s="1" t="n">
        <v>45715</v>
      </c>
      <c r="D11653" t="inlineStr">
        <is>
          <t>KALMAR LÄN</t>
        </is>
      </c>
      <c r="E11653" t="inlineStr">
        <is>
          <t>VÄSTERVIK</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29790-2024</t>
        </is>
      </c>
      <c r="B11654" s="1" t="n">
        <v>45485</v>
      </c>
      <c r="C11654" s="1" t="n">
        <v>45715</v>
      </c>
      <c r="D11654" t="inlineStr">
        <is>
          <t>KALMAR LÄN</t>
        </is>
      </c>
      <c r="E11654" t="inlineStr">
        <is>
          <t>VIMMERBY</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29784-2024</t>
        </is>
      </c>
      <c r="B11655" s="1" t="n">
        <v>45485</v>
      </c>
      <c r="C11655" s="1" t="n">
        <v>45715</v>
      </c>
      <c r="D11655" t="inlineStr">
        <is>
          <t>KALMAR LÄN</t>
        </is>
      </c>
      <c r="E11655" t="inlineStr">
        <is>
          <t>VÄSTERVIK</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29789-2024</t>
        </is>
      </c>
      <c r="B11656" s="1" t="n">
        <v>45485</v>
      </c>
      <c r="C11656" s="1" t="n">
        <v>45715</v>
      </c>
      <c r="D11656" t="inlineStr">
        <is>
          <t>KALMAR LÄN</t>
        </is>
      </c>
      <c r="E11656" t="inlineStr">
        <is>
          <t>VÄSTERVIK</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30026-2024</t>
        </is>
      </c>
      <c r="B11657" s="1" t="n">
        <v>45488</v>
      </c>
      <c r="C11657" s="1" t="n">
        <v>45715</v>
      </c>
      <c r="D11657" t="inlineStr">
        <is>
          <t>KALMAR LÄN</t>
        </is>
      </c>
      <c r="E11657" t="inlineStr">
        <is>
          <t>KALMAR</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29933-2024</t>
        </is>
      </c>
      <c r="B11658" s="1" t="n">
        <v>45488</v>
      </c>
      <c r="C11658" s="1" t="n">
        <v>45715</v>
      </c>
      <c r="D11658" t="inlineStr">
        <is>
          <t>KALMAR LÄN</t>
        </is>
      </c>
      <c r="E11658" t="inlineStr">
        <is>
          <t>TORSÅS</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29970-2024</t>
        </is>
      </c>
      <c r="B11659" s="1" t="n">
        <v>45488</v>
      </c>
      <c r="C11659" s="1" t="n">
        <v>45715</v>
      </c>
      <c r="D11659" t="inlineStr">
        <is>
          <t>KALMAR LÄN</t>
        </is>
      </c>
      <c r="E11659" t="inlineStr">
        <is>
          <t>HULTSFRED</t>
        </is>
      </c>
      <c r="G11659" t="n">
        <v>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30029-2024</t>
        </is>
      </c>
      <c r="B11660" s="1" t="n">
        <v>45488</v>
      </c>
      <c r="C11660" s="1" t="n">
        <v>45715</v>
      </c>
      <c r="D11660" t="inlineStr">
        <is>
          <t>KALMAR LÄN</t>
        </is>
      </c>
      <c r="E11660" t="inlineStr">
        <is>
          <t>KALMAR</t>
        </is>
      </c>
      <c r="G11660" t="n">
        <v>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29950-2024</t>
        </is>
      </c>
      <c r="B11661" s="1" t="n">
        <v>45488</v>
      </c>
      <c r="C11661" s="1" t="n">
        <v>45715</v>
      </c>
      <c r="D11661" t="inlineStr">
        <is>
          <t>KALMAR LÄN</t>
        </is>
      </c>
      <c r="E11661" t="inlineStr">
        <is>
          <t>NYBRO</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29973-2024</t>
        </is>
      </c>
      <c r="B11662" s="1" t="n">
        <v>45488</v>
      </c>
      <c r="C11662" s="1" t="n">
        <v>45715</v>
      </c>
      <c r="D11662" t="inlineStr">
        <is>
          <t>KALMAR LÄN</t>
        </is>
      </c>
      <c r="E11662" t="inlineStr">
        <is>
          <t>HULTSFRED</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29971-2024</t>
        </is>
      </c>
      <c r="B11663" s="1" t="n">
        <v>45488</v>
      </c>
      <c r="C11663" s="1" t="n">
        <v>45715</v>
      </c>
      <c r="D11663" t="inlineStr">
        <is>
          <t>KALMAR LÄN</t>
        </is>
      </c>
      <c r="E11663" t="inlineStr">
        <is>
          <t>HULTSFRED</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30173-2024</t>
        </is>
      </c>
      <c r="B11664" s="1" t="n">
        <v>45489</v>
      </c>
      <c r="C11664" s="1" t="n">
        <v>45715</v>
      </c>
      <c r="D11664" t="inlineStr">
        <is>
          <t>KALMAR LÄN</t>
        </is>
      </c>
      <c r="E11664" t="inlineStr">
        <is>
          <t>NYBRO</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30153-2024</t>
        </is>
      </c>
      <c r="B11665" s="1" t="n">
        <v>45489</v>
      </c>
      <c r="C11665" s="1" t="n">
        <v>45715</v>
      </c>
      <c r="D11665" t="inlineStr">
        <is>
          <t>KALMAR LÄN</t>
        </is>
      </c>
      <c r="E11665" t="inlineStr">
        <is>
          <t>VÄSTERVIK</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30148-2024</t>
        </is>
      </c>
      <c r="B11666" s="1" t="n">
        <v>45489</v>
      </c>
      <c r="C11666" s="1" t="n">
        <v>45715</v>
      </c>
      <c r="D11666" t="inlineStr">
        <is>
          <t>KALMAR LÄN</t>
        </is>
      </c>
      <c r="E11666" t="inlineStr">
        <is>
          <t>VÄSTERVIK</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30127-2024</t>
        </is>
      </c>
      <c r="B11667" s="1" t="n">
        <v>45489</v>
      </c>
      <c r="C11667" s="1" t="n">
        <v>45715</v>
      </c>
      <c r="D11667" t="inlineStr">
        <is>
          <t>KALMAR LÄN</t>
        </is>
      </c>
      <c r="E11667" t="inlineStr">
        <is>
          <t>OSKARSHAMN</t>
        </is>
      </c>
      <c r="G11667" t="n">
        <v>8.6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30174-2024</t>
        </is>
      </c>
      <c r="B11668" s="1" t="n">
        <v>45489</v>
      </c>
      <c r="C11668" s="1" t="n">
        <v>45715</v>
      </c>
      <c r="D11668" t="inlineStr">
        <is>
          <t>KALMAR LÄN</t>
        </is>
      </c>
      <c r="E11668" t="inlineStr">
        <is>
          <t>NYBRO</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30182-2024</t>
        </is>
      </c>
      <c r="B11669" s="1" t="n">
        <v>45490</v>
      </c>
      <c r="C11669" s="1" t="n">
        <v>45715</v>
      </c>
      <c r="D11669" t="inlineStr">
        <is>
          <t>KALMAR LÄN</t>
        </is>
      </c>
      <c r="E11669" t="inlineStr">
        <is>
          <t>OSKARSHAMN</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30160-2024</t>
        </is>
      </c>
      <c r="B11670" s="1" t="n">
        <v>45489</v>
      </c>
      <c r="C11670" s="1" t="n">
        <v>45715</v>
      </c>
      <c r="D11670" t="inlineStr">
        <is>
          <t>KALMAR LÄN</t>
        </is>
      </c>
      <c r="E11670" t="inlineStr">
        <is>
          <t>KALMAR</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30149-2024</t>
        </is>
      </c>
      <c r="B11671" s="1" t="n">
        <v>45489</v>
      </c>
      <c r="C11671" s="1" t="n">
        <v>45715</v>
      </c>
      <c r="D11671" t="inlineStr">
        <is>
          <t>KALMAR LÄN</t>
        </is>
      </c>
      <c r="E11671" t="inlineStr">
        <is>
          <t>VÄSTERVIK</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30177-2024</t>
        </is>
      </c>
      <c r="B11672" s="1" t="n">
        <v>45489</v>
      </c>
      <c r="C11672" s="1" t="n">
        <v>45715</v>
      </c>
      <c r="D11672" t="inlineStr">
        <is>
          <t>KALMAR LÄN</t>
        </is>
      </c>
      <c r="E11672" t="inlineStr">
        <is>
          <t>OSKARSHAMN</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30172-2024</t>
        </is>
      </c>
      <c r="B11673" s="1" t="n">
        <v>45489</v>
      </c>
      <c r="C11673" s="1" t="n">
        <v>45715</v>
      </c>
      <c r="D11673" t="inlineStr">
        <is>
          <t>KALMAR LÄN</t>
        </is>
      </c>
      <c r="E11673" t="inlineStr">
        <is>
          <t>NYBRO</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30178-2024</t>
        </is>
      </c>
      <c r="B11674" s="1" t="n">
        <v>45490</v>
      </c>
      <c r="C11674" s="1" t="n">
        <v>45715</v>
      </c>
      <c r="D11674" t="inlineStr">
        <is>
          <t>KALMAR LÄN</t>
        </is>
      </c>
      <c r="E11674" t="inlineStr">
        <is>
          <t>OSKARSHAMN</t>
        </is>
      </c>
      <c r="G11674" t="n">
        <v>11.1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30157-2024</t>
        </is>
      </c>
      <c r="B11675" s="1" t="n">
        <v>45489</v>
      </c>
      <c r="C11675" s="1" t="n">
        <v>45715</v>
      </c>
      <c r="D11675" t="inlineStr">
        <is>
          <t>KALMAR LÄN</t>
        </is>
      </c>
      <c r="E11675" t="inlineStr">
        <is>
          <t>VÄSTERVIK</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30117-2024</t>
        </is>
      </c>
      <c r="B11676" s="1" t="n">
        <v>45489</v>
      </c>
      <c r="C11676" s="1" t="n">
        <v>45715</v>
      </c>
      <c r="D11676" t="inlineStr">
        <is>
          <t>KALMAR LÄN</t>
        </is>
      </c>
      <c r="E11676" t="inlineStr">
        <is>
          <t>OSKARSHAMN</t>
        </is>
      </c>
      <c r="G11676" t="n">
        <v>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30129-2024</t>
        </is>
      </c>
      <c r="B11677" s="1" t="n">
        <v>45489</v>
      </c>
      <c r="C11677" s="1" t="n">
        <v>45715</v>
      </c>
      <c r="D11677" t="inlineStr">
        <is>
          <t>KALMAR LÄN</t>
        </is>
      </c>
      <c r="E11677" t="inlineStr">
        <is>
          <t>OSKARSHAMN</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30120-2024</t>
        </is>
      </c>
      <c r="B11678" s="1" t="n">
        <v>45489</v>
      </c>
      <c r="C11678" s="1" t="n">
        <v>45715</v>
      </c>
      <c r="D11678" t="inlineStr">
        <is>
          <t>KALMAR LÄN</t>
        </is>
      </c>
      <c r="E11678" t="inlineStr">
        <is>
          <t>VIMMERBY</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30076-2024</t>
        </is>
      </c>
      <c r="B11679" s="1" t="n">
        <v>45489</v>
      </c>
      <c r="C11679" s="1" t="n">
        <v>45715</v>
      </c>
      <c r="D11679" t="inlineStr">
        <is>
          <t>KALMAR LÄN</t>
        </is>
      </c>
      <c r="E11679" t="inlineStr">
        <is>
          <t>NYBRO</t>
        </is>
      </c>
      <c r="G11679" t="n">
        <v>5.6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30261-2024</t>
        </is>
      </c>
      <c r="B11680" s="1" t="n">
        <v>45490</v>
      </c>
      <c r="C11680" s="1" t="n">
        <v>45715</v>
      </c>
      <c r="D11680" t="inlineStr">
        <is>
          <t>KALMAR LÄN</t>
        </is>
      </c>
      <c r="E11680" t="inlineStr">
        <is>
          <t>OSKARSHAMN</t>
        </is>
      </c>
      <c r="G11680" t="n">
        <v>6.2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30259-2024</t>
        </is>
      </c>
      <c r="B11681" s="1" t="n">
        <v>45490</v>
      </c>
      <c r="C11681" s="1" t="n">
        <v>45715</v>
      </c>
      <c r="D11681" t="inlineStr">
        <is>
          <t>KALMAR LÄN</t>
        </is>
      </c>
      <c r="E11681" t="inlineStr">
        <is>
          <t>OSKARSHAMN</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30278-2024</t>
        </is>
      </c>
      <c r="B11682" s="1" t="n">
        <v>45490</v>
      </c>
      <c r="C11682" s="1" t="n">
        <v>45715</v>
      </c>
      <c r="D11682" t="inlineStr">
        <is>
          <t>KALMAR LÄN</t>
        </is>
      </c>
      <c r="E11682" t="inlineStr">
        <is>
          <t>OSKARSHAMN</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30206-2024</t>
        </is>
      </c>
      <c r="B11683" s="1" t="n">
        <v>45490</v>
      </c>
      <c r="C11683" s="1" t="n">
        <v>45715</v>
      </c>
      <c r="D11683" t="inlineStr">
        <is>
          <t>KALMAR LÄN</t>
        </is>
      </c>
      <c r="E11683" t="inlineStr">
        <is>
          <t>NYBRO</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30288-2024</t>
        </is>
      </c>
      <c r="B11684" s="1" t="n">
        <v>45490</v>
      </c>
      <c r="C11684" s="1" t="n">
        <v>45715</v>
      </c>
      <c r="D11684" t="inlineStr">
        <is>
          <t>KALMAR LÄN</t>
        </is>
      </c>
      <c r="E11684" t="inlineStr">
        <is>
          <t>OSKARSHAMN</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30280-2024</t>
        </is>
      </c>
      <c r="B11685" s="1" t="n">
        <v>45490</v>
      </c>
      <c r="C11685" s="1" t="n">
        <v>45715</v>
      </c>
      <c r="D11685" t="inlineStr">
        <is>
          <t>KALMAR LÄN</t>
        </is>
      </c>
      <c r="E11685" t="inlineStr">
        <is>
          <t>OSKARSHAMN</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30264-2024</t>
        </is>
      </c>
      <c r="B11686" s="1" t="n">
        <v>45490</v>
      </c>
      <c r="C11686" s="1" t="n">
        <v>45715</v>
      </c>
      <c r="D11686" t="inlineStr">
        <is>
          <t>KALMAR LÄN</t>
        </is>
      </c>
      <c r="E11686" t="inlineStr">
        <is>
          <t>OSKARSHAMN</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30273-2024</t>
        </is>
      </c>
      <c r="B11687" s="1" t="n">
        <v>45490</v>
      </c>
      <c r="C11687" s="1" t="n">
        <v>45715</v>
      </c>
      <c r="D11687" t="inlineStr">
        <is>
          <t>KALMAR LÄN</t>
        </is>
      </c>
      <c r="E11687" t="inlineStr">
        <is>
          <t>OSKARSHAMN</t>
        </is>
      </c>
      <c r="G11687" t="n">
        <v>0.3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30281-2024</t>
        </is>
      </c>
      <c r="B11688" s="1" t="n">
        <v>45490</v>
      </c>
      <c r="C11688" s="1" t="n">
        <v>45715</v>
      </c>
      <c r="D11688" t="inlineStr">
        <is>
          <t>KALMAR LÄN</t>
        </is>
      </c>
      <c r="E11688" t="inlineStr">
        <is>
          <t>OSKARSHAMN</t>
        </is>
      </c>
      <c r="G11688" t="n">
        <v>0.2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30285-2024</t>
        </is>
      </c>
      <c r="B11689" s="1" t="n">
        <v>45490</v>
      </c>
      <c r="C11689" s="1" t="n">
        <v>45715</v>
      </c>
      <c r="D11689" t="inlineStr">
        <is>
          <t>KALMAR LÄN</t>
        </is>
      </c>
      <c r="E11689" t="inlineStr">
        <is>
          <t>EMMABODA</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30289-2024</t>
        </is>
      </c>
      <c r="B11690" s="1" t="n">
        <v>45490</v>
      </c>
      <c r="C11690" s="1" t="n">
        <v>45715</v>
      </c>
      <c r="D11690" t="inlineStr">
        <is>
          <t>KALMAR LÄN</t>
        </is>
      </c>
      <c r="E11690" t="inlineStr">
        <is>
          <t>OSKARSHAMN</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30302-2024</t>
        </is>
      </c>
      <c r="B11691" s="1" t="n">
        <v>45490</v>
      </c>
      <c r="C11691" s="1" t="n">
        <v>45715</v>
      </c>
      <c r="D11691" t="inlineStr">
        <is>
          <t>KALMAR LÄN</t>
        </is>
      </c>
      <c r="E11691" t="inlineStr">
        <is>
          <t>MÖNSTERÅS</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30283-2024</t>
        </is>
      </c>
      <c r="B11692" s="1" t="n">
        <v>45490</v>
      </c>
      <c r="C11692" s="1" t="n">
        <v>45715</v>
      </c>
      <c r="D11692" t="inlineStr">
        <is>
          <t>KALMAR LÄN</t>
        </is>
      </c>
      <c r="E11692" t="inlineStr">
        <is>
          <t>EMMABODA</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30279-2024</t>
        </is>
      </c>
      <c r="B11693" s="1" t="n">
        <v>45490</v>
      </c>
      <c r="C11693" s="1" t="n">
        <v>45715</v>
      </c>
      <c r="D11693" t="inlineStr">
        <is>
          <t>KALMAR LÄN</t>
        </is>
      </c>
      <c r="E11693" t="inlineStr">
        <is>
          <t>OSKARSHAMN</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30271-2024</t>
        </is>
      </c>
      <c r="B11694" s="1" t="n">
        <v>45490</v>
      </c>
      <c r="C11694" s="1" t="n">
        <v>45715</v>
      </c>
      <c r="D11694" t="inlineStr">
        <is>
          <t>KALMAR LÄN</t>
        </is>
      </c>
      <c r="E11694" t="inlineStr">
        <is>
          <t>OSKARSHAMN</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30380-2024</t>
        </is>
      </c>
      <c r="B11695" s="1" t="n">
        <v>45491</v>
      </c>
      <c r="C11695" s="1" t="n">
        <v>45715</v>
      </c>
      <c r="D11695" t="inlineStr">
        <is>
          <t>KALMAR LÄN</t>
        </is>
      </c>
      <c r="E11695" t="inlineStr">
        <is>
          <t>KALMAR</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30361-2024</t>
        </is>
      </c>
      <c r="B11696" s="1" t="n">
        <v>45491</v>
      </c>
      <c r="C11696" s="1" t="n">
        <v>45715</v>
      </c>
      <c r="D11696" t="inlineStr">
        <is>
          <t>KALMAR LÄN</t>
        </is>
      </c>
      <c r="E11696" t="inlineStr">
        <is>
          <t>NYBRO</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30437-2024</t>
        </is>
      </c>
      <c r="B11697" s="1" t="n">
        <v>45491</v>
      </c>
      <c r="C11697" s="1" t="n">
        <v>45715</v>
      </c>
      <c r="D11697" t="inlineStr">
        <is>
          <t>KALMAR LÄN</t>
        </is>
      </c>
      <c r="E11697" t="inlineStr">
        <is>
          <t>VÄSTERVIK</t>
        </is>
      </c>
      <c r="F11697" t="inlineStr">
        <is>
          <t>Holmen skog AB</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30529-2024</t>
        </is>
      </c>
      <c r="B11698" s="1" t="n">
        <v>45492</v>
      </c>
      <c r="C11698" s="1" t="n">
        <v>45715</v>
      </c>
      <c r="D11698" t="inlineStr">
        <is>
          <t>KALMAR LÄN</t>
        </is>
      </c>
      <c r="E11698" t="inlineStr">
        <is>
          <t>OSKARSHAMN</t>
        </is>
      </c>
      <c r="G11698" t="n">
        <v>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30504-2024</t>
        </is>
      </c>
      <c r="B11699" s="1" t="n">
        <v>45492</v>
      </c>
      <c r="C11699" s="1" t="n">
        <v>45715</v>
      </c>
      <c r="D11699" t="inlineStr">
        <is>
          <t>KALMAR LÄN</t>
        </is>
      </c>
      <c r="E11699" t="inlineStr">
        <is>
          <t>KALMAR</t>
        </is>
      </c>
      <c r="G11699" t="n">
        <v>5.1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30525-2024</t>
        </is>
      </c>
      <c r="B11700" s="1" t="n">
        <v>45492</v>
      </c>
      <c r="C11700" s="1" t="n">
        <v>45715</v>
      </c>
      <c r="D11700" t="inlineStr">
        <is>
          <t>KALMAR LÄN</t>
        </is>
      </c>
      <c r="E11700" t="inlineStr">
        <is>
          <t>VÄSTERVIK</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30523-2024</t>
        </is>
      </c>
      <c r="B11701" s="1" t="n">
        <v>45492</v>
      </c>
      <c r="C11701" s="1" t="n">
        <v>45715</v>
      </c>
      <c r="D11701" t="inlineStr">
        <is>
          <t>KALMAR LÄN</t>
        </is>
      </c>
      <c r="E11701" t="inlineStr">
        <is>
          <t>VÄSTERVIK</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30511-2024</t>
        </is>
      </c>
      <c r="B11702" s="1" t="n">
        <v>45492</v>
      </c>
      <c r="C11702" s="1" t="n">
        <v>45715</v>
      </c>
      <c r="D11702" t="inlineStr">
        <is>
          <t>KALMAR LÄN</t>
        </is>
      </c>
      <c r="E11702" t="inlineStr">
        <is>
          <t>VÄSTERVIK</t>
        </is>
      </c>
      <c r="G11702" t="n">
        <v>4.9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30507-2024</t>
        </is>
      </c>
      <c r="B11703" s="1" t="n">
        <v>45492</v>
      </c>
      <c r="C11703" s="1" t="n">
        <v>45715</v>
      </c>
      <c r="D11703" t="inlineStr">
        <is>
          <t>KALMAR LÄN</t>
        </is>
      </c>
      <c r="E11703" t="inlineStr">
        <is>
          <t>KALMAR</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30634-2024</t>
        </is>
      </c>
      <c r="B11704" s="1" t="n">
        <v>45495</v>
      </c>
      <c r="C11704" s="1" t="n">
        <v>45715</v>
      </c>
      <c r="D11704" t="inlineStr">
        <is>
          <t>KALMAR LÄN</t>
        </is>
      </c>
      <c r="E11704" t="inlineStr">
        <is>
          <t>VIMMERBY</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30632-2024</t>
        </is>
      </c>
      <c r="B11705" s="1" t="n">
        <v>45495</v>
      </c>
      <c r="C11705" s="1" t="n">
        <v>45715</v>
      </c>
      <c r="D11705" t="inlineStr">
        <is>
          <t>KALMAR LÄN</t>
        </is>
      </c>
      <c r="E11705" t="inlineStr">
        <is>
          <t>VIMMERBY</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30633-2024</t>
        </is>
      </c>
      <c r="B11706" s="1" t="n">
        <v>45495</v>
      </c>
      <c r="C11706" s="1" t="n">
        <v>45715</v>
      </c>
      <c r="D11706" t="inlineStr">
        <is>
          <t>KALMAR LÄN</t>
        </is>
      </c>
      <c r="E11706" t="inlineStr">
        <is>
          <t>VIMMERBY</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30861-2024</t>
        </is>
      </c>
      <c r="B11707" s="1" t="n">
        <v>45497</v>
      </c>
      <c r="C11707" s="1" t="n">
        <v>45715</v>
      </c>
      <c r="D11707" t="inlineStr">
        <is>
          <t>KALMAR LÄN</t>
        </is>
      </c>
      <c r="E11707" t="inlineStr">
        <is>
          <t>VIMMERBY</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30807-2024</t>
        </is>
      </c>
      <c r="B11708" s="1" t="n">
        <v>45497</v>
      </c>
      <c r="C11708" s="1" t="n">
        <v>45715</v>
      </c>
      <c r="D11708" t="inlineStr">
        <is>
          <t>KALMAR LÄN</t>
        </is>
      </c>
      <c r="E11708" t="inlineStr">
        <is>
          <t>NYBRO</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30921-2024</t>
        </is>
      </c>
      <c r="B11709" s="1" t="n">
        <v>45498</v>
      </c>
      <c r="C11709" s="1" t="n">
        <v>45715</v>
      </c>
      <c r="D11709" t="inlineStr">
        <is>
          <t>KALMAR LÄN</t>
        </is>
      </c>
      <c r="E11709" t="inlineStr">
        <is>
          <t>VIMMERBY</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30920-2024</t>
        </is>
      </c>
      <c r="B11710" s="1" t="n">
        <v>45498</v>
      </c>
      <c r="C11710" s="1" t="n">
        <v>45715</v>
      </c>
      <c r="D11710" t="inlineStr">
        <is>
          <t>KALMAR LÄN</t>
        </is>
      </c>
      <c r="E11710" t="inlineStr">
        <is>
          <t>VIMMERBY</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31139-2024</t>
        </is>
      </c>
      <c r="B11711" s="1" t="n">
        <v>45502</v>
      </c>
      <c r="C11711" s="1" t="n">
        <v>45715</v>
      </c>
      <c r="D11711" t="inlineStr">
        <is>
          <t>KALMAR LÄN</t>
        </is>
      </c>
      <c r="E11711" t="inlineStr">
        <is>
          <t>VIMMERBY</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31147-2024</t>
        </is>
      </c>
      <c r="B11712" s="1" t="n">
        <v>45502</v>
      </c>
      <c r="C11712" s="1" t="n">
        <v>45715</v>
      </c>
      <c r="D11712" t="inlineStr">
        <is>
          <t>KALMAR LÄN</t>
        </is>
      </c>
      <c r="E11712" t="inlineStr">
        <is>
          <t>VÄSTERVIK</t>
        </is>
      </c>
      <c r="F11712" t="inlineStr">
        <is>
          <t>Sveaskog</t>
        </is>
      </c>
      <c r="G11712" t="n">
        <v>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31102-2024</t>
        </is>
      </c>
      <c r="B11713" s="1" t="n">
        <v>45502</v>
      </c>
      <c r="C11713" s="1" t="n">
        <v>45715</v>
      </c>
      <c r="D11713" t="inlineStr">
        <is>
          <t>KALMAR LÄN</t>
        </is>
      </c>
      <c r="E11713" t="inlineStr">
        <is>
          <t>TORSÅS</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31136-2024</t>
        </is>
      </c>
      <c r="B11714" s="1" t="n">
        <v>45502</v>
      </c>
      <c r="C11714" s="1" t="n">
        <v>45715</v>
      </c>
      <c r="D11714" t="inlineStr">
        <is>
          <t>KALMAR LÄN</t>
        </is>
      </c>
      <c r="E11714" t="inlineStr">
        <is>
          <t>VIMMERBY</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31080-2024</t>
        </is>
      </c>
      <c r="B11715" s="1" t="n">
        <v>45502</v>
      </c>
      <c r="C11715" s="1" t="n">
        <v>45715</v>
      </c>
      <c r="D11715" t="inlineStr">
        <is>
          <t>KALMAR LÄN</t>
        </is>
      </c>
      <c r="E11715" t="inlineStr">
        <is>
          <t>NYBRO</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31056-2024</t>
        </is>
      </c>
      <c r="B11716" s="1" t="n">
        <v>45502</v>
      </c>
      <c r="C11716" s="1" t="n">
        <v>45715</v>
      </c>
      <c r="D11716" t="inlineStr">
        <is>
          <t>KALMAR LÄN</t>
        </is>
      </c>
      <c r="E11716" t="inlineStr">
        <is>
          <t>VÄSTERVIK</t>
        </is>
      </c>
      <c r="F11716" t="inlineStr">
        <is>
          <t>Holmen skog AB</t>
        </is>
      </c>
      <c r="G11716" t="n">
        <v>7.9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31185-2024</t>
        </is>
      </c>
      <c r="B11717" s="1" t="n">
        <v>45503</v>
      </c>
      <c r="C11717" s="1" t="n">
        <v>45715</v>
      </c>
      <c r="D11717" t="inlineStr">
        <is>
          <t>KALMAR LÄN</t>
        </is>
      </c>
      <c r="E11717" t="inlineStr">
        <is>
          <t>KALMAR</t>
        </is>
      </c>
      <c r="G11717" t="n">
        <v>6.7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31209-2024</t>
        </is>
      </c>
      <c r="B11718" s="1" t="n">
        <v>45503</v>
      </c>
      <c r="C11718" s="1" t="n">
        <v>45715</v>
      </c>
      <c r="D11718" t="inlineStr">
        <is>
          <t>KALMAR LÄN</t>
        </is>
      </c>
      <c r="E11718" t="inlineStr">
        <is>
          <t>VIMMERBY</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31210-2024</t>
        </is>
      </c>
      <c r="B11719" s="1" t="n">
        <v>45503</v>
      </c>
      <c r="C11719" s="1" t="n">
        <v>45715</v>
      </c>
      <c r="D11719" t="inlineStr">
        <is>
          <t>KALMAR LÄN</t>
        </is>
      </c>
      <c r="E11719" t="inlineStr">
        <is>
          <t>VIMMERBY</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31250-2024</t>
        </is>
      </c>
      <c r="B11720" s="1" t="n">
        <v>45503</v>
      </c>
      <c r="C11720" s="1" t="n">
        <v>45715</v>
      </c>
      <c r="D11720" t="inlineStr">
        <is>
          <t>KALMAR LÄN</t>
        </is>
      </c>
      <c r="E11720" t="inlineStr">
        <is>
          <t>VIMMERBY</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31244-2024</t>
        </is>
      </c>
      <c r="B11721" s="1" t="n">
        <v>45503</v>
      </c>
      <c r="C11721" s="1" t="n">
        <v>45715</v>
      </c>
      <c r="D11721" t="inlineStr">
        <is>
          <t>KALMAR LÄN</t>
        </is>
      </c>
      <c r="E11721" t="inlineStr">
        <is>
          <t>VIMMERBY</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31248-2024</t>
        </is>
      </c>
      <c r="B11722" s="1" t="n">
        <v>45503</v>
      </c>
      <c r="C11722" s="1" t="n">
        <v>45715</v>
      </c>
      <c r="D11722" t="inlineStr">
        <is>
          <t>KALMAR LÄN</t>
        </is>
      </c>
      <c r="E11722" t="inlineStr">
        <is>
          <t>VIMMERBY</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31238-2024</t>
        </is>
      </c>
      <c r="B11723" s="1" t="n">
        <v>45503</v>
      </c>
      <c r="C11723" s="1" t="n">
        <v>45715</v>
      </c>
      <c r="D11723" t="inlineStr">
        <is>
          <t>KALMAR LÄN</t>
        </is>
      </c>
      <c r="E11723" t="inlineStr">
        <is>
          <t>VIMMERBY</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31414-2024</t>
        </is>
      </c>
      <c r="B11724" s="1" t="n">
        <v>45505</v>
      </c>
      <c r="C11724" s="1" t="n">
        <v>45715</v>
      </c>
      <c r="D11724" t="inlineStr">
        <is>
          <t>KALMAR LÄN</t>
        </is>
      </c>
      <c r="E11724" t="inlineStr">
        <is>
          <t>HULTSFRED</t>
        </is>
      </c>
      <c r="G11724" t="n">
        <v>3.6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31422-2024</t>
        </is>
      </c>
      <c r="B11725" s="1" t="n">
        <v>45505</v>
      </c>
      <c r="C11725" s="1" t="n">
        <v>45715</v>
      </c>
      <c r="D11725" t="inlineStr">
        <is>
          <t>KALMAR LÄN</t>
        </is>
      </c>
      <c r="E11725" t="inlineStr">
        <is>
          <t>HULTSFRED</t>
        </is>
      </c>
      <c r="G11725" t="n">
        <v>5.5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31421-2024</t>
        </is>
      </c>
      <c r="B11726" s="1" t="n">
        <v>45505</v>
      </c>
      <c r="C11726" s="1" t="n">
        <v>45715</v>
      </c>
      <c r="D11726" t="inlineStr">
        <is>
          <t>KALMAR LÄN</t>
        </is>
      </c>
      <c r="E11726" t="inlineStr">
        <is>
          <t>HULTSFRED</t>
        </is>
      </c>
      <c r="G11726" t="n">
        <v>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31423-2024</t>
        </is>
      </c>
      <c r="B11727" s="1" t="n">
        <v>45505</v>
      </c>
      <c r="C11727" s="1" t="n">
        <v>45715</v>
      </c>
      <c r="D11727" t="inlineStr">
        <is>
          <t>KALMAR LÄN</t>
        </is>
      </c>
      <c r="E11727" t="inlineStr">
        <is>
          <t>HULTSFRED</t>
        </is>
      </c>
      <c r="G11727" t="n">
        <v>4.3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31381-2024</t>
        </is>
      </c>
      <c r="B11728" s="1" t="n">
        <v>45505</v>
      </c>
      <c r="C11728" s="1" t="n">
        <v>45715</v>
      </c>
      <c r="D11728" t="inlineStr">
        <is>
          <t>KALMAR LÄN</t>
        </is>
      </c>
      <c r="E11728" t="inlineStr">
        <is>
          <t>NYBRO</t>
        </is>
      </c>
      <c r="G11728" t="n">
        <v>4.9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31642-2024</t>
        </is>
      </c>
      <c r="B11729" s="1" t="n">
        <v>45506</v>
      </c>
      <c r="C11729" s="1" t="n">
        <v>45715</v>
      </c>
      <c r="D11729" t="inlineStr">
        <is>
          <t>KALMAR LÄN</t>
        </is>
      </c>
      <c r="E11729" t="inlineStr">
        <is>
          <t>MÖNSTERÅS</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31650-2024</t>
        </is>
      </c>
      <c r="B11730" s="1" t="n">
        <v>45506</v>
      </c>
      <c r="C11730" s="1" t="n">
        <v>45715</v>
      </c>
      <c r="D11730" t="inlineStr">
        <is>
          <t>KALMAR LÄN</t>
        </is>
      </c>
      <c r="E11730" t="inlineStr">
        <is>
          <t>MÖNSTERÅS</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31870-2024</t>
        </is>
      </c>
      <c r="B11731" s="1" t="n">
        <v>45509</v>
      </c>
      <c r="C11731" s="1" t="n">
        <v>45715</v>
      </c>
      <c r="D11731" t="inlineStr">
        <is>
          <t>KALMAR LÄN</t>
        </is>
      </c>
      <c r="E11731" t="inlineStr">
        <is>
          <t>NYBRO</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31846-2024</t>
        </is>
      </c>
      <c r="B11732" s="1" t="n">
        <v>45509</v>
      </c>
      <c r="C11732" s="1" t="n">
        <v>45715</v>
      </c>
      <c r="D11732" t="inlineStr">
        <is>
          <t>KALMAR LÄN</t>
        </is>
      </c>
      <c r="E11732" t="inlineStr">
        <is>
          <t>HULTSFRED</t>
        </is>
      </c>
      <c r="G11732" t="n">
        <v>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31955-2024</t>
        </is>
      </c>
      <c r="B11733" s="1" t="n">
        <v>45510</v>
      </c>
      <c r="C11733" s="1" t="n">
        <v>45715</v>
      </c>
      <c r="D11733" t="inlineStr">
        <is>
          <t>KALMAR LÄN</t>
        </is>
      </c>
      <c r="E11733" t="inlineStr">
        <is>
          <t>HULTSFRED</t>
        </is>
      </c>
      <c r="F11733" t="inlineStr">
        <is>
          <t>Sveaskog</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32009-2024</t>
        </is>
      </c>
      <c r="B11734" s="1" t="n">
        <v>45510</v>
      </c>
      <c r="C11734" s="1" t="n">
        <v>45715</v>
      </c>
      <c r="D11734" t="inlineStr">
        <is>
          <t>KALMAR LÄN</t>
        </is>
      </c>
      <c r="E11734" t="inlineStr">
        <is>
          <t>VÄSTERVIK</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31919-2024</t>
        </is>
      </c>
      <c r="B11735" s="1" t="n">
        <v>45510</v>
      </c>
      <c r="C11735" s="1" t="n">
        <v>45715</v>
      </c>
      <c r="D11735" t="inlineStr">
        <is>
          <t>KALMAR LÄN</t>
        </is>
      </c>
      <c r="E11735" t="inlineStr">
        <is>
          <t>NYBRO</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32027-2024</t>
        </is>
      </c>
      <c r="B11736" s="1" t="n">
        <v>45510</v>
      </c>
      <c r="C11736" s="1" t="n">
        <v>45715</v>
      </c>
      <c r="D11736" t="inlineStr">
        <is>
          <t>KALMAR LÄN</t>
        </is>
      </c>
      <c r="E11736" t="inlineStr">
        <is>
          <t>EMMABODA</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31999-2024</t>
        </is>
      </c>
      <c r="B11737" s="1" t="n">
        <v>45510</v>
      </c>
      <c r="C11737" s="1" t="n">
        <v>45715</v>
      </c>
      <c r="D11737" t="inlineStr">
        <is>
          <t>KALMAR LÄN</t>
        </is>
      </c>
      <c r="E11737" t="inlineStr">
        <is>
          <t>VÄSTERVIK</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31917-2024</t>
        </is>
      </c>
      <c r="B11738" s="1" t="n">
        <v>45510</v>
      </c>
      <c r="C11738" s="1" t="n">
        <v>45715</v>
      </c>
      <c r="D11738" t="inlineStr">
        <is>
          <t>KALMAR LÄN</t>
        </is>
      </c>
      <c r="E11738" t="inlineStr">
        <is>
          <t>NYBRO</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32006-2024</t>
        </is>
      </c>
      <c r="B11739" s="1" t="n">
        <v>45510</v>
      </c>
      <c r="C11739" s="1" t="n">
        <v>45715</v>
      </c>
      <c r="D11739" t="inlineStr">
        <is>
          <t>KALMAR LÄN</t>
        </is>
      </c>
      <c r="E11739" t="inlineStr">
        <is>
          <t>VÄSTERVIK</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32159-2024</t>
        </is>
      </c>
      <c r="B11740" s="1" t="n">
        <v>45511</v>
      </c>
      <c r="C11740" s="1" t="n">
        <v>45715</v>
      </c>
      <c r="D11740" t="inlineStr">
        <is>
          <t>KALMAR LÄN</t>
        </is>
      </c>
      <c r="E11740" t="inlineStr">
        <is>
          <t>VÄSTERVIK</t>
        </is>
      </c>
      <c r="F11740" t="inlineStr">
        <is>
          <t>Övriga Aktiebolag</t>
        </is>
      </c>
      <c r="G11740" t="n">
        <v>4.5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32118-2024</t>
        </is>
      </c>
      <c r="B11741" s="1" t="n">
        <v>45511</v>
      </c>
      <c r="C11741" s="1" t="n">
        <v>45715</v>
      </c>
      <c r="D11741" t="inlineStr">
        <is>
          <t>KALMAR LÄN</t>
        </is>
      </c>
      <c r="E11741" t="inlineStr">
        <is>
          <t>HULTSFRED</t>
        </is>
      </c>
      <c r="G11741" t="n">
        <v>4.2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32146-2024</t>
        </is>
      </c>
      <c r="B11742" s="1" t="n">
        <v>45511</v>
      </c>
      <c r="C11742" s="1" t="n">
        <v>45715</v>
      </c>
      <c r="D11742" t="inlineStr">
        <is>
          <t>KALMAR LÄN</t>
        </is>
      </c>
      <c r="E11742" t="inlineStr">
        <is>
          <t>VÄSTERVIK</t>
        </is>
      </c>
      <c r="F11742" t="inlineStr">
        <is>
          <t>Övriga Aktiebolag</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32166-2024</t>
        </is>
      </c>
      <c r="B11743" s="1" t="n">
        <v>45511</v>
      </c>
      <c r="C11743" s="1" t="n">
        <v>45715</v>
      </c>
      <c r="D11743" t="inlineStr">
        <is>
          <t>KALMAR LÄN</t>
        </is>
      </c>
      <c r="E11743" t="inlineStr">
        <is>
          <t>KALMAR</t>
        </is>
      </c>
      <c r="G11743" t="n">
        <v>5.7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32137-2024</t>
        </is>
      </c>
      <c r="B11744" s="1" t="n">
        <v>45511</v>
      </c>
      <c r="C11744" s="1" t="n">
        <v>45715</v>
      </c>
      <c r="D11744" t="inlineStr">
        <is>
          <t>KALMAR LÄN</t>
        </is>
      </c>
      <c r="E11744" t="inlineStr">
        <is>
          <t>VÄSTERVIK</t>
        </is>
      </c>
      <c r="F11744" t="inlineStr">
        <is>
          <t>Övriga Aktiebolag</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32264-2024</t>
        </is>
      </c>
      <c r="B11745" s="1" t="n">
        <v>45512</v>
      </c>
      <c r="C11745" s="1" t="n">
        <v>45715</v>
      </c>
      <c r="D11745" t="inlineStr">
        <is>
          <t>KALMAR LÄN</t>
        </is>
      </c>
      <c r="E11745" t="inlineStr">
        <is>
          <t>NYBRO</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32424-2024</t>
        </is>
      </c>
      <c r="B11746" s="1" t="n">
        <v>45512</v>
      </c>
      <c r="C11746" s="1" t="n">
        <v>45715</v>
      </c>
      <c r="D11746" t="inlineStr">
        <is>
          <t>KALMAR LÄN</t>
        </is>
      </c>
      <c r="E11746" t="inlineStr">
        <is>
          <t>KALMAR</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32321-2024</t>
        </is>
      </c>
      <c r="B11747" s="1" t="n">
        <v>45512</v>
      </c>
      <c r="C11747" s="1" t="n">
        <v>45715</v>
      </c>
      <c r="D11747" t="inlineStr">
        <is>
          <t>KALMAR LÄN</t>
        </is>
      </c>
      <c r="E11747" t="inlineStr">
        <is>
          <t>TORSÅS</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32386-2024</t>
        </is>
      </c>
      <c r="B11748" s="1" t="n">
        <v>45512</v>
      </c>
      <c r="C11748" s="1" t="n">
        <v>45715</v>
      </c>
      <c r="D11748" t="inlineStr">
        <is>
          <t>KALMAR LÄN</t>
        </is>
      </c>
      <c r="E11748" t="inlineStr">
        <is>
          <t>VÄSTERVIK</t>
        </is>
      </c>
      <c r="G11748" t="n">
        <v>4.8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32310-2024</t>
        </is>
      </c>
      <c r="B11749" s="1" t="n">
        <v>45512</v>
      </c>
      <c r="C11749" s="1" t="n">
        <v>45715</v>
      </c>
      <c r="D11749" t="inlineStr">
        <is>
          <t>KALMAR LÄN</t>
        </is>
      </c>
      <c r="E11749" t="inlineStr">
        <is>
          <t>TORSÅS</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32423-2024</t>
        </is>
      </c>
      <c r="B11750" s="1" t="n">
        <v>45512</v>
      </c>
      <c r="C11750" s="1" t="n">
        <v>45715</v>
      </c>
      <c r="D11750" t="inlineStr">
        <is>
          <t>KALMAR LÄN</t>
        </is>
      </c>
      <c r="E11750" t="inlineStr">
        <is>
          <t>KALMAR</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32388-2024</t>
        </is>
      </c>
      <c r="B11751" s="1" t="n">
        <v>45512</v>
      </c>
      <c r="C11751" s="1" t="n">
        <v>45715</v>
      </c>
      <c r="D11751" t="inlineStr">
        <is>
          <t>KALMAR LÄN</t>
        </is>
      </c>
      <c r="E11751" t="inlineStr">
        <is>
          <t>VÄSTERVIK</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32320-2024</t>
        </is>
      </c>
      <c r="B11752" s="1" t="n">
        <v>45512</v>
      </c>
      <c r="C11752" s="1" t="n">
        <v>45715</v>
      </c>
      <c r="D11752" t="inlineStr">
        <is>
          <t>KALMAR LÄN</t>
        </is>
      </c>
      <c r="E11752" t="inlineStr">
        <is>
          <t>TORSÅS</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32315-2024</t>
        </is>
      </c>
      <c r="B11753" s="1" t="n">
        <v>45512</v>
      </c>
      <c r="C11753" s="1" t="n">
        <v>45715</v>
      </c>
      <c r="D11753" t="inlineStr">
        <is>
          <t>KALMAR LÄN</t>
        </is>
      </c>
      <c r="E11753" t="inlineStr">
        <is>
          <t>TORSÅS</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32381-2024</t>
        </is>
      </c>
      <c r="B11754" s="1" t="n">
        <v>45512</v>
      </c>
      <c r="C11754" s="1" t="n">
        <v>45715</v>
      </c>
      <c r="D11754" t="inlineStr">
        <is>
          <t>KALMAR LÄN</t>
        </is>
      </c>
      <c r="E11754" t="inlineStr">
        <is>
          <t>HULTSFRED</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32389-2024</t>
        </is>
      </c>
      <c r="B11755" s="1" t="n">
        <v>45512</v>
      </c>
      <c r="C11755" s="1" t="n">
        <v>45715</v>
      </c>
      <c r="D11755" t="inlineStr">
        <is>
          <t>KALMAR LÄN</t>
        </is>
      </c>
      <c r="E11755" t="inlineStr">
        <is>
          <t>VÄSTERVIK</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32397-2024</t>
        </is>
      </c>
      <c r="B11756" s="1" t="n">
        <v>45512</v>
      </c>
      <c r="C11756" s="1" t="n">
        <v>45715</v>
      </c>
      <c r="D11756" t="inlineStr">
        <is>
          <t>KALMAR LÄN</t>
        </is>
      </c>
      <c r="E11756" t="inlineStr">
        <is>
          <t>OSKARSHAMN</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32413-2024</t>
        </is>
      </c>
      <c r="B11757" s="1" t="n">
        <v>45512</v>
      </c>
      <c r="C11757" s="1" t="n">
        <v>45715</v>
      </c>
      <c r="D11757" t="inlineStr">
        <is>
          <t>KALMAR LÄN</t>
        </is>
      </c>
      <c r="E11757" t="inlineStr">
        <is>
          <t>NYBRO</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32283-2024</t>
        </is>
      </c>
      <c r="B11758" s="1" t="n">
        <v>45512</v>
      </c>
      <c r="C11758" s="1" t="n">
        <v>45715</v>
      </c>
      <c r="D11758" t="inlineStr">
        <is>
          <t>KALMAR LÄN</t>
        </is>
      </c>
      <c r="E11758" t="inlineStr">
        <is>
          <t>VÄSTERVIK</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32575-2024</t>
        </is>
      </c>
      <c r="B11759" s="1" t="n">
        <v>45513</v>
      </c>
      <c r="C11759" s="1" t="n">
        <v>45715</v>
      </c>
      <c r="D11759" t="inlineStr">
        <is>
          <t>KALMAR LÄN</t>
        </is>
      </c>
      <c r="E11759" t="inlineStr">
        <is>
          <t>VIMMERBY</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32525-2024</t>
        </is>
      </c>
      <c r="B11760" s="1" t="n">
        <v>45513</v>
      </c>
      <c r="C11760" s="1" t="n">
        <v>45715</v>
      </c>
      <c r="D11760" t="inlineStr">
        <is>
          <t>KALMAR LÄN</t>
        </is>
      </c>
      <c r="E11760" t="inlineStr">
        <is>
          <t>TORSÅS</t>
        </is>
      </c>
      <c r="G11760" t="n">
        <v>4.9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32532-2024</t>
        </is>
      </c>
      <c r="B11761" s="1" t="n">
        <v>45513</v>
      </c>
      <c r="C11761" s="1" t="n">
        <v>45715</v>
      </c>
      <c r="D11761" t="inlineStr">
        <is>
          <t>KALMAR LÄN</t>
        </is>
      </c>
      <c r="E11761" t="inlineStr">
        <is>
          <t>TORSÅS</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32628-2024</t>
        </is>
      </c>
      <c r="B11762" s="1" t="n">
        <v>45513</v>
      </c>
      <c r="C11762" s="1" t="n">
        <v>45715</v>
      </c>
      <c r="D11762" t="inlineStr">
        <is>
          <t>KALMAR LÄN</t>
        </is>
      </c>
      <c r="E11762" t="inlineStr">
        <is>
          <t>VIMMERBY</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32627-2024</t>
        </is>
      </c>
      <c r="B11763" s="1" t="n">
        <v>45513</v>
      </c>
      <c r="C11763" s="1" t="n">
        <v>45715</v>
      </c>
      <c r="D11763" t="inlineStr">
        <is>
          <t>KALMAR LÄN</t>
        </is>
      </c>
      <c r="E11763" t="inlineStr">
        <is>
          <t>VIMMERBY</t>
        </is>
      </c>
      <c r="G11763" t="n">
        <v>8.199999999999999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32569-2024</t>
        </is>
      </c>
      <c r="B11764" s="1" t="n">
        <v>45513</v>
      </c>
      <c r="C11764" s="1" t="n">
        <v>45715</v>
      </c>
      <c r="D11764" t="inlineStr">
        <is>
          <t>KALMAR LÄN</t>
        </is>
      </c>
      <c r="E11764" t="inlineStr">
        <is>
          <t>VIMMERBY</t>
        </is>
      </c>
      <c r="G11764" t="n">
        <v>3.7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32629-2024</t>
        </is>
      </c>
      <c r="B11765" s="1" t="n">
        <v>45513</v>
      </c>
      <c r="C11765" s="1" t="n">
        <v>45715</v>
      </c>
      <c r="D11765" t="inlineStr">
        <is>
          <t>KALMAR LÄN</t>
        </is>
      </c>
      <c r="E11765" t="inlineStr">
        <is>
          <t>VIMMERBY</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32666-2024</t>
        </is>
      </c>
      <c r="B11766" s="1" t="n">
        <v>45514</v>
      </c>
      <c r="C11766" s="1" t="n">
        <v>45715</v>
      </c>
      <c r="D11766" t="inlineStr">
        <is>
          <t>KALMAR LÄN</t>
        </is>
      </c>
      <c r="E11766" t="inlineStr">
        <is>
          <t>EMMABODA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32663-2024</t>
        </is>
      </c>
      <c r="B11767" s="1" t="n">
        <v>45514</v>
      </c>
      <c r="C11767" s="1" t="n">
        <v>45715</v>
      </c>
      <c r="D11767" t="inlineStr">
        <is>
          <t>KALMAR LÄN</t>
        </is>
      </c>
      <c r="E11767" t="inlineStr">
        <is>
          <t>EMMABODA</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32661-2024</t>
        </is>
      </c>
      <c r="B11768" s="1" t="n">
        <v>45514</v>
      </c>
      <c r="C11768" s="1" t="n">
        <v>45715</v>
      </c>
      <c r="D11768" t="inlineStr">
        <is>
          <t>KALMAR LÄN</t>
        </is>
      </c>
      <c r="E11768" t="inlineStr">
        <is>
          <t>EMMABODA</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32665-2024</t>
        </is>
      </c>
      <c r="B11769" s="1" t="n">
        <v>45514</v>
      </c>
      <c r="C11769" s="1" t="n">
        <v>45715</v>
      </c>
      <c r="D11769" t="inlineStr">
        <is>
          <t>KALMAR LÄN</t>
        </is>
      </c>
      <c r="E11769" t="inlineStr">
        <is>
          <t>EMMABODA</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32736-2024</t>
        </is>
      </c>
      <c r="B11770" s="1" t="n">
        <v>45514</v>
      </c>
      <c r="C11770" s="1" t="n">
        <v>45715</v>
      </c>
      <c r="D11770" t="inlineStr">
        <is>
          <t>KALMAR LÄN</t>
        </is>
      </c>
      <c r="E11770" t="inlineStr">
        <is>
          <t>OSKARSHAMN</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32729-2024</t>
        </is>
      </c>
      <c r="B11771" s="1" t="n">
        <v>45514</v>
      </c>
      <c r="C11771" s="1" t="n">
        <v>45715</v>
      </c>
      <c r="D11771" t="inlineStr">
        <is>
          <t>KALMAR LÄN</t>
        </is>
      </c>
      <c r="E11771" t="inlineStr">
        <is>
          <t>OSKARSHAMN</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32664-2024</t>
        </is>
      </c>
      <c r="B11772" s="1" t="n">
        <v>45514</v>
      </c>
      <c r="C11772" s="1" t="n">
        <v>45715</v>
      </c>
      <c r="D11772" t="inlineStr">
        <is>
          <t>KALMAR LÄN</t>
        </is>
      </c>
      <c r="E11772" t="inlineStr">
        <is>
          <t>EMMABODA</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32687-2024</t>
        </is>
      </c>
      <c r="B11773" s="1" t="n">
        <v>45515</v>
      </c>
      <c r="C11773" s="1" t="n">
        <v>45715</v>
      </c>
      <c r="D11773" t="inlineStr">
        <is>
          <t>KALMAR LÄN</t>
        </is>
      </c>
      <c r="E11773" t="inlineStr">
        <is>
          <t>EMMABODA</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32725-2024</t>
        </is>
      </c>
      <c r="B11774" s="1" t="n">
        <v>45516</v>
      </c>
      <c r="C11774" s="1" t="n">
        <v>45715</v>
      </c>
      <c r="D11774" t="inlineStr">
        <is>
          <t>KALMAR LÄN</t>
        </is>
      </c>
      <c r="E11774" t="inlineStr">
        <is>
          <t>OSKARSHAMN</t>
        </is>
      </c>
      <c r="G11774" t="n">
        <v>3.8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32777-2024</t>
        </is>
      </c>
      <c r="B11775" s="1" t="n">
        <v>45516</v>
      </c>
      <c r="C11775" s="1" t="n">
        <v>45715</v>
      </c>
      <c r="D11775" t="inlineStr">
        <is>
          <t>KALMAR LÄN</t>
        </is>
      </c>
      <c r="E11775" t="inlineStr">
        <is>
          <t>OSKARSHAMN</t>
        </is>
      </c>
      <c r="G11775" t="n">
        <v>4.7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33011-2024</t>
        </is>
      </c>
      <c r="B11776" s="1" t="n">
        <v>45517</v>
      </c>
      <c r="C11776" s="1" t="n">
        <v>45715</v>
      </c>
      <c r="D11776" t="inlineStr">
        <is>
          <t>KALMAR LÄN</t>
        </is>
      </c>
      <c r="E11776" t="inlineStr">
        <is>
          <t>NYBRO</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33102-2024</t>
        </is>
      </c>
      <c r="B11777" s="1" t="n">
        <v>45517</v>
      </c>
      <c r="C11777" s="1" t="n">
        <v>45715</v>
      </c>
      <c r="D11777" t="inlineStr">
        <is>
          <t>KALMAR LÄN</t>
        </is>
      </c>
      <c r="E11777" t="inlineStr">
        <is>
          <t>VIMMERBY</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32993-2024</t>
        </is>
      </c>
      <c r="B11778" s="1" t="n">
        <v>45517</v>
      </c>
      <c r="C11778" s="1" t="n">
        <v>45715</v>
      </c>
      <c r="D11778" t="inlineStr">
        <is>
          <t>KALMAR LÄN</t>
        </is>
      </c>
      <c r="E11778" t="inlineStr">
        <is>
          <t>OSKARSHAMN</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33103-2024</t>
        </is>
      </c>
      <c r="B11779" s="1" t="n">
        <v>45517</v>
      </c>
      <c r="C11779" s="1" t="n">
        <v>45715</v>
      </c>
      <c r="D11779" t="inlineStr">
        <is>
          <t>KALMAR LÄN</t>
        </is>
      </c>
      <c r="E11779" t="inlineStr">
        <is>
          <t>VIMMERBY</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33029-2024</t>
        </is>
      </c>
      <c r="B11780" s="1" t="n">
        <v>45517</v>
      </c>
      <c r="C11780" s="1" t="n">
        <v>45715</v>
      </c>
      <c r="D11780" t="inlineStr">
        <is>
          <t>KALMAR LÄN</t>
        </is>
      </c>
      <c r="E11780" t="inlineStr">
        <is>
          <t>NYBRO</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32966-2024</t>
        </is>
      </c>
      <c r="B11781" s="1" t="n">
        <v>45517</v>
      </c>
      <c r="C11781" s="1" t="n">
        <v>45715</v>
      </c>
      <c r="D11781" t="inlineStr">
        <is>
          <t>KALMAR LÄN</t>
        </is>
      </c>
      <c r="E11781" t="inlineStr">
        <is>
          <t>VIMMERBY</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33161-2024</t>
        </is>
      </c>
      <c r="B11782" s="1" t="n">
        <v>45518</v>
      </c>
      <c r="C11782" s="1" t="n">
        <v>45715</v>
      </c>
      <c r="D11782" t="inlineStr">
        <is>
          <t>KALMAR LÄN</t>
        </is>
      </c>
      <c r="E11782" t="inlineStr">
        <is>
          <t>VIMMERBY</t>
        </is>
      </c>
      <c r="G11782" t="n">
        <v>4.7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33148-2024</t>
        </is>
      </c>
      <c r="B11783" s="1" t="n">
        <v>45518</v>
      </c>
      <c r="C11783" s="1" t="n">
        <v>45715</v>
      </c>
      <c r="D11783" t="inlineStr">
        <is>
          <t>KALMAR LÄN</t>
        </is>
      </c>
      <c r="E11783" t="inlineStr">
        <is>
          <t>TORSÅS</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33144-2024</t>
        </is>
      </c>
      <c r="B11784" s="1" t="n">
        <v>45518</v>
      </c>
      <c r="C11784" s="1" t="n">
        <v>45715</v>
      </c>
      <c r="D11784" t="inlineStr">
        <is>
          <t>KALMAR LÄN</t>
        </is>
      </c>
      <c r="E11784" t="inlineStr">
        <is>
          <t>TORSÅS</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33246-2024</t>
        </is>
      </c>
      <c r="B11785" s="1" t="n">
        <v>45518</v>
      </c>
      <c r="C11785" s="1" t="n">
        <v>45715</v>
      </c>
      <c r="D11785" t="inlineStr">
        <is>
          <t>KALMAR LÄN</t>
        </is>
      </c>
      <c r="E11785" t="inlineStr">
        <is>
          <t>EMMABODA</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33248-2024</t>
        </is>
      </c>
      <c r="B11786" s="1" t="n">
        <v>45518</v>
      </c>
      <c r="C11786" s="1" t="n">
        <v>45715</v>
      </c>
      <c r="D11786" t="inlineStr">
        <is>
          <t>KALMAR LÄN</t>
        </is>
      </c>
      <c r="E11786" t="inlineStr">
        <is>
          <t>EMMABODA</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33461-2024</t>
        </is>
      </c>
      <c r="B11787" s="1" t="n">
        <v>45519</v>
      </c>
      <c r="C11787" s="1" t="n">
        <v>45715</v>
      </c>
      <c r="D11787" t="inlineStr">
        <is>
          <t>KALMAR LÄN</t>
        </is>
      </c>
      <c r="E11787" t="inlineStr">
        <is>
          <t>OSKARSHAMN</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33542-2024</t>
        </is>
      </c>
      <c r="B11788" s="1" t="n">
        <v>45519</v>
      </c>
      <c r="C11788" s="1" t="n">
        <v>45715</v>
      </c>
      <c r="D11788" t="inlineStr">
        <is>
          <t>KALMAR LÄN</t>
        </is>
      </c>
      <c r="E11788" t="inlineStr">
        <is>
          <t>HULTSFRED</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33423-2024</t>
        </is>
      </c>
      <c r="B11789" s="1" t="n">
        <v>45519</v>
      </c>
      <c r="C11789" s="1" t="n">
        <v>45715</v>
      </c>
      <c r="D11789" t="inlineStr">
        <is>
          <t>KALMAR LÄN</t>
        </is>
      </c>
      <c r="E11789" t="inlineStr">
        <is>
          <t>VIMMERBY</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33443-2024</t>
        </is>
      </c>
      <c r="B11790" s="1" t="n">
        <v>45519</v>
      </c>
      <c r="C11790" s="1" t="n">
        <v>45715</v>
      </c>
      <c r="D11790" t="inlineStr">
        <is>
          <t>KALMAR LÄN</t>
        </is>
      </c>
      <c r="E11790" t="inlineStr">
        <is>
          <t>OSKARSHAMN</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33535-2024</t>
        </is>
      </c>
      <c r="B11791" s="1" t="n">
        <v>45519</v>
      </c>
      <c r="C11791" s="1" t="n">
        <v>45715</v>
      </c>
      <c r="D11791" t="inlineStr">
        <is>
          <t>KALMAR LÄN</t>
        </is>
      </c>
      <c r="E11791" t="inlineStr">
        <is>
          <t>VÄSTERVIK</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33539-2024</t>
        </is>
      </c>
      <c r="B11792" s="1" t="n">
        <v>45519</v>
      </c>
      <c r="C11792" s="1" t="n">
        <v>45715</v>
      </c>
      <c r="D11792" t="inlineStr">
        <is>
          <t>KALMAR LÄN</t>
        </is>
      </c>
      <c r="E11792" t="inlineStr">
        <is>
          <t>HULTSFRED</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33508-2024</t>
        </is>
      </c>
      <c r="B11793" s="1" t="n">
        <v>45519</v>
      </c>
      <c r="C11793" s="1" t="n">
        <v>45715</v>
      </c>
      <c r="D11793" t="inlineStr">
        <is>
          <t>KALMAR LÄN</t>
        </is>
      </c>
      <c r="E11793" t="inlineStr">
        <is>
          <t>VÄSTERVIK</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33544-2024</t>
        </is>
      </c>
      <c r="B11794" s="1" t="n">
        <v>45519</v>
      </c>
      <c r="C11794" s="1" t="n">
        <v>45715</v>
      </c>
      <c r="D11794" t="inlineStr">
        <is>
          <t>KALMAR LÄN</t>
        </is>
      </c>
      <c r="E11794" t="inlineStr">
        <is>
          <t>HULTSFRED</t>
        </is>
      </c>
      <c r="G11794" t="n">
        <v>7.3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33560-2024</t>
        </is>
      </c>
      <c r="B11795" s="1" t="n">
        <v>45520</v>
      </c>
      <c r="C11795" s="1" t="n">
        <v>45715</v>
      </c>
      <c r="D11795" t="inlineStr">
        <is>
          <t>KALMAR LÄN</t>
        </is>
      </c>
      <c r="E11795" t="inlineStr">
        <is>
          <t>EMMABODA</t>
        </is>
      </c>
      <c r="G11795" t="n">
        <v>4.3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33555-2024</t>
        </is>
      </c>
      <c r="B11796" s="1" t="n">
        <v>45519</v>
      </c>
      <c r="C11796" s="1" t="n">
        <v>45715</v>
      </c>
      <c r="D11796" t="inlineStr">
        <is>
          <t>KALMAR LÄN</t>
        </is>
      </c>
      <c r="E11796" t="inlineStr">
        <is>
          <t>HULTSFRED</t>
        </is>
      </c>
      <c r="G11796" t="n">
        <v>8.1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33559-2024</t>
        </is>
      </c>
      <c r="B11797" s="1" t="n">
        <v>45520</v>
      </c>
      <c r="C11797" s="1" t="n">
        <v>45715</v>
      </c>
      <c r="D11797" t="inlineStr">
        <is>
          <t>KALMAR LÄN</t>
        </is>
      </c>
      <c r="E11797" t="inlineStr">
        <is>
          <t>EMMABODA</t>
        </is>
      </c>
      <c r="G11797" t="n">
        <v>4.4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33541-2024</t>
        </is>
      </c>
      <c r="B11798" s="1" t="n">
        <v>45519</v>
      </c>
      <c r="C11798" s="1" t="n">
        <v>45715</v>
      </c>
      <c r="D11798" t="inlineStr">
        <is>
          <t>KALMAR LÄN</t>
        </is>
      </c>
      <c r="E11798" t="inlineStr">
        <is>
          <t>HULTSFRED</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33719-2024</t>
        </is>
      </c>
      <c r="B11799" s="1" t="n">
        <v>45520</v>
      </c>
      <c r="C11799" s="1" t="n">
        <v>45715</v>
      </c>
      <c r="D11799" t="inlineStr">
        <is>
          <t>KALMAR LÄN</t>
        </is>
      </c>
      <c r="E11799" t="inlineStr">
        <is>
          <t>OSKARSHAMN</t>
        </is>
      </c>
      <c r="F11799" t="inlineStr">
        <is>
          <t>Övriga Aktiebolag</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33655-2024</t>
        </is>
      </c>
      <c r="B11800" s="1" t="n">
        <v>45520</v>
      </c>
      <c r="C11800" s="1" t="n">
        <v>45715</v>
      </c>
      <c r="D11800" t="inlineStr">
        <is>
          <t>KALMAR LÄN</t>
        </is>
      </c>
      <c r="E11800" t="inlineStr">
        <is>
          <t>TORSÅS</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33880-2024</t>
        </is>
      </c>
      <c r="B11801" s="1" t="n">
        <v>45522</v>
      </c>
      <c r="C11801" s="1" t="n">
        <v>45715</v>
      </c>
      <c r="D11801" t="inlineStr">
        <is>
          <t>KALMAR LÄN</t>
        </is>
      </c>
      <c r="E11801" t="inlineStr">
        <is>
          <t>VIMMERBY</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33926-2024</t>
        </is>
      </c>
      <c r="B11802" s="1" t="n">
        <v>45523</v>
      </c>
      <c r="C11802" s="1" t="n">
        <v>45715</v>
      </c>
      <c r="D11802" t="inlineStr">
        <is>
          <t>KALMAR LÄN</t>
        </is>
      </c>
      <c r="E11802" t="inlineStr">
        <is>
          <t>OSKARSHAMN</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33969-2024</t>
        </is>
      </c>
      <c r="B11803" s="1" t="n">
        <v>45523</v>
      </c>
      <c r="C11803" s="1" t="n">
        <v>45715</v>
      </c>
      <c r="D11803" t="inlineStr">
        <is>
          <t>KALMAR LÄN</t>
        </is>
      </c>
      <c r="E11803" t="inlineStr">
        <is>
          <t>VÄSTERVIK</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33966-2024</t>
        </is>
      </c>
      <c r="B11804" s="1" t="n">
        <v>45523</v>
      </c>
      <c r="C11804" s="1" t="n">
        <v>45715</v>
      </c>
      <c r="D11804" t="inlineStr">
        <is>
          <t>KALMAR LÄN</t>
        </is>
      </c>
      <c r="E11804" t="inlineStr">
        <is>
          <t>VÄSTERVIK</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33980-2024</t>
        </is>
      </c>
      <c r="B11805" s="1" t="n">
        <v>45523</v>
      </c>
      <c r="C11805" s="1" t="n">
        <v>45715</v>
      </c>
      <c r="D11805" t="inlineStr">
        <is>
          <t>KALMAR LÄN</t>
        </is>
      </c>
      <c r="E11805" t="inlineStr">
        <is>
          <t>EMMABODA</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34066-2024</t>
        </is>
      </c>
      <c r="B11806" s="1" t="n">
        <v>45523</v>
      </c>
      <c r="C11806" s="1" t="n">
        <v>45715</v>
      </c>
      <c r="D11806" t="inlineStr">
        <is>
          <t>KALMAR LÄN</t>
        </is>
      </c>
      <c r="E11806" t="inlineStr">
        <is>
          <t>OSKARSHAMN</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34078-2024</t>
        </is>
      </c>
      <c r="B11807" s="1" t="n">
        <v>45523</v>
      </c>
      <c r="C11807" s="1" t="n">
        <v>45715</v>
      </c>
      <c r="D11807" t="inlineStr">
        <is>
          <t>KALMAR LÄN</t>
        </is>
      </c>
      <c r="E11807" t="inlineStr">
        <is>
          <t>HÖGSBY</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34086-2024</t>
        </is>
      </c>
      <c r="B11808" s="1" t="n">
        <v>45523</v>
      </c>
      <c r="C11808" s="1" t="n">
        <v>45715</v>
      </c>
      <c r="D11808" t="inlineStr">
        <is>
          <t>KALMAR LÄN</t>
        </is>
      </c>
      <c r="E11808" t="inlineStr">
        <is>
          <t>OSKARSHAMN</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34102-2024</t>
        </is>
      </c>
      <c r="B11809" s="1" t="n">
        <v>45523</v>
      </c>
      <c r="C11809" s="1" t="n">
        <v>45715</v>
      </c>
      <c r="D11809" t="inlineStr">
        <is>
          <t>KALMAR LÄN</t>
        </is>
      </c>
      <c r="E11809" t="inlineStr">
        <is>
          <t>OSKARSHAMN</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34079-2024</t>
        </is>
      </c>
      <c r="B11810" s="1" t="n">
        <v>45523</v>
      </c>
      <c r="C11810" s="1" t="n">
        <v>45715</v>
      </c>
      <c r="D11810" t="inlineStr">
        <is>
          <t>KALMAR LÄN</t>
        </is>
      </c>
      <c r="E11810" t="inlineStr">
        <is>
          <t>OSKARSHAMN</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34076-2024</t>
        </is>
      </c>
      <c r="B11811" s="1" t="n">
        <v>45523</v>
      </c>
      <c r="C11811" s="1" t="n">
        <v>45715</v>
      </c>
      <c r="D11811" t="inlineStr">
        <is>
          <t>KALMAR LÄN</t>
        </is>
      </c>
      <c r="E11811" t="inlineStr">
        <is>
          <t>VIMMERBY</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34212-2024</t>
        </is>
      </c>
      <c r="B11812" s="1" t="n">
        <v>45524</v>
      </c>
      <c r="C11812" s="1" t="n">
        <v>45715</v>
      </c>
      <c r="D11812" t="inlineStr">
        <is>
          <t>KALMAR LÄN</t>
        </is>
      </c>
      <c r="E11812" t="inlineStr">
        <is>
          <t>EMMABODA</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34245-2024</t>
        </is>
      </c>
      <c r="B11813" s="1" t="n">
        <v>45524</v>
      </c>
      <c r="C11813" s="1" t="n">
        <v>45715</v>
      </c>
      <c r="D11813" t="inlineStr">
        <is>
          <t>KALMAR LÄN</t>
        </is>
      </c>
      <c r="E11813" t="inlineStr">
        <is>
          <t>EMMABODA</t>
        </is>
      </c>
      <c r="G11813" t="n">
        <v>6.9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34228-2024</t>
        </is>
      </c>
      <c r="B11814" s="1" t="n">
        <v>45524</v>
      </c>
      <c r="C11814" s="1" t="n">
        <v>45715</v>
      </c>
      <c r="D11814" t="inlineStr">
        <is>
          <t>KALMAR LÄN</t>
        </is>
      </c>
      <c r="E11814" t="inlineStr">
        <is>
          <t>KALMAR</t>
        </is>
      </c>
      <c r="G11814" t="n">
        <v>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34254-2024</t>
        </is>
      </c>
      <c r="B11815" s="1" t="n">
        <v>45524</v>
      </c>
      <c r="C11815" s="1" t="n">
        <v>45715</v>
      </c>
      <c r="D11815" t="inlineStr">
        <is>
          <t>KALMAR LÄN</t>
        </is>
      </c>
      <c r="E11815" t="inlineStr">
        <is>
          <t>OSKARSHAMN</t>
        </is>
      </c>
      <c r="G11815" t="n">
        <v>6.4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34289-2024</t>
        </is>
      </c>
      <c r="B11816" s="1" t="n">
        <v>45524</v>
      </c>
      <c r="C11816" s="1" t="n">
        <v>45715</v>
      </c>
      <c r="D11816" t="inlineStr">
        <is>
          <t>KALMAR LÄN</t>
        </is>
      </c>
      <c r="E11816" t="inlineStr">
        <is>
          <t>HULTSFRED</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34461-2024</t>
        </is>
      </c>
      <c r="B11817" s="1" t="n">
        <v>45525</v>
      </c>
      <c r="C11817" s="1" t="n">
        <v>45715</v>
      </c>
      <c r="D11817" t="inlineStr">
        <is>
          <t>KALMAR LÄN</t>
        </is>
      </c>
      <c r="E11817" t="inlineStr">
        <is>
          <t>VÄSTERVIK</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34345-2024</t>
        </is>
      </c>
      <c r="B11818" s="1" t="n">
        <v>45525</v>
      </c>
      <c r="C11818" s="1" t="n">
        <v>45715</v>
      </c>
      <c r="D11818" t="inlineStr">
        <is>
          <t>KALMAR LÄN</t>
        </is>
      </c>
      <c r="E11818" t="inlineStr">
        <is>
          <t>NYBRO</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34362-2024</t>
        </is>
      </c>
      <c r="B11819" s="1" t="n">
        <v>45525</v>
      </c>
      <c r="C11819" s="1" t="n">
        <v>45715</v>
      </c>
      <c r="D11819" t="inlineStr">
        <is>
          <t>KALMAR LÄN</t>
        </is>
      </c>
      <c r="E11819" t="inlineStr">
        <is>
          <t>NYBRO</t>
        </is>
      </c>
      <c r="G11819" t="n">
        <v>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34386-2024</t>
        </is>
      </c>
      <c r="B11820" s="1" t="n">
        <v>45525</v>
      </c>
      <c r="C11820" s="1" t="n">
        <v>45715</v>
      </c>
      <c r="D11820" t="inlineStr">
        <is>
          <t>KALMAR LÄN</t>
        </is>
      </c>
      <c r="E11820" t="inlineStr">
        <is>
          <t>VIMMERBY</t>
        </is>
      </c>
      <c r="G11820" t="n">
        <v>0.3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34463-2024</t>
        </is>
      </c>
      <c r="B11821" s="1" t="n">
        <v>45525</v>
      </c>
      <c r="C11821" s="1" t="n">
        <v>45715</v>
      </c>
      <c r="D11821" t="inlineStr">
        <is>
          <t>KALMAR LÄN</t>
        </is>
      </c>
      <c r="E11821" t="inlineStr">
        <is>
          <t>VÄSTERVIK</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34471-2024</t>
        </is>
      </c>
      <c r="B11822" s="1" t="n">
        <v>45525</v>
      </c>
      <c r="C11822" s="1" t="n">
        <v>45715</v>
      </c>
      <c r="D11822" t="inlineStr">
        <is>
          <t>KALMAR LÄN</t>
        </is>
      </c>
      <c r="E11822" t="inlineStr">
        <is>
          <t>VÄSTERVIK</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34510-2024</t>
        </is>
      </c>
      <c r="B11823" s="1" t="n">
        <v>45525</v>
      </c>
      <c r="C11823" s="1" t="n">
        <v>45715</v>
      </c>
      <c r="D11823" t="inlineStr">
        <is>
          <t>KALMAR LÄN</t>
        </is>
      </c>
      <c r="E11823" t="inlineStr">
        <is>
          <t>VIMMERBY</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34538-2024</t>
        </is>
      </c>
      <c r="B11824" s="1" t="n">
        <v>45525</v>
      </c>
      <c r="C11824" s="1" t="n">
        <v>45715</v>
      </c>
      <c r="D11824" t="inlineStr">
        <is>
          <t>KALMAR LÄN</t>
        </is>
      </c>
      <c r="E11824" t="inlineStr">
        <is>
          <t>MÖNSTERÅS</t>
        </is>
      </c>
      <c r="G11824" t="n">
        <v>4.2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34371-2024</t>
        </is>
      </c>
      <c r="B11825" s="1" t="n">
        <v>45525</v>
      </c>
      <c r="C11825" s="1" t="n">
        <v>45715</v>
      </c>
      <c r="D11825" t="inlineStr">
        <is>
          <t>KALMAR LÄN</t>
        </is>
      </c>
      <c r="E11825" t="inlineStr">
        <is>
          <t>KALMAR</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34383-2024</t>
        </is>
      </c>
      <c r="B11826" s="1" t="n">
        <v>45525</v>
      </c>
      <c r="C11826" s="1" t="n">
        <v>45715</v>
      </c>
      <c r="D11826" t="inlineStr">
        <is>
          <t>KALMAR LÄN</t>
        </is>
      </c>
      <c r="E11826" t="inlineStr">
        <is>
          <t>VIMMERBY</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34420-2024</t>
        </is>
      </c>
      <c r="B11827" s="1" t="n">
        <v>45525</v>
      </c>
      <c r="C11827" s="1" t="n">
        <v>45715</v>
      </c>
      <c r="D11827" t="inlineStr">
        <is>
          <t>KALMAR LÄN</t>
        </is>
      </c>
      <c r="E11827" t="inlineStr">
        <is>
          <t>VÄSTERVIK</t>
        </is>
      </c>
      <c r="F11827" t="inlineStr">
        <is>
          <t>Holmen skog AB</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34513-2024</t>
        </is>
      </c>
      <c r="B11828" s="1" t="n">
        <v>45525</v>
      </c>
      <c r="C11828" s="1" t="n">
        <v>45715</v>
      </c>
      <c r="D11828" t="inlineStr">
        <is>
          <t>KALMAR LÄN</t>
        </is>
      </c>
      <c r="E11828" t="inlineStr">
        <is>
          <t>VIMMERBY</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34533-2024</t>
        </is>
      </c>
      <c r="B11829" s="1" t="n">
        <v>45525</v>
      </c>
      <c r="C11829" s="1" t="n">
        <v>45715</v>
      </c>
      <c r="D11829" t="inlineStr">
        <is>
          <t>KALMAR LÄN</t>
        </is>
      </c>
      <c r="E11829" t="inlineStr">
        <is>
          <t>OSKARSHAMN</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34721-2024</t>
        </is>
      </c>
      <c r="B11830" s="1" t="n">
        <v>45526</v>
      </c>
      <c r="C11830" s="1" t="n">
        <v>45715</v>
      </c>
      <c r="D11830" t="inlineStr">
        <is>
          <t>KALMAR LÄN</t>
        </is>
      </c>
      <c r="E11830" t="inlineStr">
        <is>
          <t>MÖNSTERÅS</t>
        </is>
      </c>
      <c r="F11830" t="inlineStr">
        <is>
          <t>Kommuner</t>
        </is>
      </c>
      <c r="G11830" t="n">
        <v>9.5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34770-2024</t>
        </is>
      </c>
      <c r="B11831" s="1" t="n">
        <v>45526</v>
      </c>
      <c r="C11831" s="1" t="n">
        <v>45715</v>
      </c>
      <c r="D11831" t="inlineStr">
        <is>
          <t>KALMAR LÄN</t>
        </is>
      </c>
      <c r="E11831" t="inlineStr">
        <is>
          <t>HULTSFRED</t>
        </is>
      </c>
      <c r="G11831" t="n">
        <v>6.7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34827-2024</t>
        </is>
      </c>
      <c r="B11832" s="1" t="n">
        <v>45526</v>
      </c>
      <c r="C11832" s="1" t="n">
        <v>45715</v>
      </c>
      <c r="D11832" t="inlineStr">
        <is>
          <t>KALMAR LÄN</t>
        </is>
      </c>
      <c r="E11832" t="inlineStr">
        <is>
          <t>OSKARSHAMN</t>
        </is>
      </c>
      <c r="F11832" t="inlineStr">
        <is>
          <t>Sveaskog</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34795-2024</t>
        </is>
      </c>
      <c r="B11833" s="1" t="n">
        <v>45526</v>
      </c>
      <c r="C11833" s="1" t="n">
        <v>45715</v>
      </c>
      <c r="D11833" t="inlineStr">
        <is>
          <t>KALMAR LÄN</t>
        </is>
      </c>
      <c r="E11833" t="inlineStr">
        <is>
          <t>VÄSTERVIK</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34711-2024</t>
        </is>
      </c>
      <c r="B11834" s="1" t="n">
        <v>45526</v>
      </c>
      <c r="C11834" s="1" t="n">
        <v>45715</v>
      </c>
      <c r="D11834" t="inlineStr">
        <is>
          <t>KALMAR LÄN</t>
        </is>
      </c>
      <c r="E11834" t="inlineStr">
        <is>
          <t>HÖGSBY</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34830-2024</t>
        </is>
      </c>
      <c r="B11835" s="1" t="n">
        <v>45526</v>
      </c>
      <c r="C11835" s="1" t="n">
        <v>45715</v>
      </c>
      <c r="D11835" t="inlineStr">
        <is>
          <t>KALMAR LÄN</t>
        </is>
      </c>
      <c r="E11835" t="inlineStr">
        <is>
          <t>OSKARSHAMN</t>
        </is>
      </c>
      <c r="F11835" t="inlineStr">
        <is>
          <t>Sveaskog</t>
        </is>
      </c>
      <c r="G11835" t="n">
        <v>6.5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34710-2024</t>
        </is>
      </c>
      <c r="B11836" s="1" t="n">
        <v>45526</v>
      </c>
      <c r="C11836" s="1" t="n">
        <v>45715</v>
      </c>
      <c r="D11836" t="inlineStr">
        <is>
          <t>KALMAR LÄN</t>
        </is>
      </c>
      <c r="E11836" t="inlineStr">
        <is>
          <t>HÖGSBY</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34658-2024</t>
        </is>
      </c>
      <c r="B11837" s="1" t="n">
        <v>45526</v>
      </c>
      <c r="C11837" s="1" t="n">
        <v>45715</v>
      </c>
      <c r="D11837" t="inlineStr">
        <is>
          <t>KALMAR LÄN</t>
        </is>
      </c>
      <c r="E11837" t="inlineStr">
        <is>
          <t>OSKARSHAMN</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34841-2024</t>
        </is>
      </c>
      <c r="B11838" s="1" t="n">
        <v>45526</v>
      </c>
      <c r="C11838" s="1" t="n">
        <v>45715</v>
      </c>
      <c r="D11838" t="inlineStr">
        <is>
          <t>KALMAR LÄN</t>
        </is>
      </c>
      <c r="E11838" t="inlineStr">
        <is>
          <t>OSKARSHAMN</t>
        </is>
      </c>
      <c r="G11838" t="n">
        <v>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34833-2024</t>
        </is>
      </c>
      <c r="B11839" s="1" t="n">
        <v>45526</v>
      </c>
      <c r="C11839" s="1" t="n">
        <v>45715</v>
      </c>
      <c r="D11839" t="inlineStr">
        <is>
          <t>KALMAR LÄN</t>
        </is>
      </c>
      <c r="E11839" t="inlineStr">
        <is>
          <t>VÄSTERVIK</t>
        </is>
      </c>
      <c r="F11839" t="inlineStr">
        <is>
          <t>Sveaskog</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34829-2024</t>
        </is>
      </c>
      <c r="B11840" s="1" t="n">
        <v>45526</v>
      </c>
      <c r="C11840" s="1" t="n">
        <v>45715</v>
      </c>
      <c r="D11840" t="inlineStr">
        <is>
          <t>KALMAR LÄN</t>
        </is>
      </c>
      <c r="E11840" t="inlineStr">
        <is>
          <t>OSKARSHAMN</t>
        </is>
      </c>
      <c r="F11840" t="inlineStr">
        <is>
          <t>Sveaskog</t>
        </is>
      </c>
      <c r="G11840" t="n">
        <v>6.2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34788-2024</t>
        </is>
      </c>
      <c r="B11841" s="1" t="n">
        <v>45526</v>
      </c>
      <c r="C11841" s="1" t="n">
        <v>45715</v>
      </c>
      <c r="D11841" t="inlineStr">
        <is>
          <t>KALMAR LÄN</t>
        </is>
      </c>
      <c r="E11841" t="inlineStr">
        <is>
          <t>VÄSTERVIK</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34776-2024</t>
        </is>
      </c>
      <c r="B11842" s="1" t="n">
        <v>45526</v>
      </c>
      <c r="C11842" s="1" t="n">
        <v>45715</v>
      </c>
      <c r="D11842" t="inlineStr">
        <is>
          <t>KALMAR LÄN</t>
        </is>
      </c>
      <c r="E11842" t="inlineStr">
        <is>
          <t>HULTSFRED</t>
        </is>
      </c>
      <c r="G11842" t="n">
        <v>14.3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34588-2024</t>
        </is>
      </c>
      <c r="B11843" s="1" t="n">
        <v>45526</v>
      </c>
      <c r="C11843" s="1" t="n">
        <v>45715</v>
      </c>
      <c r="D11843" t="inlineStr">
        <is>
          <t>KALMAR LÄN</t>
        </is>
      </c>
      <c r="E11843" t="inlineStr">
        <is>
          <t>VIMMERBY</t>
        </is>
      </c>
      <c r="F11843" t="inlineStr">
        <is>
          <t>Övriga Aktiebolag</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34828-2024</t>
        </is>
      </c>
      <c r="B11844" s="1" t="n">
        <v>45526</v>
      </c>
      <c r="C11844" s="1" t="n">
        <v>45715</v>
      </c>
      <c r="D11844" t="inlineStr">
        <is>
          <t>KALMAR LÄN</t>
        </is>
      </c>
      <c r="E11844" t="inlineStr">
        <is>
          <t>OSKARSHAMN</t>
        </is>
      </c>
      <c r="F11844" t="inlineStr">
        <is>
          <t>Sveaskog</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34832-2024</t>
        </is>
      </c>
      <c r="B11845" s="1" t="n">
        <v>45526</v>
      </c>
      <c r="C11845" s="1" t="n">
        <v>45715</v>
      </c>
      <c r="D11845" t="inlineStr">
        <is>
          <t>KALMAR LÄN</t>
        </is>
      </c>
      <c r="E11845" t="inlineStr">
        <is>
          <t>VÄSTERVIK</t>
        </is>
      </c>
      <c r="F11845" t="inlineStr">
        <is>
          <t>Sveaskog</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34962-2024</t>
        </is>
      </c>
      <c r="B11846" s="1" t="n">
        <v>45527</v>
      </c>
      <c r="C11846" s="1" t="n">
        <v>45715</v>
      </c>
      <c r="D11846" t="inlineStr">
        <is>
          <t>KALMAR LÄN</t>
        </is>
      </c>
      <c r="E11846" t="inlineStr">
        <is>
          <t>TORSÅS</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34918-2024</t>
        </is>
      </c>
      <c r="B11847" s="1" t="n">
        <v>45527</v>
      </c>
      <c r="C11847" s="1" t="n">
        <v>45715</v>
      </c>
      <c r="D11847" t="inlineStr">
        <is>
          <t>KALMAR LÄN</t>
        </is>
      </c>
      <c r="E11847" t="inlineStr">
        <is>
          <t>VIMMERBY</t>
        </is>
      </c>
      <c r="G11847" t="n">
        <v>6.3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35018-2024</t>
        </is>
      </c>
      <c r="B11848" s="1" t="n">
        <v>45527</v>
      </c>
      <c r="C11848" s="1" t="n">
        <v>45715</v>
      </c>
      <c r="D11848" t="inlineStr">
        <is>
          <t>KALMAR LÄN</t>
        </is>
      </c>
      <c r="E11848" t="inlineStr">
        <is>
          <t>VÄSTERVIK</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34924-2024</t>
        </is>
      </c>
      <c r="B11849" s="1" t="n">
        <v>45527</v>
      </c>
      <c r="C11849" s="1" t="n">
        <v>45715</v>
      </c>
      <c r="D11849" t="inlineStr">
        <is>
          <t>KALMAR LÄN</t>
        </is>
      </c>
      <c r="E11849" t="inlineStr">
        <is>
          <t>OSKARSHAMN</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34956-2024</t>
        </is>
      </c>
      <c r="B11850" s="1" t="n">
        <v>45527</v>
      </c>
      <c r="C11850" s="1" t="n">
        <v>45715</v>
      </c>
      <c r="D11850" t="inlineStr">
        <is>
          <t>KALMAR LÄN</t>
        </is>
      </c>
      <c r="E11850" t="inlineStr">
        <is>
          <t>TORSÅS</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34960-2024</t>
        </is>
      </c>
      <c r="B11851" s="1" t="n">
        <v>45527</v>
      </c>
      <c r="C11851" s="1" t="n">
        <v>45715</v>
      </c>
      <c r="D11851" t="inlineStr">
        <is>
          <t>KALMAR LÄN</t>
        </is>
      </c>
      <c r="E11851" t="inlineStr">
        <is>
          <t>TORSÅS</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35082-2024</t>
        </is>
      </c>
      <c r="B11852" s="1" t="n">
        <v>45527</v>
      </c>
      <c r="C11852" s="1" t="n">
        <v>45715</v>
      </c>
      <c r="D11852" t="inlineStr">
        <is>
          <t>KALMAR LÄN</t>
        </is>
      </c>
      <c r="E11852" t="inlineStr">
        <is>
          <t>VIMMERBY</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35108-2024</t>
        </is>
      </c>
      <c r="B11853" s="1" t="n">
        <v>45529</v>
      </c>
      <c r="C11853" s="1" t="n">
        <v>45715</v>
      </c>
      <c r="D11853" t="inlineStr">
        <is>
          <t>KALMAR LÄN</t>
        </is>
      </c>
      <c r="E11853" t="inlineStr">
        <is>
          <t>VÄSTERVIK</t>
        </is>
      </c>
      <c r="G11853" t="n">
        <v>10.5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35127-2024</t>
        </is>
      </c>
      <c r="B11854" s="1" t="n">
        <v>45530</v>
      </c>
      <c r="C11854" s="1" t="n">
        <v>45715</v>
      </c>
      <c r="D11854" t="inlineStr">
        <is>
          <t>KALMAR LÄN</t>
        </is>
      </c>
      <c r="E11854" t="inlineStr">
        <is>
          <t>VIMMERBY</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35154-2024</t>
        </is>
      </c>
      <c r="B11855" s="1" t="n">
        <v>45530</v>
      </c>
      <c r="C11855" s="1" t="n">
        <v>45715</v>
      </c>
      <c r="D11855" t="inlineStr">
        <is>
          <t>KALMAR LÄN</t>
        </is>
      </c>
      <c r="E11855" t="inlineStr">
        <is>
          <t>OSKARSHAMN</t>
        </is>
      </c>
      <c r="F11855" t="inlineStr">
        <is>
          <t>Sveaskog</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35162-2024</t>
        </is>
      </c>
      <c r="B11856" s="1" t="n">
        <v>45530</v>
      </c>
      <c r="C11856" s="1" t="n">
        <v>45715</v>
      </c>
      <c r="D11856" t="inlineStr">
        <is>
          <t>KALMAR LÄN</t>
        </is>
      </c>
      <c r="E11856" t="inlineStr">
        <is>
          <t>VÄSTERVIK</t>
        </is>
      </c>
      <c r="F11856" t="inlineStr">
        <is>
          <t>Sveaskog</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35163-2024</t>
        </is>
      </c>
      <c r="B11857" s="1" t="n">
        <v>45530</v>
      </c>
      <c r="C11857" s="1" t="n">
        <v>45715</v>
      </c>
      <c r="D11857" t="inlineStr">
        <is>
          <t>KALMAR LÄN</t>
        </is>
      </c>
      <c r="E11857" t="inlineStr">
        <is>
          <t>VÄSTERVIK</t>
        </is>
      </c>
      <c r="F11857" t="inlineStr">
        <is>
          <t>Sveaskog</t>
        </is>
      </c>
      <c r="G11857" t="n">
        <v>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35137-2024</t>
        </is>
      </c>
      <c r="B11858" s="1" t="n">
        <v>45530</v>
      </c>
      <c r="C11858" s="1" t="n">
        <v>45715</v>
      </c>
      <c r="D11858" t="inlineStr">
        <is>
          <t>KALMAR LÄN</t>
        </is>
      </c>
      <c r="E11858" t="inlineStr">
        <is>
          <t>VÄSTERVIK</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35329-2024</t>
        </is>
      </c>
      <c r="B11859" s="1" t="n">
        <v>45530</v>
      </c>
      <c r="C11859" s="1" t="n">
        <v>45715</v>
      </c>
      <c r="D11859" t="inlineStr">
        <is>
          <t>KALMAR LÄN</t>
        </is>
      </c>
      <c r="E11859" t="inlineStr">
        <is>
          <t>TORSÅS</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35382-2024</t>
        </is>
      </c>
      <c r="B11860" s="1" t="n">
        <v>45531</v>
      </c>
      <c r="C11860" s="1" t="n">
        <v>45715</v>
      </c>
      <c r="D11860" t="inlineStr">
        <is>
          <t>KALMAR LÄN</t>
        </is>
      </c>
      <c r="E11860" t="inlineStr">
        <is>
          <t>EMMABODA</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35515-2024</t>
        </is>
      </c>
      <c r="B11861" s="1" t="n">
        <v>45531</v>
      </c>
      <c r="C11861" s="1" t="n">
        <v>45715</v>
      </c>
      <c r="D11861" t="inlineStr">
        <is>
          <t>KALMAR LÄN</t>
        </is>
      </c>
      <c r="E11861" t="inlineStr">
        <is>
          <t>KALMAR</t>
        </is>
      </c>
      <c r="G11861" t="n">
        <v>0.4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35566-2024</t>
        </is>
      </c>
      <c r="B11862" s="1" t="n">
        <v>45531</v>
      </c>
      <c r="C11862" s="1" t="n">
        <v>45715</v>
      </c>
      <c r="D11862" t="inlineStr">
        <is>
          <t>KALMAR LÄN</t>
        </is>
      </c>
      <c r="E11862" t="inlineStr">
        <is>
          <t>NYBRO</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35490-2024</t>
        </is>
      </c>
      <c r="B11863" s="1" t="n">
        <v>45531</v>
      </c>
      <c r="C11863" s="1" t="n">
        <v>45715</v>
      </c>
      <c r="D11863" t="inlineStr">
        <is>
          <t>KALMAR LÄN</t>
        </is>
      </c>
      <c r="E11863" t="inlineStr">
        <is>
          <t>EMMABODA</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35541-2024</t>
        </is>
      </c>
      <c r="B11864" s="1" t="n">
        <v>45531</v>
      </c>
      <c r="C11864" s="1" t="n">
        <v>45715</v>
      </c>
      <c r="D11864" t="inlineStr">
        <is>
          <t>KALMAR LÄN</t>
        </is>
      </c>
      <c r="E11864" t="inlineStr">
        <is>
          <t>OSKARSHAMN</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35456-2024</t>
        </is>
      </c>
      <c r="B11865" s="1" t="n">
        <v>45531</v>
      </c>
      <c r="C11865" s="1" t="n">
        <v>45715</v>
      </c>
      <c r="D11865" t="inlineStr">
        <is>
          <t>KALMAR LÄN</t>
        </is>
      </c>
      <c r="E11865" t="inlineStr">
        <is>
          <t>VÄSTERVIK</t>
        </is>
      </c>
      <c r="G11865" t="n">
        <v>5.8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35531-2024</t>
        </is>
      </c>
      <c r="B11866" s="1" t="n">
        <v>45531</v>
      </c>
      <c r="C11866" s="1" t="n">
        <v>45715</v>
      </c>
      <c r="D11866" t="inlineStr">
        <is>
          <t>KALMAR LÄN</t>
        </is>
      </c>
      <c r="E11866" t="inlineStr">
        <is>
          <t>OSKARSHAMN</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35540-2024</t>
        </is>
      </c>
      <c r="B11867" s="1" t="n">
        <v>45531</v>
      </c>
      <c r="C11867" s="1" t="n">
        <v>45715</v>
      </c>
      <c r="D11867" t="inlineStr">
        <is>
          <t>KALMAR LÄN</t>
        </is>
      </c>
      <c r="E11867" t="inlineStr">
        <is>
          <t>OSKARSHAMN</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35544-2024</t>
        </is>
      </c>
      <c r="B11868" s="1" t="n">
        <v>45531</v>
      </c>
      <c r="C11868" s="1" t="n">
        <v>45715</v>
      </c>
      <c r="D11868" t="inlineStr">
        <is>
          <t>KALMAR LÄN</t>
        </is>
      </c>
      <c r="E11868" t="inlineStr">
        <is>
          <t>OSKARSHAMN</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35548-2024</t>
        </is>
      </c>
      <c r="B11869" s="1" t="n">
        <v>45531</v>
      </c>
      <c r="C11869" s="1" t="n">
        <v>45715</v>
      </c>
      <c r="D11869" t="inlineStr">
        <is>
          <t>KALMAR LÄN</t>
        </is>
      </c>
      <c r="E11869" t="inlineStr">
        <is>
          <t>KALMAR</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35475-2024</t>
        </is>
      </c>
      <c r="B11870" s="1" t="n">
        <v>45531</v>
      </c>
      <c r="C11870" s="1" t="n">
        <v>45715</v>
      </c>
      <c r="D11870" t="inlineStr">
        <is>
          <t>KALMAR LÄN</t>
        </is>
      </c>
      <c r="E11870" t="inlineStr">
        <is>
          <t>HULTSFRED</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35479-2024</t>
        </is>
      </c>
      <c r="B11871" s="1" t="n">
        <v>45531</v>
      </c>
      <c r="C11871" s="1" t="n">
        <v>45715</v>
      </c>
      <c r="D11871" t="inlineStr">
        <is>
          <t>KALMAR LÄN</t>
        </is>
      </c>
      <c r="E11871" t="inlineStr">
        <is>
          <t>NYBRO</t>
        </is>
      </c>
      <c r="F11871" t="inlineStr">
        <is>
          <t>Sveaskog</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35512-2024</t>
        </is>
      </c>
      <c r="B11872" s="1" t="n">
        <v>45531</v>
      </c>
      <c r="C11872" s="1" t="n">
        <v>45715</v>
      </c>
      <c r="D11872" t="inlineStr">
        <is>
          <t>KALMAR LÄN</t>
        </is>
      </c>
      <c r="E11872" t="inlineStr">
        <is>
          <t>KALMAR</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35534-2024</t>
        </is>
      </c>
      <c r="B11873" s="1" t="n">
        <v>45531</v>
      </c>
      <c r="C11873" s="1" t="n">
        <v>45715</v>
      </c>
      <c r="D11873" t="inlineStr">
        <is>
          <t>KALMAR LÄN</t>
        </is>
      </c>
      <c r="E11873" t="inlineStr">
        <is>
          <t>OSKARSHAMN</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35571-2024</t>
        </is>
      </c>
      <c r="B11874" s="1" t="n">
        <v>45531</v>
      </c>
      <c r="C11874" s="1" t="n">
        <v>45715</v>
      </c>
      <c r="D11874" t="inlineStr">
        <is>
          <t>KALMAR LÄN</t>
        </is>
      </c>
      <c r="E11874" t="inlineStr">
        <is>
          <t>OSKARSHAMN</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35601-2024</t>
        </is>
      </c>
      <c r="B11875" s="1" t="n">
        <v>45531</v>
      </c>
      <c r="C11875" s="1" t="n">
        <v>45715</v>
      </c>
      <c r="D11875" t="inlineStr">
        <is>
          <t>KALMAR LÄN</t>
        </is>
      </c>
      <c r="E11875" t="inlineStr">
        <is>
          <t>NYBRO</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35617-2024</t>
        </is>
      </c>
      <c r="B11876" s="1" t="n">
        <v>45531</v>
      </c>
      <c r="C11876" s="1" t="n">
        <v>45715</v>
      </c>
      <c r="D11876" t="inlineStr">
        <is>
          <t>KALMAR LÄN</t>
        </is>
      </c>
      <c r="E11876" t="inlineStr">
        <is>
          <t>HÖGSBY</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35590-2024</t>
        </is>
      </c>
      <c r="B11877" s="1" t="n">
        <v>45531</v>
      </c>
      <c r="C11877" s="1" t="n">
        <v>45715</v>
      </c>
      <c r="D11877" t="inlineStr">
        <is>
          <t>KALMAR LÄN</t>
        </is>
      </c>
      <c r="E11877" t="inlineStr">
        <is>
          <t>NYBRO</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35602-2024</t>
        </is>
      </c>
      <c r="B11878" s="1" t="n">
        <v>45531</v>
      </c>
      <c r="C11878" s="1" t="n">
        <v>45715</v>
      </c>
      <c r="D11878" t="inlineStr">
        <is>
          <t>KALMAR LÄN</t>
        </is>
      </c>
      <c r="E11878" t="inlineStr">
        <is>
          <t>NYBRO</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35606-2024</t>
        </is>
      </c>
      <c r="B11879" s="1" t="n">
        <v>45531</v>
      </c>
      <c r="C11879" s="1" t="n">
        <v>45715</v>
      </c>
      <c r="D11879" t="inlineStr">
        <is>
          <t>KALMAR LÄN</t>
        </is>
      </c>
      <c r="E11879" t="inlineStr">
        <is>
          <t>NYBRO</t>
        </is>
      </c>
      <c r="G11879" t="n">
        <v>4.5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35723-2024</t>
        </is>
      </c>
      <c r="B11880" s="1" t="n">
        <v>45532</v>
      </c>
      <c r="C11880" s="1" t="n">
        <v>45715</v>
      </c>
      <c r="D11880" t="inlineStr">
        <is>
          <t>KALMAR LÄN</t>
        </is>
      </c>
      <c r="E11880" t="inlineStr">
        <is>
          <t>HÖGSBY</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35669-2024</t>
        </is>
      </c>
      <c r="B11881" s="1" t="n">
        <v>45532</v>
      </c>
      <c r="C11881" s="1" t="n">
        <v>45715</v>
      </c>
      <c r="D11881" t="inlineStr">
        <is>
          <t>KALMAR LÄN</t>
        </is>
      </c>
      <c r="E11881" t="inlineStr">
        <is>
          <t>OSKARSHAMN</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35681-2024</t>
        </is>
      </c>
      <c r="B11882" s="1" t="n">
        <v>45532</v>
      </c>
      <c r="C11882" s="1" t="n">
        <v>45715</v>
      </c>
      <c r="D11882" t="inlineStr">
        <is>
          <t>KALMAR LÄN</t>
        </is>
      </c>
      <c r="E11882" t="inlineStr">
        <is>
          <t>OSKARSHAMN</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35725-2024</t>
        </is>
      </c>
      <c r="B11883" s="1" t="n">
        <v>45532</v>
      </c>
      <c r="C11883" s="1" t="n">
        <v>45715</v>
      </c>
      <c r="D11883" t="inlineStr">
        <is>
          <t>KALMAR LÄN</t>
        </is>
      </c>
      <c r="E11883" t="inlineStr">
        <is>
          <t>HÖGSBY</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35816-2024</t>
        </is>
      </c>
      <c r="B11884" s="1" t="n">
        <v>45532</v>
      </c>
      <c r="C11884" s="1" t="n">
        <v>45715</v>
      </c>
      <c r="D11884" t="inlineStr">
        <is>
          <t>KALMAR LÄN</t>
        </is>
      </c>
      <c r="E11884" t="inlineStr">
        <is>
          <t>HULTSFRED</t>
        </is>
      </c>
      <c r="F11884" t="inlineStr">
        <is>
          <t>Övriga Aktiebolag</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35838-2024</t>
        </is>
      </c>
      <c r="B11885" s="1" t="n">
        <v>45532</v>
      </c>
      <c r="C11885" s="1" t="n">
        <v>45715</v>
      </c>
      <c r="D11885" t="inlineStr">
        <is>
          <t>KALMAR LÄN</t>
        </is>
      </c>
      <c r="E11885" t="inlineStr">
        <is>
          <t>OSKARSHAMN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35708-2024</t>
        </is>
      </c>
      <c r="B11886" s="1" t="n">
        <v>45532</v>
      </c>
      <c r="C11886" s="1" t="n">
        <v>45715</v>
      </c>
      <c r="D11886" t="inlineStr">
        <is>
          <t>KALMAR LÄN</t>
        </is>
      </c>
      <c r="E11886" t="inlineStr">
        <is>
          <t>TORSÅS</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35817-2024</t>
        </is>
      </c>
      <c r="B11887" s="1" t="n">
        <v>45532</v>
      </c>
      <c r="C11887" s="1" t="n">
        <v>45715</v>
      </c>
      <c r="D11887" t="inlineStr">
        <is>
          <t>KALMAR LÄN</t>
        </is>
      </c>
      <c r="E11887" t="inlineStr">
        <is>
          <t>HULTSFRED</t>
        </is>
      </c>
      <c r="G11887" t="n">
        <v>7.2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35852-2024</t>
        </is>
      </c>
      <c r="B11888" s="1" t="n">
        <v>45532</v>
      </c>
      <c r="C11888" s="1" t="n">
        <v>45715</v>
      </c>
      <c r="D11888" t="inlineStr">
        <is>
          <t>KALMAR LÄN</t>
        </is>
      </c>
      <c r="E11888" t="inlineStr">
        <is>
          <t>VIMMERBY</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35895-2024</t>
        </is>
      </c>
      <c r="B11889" s="1" t="n">
        <v>45533</v>
      </c>
      <c r="C11889" s="1" t="n">
        <v>45715</v>
      </c>
      <c r="D11889" t="inlineStr">
        <is>
          <t>KALMAR LÄN</t>
        </is>
      </c>
      <c r="E11889" t="inlineStr">
        <is>
          <t>VIMMERBY</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35951-2024</t>
        </is>
      </c>
      <c r="B11890" s="1" t="n">
        <v>45533</v>
      </c>
      <c r="C11890" s="1" t="n">
        <v>45715</v>
      </c>
      <c r="D11890" t="inlineStr">
        <is>
          <t>KALMAR LÄN</t>
        </is>
      </c>
      <c r="E11890" t="inlineStr">
        <is>
          <t>VÄSTERVIK</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35990-2024</t>
        </is>
      </c>
      <c r="B11891" s="1" t="n">
        <v>45533</v>
      </c>
      <c r="C11891" s="1" t="n">
        <v>45715</v>
      </c>
      <c r="D11891" t="inlineStr">
        <is>
          <t>KALMAR LÄN</t>
        </is>
      </c>
      <c r="E11891" t="inlineStr">
        <is>
          <t>VIMMERBY</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35998-2024</t>
        </is>
      </c>
      <c r="B11892" s="1" t="n">
        <v>45533</v>
      </c>
      <c r="C11892" s="1" t="n">
        <v>45715</v>
      </c>
      <c r="D11892" t="inlineStr">
        <is>
          <t>KALMAR LÄN</t>
        </is>
      </c>
      <c r="E11892" t="inlineStr">
        <is>
          <t>VIMMERBY</t>
        </is>
      </c>
      <c r="G11892" t="n">
        <v>8.6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36014-2024</t>
        </is>
      </c>
      <c r="B11893" s="1" t="n">
        <v>45533</v>
      </c>
      <c r="C11893" s="1" t="n">
        <v>45715</v>
      </c>
      <c r="D11893" t="inlineStr">
        <is>
          <t>KALMAR LÄN</t>
        </is>
      </c>
      <c r="E11893" t="inlineStr">
        <is>
          <t>VIMMERBY</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36030-2024</t>
        </is>
      </c>
      <c r="B11894" s="1" t="n">
        <v>45533</v>
      </c>
      <c r="C11894" s="1" t="n">
        <v>45715</v>
      </c>
      <c r="D11894" t="inlineStr">
        <is>
          <t>KALMAR LÄN</t>
        </is>
      </c>
      <c r="E11894" t="inlineStr">
        <is>
          <t>VIMMERBY</t>
        </is>
      </c>
      <c r="F11894" t="inlineStr">
        <is>
          <t>Kommuner</t>
        </is>
      </c>
      <c r="G11894" t="n">
        <v>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36050-2024</t>
        </is>
      </c>
      <c r="B11895" s="1" t="n">
        <v>45533</v>
      </c>
      <c r="C11895" s="1" t="n">
        <v>45715</v>
      </c>
      <c r="D11895" t="inlineStr">
        <is>
          <t>KALMAR LÄN</t>
        </is>
      </c>
      <c r="E11895" t="inlineStr">
        <is>
          <t>VÄSTERVIK</t>
        </is>
      </c>
      <c r="F11895" t="inlineStr">
        <is>
          <t>Holmen skog AB</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36062-2024</t>
        </is>
      </c>
      <c r="B11896" s="1" t="n">
        <v>45533</v>
      </c>
      <c r="C11896" s="1" t="n">
        <v>45715</v>
      </c>
      <c r="D11896" t="inlineStr">
        <is>
          <t>KALMAR LÄN</t>
        </is>
      </c>
      <c r="E11896" t="inlineStr">
        <is>
          <t>HULTSFRED</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35983-2024</t>
        </is>
      </c>
      <c r="B11897" s="1" t="n">
        <v>45533</v>
      </c>
      <c r="C11897" s="1" t="n">
        <v>45715</v>
      </c>
      <c r="D11897" t="inlineStr">
        <is>
          <t>KALMAR LÄN</t>
        </is>
      </c>
      <c r="E11897" t="inlineStr">
        <is>
          <t>VÄSTERVIK</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36043-2024</t>
        </is>
      </c>
      <c r="B11898" s="1" t="n">
        <v>45533</v>
      </c>
      <c r="C11898" s="1" t="n">
        <v>45715</v>
      </c>
      <c r="D11898" t="inlineStr">
        <is>
          <t>KALMAR LÄN</t>
        </is>
      </c>
      <c r="E11898" t="inlineStr">
        <is>
          <t>VIMMERBY</t>
        </is>
      </c>
      <c r="F11898" t="inlineStr">
        <is>
          <t>Kommuner</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36055-2024</t>
        </is>
      </c>
      <c r="B11899" s="1" t="n">
        <v>45533</v>
      </c>
      <c r="C11899" s="1" t="n">
        <v>45715</v>
      </c>
      <c r="D11899" t="inlineStr">
        <is>
          <t>KALMAR LÄN</t>
        </is>
      </c>
      <c r="E11899" t="inlineStr">
        <is>
          <t>VIMMERBY</t>
        </is>
      </c>
      <c r="F11899" t="inlineStr">
        <is>
          <t>Kommuner</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36049-2024</t>
        </is>
      </c>
      <c r="B11900" s="1" t="n">
        <v>45533</v>
      </c>
      <c r="C11900" s="1" t="n">
        <v>45715</v>
      </c>
      <c r="D11900" t="inlineStr">
        <is>
          <t>KALMAR LÄN</t>
        </is>
      </c>
      <c r="E11900" t="inlineStr">
        <is>
          <t>VIMMERBY</t>
        </is>
      </c>
      <c r="F11900" t="inlineStr">
        <is>
          <t>Kommuner</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36008-2024</t>
        </is>
      </c>
      <c r="B11901" s="1" t="n">
        <v>45533</v>
      </c>
      <c r="C11901" s="1" t="n">
        <v>45715</v>
      </c>
      <c r="D11901" t="inlineStr">
        <is>
          <t>KALMAR LÄN</t>
        </is>
      </c>
      <c r="E11901" t="inlineStr">
        <is>
          <t>VIMMERBY</t>
        </is>
      </c>
      <c r="G11901" t="n">
        <v>3.7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36040-2024</t>
        </is>
      </c>
      <c r="B11902" s="1" t="n">
        <v>45533</v>
      </c>
      <c r="C11902" s="1" t="n">
        <v>45715</v>
      </c>
      <c r="D11902" t="inlineStr">
        <is>
          <t>KALMAR LÄN</t>
        </is>
      </c>
      <c r="E11902" t="inlineStr">
        <is>
          <t>VIMMERBY</t>
        </is>
      </c>
      <c r="F11902" t="inlineStr">
        <is>
          <t>Kommuner</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36060-2024</t>
        </is>
      </c>
      <c r="B11903" s="1" t="n">
        <v>45533</v>
      </c>
      <c r="C11903" s="1" t="n">
        <v>45715</v>
      </c>
      <c r="D11903" t="inlineStr">
        <is>
          <t>KALMAR LÄN</t>
        </is>
      </c>
      <c r="E11903" t="inlineStr">
        <is>
          <t>VIMMERBY</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36117-2024</t>
        </is>
      </c>
      <c r="B11904" s="1" t="n">
        <v>45534</v>
      </c>
      <c r="C11904" s="1" t="n">
        <v>45715</v>
      </c>
      <c r="D11904" t="inlineStr">
        <is>
          <t>KALMAR LÄN</t>
        </is>
      </c>
      <c r="E11904" t="inlineStr">
        <is>
          <t>KALMAR</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36125-2024</t>
        </is>
      </c>
      <c r="B11905" s="1" t="n">
        <v>45534</v>
      </c>
      <c r="C11905" s="1" t="n">
        <v>45715</v>
      </c>
      <c r="D11905" t="inlineStr">
        <is>
          <t>KALMAR LÄN</t>
        </is>
      </c>
      <c r="E11905" t="inlineStr">
        <is>
          <t>VIMMERBY</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36193-2024</t>
        </is>
      </c>
      <c r="B11906" s="1" t="n">
        <v>45534</v>
      </c>
      <c r="C11906" s="1" t="n">
        <v>45715</v>
      </c>
      <c r="D11906" t="inlineStr">
        <is>
          <t>KALMAR LÄN</t>
        </is>
      </c>
      <c r="E11906" t="inlineStr">
        <is>
          <t>KALMAR</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36223-2024</t>
        </is>
      </c>
      <c r="B11907" s="1" t="n">
        <v>45534</v>
      </c>
      <c r="C11907" s="1" t="n">
        <v>45715</v>
      </c>
      <c r="D11907" t="inlineStr">
        <is>
          <t>KALMAR LÄN</t>
        </is>
      </c>
      <c r="E11907" t="inlineStr">
        <is>
          <t>NYBRO</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36259-2024</t>
        </is>
      </c>
      <c r="B11908" s="1" t="n">
        <v>45534</v>
      </c>
      <c r="C11908" s="1" t="n">
        <v>45715</v>
      </c>
      <c r="D11908" t="inlineStr">
        <is>
          <t>KALMAR LÄN</t>
        </is>
      </c>
      <c r="E11908" t="inlineStr">
        <is>
          <t>VÄSTERVIK</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36126-2024</t>
        </is>
      </c>
      <c r="B11909" s="1" t="n">
        <v>45534</v>
      </c>
      <c r="C11909" s="1" t="n">
        <v>45715</v>
      </c>
      <c r="D11909" t="inlineStr">
        <is>
          <t>KALMAR LÄN</t>
        </is>
      </c>
      <c r="E11909" t="inlineStr">
        <is>
          <t>KALMAR</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36162-2024</t>
        </is>
      </c>
      <c r="B11910" s="1" t="n">
        <v>45534</v>
      </c>
      <c r="C11910" s="1" t="n">
        <v>45715</v>
      </c>
      <c r="D11910" t="inlineStr">
        <is>
          <t>KALMAR LÄN</t>
        </is>
      </c>
      <c r="E11910" t="inlineStr">
        <is>
          <t>NYBRO</t>
        </is>
      </c>
      <c r="G11910" t="n">
        <v>13.2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36128-2024</t>
        </is>
      </c>
      <c r="B11911" s="1" t="n">
        <v>45534</v>
      </c>
      <c r="C11911" s="1" t="n">
        <v>45715</v>
      </c>
      <c r="D11911" t="inlineStr">
        <is>
          <t>KALMAR LÄN</t>
        </is>
      </c>
      <c r="E11911" t="inlineStr">
        <is>
          <t>VIMMERBY</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36136-2024</t>
        </is>
      </c>
      <c r="B11912" s="1" t="n">
        <v>45534</v>
      </c>
      <c r="C11912" s="1" t="n">
        <v>45715</v>
      </c>
      <c r="D11912" t="inlineStr">
        <is>
          <t>KALMAR LÄN</t>
        </is>
      </c>
      <c r="E11912" t="inlineStr">
        <is>
          <t>KALMAR</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36156-2024</t>
        </is>
      </c>
      <c r="B11913" s="1" t="n">
        <v>45534</v>
      </c>
      <c r="C11913" s="1" t="n">
        <v>45715</v>
      </c>
      <c r="D11913" t="inlineStr">
        <is>
          <t>KALMAR LÄN</t>
        </is>
      </c>
      <c r="E11913" t="inlineStr">
        <is>
          <t>KALMAR</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36196-2024</t>
        </is>
      </c>
      <c r="B11914" s="1" t="n">
        <v>45534</v>
      </c>
      <c r="C11914" s="1" t="n">
        <v>45715</v>
      </c>
      <c r="D11914" t="inlineStr">
        <is>
          <t>KALMAR LÄN</t>
        </is>
      </c>
      <c r="E11914" t="inlineStr">
        <is>
          <t>KALMAR</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36281-2024</t>
        </is>
      </c>
      <c r="B11915" s="1" t="n">
        <v>45534</v>
      </c>
      <c r="C11915" s="1" t="n">
        <v>45715</v>
      </c>
      <c r="D11915" t="inlineStr">
        <is>
          <t>KALMAR LÄN</t>
        </is>
      </c>
      <c r="E11915" t="inlineStr">
        <is>
          <t>NYBRO</t>
        </is>
      </c>
      <c r="G11915" t="n">
        <v>4.1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36367-2024</t>
        </is>
      </c>
      <c r="B11916" s="1" t="n">
        <v>45534</v>
      </c>
      <c r="C11916" s="1" t="n">
        <v>45715</v>
      </c>
      <c r="D11916" t="inlineStr">
        <is>
          <t>KALMAR LÄN</t>
        </is>
      </c>
      <c r="E11916" t="inlineStr">
        <is>
          <t>EMMABODA</t>
        </is>
      </c>
      <c r="G11916" t="n">
        <v>3.9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36365-2024</t>
        </is>
      </c>
      <c r="B11917" s="1" t="n">
        <v>45534</v>
      </c>
      <c r="C11917" s="1" t="n">
        <v>45715</v>
      </c>
      <c r="D11917" t="inlineStr">
        <is>
          <t>KALMAR LÄN</t>
        </is>
      </c>
      <c r="E11917" t="inlineStr">
        <is>
          <t>MÖNSTERÅS</t>
        </is>
      </c>
      <c r="F11917" t="inlineStr">
        <is>
          <t>Kommuner</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36335-2024</t>
        </is>
      </c>
      <c r="B11918" s="1" t="n">
        <v>45534</v>
      </c>
      <c r="C11918" s="1" t="n">
        <v>45715</v>
      </c>
      <c r="D11918" t="inlineStr">
        <is>
          <t>KALMAR LÄN</t>
        </is>
      </c>
      <c r="E11918" t="inlineStr">
        <is>
          <t>NYBRO</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36360-2024</t>
        </is>
      </c>
      <c r="B11919" s="1" t="n">
        <v>45534</v>
      </c>
      <c r="C11919" s="1" t="n">
        <v>45715</v>
      </c>
      <c r="D11919" t="inlineStr">
        <is>
          <t>KALMAR LÄN</t>
        </is>
      </c>
      <c r="E11919" t="inlineStr">
        <is>
          <t>OSKARSHAMN</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36366-2024</t>
        </is>
      </c>
      <c r="B11920" s="1" t="n">
        <v>45534</v>
      </c>
      <c r="C11920" s="1" t="n">
        <v>45715</v>
      </c>
      <c r="D11920" t="inlineStr">
        <is>
          <t>KALMAR LÄN</t>
        </is>
      </c>
      <c r="E11920" t="inlineStr">
        <is>
          <t>NYBRO</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36374-2024</t>
        </is>
      </c>
      <c r="B11921" s="1" t="n">
        <v>45534</v>
      </c>
      <c r="C11921" s="1" t="n">
        <v>45715</v>
      </c>
      <c r="D11921" t="inlineStr">
        <is>
          <t>KALMAR LÄN</t>
        </is>
      </c>
      <c r="E11921" t="inlineStr">
        <is>
          <t>NYBRO</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36411-2024</t>
        </is>
      </c>
      <c r="B11922" s="1" t="n">
        <v>45535</v>
      </c>
      <c r="C11922" s="1" t="n">
        <v>45715</v>
      </c>
      <c r="D11922" t="inlineStr">
        <is>
          <t>KALMAR LÄN</t>
        </is>
      </c>
      <c r="E11922" t="inlineStr">
        <is>
          <t>EMMABODA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36400-2024</t>
        </is>
      </c>
      <c r="B11923" s="1" t="n">
        <v>45535</v>
      </c>
      <c r="C11923" s="1" t="n">
        <v>45715</v>
      </c>
      <c r="D11923" t="inlineStr">
        <is>
          <t>KALMAR LÄN</t>
        </is>
      </c>
      <c r="E11923" t="inlineStr">
        <is>
          <t>VÄSTERVIK</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36518-2024</t>
        </is>
      </c>
      <c r="B11924" s="1" t="n">
        <v>45537</v>
      </c>
      <c r="C11924" s="1" t="n">
        <v>45715</v>
      </c>
      <c r="D11924" t="inlineStr">
        <is>
          <t>KALMAR LÄN</t>
        </is>
      </c>
      <c r="E11924" t="inlineStr">
        <is>
          <t>MÖNSTERÅS</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36542-2024</t>
        </is>
      </c>
      <c r="B11925" s="1" t="n">
        <v>45537</v>
      </c>
      <c r="C11925" s="1" t="n">
        <v>45715</v>
      </c>
      <c r="D11925" t="inlineStr">
        <is>
          <t>KALMAR LÄN</t>
        </is>
      </c>
      <c r="E11925" t="inlineStr">
        <is>
          <t>EMMABODA</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36638-2024</t>
        </is>
      </c>
      <c r="B11926" s="1" t="n">
        <v>45537</v>
      </c>
      <c r="C11926" s="1" t="n">
        <v>45715</v>
      </c>
      <c r="D11926" t="inlineStr">
        <is>
          <t>KALMAR LÄN</t>
        </is>
      </c>
      <c r="E11926" t="inlineStr">
        <is>
          <t>HULTSFRED</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36646-2024</t>
        </is>
      </c>
      <c r="B11927" s="1" t="n">
        <v>45537</v>
      </c>
      <c r="C11927" s="1" t="n">
        <v>45715</v>
      </c>
      <c r="D11927" t="inlineStr">
        <is>
          <t>KALMAR LÄN</t>
        </is>
      </c>
      <c r="E11927" t="inlineStr">
        <is>
          <t>HULTSFRED</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36488-2024</t>
        </is>
      </c>
      <c r="B11928" s="1" t="n">
        <v>45537</v>
      </c>
      <c r="C11928" s="1" t="n">
        <v>45715</v>
      </c>
      <c r="D11928" t="inlineStr">
        <is>
          <t>KALMAR LÄN</t>
        </is>
      </c>
      <c r="E11928" t="inlineStr">
        <is>
          <t>EMMABODA</t>
        </is>
      </c>
      <c r="G11928" t="n">
        <v>7.4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36496-2024</t>
        </is>
      </c>
      <c r="B11929" s="1" t="n">
        <v>45537</v>
      </c>
      <c r="C11929" s="1" t="n">
        <v>45715</v>
      </c>
      <c r="D11929" t="inlineStr">
        <is>
          <t>KALMAR LÄN</t>
        </is>
      </c>
      <c r="E11929" t="inlineStr">
        <is>
          <t>EMMABODA</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36520-2024</t>
        </is>
      </c>
      <c r="B11930" s="1" t="n">
        <v>45537</v>
      </c>
      <c r="C11930" s="1" t="n">
        <v>45715</v>
      </c>
      <c r="D11930" t="inlineStr">
        <is>
          <t>KALMAR LÄN</t>
        </is>
      </c>
      <c r="E11930" t="inlineStr">
        <is>
          <t>MÖNSTERÅS</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36493-2024</t>
        </is>
      </c>
      <c r="B11931" s="1" t="n">
        <v>45537</v>
      </c>
      <c r="C11931" s="1" t="n">
        <v>45715</v>
      </c>
      <c r="D11931" t="inlineStr">
        <is>
          <t>KALMAR LÄN</t>
        </is>
      </c>
      <c r="E11931" t="inlineStr">
        <is>
          <t>EMMABODA</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36608-2024</t>
        </is>
      </c>
      <c r="B11932" s="1" t="n">
        <v>45537</v>
      </c>
      <c r="C11932" s="1" t="n">
        <v>45715</v>
      </c>
      <c r="D11932" t="inlineStr">
        <is>
          <t>KALMAR LÄN</t>
        </is>
      </c>
      <c r="E11932" t="inlineStr">
        <is>
          <t>HULTSFRED</t>
        </is>
      </c>
      <c r="F11932" t="inlineStr">
        <is>
          <t>Sveaskog</t>
        </is>
      </c>
      <c r="G11932" t="n">
        <v>14.7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36644-2024</t>
        </is>
      </c>
      <c r="B11933" s="1" t="n">
        <v>45537</v>
      </c>
      <c r="C11933" s="1" t="n">
        <v>45715</v>
      </c>
      <c r="D11933" t="inlineStr">
        <is>
          <t>KALMAR LÄN</t>
        </is>
      </c>
      <c r="E11933" t="inlineStr">
        <is>
          <t>MÖNSTERÅS</t>
        </is>
      </c>
      <c r="G11933" t="n">
        <v>7.3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36491-2024</t>
        </is>
      </c>
      <c r="B11934" s="1" t="n">
        <v>45537</v>
      </c>
      <c r="C11934" s="1" t="n">
        <v>45715</v>
      </c>
      <c r="D11934" t="inlineStr">
        <is>
          <t>KALMAR LÄN</t>
        </is>
      </c>
      <c r="E11934" t="inlineStr">
        <is>
          <t>EMMABODA</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36547-2024</t>
        </is>
      </c>
      <c r="B11935" s="1" t="n">
        <v>45537</v>
      </c>
      <c r="C11935" s="1" t="n">
        <v>45715</v>
      </c>
      <c r="D11935" t="inlineStr">
        <is>
          <t>KALMAR LÄN</t>
        </is>
      </c>
      <c r="E11935" t="inlineStr">
        <is>
          <t>EMMABODA</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36555-2024</t>
        </is>
      </c>
      <c r="B11936" s="1" t="n">
        <v>45537</v>
      </c>
      <c r="C11936" s="1" t="n">
        <v>45715</v>
      </c>
      <c r="D11936" t="inlineStr">
        <is>
          <t>KALMAR LÄN</t>
        </is>
      </c>
      <c r="E11936" t="inlineStr">
        <is>
          <t>VÄSTERVIK</t>
        </is>
      </c>
      <c r="F11936" t="inlineStr">
        <is>
          <t>Kommuner</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36607-2024</t>
        </is>
      </c>
      <c r="B11937" s="1" t="n">
        <v>45537</v>
      </c>
      <c r="C11937" s="1" t="n">
        <v>45715</v>
      </c>
      <c r="D11937" t="inlineStr">
        <is>
          <t>KALMAR LÄN</t>
        </is>
      </c>
      <c r="E11937" t="inlineStr">
        <is>
          <t>MÖNSTERÅS</t>
        </is>
      </c>
      <c r="G11937" t="n">
        <v>5.8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36619-2024</t>
        </is>
      </c>
      <c r="B11938" s="1" t="n">
        <v>45537</v>
      </c>
      <c r="C11938" s="1" t="n">
        <v>45715</v>
      </c>
      <c r="D11938" t="inlineStr">
        <is>
          <t>KALMAR LÄN</t>
        </is>
      </c>
      <c r="E11938" t="inlineStr">
        <is>
          <t>MÖNSTERÅS</t>
        </is>
      </c>
      <c r="G11938" t="n">
        <v>7.4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36631-2024</t>
        </is>
      </c>
      <c r="B11939" s="1" t="n">
        <v>45537</v>
      </c>
      <c r="C11939" s="1" t="n">
        <v>45715</v>
      </c>
      <c r="D11939" t="inlineStr">
        <is>
          <t>KALMAR LÄN</t>
        </is>
      </c>
      <c r="E11939" t="inlineStr">
        <is>
          <t>MÖNSTERÅS</t>
        </is>
      </c>
      <c r="G11939" t="n">
        <v>7.2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36725-2024</t>
        </is>
      </c>
      <c r="B11940" s="1" t="n">
        <v>45537</v>
      </c>
      <c r="C11940" s="1" t="n">
        <v>45715</v>
      </c>
      <c r="D11940" t="inlineStr">
        <is>
          <t>KALMAR LÄN</t>
        </is>
      </c>
      <c r="E11940" t="inlineStr">
        <is>
          <t>VÄSTERVIK</t>
        </is>
      </c>
      <c r="G11940" t="n">
        <v>10.1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36674-2024</t>
        </is>
      </c>
      <c r="B11941" s="1" t="n">
        <v>45537</v>
      </c>
      <c r="C11941" s="1" t="n">
        <v>45715</v>
      </c>
      <c r="D11941" t="inlineStr">
        <is>
          <t>KALMAR LÄN</t>
        </is>
      </c>
      <c r="E11941" t="inlineStr">
        <is>
          <t>HULTSFRED</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36671-2024</t>
        </is>
      </c>
      <c r="B11942" s="1" t="n">
        <v>45537</v>
      </c>
      <c r="C11942" s="1" t="n">
        <v>45715</v>
      </c>
      <c r="D11942" t="inlineStr">
        <is>
          <t>KALMAR LÄN</t>
        </is>
      </c>
      <c r="E11942" t="inlineStr">
        <is>
          <t>HULTSFRED</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36770-2024</t>
        </is>
      </c>
      <c r="B11943" s="1" t="n">
        <v>45538</v>
      </c>
      <c r="C11943" s="1" t="n">
        <v>45715</v>
      </c>
      <c r="D11943" t="inlineStr">
        <is>
          <t>KALMAR LÄN</t>
        </is>
      </c>
      <c r="E11943" t="inlineStr">
        <is>
          <t>HULTSFRED</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36767-2024</t>
        </is>
      </c>
      <c r="B11944" s="1" t="n">
        <v>45538</v>
      </c>
      <c r="C11944" s="1" t="n">
        <v>45715</v>
      </c>
      <c r="D11944" t="inlineStr">
        <is>
          <t>KALMAR LÄN</t>
        </is>
      </c>
      <c r="E11944" t="inlineStr">
        <is>
          <t>KALMAR</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36819-2024</t>
        </is>
      </c>
      <c r="B11945" s="1" t="n">
        <v>45538</v>
      </c>
      <c r="C11945" s="1" t="n">
        <v>45715</v>
      </c>
      <c r="D11945" t="inlineStr">
        <is>
          <t>KALMAR LÄN</t>
        </is>
      </c>
      <c r="E11945" t="inlineStr">
        <is>
          <t>KALMAR</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36853-2024</t>
        </is>
      </c>
      <c r="B11946" s="1" t="n">
        <v>45538</v>
      </c>
      <c r="C11946" s="1" t="n">
        <v>45715</v>
      </c>
      <c r="D11946" t="inlineStr">
        <is>
          <t>KALMAR LÄN</t>
        </is>
      </c>
      <c r="E11946" t="inlineStr">
        <is>
          <t>VÄSTERVIK</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36878-2024</t>
        </is>
      </c>
      <c r="B11947" s="1" t="n">
        <v>45538</v>
      </c>
      <c r="C11947" s="1" t="n">
        <v>45715</v>
      </c>
      <c r="D11947" t="inlineStr">
        <is>
          <t>KALMAR LÄN</t>
        </is>
      </c>
      <c r="E11947" t="inlineStr">
        <is>
          <t>VÄSTERVIK</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36740-2024</t>
        </is>
      </c>
      <c r="B11948" s="1" t="n">
        <v>45538</v>
      </c>
      <c r="C11948" s="1" t="n">
        <v>45715</v>
      </c>
      <c r="D11948" t="inlineStr">
        <is>
          <t>KALMAR LÄN</t>
        </is>
      </c>
      <c r="E11948" t="inlineStr">
        <is>
          <t>EMMABODA</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36772-2024</t>
        </is>
      </c>
      <c r="B11949" s="1" t="n">
        <v>45538</v>
      </c>
      <c r="C11949" s="1" t="n">
        <v>45715</v>
      </c>
      <c r="D11949" t="inlineStr">
        <is>
          <t>KALMAR LÄN</t>
        </is>
      </c>
      <c r="E11949" t="inlineStr">
        <is>
          <t>HULTSFRED</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36873-2024</t>
        </is>
      </c>
      <c r="B11950" s="1" t="n">
        <v>45538</v>
      </c>
      <c r="C11950" s="1" t="n">
        <v>45715</v>
      </c>
      <c r="D11950" t="inlineStr">
        <is>
          <t>KALMAR LÄN</t>
        </is>
      </c>
      <c r="E11950" t="inlineStr">
        <is>
          <t>MÖNSTERÅS</t>
        </is>
      </c>
      <c r="G11950" t="n">
        <v>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36881-2024</t>
        </is>
      </c>
      <c r="B11951" s="1" t="n">
        <v>45538</v>
      </c>
      <c r="C11951" s="1" t="n">
        <v>45715</v>
      </c>
      <c r="D11951" t="inlineStr">
        <is>
          <t>KALMAR LÄN</t>
        </is>
      </c>
      <c r="E11951" t="inlineStr">
        <is>
          <t>VÄSTERVIK</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36889-2024</t>
        </is>
      </c>
      <c r="B11952" s="1" t="n">
        <v>45538</v>
      </c>
      <c r="C11952" s="1" t="n">
        <v>45715</v>
      </c>
      <c r="D11952" t="inlineStr">
        <is>
          <t>KALMAR LÄN</t>
        </is>
      </c>
      <c r="E11952" t="inlineStr">
        <is>
          <t>VÄSTERVIK</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36888-2024</t>
        </is>
      </c>
      <c r="B11953" s="1" t="n">
        <v>45538</v>
      </c>
      <c r="C11953" s="1" t="n">
        <v>45715</v>
      </c>
      <c r="D11953" t="inlineStr">
        <is>
          <t>KALMAR LÄN</t>
        </is>
      </c>
      <c r="E11953" t="inlineStr">
        <is>
          <t>VÄSTERVIK</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36890-2024</t>
        </is>
      </c>
      <c r="B11954" s="1" t="n">
        <v>45538</v>
      </c>
      <c r="C11954" s="1" t="n">
        <v>45715</v>
      </c>
      <c r="D11954" t="inlineStr">
        <is>
          <t>KALMAR LÄN</t>
        </is>
      </c>
      <c r="E11954" t="inlineStr">
        <is>
          <t>MÖNSTERÅS</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36906-2024</t>
        </is>
      </c>
      <c r="B11955" s="1" t="n">
        <v>45538</v>
      </c>
      <c r="C11955" s="1" t="n">
        <v>45715</v>
      </c>
      <c r="D11955" t="inlineStr">
        <is>
          <t>KALMAR LÄN</t>
        </is>
      </c>
      <c r="E11955" t="inlineStr">
        <is>
          <t>VÄSTERVIK</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36972-2024</t>
        </is>
      </c>
      <c r="B11956" s="1" t="n">
        <v>45538</v>
      </c>
      <c r="C11956" s="1" t="n">
        <v>45715</v>
      </c>
      <c r="D11956" t="inlineStr">
        <is>
          <t>KALMAR LÄN</t>
        </is>
      </c>
      <c r="E11956" t="inlineStr">
        <is>
          <t>NYBRO</t>
        </is>
      </c>
      <c r="G11956" t="n">
        <v>3.3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36931-2024</t>
        </is>
      </c>
      <c r="B11957" s="1" t="n">
        <v>45538</v>
      </c>
      <c r="C11957" s="1" t="n">
        <v>45715</v>
      </c>
      <c r="D11957" t="inlineStr">
        <is>
          <t>KALMAR LÄN</t>
        </is>
      </c>
      <c r="E11957" t="inlineStr">
        <is>
          <t>HULTSFRED</t>
        </is>
      </c>
      <c r="G11957" t="n">
        <v>0.3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36973-2024</t>
        </is>
      </c>
      <c r="B11958" s="1" t="n">
        <v>45538</v>
      </c>
      <c r="C11958" s="1" t="n">
        <v>45715</v>
      </c>
      <c r="D11958" t="inlineStr">
        <is>
          <t>KALMAR LÄN</t>
        </is>
      </c>
      <c r="E11958" t="inlineStr">
        <is>
          <t>NYBRO</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36900-2024</t>
        </is>
      </c>
      <c r="B11959" s="1" t="n">
        <v>45538</v>
      </c>
      <c r="C11959" s="1" t="n">
        <v>45715</v>
      </c>
      <c r="D11959" t="inlineStr">
        <is>
          <t>KALMAR LÄN</t>
        </is>
      </c>
      <c r="E11959" t="inlineStr">
        <is>
          <t>MÖNSTERÅS</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36908-2024</t>
        </is>
      </c>
      <c r="B11960" s="1" t="n">
        <v>45538</v>
      </c>
      <c r="C11960" s="1" t="n">
        <v>45715</v>
      </c>
      <c r="D11960" t="inlineStr">
        <is>
          <t>KALMAR LÄN</t>
        </is>
      </c>
      <c r="E11960" t="inlineStr">
        <is>
          <t>MÖNSTERÅS</t>
        </is>
      </c>
      <c r="G11960" t="n">
        <v>19.2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36980-2024</t>
        </is>
      </c>
      <c r="B11961" s="1" t="n">
        <v>45539</v>
      </c>
      <c r="C11961" s="1" t="n">
        <v>45715</v>
      </c>
      <c r="D11961" t="inlineStr">
        <is>
          <t>KALMAR LÄN</t>
        </is>
      </c>
      <c r="E11961" t="inlineStr">
        <is>
          <t>EMMABODA</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37126-2024</t>
        </is>
      </c>
      <c r="B11962" s="1" t="n">
        <v>45539</v>
      </c>
      <c r="C11962" s="1" t="n">
        <v>45715</v>
      </c>
      <c r="D11962" t="inlineStr">
        <is>
          <t>KALMAR LÄN</t>
        </is>
      </c>
      <c r="E11962" t="inlineStr">
        <is>
          <t>OSKARSHAMN</t>
        </is>
      </c>
      <c r="G11962" t="n">
        <v>4.5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37028-2024</t>
        </is>
      </c>
      <c r="B11963" s="1" t="n">
        <v>45539</v>
      </c>
      <c r="C11963" s="1" t="n">
        <v>45715</v>
      </c>
      <c r="D11963" t="inlineStr">
        <is>
          <t>KALMAR LÄN</t>
        </is>
      </c>
      <c r="E11963" t="inlineStr">
        <is>
          <t>VIMMERBY</t>
        </is>
      </c>
      <c r="G11963" t="n">
        <v>5.2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37117-2024</t>
        </is>
      </c>
      <c r="B11964" s="1" t="n">
        <v>45539</v>
      </c>
      <c r="C11964" s="1" t="n">
        <v>45715</v>
      </c>
      <c r="D11964" t="inlineStr">
        <is>
          <t>KALMAR LÄN</t>
        </is>
      </c>
      <c r="E11964" t="inlineStr">
        <is>
          <t>VÄSTERVIK</t>
        </is>
      </c>
      <c r="G11964" t="n">
        <v>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37187-2024</t>
        </is>
      </c>
      <c r="B11965" s="1" t="n">
        <v>45539</v>
      </c>
      <c r="C11965" s="1" t="n">
        <v>45715</v>
      </c>
      <c r="D11965" t="inlineStr">
        <is>
          <t>KALMAR LÄN</t>
        </is>
      </c>
      <c r="E11965" t="inlineStr">
        <is>
          <t>VIMMERBY</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37169-2024</t>
        </is>
      </c>
      <c r="B11966" s="1" t="n">
        <v>45539</v>
      </c>
      <c r="C11966" s="1" t="n">
        <v>45715</v>
      </c>
      <c r="D11966" t="inlineStr">
        <is>
          <t>KALMAR LÄN</t>
        </is>
      </c>
      <c r="E11966" t="inlineStr">
        <is>
          <t>HULTSFRED</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37192-2024</t>
        </is>
      </c>
      <c r="B11967" s="1" t="n">
        <v>45539</v>
      </c>
      <c r="C11967" s="1" t="n">
        <v>45715</v>
      </c>
      <c r="D11967" t="inlineStr">
        <is>
          <t>KALMAR LÄN</t>
        </is>
      </c>
      <c r="E11967" t="inlineStr">
        <is>
          <t>VIMMERBY</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37184-2024</t>
        </is>
      </c>
      <c r="B11968" s="1" t="n">
        <v>45539</v>
      </c>
      <c r="C11968" s="1" t="n">
        <v>45715</v>
      </c>
      <c r="D11968" t="inlineStr">
        <is>
          <t>KALMAR LÄN</t>
        </is>
      </c>
      <c r="E11968" t="inlineStr">
        <is>
          <t>KALMAR</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37180-2024</t>
        </is>
      </c>
      <c r="B11969" s="1" t="n">
        <v>45539</v>
      </c>
      <c r="C11969" s="1" t="n">
        <v>45715</v>
      </c>
      <c r="D11969" t="inlineStr">
        <is>
          <t>KALMAR LÄN</t>
        </is>
      </c>
      <c r="E11969" t="inlineStr">
        <is>
          <t>MÖNSTERÅS</t>
        </is>
      </c>
      <c r="G11969" t="n">
        <v>7.5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37182-2024</t>
        </is>
      </c>
      <c r="B11970" s="1" t="n">
        <v>45539</v>
      </c>
      <c r="C11970" s="1" t="n">
        <v>45715</v>
      </c>
      <c r="D11970" t="inlineStr">
        <is>
          <t>KALMAR LÄN</t>
        </is>
      </c>
      <c r="E11970" t="inlineStr">
        <is>
          <t>KALMAR</t>
        </is>
      </c>
      <c r="G11970" t="n">
        <v>6.8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37161-2024</t>
        </is>
      </c>
      <c r="B11971" s="1" t="n">
        <v>45539</v>
      </c>
      <c r="C11971" s="1" t="n">
        <v>45715</v>
      </c>
      <c r="D11971" t="inlineStr">
        <is>
          <t>KALMAR LÄN</t>
        </is>
      </c>
      <c r="E11971" t="inlineStr">
        <is>
          <t>HULTSFRED</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37043-2024</t>
        </is>
      </c>
      <c r="B11972" s="1" t="n">
        <v>45539</v>
      </c>
      <c r="C11972" s="1" t="n">
        <v>45715</v>
      </c>
      <c r="D11972" t="inlineStr">
        <is>
          <t>KALMAR LÄN</t>
        </is>
      </c>
      <c r="E11972" t="inlineStr">
        <is>
          <t>OSKARSHAMN</t>
        </is>
      </c>
      <c r="G11972" t="n">
        <v>5.6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37011-2024</t>
        </is>
      </c>
      <c r="B11973" s="1" t="n">
        <v>45539</v>
      </c>
      <c r="C11973" s="1" t="n">
        <v>45715</v>
      </c>
      <c r="D11973" t="inlineStr">
        <is>
          <t>KALMAR LÄN</t>
        </is>
      </c>
      <c r="E11973" t="inlineStr">
        <is>
          <t>HULTSFRED</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37250-2024</t>
        </is>
      </c>
      <c r="B11974" s="1" t="n">
        <v>45540</v>
      </c>
      <c r="C11974" s="1" t="n">
        <v>45715</v>
      </c>
      <c r="D11974" t="inlineStr">
        <is>
          <t>KALMAR LÄN</t>
        </is>
      </c>
      <c r="E11974" t="inlineStr">
        <is>
          <t>MÖNSTERÅS</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37315-2024</t>
        </is>
      </c>
      <c r="B11975" s="1" t="n">
        <v>45540</v>
      </c>
      <c r="C11975" s="1" t="n">
        <v>45715</v>
      </c>
      <c r="D11975" t="inlineStr">
        <is>
          <t>KALMAR LÄN</t>
        </is>
      </c>
      <c r="E11975" t="inlineStr">
        <is>
          <t>KALMAR</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37323-2024</t>
        </is>
      </c>
      <c r="B11976" s="1" t="n">
        <v>45540</v>
      </c>
      <c r="C11976" s="1" t="n">
        <v>45715</v>
      </c>
      <c r="D11976" t="inlineStr">
        <is>
          <t>KALMAR LÄN</t>
        </is>
      </c>
      <c r="E11976" t="inlineStr">
        <is>
          <t>VIMMERBY</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37327-2024</t>
        </is>
      </c>
      <c r="B11977" s="1" t="n">
        <v>45540</v>
      </c>
      <c r="C11977" s="1" t="n">
        <v>45715</v>
      </c>
      <c r="D11977" t="inlineStr">
        <is>
          <t>KALMAR LÄN</t>
        </is>
      </c>
      <c r="E11977" t="inlineStr">
        <is>
          <t>OSKARSHAMN</t>
        </is>
      </c>
      <c r="G11977" t="n">
        <v>5.5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37235-2024</t>
        </is>
      </c>
      <c r="B11978" s="1" t="n">
        <v>45540</v>
      </c>
      <c r="C11978" s="1" t="n">
        <v>45715</v>
      </c>
      <c r="D11978" t="inlineStr">
        <is>
          <t>KALMAR LÄN</t>
        </is>
      </c>
      <c r="E11978" t="inlineStr">
        <is>
          <t>MÖNSTERÅS</t>
        </is>
      </c>
      <c r="G11978" t="n">
        <v>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37239-2024</t>
        </is>
      </c>
      <c r="B11979" s="1" t="n">
        <v>45540</v>
      </c>
      <c r="C11979" s="1" t="n">
        <v>45715</v>
      </c>
      <c r="D11979" t="inlineStr">
        <is>
          <t>KALMAR LÄN</t>
        </is>
      </c>
      <c r="E11979" t="inlineStr">
        <is>
          <t>MÖNSTERÅS</t>
        </is>
      </c>
      <c r="G11979" t="n">
        <v>10.6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37233-2024</t>
        </is>
      </c>
      <c r="B11980" s="1" t="n">
        <v>45540</v>
      </c>
      <c r="C11980" s="1" t="n">
        <v>45715</v>
      </c>
      <c r="D11980" t="inlineStr">
        <is>
          <t>KALMAR LÄN</t>
        </is>
      </c>
      <c r="E11980" t="inlineStr">
        <is>
          <t>MÖNSTERÅS</t>
        </is>
      </c>
      <c r="G11980" t="n">
        <v>4.8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37237-2024</t>
        </is>
      </c>
      <c r="B11981" s="1" t="n">
        <v>45540</v>
      </c>
      <c r="C11981" s="1" t="n">
        <v>45715</v>
      </c>
      <c r="D11981" t="inlineStr">
        <is>
          <t>KALMAR LÄN</t>
        </is>
      </c>
      <c r="E11981" t="inlineStr">
        <is>
          <t>MÖNSTERÅS</t>
        </is>
      </c>
      <c r="G11981" t="n">
        <v>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37245-2024</t>
        </is>
      </c>
      <c r="B11982" s="1" t="n">
        <v>45540</v>
      </c>
      <c r="C11982" s="1" t="n">
        <v>45715</v>
      </c>
      <c r="D11982" t="inlineStr">
        <is>
          <t>KALMAR LÄN</t>
        </is>
      </c>
      <c r="E11982" t="inlineStr">
        <is>
          <t>MÖNSTERÅS</t>
        </is>
      </c>
      <c r="G11982" t="n">
        <v>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37326-2024</t>
        </is>
      </c>
      <c r="B11983" s="1" t="n">
        <v>45540</v>
      </c>
      <c r="C11983" s="1" t="n">
        <v>45715</v>
      </c>
      <c r="D11983" t="inlineStr">
        <is>
          <t>KALMAR LÄN</t>
        </is>
      </c>
      <c r="E11983" t="inlineStr">
        <is>
          <t>VÄSTERVIK</t>
        </is>
      </c>
      <c r="F11983" t="inlineStr">
        <is>
          <t>Holmen skog AB</t>
        </is>
      </c>
      <c r="G11983" t="n">
        <v>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37305-2024</t>
        </is>
      </c>
      <c r="B11984" s="1" t="n">
        <v>45540</v>
      </c>
      <c r="C11984" s="1" t="n">
        <v>45715</v>
      </c>
      <c r="D11984" t="inlineStr">
        <is>
          <t>KALMAR LÄN</t>
        </is>
      </c>
      <c r="E11984" t="inlineStr">
        <is>
          <t>KALMAR</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37329-2024</t>
        </is>
      </c>
      <c r="B11985" s="1" t="n">
        <v>45540</v>
      </c>
      <c r="C11985" s="1" t="n">
        <v>45715</v>
      </c>
      <c r="D11985" t="inlineStr">
        <is>
          <t>KALMAR LÄN</t>
        </is>
      </c>
      <c r="E11985" t="inlineStr">
        <is>
          <t>VIMMERBY</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37419-2024</t>
        </is>
      </c>
      <c r="B11986" s="1" t="n">
        <v>45540</v>
      </c>
      <c r="C11986" s="1" t="n">
        <v>45715</v>
      </c>
      <c r="D11986" t="inlineStr">
        <is>
          <t>KALMAR LÄN</t>
        </is>
      </c>
      <c r="E11986" t="inlineStr">
        <is>
          <t>MÖNSTERÅS</t>
        </is>
      </c>
      <c r="G11986" t="n">
        <v>7.5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37300-2024</t>
        </is>
      </c>
      <c r="B11987" s="1" t="n">
        <v>45540</v>
      </c>
      <c r="C11987" s="1" t="n">
        <v>45715</v>
      </c>
      <c r="D11987" t="inlineStr">
        <is>
          <t>KALMAR LÄN</t>
        </is>
      </c>
      <c r="E11987" t="inlineStr">
        <is>
          <t>KALMAR</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37312-2024</t>
        </is>
      </c>
      <c r="B11988" s="1" t="n">
        <v>45540</v>
      </c>
      <c r="C11988" s="1" t="n">
        <v>45715</v>
      </c>
      <c r="D11988" t="inlineStr">
        <is>
          <t>KALMAR LÄN</t>
        </is>
      </c>
      <c r="E11988" t="inlineStr">
        <is>
          <t>KALMAR</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37413-2024</t>
        </is>
      </c>
      <c r="B11989" s="1" t="n">
        <v>45540</v>
      </c>
      <c r="C11989" s="1" t="n">
        <v>45715</v>
      </c>
      <c r="D11989" t="inlineStr">
        <is>
          <t>KALMAR LÄN</t>
        </is>
      </c>
      <c r="E11989" t="inlineStr">
        <is>
          <t>MÖNSTERÅS</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37531-2024</t>
        </is>
      </c>
      <c r="B11990" s="1" t="n">
        <v>45541</v>
      </c>
      <c r="C11990" s="1" t="n">
        <v>45715</v>
      </c>
      <c r="D11990" t="inlineStr">
        <is>
          <t>KALMAR LÄN</t>
        </is>
      </c>
      <c r="E11990" t="inlineStr">
        <is>
          <t>NYBRO</t>
        </is>
      </c>
      <c r="G11990" t="n">
        <v>6.2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37699-2024</t>
        </is>
      </c>
      <c r="B11991" s="1" t="n">
        <v>45541</v>
      </c>
      <c r="C11991" s="1" t="n">
        <v>45715</v>
      </c>
      <c r="D11991" t="inlineStr">
        <is>
          <t>KALMAR LÄN</t>
        </is>
      </c>
      <c r="E11991" t="inlineStr">
        <is>
          <t>HÖGSBY</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37654-2024</t>
        </is>
      </c>
      <c r="B11992" s="1" t="n">
        <v>45541</v>
      </c>
      <c r="C11992" s="1" t="n">
        <v>45715</v>
      </c>
      <c r="D11992" t="inlineStr">
        <is>
          <t>KALMAR LÄN</t>
        </is>
      </c>
      <c r="E11992" t="inlineStr">
        <is>
          <t>VIMMERBY</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37616-2024</t>
        </is>
      </c>
      <c r="B11993" s="1" t="n">
        <v>45541</v>
      </c>
      <c r="C11993" s="1" t="n">
        <v>45715</v>
      </c>
      <c r="D11993" t="inlineStr">
        <is>
          <t>KALMAR LÄN</t>
        </is>
      </c>
      <c r="E11993" t="inlineStr">
        <is>
          <t>VIMMERBY</t>
        </is>
      </c>
      <c r="G11993" t="n">
        <v>8.5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37628-2024</t>
        </is>
      </c>
      <c r="B11994" s="1" t="n">
        <v>45541</v>
      </c>
      <c r="C11994" s="1" t="n">
        <v>45715</v>
      </c>
      <c r="D11994" t="inlineStr">
        <is>
          <t>KALMAR LÄN</t>
        </is>
      </c>
      <c r="E11994" t="inlineStr">
        <is>
          <t>HULTSFRED</t>
        </is>
      </c>
      <c r="F11994" t="inlineStr">
        <is>
          <t>Övriga Aktiebolag</t>
        </is>
      </c>
      <c r="G11994" t="n">
        <v>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37719-2024</t>
        </is>
      </c>
      <c r="B11995" s="1" t="n">
        <v>45541</v>
      </c>
      <c r="C11995" s="1" t="n">
        <v>45715</v>
      </c>
      <c r="D11995" t="inlineStr">
        <is>
          <t>KALMAR LÄN</t>
        </is>
      </c>
      <c r="E11995" t="inlineStr">
        <is>
          <t>HÖGSBY</t>
        </is>
      </c>
      <c r="G11995" t="n">
        <v>4.7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37713-2024</t>
        </is>
      </c>
      <c r="B11996" s="1" t="n">
        <v>45541</v>
      </c>
      <c r="C11996" s="1" t="n">
        <v>45715</v>
      </c>
      <c r="D11996" t="inlineStr">
        <is>
          <t>KALMAR LÄN</t>
        </is>
      </c>
      <c r="E11996" t="inlineStr">
        <is>
          <t>HÖGSBY</t>
        </is>
      </c>
      <c r="G11996" t="n">
        <v>4.9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37721-2024</t>
        </is>
      </c>
      <c r="B11997" s="1" t="n">
        <v>45541</v>
      </c>
      <c r="C11997" s="1" t="n">
        <v>45715</v>
      </c>
      <c r="D11997" t="inlineStr">
        <is>
          <t>KALMAR LÄN</t>
        </is>
      </c>
      <c r="E11997" t="inlineStr">
        <is>
          <t>HÖGSBY</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37812-2024</t>
        </is>
      </c>
      <c r="B11998" s="1" t="n">
        <v>45544</v>
      </c>
      <c r="C11998" s="1" t="n">
        <v>45715</v>
      </c>
      <c r="D11998" t="inlineStr">
        <is>
          <t>KALMAR LÄN</t>
        </is>
      </c>
      <c r="E11998" t="inlineStr">
        <is>
          <t>HÖGSBY</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37868-2024</t>
        </is>
      </c>
      <c r="B11999" s="1" t="n">
        <v>45544</v>
      </c>
      <c r="C11999" s="1" t="n">
        <v>45715</v>
      </c>
      <c r="D11999" t="inlineStr">
        <is>
          <t>KALMAR LÄN</t>
        </is>
      </c>
      <c r="E11999" t="inlineStr">
        <is>
          <t>HÖGSBY</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37811-2024</t>
        </is>
      </c>
      <c r="B12000" s="1" t="n">
        <v>45544</v>
      </c>
      <c r="C12000" s="1" t="n">
        <v>45715</v>
      </c>
      <c r="D12000" t="inlineStr">
        <is>
          <t>KALMAR LÄN</t>
        </is>
      </c>
      <c r="E12000" t="inlineStr">
        <is>
          <t>HÖGSBY</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37863-2024</t>
        </is>
      </c>
      <c r="B12001" s="1" t="n">
        <v>45544</v>
      </c>
      <c r="C12001" s="1" t="n">
        <v>45715</v>
      </c>
      <c r="D12001" t="inlineStr">
        <is>
          <t>KALMAR LÄN</t>
        </is>
      </c>
      <c r="E12001" t="inlineStr">
        <is>
          <t>KALMAR</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37988-2024</t>
        </is>
      </c>
      <c r="B12002" s="1" t="n">
        <v>45544</v>
      </c>
      <c r="C12002" s="1" t="n">
        <v>45715</v>
      </c>
      <c r="D12002" t="inlineStr">
        <is>
          <t>KALMAR LÄN</t>
        </is>
      </c>
      <c r="E12002" t="inlineStr">
        <is>
          <t>HULTSFRED</t>
        </is>
      </c>
      <c r="F12002" t="inlineStr">
        <is>
          <t>Kommuner</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37865-2024</t>
        </is>
      </c>
      <c r="B12003" s="1" t="n">
        <v>45544</v>
      </c>
      <c r="C12003" s="1" t="n">
        <v>45715</v>
      </c>
      <c r="D12003" t="inlineStr">
        <is>
          <t>KALMAR LÄN</t>
        </is>
      </c>
      <c r="E12003" t="inlineStr">
        <is>
          <t>KALMAR</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37973-2024</t>
        </is>
      </c>
      <c r="B12004" s="1" t="n">
        <v>45544</v>
      </c>
      <c r="C12004" s="1" t="n">
        <v>45715</v>
      </c>
      <c r="D12004" t="inlineStr">
        <is>
          <t>KALMAR LÄN</t>
        </is>
      </c>
      <c r="E12004" t="inlineStr">
        <is>
          <t>KALMAR</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37985-2024</t>
        </is>
      </c>
      <c r="B12005" s="1" t="n">
        <v>45544</v>
      </c>
      <c r="C12005" s="1" t="n">
        <v>45715</v>
      </c>
      <c r="D12005" t="inlineStr">
        <is>
          <t>KALMAR LÄN</t>
        </is>
      </c>
      <c r="E12005" t="inlineStr">
        <is>
          <t>KALMAR</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37878-2024</t>
        </is>
      </c>
      <c r="B12006" s="1" t="n">
        <v>45544</v>
      </c>
      <c r="C12006" s="1" t="n">
        <v>45715</v>
      </c>
      <c r="D12006" t="inlineStr">
        <is>
          <t>KALMAR LÄN</t>
        </is>
      </c>
      <c r="E12006" t="inlineStr">
        <is>
          <t>NYBRO</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37882-2024</t>
        </is>
      </c>
      <c r="B12007" s="1" t="n">
        <v>45544</v>
      </c>
      <c r="C12007" s="1" t="n">
        <v>45715</v>
      </c>
      <c r="D12007" t="inlineStr">
        <is>
          <t>KALMAR LÄN</t>
        </is>
      </c>
      <c r="E12007" t="inlineStr">
        <is>
          <t>HULTSFRED</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37951-2024</t>
        </is>
      </c>
      <c r="B12008" s="1" t="n">
        <v>45544</v>
      </c>
      <c r="C12008" s="1" t="n">
        <v>45715</v>
      </c>
      <c r="D12008" t="inlineStr">
        <is>
          <t>KALMAR LÄN</t>
        </is>
      </c>
      <c r="E12008" t="inlineStr">
        <is>
          <t>HÖGSBY</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37954-2024</t>
        </is>
      </c>
      <c r="B12009" s="1" t="n">
        <v>45544</v>
      </c>
      <c r="C12009" s="1" t="n">
        <v>45715</v>
      </c>
      <c r="D12009" t="inlineStr">
        <is>
          <t>KALMAR LÄN</t>
        </is>
      </c>
      <c r="E12009" t="inlineStr">
        <is>
          <t>HÖGSBY</t>
        </is>
      </c>
      <c r="G12009" t="n">
        <v>5.4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37987-2024</t>
        </is>
      </c>
      <c r="B12010" s="1" t="n">
        <v>45544</v>
      </c>
      <c r="C12010" s="1" t="n">
        <v>45715</v>
      </c>
      <c r="D12010" t="inlineStr">
        <is>
          <t>KALMAR LÄN</t>
        </is>
      </c>
      <c r="E12010" t="inlineStr">
        <is>
          <t>HULTSFRED</t>
        </is>
      </c>
      <c r="F12010" t="inlineStr">
        <is>
          <t>Kommuner</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37986-2024</t>
        </is>
      </c>
      <c r="B12011" s="1" t="n">
        <v>45544</v>
      </c>
      <c r="C12011" s="1" t="n">
        <v>45715</v>
      </c>
      <c r="D12011" t="inlineStr">
        <is>
          <t>KALMAR LÄN</t>
        </is>
      </c>
      <c r="E12011" t="inlineStr">
        <is>
          <t>KALMAR</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38059-2024</t>
        </is>
      </c>
      <c r="B12012" s="1" t="n">
        <v>45544</v>
      </c>
      <c r="C12012" s="1" t="n">
        <v>45715</v>
      </c>
      <c r="D12012" t="inlineStr">
        <is>
          <t>KALMAR LÄN</t>
        </is>
      </c>
      <c r="E12012" t="inlineStr">
        <is>
          <t>NYBRO</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38071-2024</t>
        </is>
      </c>
      <c r="B12013" s="1" t="n">
        <v>45544</v>
      </c>
      <c r="C12013" s="1" t="n">
        <v>45715</v>
      </c>
      <c r="D12013" t="inlineStr">
        <is>
          <t>KALMAR LÄN</t>
        </is>
      </c>
      <c r="E12013" t="inlineStr">
        <is>
          <t>KALMAR</t>
        </is>
      </c>
      <c r="F12013" t="inlineStr">
        <is>
          <t>Kommuner</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38061-2024</t>
        </is>
      </c>
      <c r="B12014" s="1" t="n">
        <v>45544</v>
      </c>
      <c r="C12014" s="1" t="n">
        <v>45715</v>
      </c>
      <c r="D12014" t="inlineStr">
        <is>
          <t>KALMAR LÄN</t>
        </is>
      </c>
      <c r="E12014" t="inlineStr">
        <is>
          <t>VÄSTERVIK</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38170-2024</t>
        </is>
      </c>
      <c r="B12015" s="1" t="n">
        <v>45545</v>
      </c>
      <c r="C12015" s="1" t="n">
        <v>45715</v>
      </c>
      <c r="D12015" t="inlineStr">
        <is>
          <t>KALMAR LÄN</t>
        </is>
      </c>
      <c r="E12015" t="inlineStr">
        <is>
          <t>NYBRO</t>
        </is>
      </c>
      <c r="G12015" t="n">
        <v>3.7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38251-2024</t>
        </is>
      </c>
      <c r="B12016" s="1" t="n">
        <v>45545</v>
      </c>
      <c r="C12016" s="1" t="n">
        <v>45715</v>
      </c>
      <c r="D12016" t="inlineStr">
        <is>
          <t>KALMAR LÄN</t>
        </is>
      </c>
      <c r="E12016" t="inlineStr">
        <is>
          <t>NYBRO</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38265-2024</t>
        </is>
      </c>
      <c r="B12017" s="1" t="n">
        <v>45545</v>
      </c>
      <c r="C12017" s="1" t="n">
        <v>45715</v>
      </c>
      <c r="D12017" t="inlineStr">
        <is>
          <t>KALMAR LÄN</t>
        </is>
      </c>
      <c r="E12017" t="inlineStr">
        <is>
          <t>NYBRO</t>
        </is>
      </c>
      <c r="G12017" t="n">
        <v>4.2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38269-2024</t>
        </is>
      </c>
      <c r="B12018" s="1" t="n">
        <v>45545</v>
      </c>
      <c r="C12018" s="1" t="n">
        <v>45715</v>
      </c>
      <c r="D12018" t="inlineStr">
        <is>
          <t>KALMAR LÄN</t>
        </is>
      </c>
      <c r="E12018" t="inlineStr">
        <is>
          <t>HÖGSBY</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38198-2024</t>
        </is>
      </c>
      <c r="B12019" s="1" t="n">
        <v>45545</v>
      </c>
      <c r="C12019" s="1" t="n">
        <v>45715</v>
      </c>
      <c r="D12019" t="inlineStr">
        <is>
          <t>KALMAR LÄN</t>
        </is>
      </c>
      <c r="E12019" t="inlineStr">
        <is>
          <t>VIMMERBY</t>
        </is>
      </c>
      <c r="G12019" t="n">
        <v>7.9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38248-2024</t>
        </is>
      </c>
      <c r="B12020" s="1" t="n">
        <v>45545</v>
      </c>
      <c r="C12020" s="1" t="n">
        <v>45715</v>
      </c>
      <c r="D12020" t="inlineStr">
        <is>
          <t>KALMAR LÄN</t>
        </is>
      </c>
      <c r="E12020" t="inlineStr">
        <is>
          <t>NYBRO</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38468-2024</t>
        </is>
      </c>
      <c r="B12021" s="1" t="n">
        <v>45546</v>
      </c>
      <c r="C12021" s="1" t="n">
        <v>45715</v>
      </c>
      <c r="D12021" t="inlineStr">
        <is>
          <t>KALMAR LÄN</t>
        </is>
      </c>
      <c r="E12021" t="inlineStr">
        <is>
          <t>HULTSFRED</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38476-2024</t>
        </is>
      </c>
      <c r="B12022" s="1" t="n">
        <v>45546</v>
      </c>
      <c r="C12022" s="1" t="n">
        <v>45715</v>
      </c>
      <c r="D12022" t="inlineStr">
        <is>
          <t>KALMAR LÄN</t>
        </is>
      </c>
      <c r="E12022" t="inlineStr">
        <is>
          <t>KALMAR</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38414-2024</t>
        </is>
      </c>
      <c r="B12023" s="1" t="n">
        <v>45546</v>
      </c>
      <c r="C12023" s="1" t="n">
        <v>45715</v>
      </c>
      <c r="D12023" t="inlineStr">
        <is>
          <t>KALMAR LÄN</t>
        </is>
      </c>
      <c r="E12023" t="inlineStr">
        <is>
          <t>HULTSFRED</t>
        </is>
      </c>
      <c r="F12023" t="inlineStr">
        <is>
          <t>Sveaskog</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38454-2024</t>
        </is>
      </c>
      <c r="B12024" s="1" t="n">
        <v>45546</v>
      </c>
      <c r="C12024" s="1" t="n">
        <v>45715</v>
      </c>
      <c r="D12024" t="inlineStr">
        <is>
          <t>KALMAR LÄN</t>
        </is>
      </c>
      <c r="E12024" t="inlineStr">
        <is>
          <t>TORSÅS</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38435-2024</t>
        </is>
      </c>
      <c r="B12025" s="1" t="n">
        <v>45546</v>
      </c>
      <c r="C12025" s="1" t="n">
        <v>45715</v>
      </c>
      <c r="D12025" t="inlineStr">
        <is>
          <t>KALMAR LÄN</t>
        </is>
      </c>
      <c r="E12025" t="inlineStr">
        <is>
          <t>TORSÅS</t>
        </is>
      </c>
      <c r="G12025" t="n">
        <v>4.9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38413-2024</t>
        </is>
      </c>
      <c r="B12026" s="1" t="n">
        <v>45546</v>
      </c>
      <c r="C12026" s="1" t="n">
        <v>45715</v>
      </c>
      <c r="D12026" t="inlineStr">
        <is>
          <t>KALMAR LÄN</t>
        </is>
      </c>
      <c r="E12026" t="inlineStr">
        <is>
          <t>HULTSFRED</t>
        </is>
      </c>
      <c r="G12026" t="n">
        <v>18.6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38477-2024</t>
        </is>
      </c>
      <c r="B12027" s="1" t="n">
        <v>45546</v>
      </c>
      <c r="C12027" s="1" t="n">
        <v>45715</v>
      </c>
      <c r="D12027" t="inlineStr">
        <is>
          <t>KALMAR LÄN</t>
        </is>
      </c>
      <c r="E12027" t="inlineStr">
        <is>
          <t>EMMABODA</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38596-2024</t>
        </is>
      </c>
      <c r="B12028" s="1" t="n">
        <v>45546</v>
      </c>
      <c r="C12028" s="1" t="n">
        <v>45715</v>
      </c>
      <c r="D12028" t="inlineStr">
        <is>
          <t>KALMAR LÄN</t>
        </is>
      </c>
      <c r="E12028" t="inlineStr">
        <is>
          <t>HÖGSBY</t>
        </is>
      </c>
      <c r="F12028" t="inlineStr">
        <is>
          <t>Sveaskog</t>
        </is>
      </c>
      <c r="G12028" t="n">
        <v>3.9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38600-2024</t>
        </is>
      </c>
      <c r="B12029" s="1" t="n">
        <v>45546</v>
      </c>
      <c r="C12029" s="1" t="n">
        <v>45715</v>
      </c>
      <c r="D12029" t="inlineStr">
        <is>
          <t>KALMAR LÄN</t>
        </is>
      </c>
      <c r="E12029" t="inlineStr">
        <is>
          <t>HÖGSBY</t>
        </is>
      </c>
      <c r="F12029" t="inlineStr">
        <is>
          <t>Sveaskog</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38608-2024</t>
        </is>
      </c>
      <c r="B12030" s="1" t="n">
        <v>45546</v>
      </c>
      <c r="C12030" s="1" t="n">
        <v>45715</v>
      </c>
      <c r="D12030" t="inlineStr">
        <is>
          <t>KALMAR LÄN</t>
        </is>
      </c>
      <c r="E12030" t="inlineStr">
        <is>
          <t>HÖGSBY</t>
        </is>
      </c>
      <c r="F12030" t="inlineStr">
        <is>
          <t>Sveaskog</t>
        </is>
      </c>
      <c r="G12030" t="n">
        <v>9.199999999999999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38545-2024</t>
        </is>
      </c>
      <c r="B12031" s="1" t="n">
        <v>45546</v>
      </c>
      <c r="C12031" s="1" t="n">
        <v>45715</v>
      </c>
      <c r="D12031" t="inlineStr">
        <is>
          <t>KALMAR LÄN</t>
        </is>
      </c>
      <c r="E12031" t="inlineStr">
        <is>
          <t>VÄSTERVIK</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38597-2024</t>
        </is>
      </c>
      <c r="B12032" s="1" t="n">
        <v>45546</v>
      </c>
      <c r="C12032" s="1" t="n">
        <v>45715</v>
      </c>
      <c r="D12032" t="inlineStr">
        <is>
          <t>KALMAR LÄN</t>
        </is>
      </c>
      <c r="E12032" t="inlineStr">
        <is>
          <t>HÖGSBY</t>
        </is>
      </c>
      <c r="F12032" t="inlineStr">
        <is>
          <t>Sveaskog</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38599-2024</t>
        </is>
      </c>
      <c r="B12033" s="1" t="n">
        <v>45546</v>
      </c>
      <c r="C12033" s="1" t="n">
        <v>45715</v>
      </c>
      <c r="D12033" t="inlineStr">
        <is>
          <t>KALMAR LÄN</t>
        </is>
      </c>
      <c r="E12033" t="inlineStr">
        <is>
          <t>HULTSFRED</t>
        </is>
      </c>
      <c r="G12033" t="n">
        <v>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38668-2024</t>
        </is>
      </c>
      <c r="B12034" s="1" t="n">
        <v>45547</v>
      </c>
      <c r="C12034" s="1" t="n">
        <v>45715</v>
      </c>
      <c r="D12034" t="inlineStr">
        <is>
          <t>KALMAR LÄN</t>
        </is>
      </c>
      <c r="E12034" t="inlineStr">
        <is>
          <t>HULTSFRED</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38683-2024</t>
        </is>
      </c>
      <c r="B12035" s="1" t="n">
        <v>45547</v>
      </c>
      <c r="C12035" s="1" t="n">
        <v>45715</v>
      </c>
      <c r="D12035" t="inlineStr">
        <is>
          <t>KALMAR LÄN</t>
        </is>
      </c>
      <c r="E12035" t="inlineStr">
        <is>
          <t>HULTSFRED</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38705-2024</t>
        </is>
      </c>
      <c r="B12036" s="1" t="n">
        <v>45547</v>
      </c>
      <c r="C12036" s="1" t="n">
        <v>45715</v>
      </c>
      <c r="D12036" t="inlineStr">
        <is>
          <t>KALMAR LÄN</t>
        </is>
      </c>
      <c r="E12036" t="inlineStr">
        <is>
          <t>HULTSFRED</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38761-2024</t>
        </is>
      </c>
      <c r="B12037" s="1" t="n">
        <v>45547</v>
      </c>
      <c r="C12037" s="1" t="n">
        <v>45715</v>
      </c>
      <c r="D12037" t="inlineStr">
        <is>
          <t>KALMAR LÄN</t>
        </is>
      </c>
      <c r="E12037" t="inlineStr">
        <is>
          <t>NYBRO</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38789-2024</t>
        </is>
      </c>
      <c r="B12038" s="1" t="n">
        <v>45547</v>
      </c>
      <c r="C12038" s="1" t="n">
        <v>45715</v>
      </c>
      <c r="D12038" t="inlineStr">
        <is>
          <t>KALMAR LÄN</t>
        </is>
      </c>
      <c r="E12038" t="inlineStr">
        <is>
          <t>HULTSFRED</t>
        </is>
      </c>
      <c r="G12038" t="n">
        <v>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38797-2024</t>
        </is>
      </c>
      <c r="B12039" s="1" t="n">
        <v>45547</v>
      </c>
      <c r="C12039" s="1" t="n">
        <v>45715</v>
      </c>
      <c r="D12039" t="inlineStr">
        <is>
          <t>KALMAR LÄN</t>
        </is>
      </c>
      <c r="E12039" t="inlineStr">
        <is>
          <t>HÖGSBY</t>
        </is>
      </c>
      <c r="F12039" t="inlineStr">
        <is>
          <t>Sveaskog</t>
        </is>
      </c>
      <c r="G12039" t="n">
        <v>6.4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38796-2024</t>
        </is>
      </c>
      <c r="B12040" s="1" t="n">
        <v>45547</v>
      </c>
      <c r="C12040" s="1" t="n">
        <v>45715</v>
      </c>
      <c r="D12040" t="inlineStr">
        <is>
          <t>KALMAR LÄN</t>
        </is>
      </c>
      <c r="E12040" t="inlineStr">
        <is>
          <t>HULTSFRED</t>
        </is>
      </c>
      <c r="G12040" t="n">
        <v>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38802-2024</t>
        </is>
      </c>
      <c r="B12041" s="1" t="n">
        <v>45547</v>
      </c>
      <c r="C12041" s="1" t="n">
        <v>45715</v>
      </c>
      <c r="D12041" t="inlineStr">
        <is>
          <t>KALMAR LÄN</t>
        </is>
      </c>
      <c r="E12041" t="inlineStr">
        <is>
          <t>HÖGSBY</t>
        </is>
      </c>
      <c r="F12041" t="inlineStr">
        <is>
          <t>Sveaskog</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38786-2024</t>
        </is>
      </c>
      <c r="B12042" s="1" t="n">
        <v>45547</v>
      </c>
      <c r="C12042" s="1" t="n">
        <v>45715</v>
      </c>
      <c r="D12042" t="inlineStr">
        <is>
          <t>KALMAR LÄN</t>
        </is>
      </c>
      <c r="E12042" t="inlineStr">
        <is>
          <t>MÖNSTERÅS</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38693-2024</t>
        </is>
      </c>
      <c r="B12043" s="1" t="n">
        <v>45547</v>
      </c>
      <c r="C12043" s="1" t="n">
        <v>45715</v>
      </c>
      <c r="D12043" t="inlineStr">
        <is>
          <t>KALMAR LÄN</t>
        </is>
      </c>
      <c r="E12043" t="inlineStr">
        <is>
          <t>HULTSFRED</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38798-2024</t>
        </is>
      </c>
      <c r="B12044" s="1" t="n">
        <v>45547</v>
      </c>
      <c r="C12044" s="1" t="n">
        <v>45715</v>
      </c>
      <c r="D12044" t="inlineStr">
        <is>
          <t>KALMAR LÄN</t>
        </is>
      </c>
      <c r="E12044" t="inlineStr">
        <is>
          <t>NYBRO</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38824-2024</t>
        </is>
      </c>
      <c r="B12045" s="1" t="n">
        <v>45547</v>
      </c>
      <c r="C12045" s="1" t="n">
        <v>45715</v>
      </c>
      <c r="D12045" t="inlineStr">
        <is>
          <t>KALMAR LÄN</t>
        </is>
      </c>
      <c r="E12045" t="inlineStr">
        <is>
          <t>HÖGSBY</t>
        </is>
      </c>
      <c r="F12045" t="inlineStr">
        <is>
          <t>Sveaskog</t>
        </is>
      </c>
      <c r="G12045" t="n">
        <v>7.7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39043-2024</t>
        </is>
      </c>
      <c r="B12046" s="1" t="n">
        <v>45548</v>
      </c>
      <c r="C12046" s="1" t="n">
        <v>45715</v>
      </c>
      <c r="D12046" t="inlineStr">
        <is>
          <t>KALMAR LÄN</t>
        </is>
      </c>
      <c r="E12046" t="inlineStr">
        <is>
          <t>VIMMERBY</t>
        </is>
      </c>
      <c r="G12046" t="n">
        <v>5.9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39118-2024</t>
        </is>
      </c>
      <c r="B12047" s="1" t="n">
        <v>45548</v>
      </c>
      <c r="C12047" s="1" t="n">
        <v>45715</v>
      </c>
      <c r="D12047" t="inlineStr">
        <is>
          <t>KALMAR LÄN</t>
        </is>
      </c>
      <c r="E12047" t="inlineStr">
        <is>
          <t>EMMABODA</t>
        </is>
      </c>
      <c r="G12047" t="n">
        <v>8.1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39093-2024</t>
        </is>
      </c>
      <c r="B12048" s="1" t="n">
        <v>45548</v>
      </c>
      <c r="C12048" s="1" t="n">
        <v>45715</v>
      </c>
      <c r="D12048" t="inlineStr">
        <is>
          <t>KALMAR LÄN</t>
        </is>
      </c>
      <c r="E12048" t="inlineStr">
        <is>
          <t>KALMAR</t>
        </is>
      </c>
      <c r="G12048" t="n">
        <v>2.7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39053-2024</t>
        </is>
      </c>
      <c r="B12049" s="1" t="n">
        <v>45548</v>
      </c>
      <c r="C12049" s="1" t="n">
        <v>45715</v>
      </c>
      <c r="D12049" t="inlineStr">
        <is>
          <t>KALMAR LÄN</t>
        </is>
      </c>
      <c r="E12049" t="inlineStr">
        <is>
          <t>VIMMERBY</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39193-2024</t>
        </is>
      </c>
      <c r="B12050" s="1" t="n">
        <v>45548</v>
      </c>
      <c r="C12050" s="1" t="n">
        <v>45715</v>
      </c>
      <c r="D12050" t="inlineStr">
        <is>
          <t>KALMAR LÄN</t>
        </is>
      </c>
      <c r="E12050" t="inlineStr">
        <is>
          <t>VÄSTERVIK</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39169-2024</t>
        </is>
      </c>
      <c r="B12051" s="1" t="n">
        <v>45548</v>
      </c>
      <c r="C12051" s="1" t="n">
        <v>45715</v>
      </c>
      <c r="D12051" t="inlineStr">
        <is>
          <t>KALMAR LÄN</t>
        </is>
      </c>
      <c r="E12051" t="inlineStr">
        <is>
          <t>EMMABODA</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39254-2024</t>
        </is>
      </c>
      <c r="B12052" s="1" t="n">
        <v>45551</v>
      </c>
      <c r="C12052" s="1" t="n">
        <v>45715</v>
      </c>
      <c r="D12052" t="inlineStr">
        <is>
          <t>KALMAR LÄN</t>
        </is>
      </c>
      <c r="E12052" t="inlineStr">
        <is>
          <t>NYBRO</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39257-2024</t>
        </is>
      </c>
      <c r="B12053" s="1" t="n">
        <v>45551</v>
      </c>
      <c r="C12053" s="1" t="n">
        <v>45715</v>
      </c>
      <c r="D12053" t="inlineStr">
        <is>
          <t>KALMAR LÄN</t>
        </is>
      </c>
      <c r="E12053" t="inlineStr">
        <is>
          <t>VÄSTERVIK</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39278-2024</t>
        </is>
      </c>
      <c r="B12054" s="1" t="n">
        <v>45551</v>
      </c>
      <c r="C12054" s="1" t="n">
        <v>45715</v>
      </c>
      <c r="D12054" t="inlineStr">
        <is>
          <t>KALMAR LÄN</t>
        </is>
      </c>
      <c r="E12054" t="inlineStr">
        <is>
          <t>VÄSTERVIK</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39287-2024</t>
        </is>
      </c>
      <c r="B12055" s="1" t="n">
        <v>45551</v>
      </c>
      <c r="C12055" s="1" t="n">
        <v>45715</v>
      </c>
      <c r="D12055" t="inlineStr">
        <is>
          <t>KALMAR LÄN</t>
        </is>
      </c>
      <c r="E12055" t="inlineStr">
        <is>
          <t>VÄSTERVIK</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39299-2024</t>
        </is>
      </c>
      <c r="B12056" s="1" t="n">
        <v>45551</v>
      </c>
      <c r="C12056" s="1" t="n">
        <v>45715</v>
      </c>
      <c r="D12056" t="inlineStr">
        <is>
          <t>KALMAR LÄN</t>
        </is>
      </c>
      <c r="E12056" t="inlineStr">
        <is>
          <t>TORSÅS</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39306-2024</t>
        </is>
      </c>
      <c r="B12057" s="1" t="n">
        <v>45551</v>
      </c>
      <c r="C12057" s="1" t="n">
        <v>45715</v>
      </c>
      <c r="D12057" t="inlineStr">
        <is>
          <t>KALMAR LÄN</t>
        </is>
      </c>
      <c r="E12057" t="inlineStr">
        <is>
          <t>TORSÅS</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39252-2024</t>
        </is>
      </c>
      <c r="B12058" s="1" t="n">
        <v>45551</v>
      </c>
      <c r="C12058" s="1" t="n">
        <v>45715</v>
      </c>
      <c r="D12058" t="inlineStr">
        <is>
          <t>KALMAR LÄN</t>
        </is>
      </c>
      <c r="E12058" t="inlineStr">
        <is>
          <t>NYBRO</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39309-2024</t>
        </is>
      </c>
      <c r="B12059" s="1" t="n">
        <v>45551</v>
      </c>
      <c r="C12059" s="1" t="n">
        <v>45715</v>
      </c>
      <c r="D12059" t="inlineStr">
        <is>
          <t>KALMAR LÄN</t>
        </is>
      </c>
      <c r="E12059" t="inlineStr">
        <is>
          <t>VÄSTERVIK</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39247-2024</t>
        </is>
      </c>
      <c r="B12060" s="1" t="n">
        <v>45551</v>
      </c>
      <c r="C12060" s="1" t="n">
        <v>45715</v>
      </c>
      <c r="D12060" t="inlineStr">
        <is>
          <t>KALMAR LÄN</t>
        </is>
      </c>
      <c r="E12060" t="inlineStr">
        <is>
          <t>VIMMERBY</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39259-2024</t>
        </is>
      </c>
      <c r="B12061" s="1" t="n">
        <v>45551</v>
      </c>
      <c r="C12061" s="1" t="n">
        <v>45715</v>
      </c>
      <c r="D12061" t="inlineStr">
        <is>
          <t>KALMAR LÄN</t>
        </is>
      </c>
      <c r="E12061" t="inlineStr">
        <is>
          <t>VÄSTERVIK</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39351-2024</t>
        </is>
      </c>
      <c r="B12062" s="1" t="n">
        <v>45551</v>
      </c>
      <c r="C12062" s="1" t="n">
        <v>45715</v>
      </c>
      <c r="D12062" t="inlineStr">
        <is>
          <t>KALMAR LÄN</t>
        </is>
      </c>
      <c r="E12062" t="inlineStr">
        <is>
          <t>NYBRO</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39363-2024</t>
        </is>
      </c>
      <c r="B12063" s="1" t="n">
        <v>45551</v>
      </c>
      <c r="C12063" s="1" t="n">
        <v>45715</v>
      </c>
      <c r="D12063" t="inlineStr">
        <is>
          <t>KALMAR LÄN</t>
        </is>
      </c>
      <c r="E12063" t="inlineStr">
        <is>
          <t>KALMAR</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39411-2024</t>
        </is>
      </c>
      <c r="B12064" s="1" t="n">
        <v>45551</v>
      </c>
      <c r="C12064" s="1" t="n">
        <v>45715</v>
      </c>
      <c r="D12064" t="inlineStr">
        <is>
          <t>KALMAR LÄN</t>
        </is>
      </c>
      <c r="E12064" t="inlineStr">
        <is>
          <t>EMMABODA</t>
        </is>
      </c>
      <c r="F12064" t="inlineStr">
        <is>
          <t>Sveaskog</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39421-2024</t>
        </is>
      </c>
      <c r="B12065" s="1" t="n">
        <v>45551</v>
      </c>
      <c r="C12065" s="1" t="n">
        <v>45715</v>
      </c>
      <c r="D12065" t="inlineStr">
        <is>
          <t>KALMAR LÄN</t>
        </is>
      </c>
      <c r="E12065" t="inlineStr">
        <is>
          <t>EMMABODA</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39369-2024</t>
        </is>
      </c>
      <c r="B12066" s="1" t="n">
        <v>45551</v>
      </c>
      <c r="C12066" s="1" t="n">
        <v>45715</v>
      </c>
      <c r="D12066" t="inlineStr">
        <is>
          <t>KALMAR LÄN</t>
        </is>
      </c>
      <c r="E12066" t="inlineStr">
        <is>
          <t>NYBRO</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39382-2024</t>
        </is>
      </c>
      <c r="B12067" s="1" t="n">
        <v>45551</v>
      </c>
      <c r="C12067" s="1" t="n">
        <v>45715</v>
      </c>
      <c r="D12067" t="inlineStr">
        <is>
          <t>KALMAR LÄN</t>
        </is>
      </c>
      <c r="E12067" t="inlineStr">
        <is>
          <t>KALMAR</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39399-2024</t>
        </is>
      </c>
      <c r="B12068" s="1" t="n">
        <v>45551</v>
      </c>
      <c r="C12068" s="1" t="n">
        <v>45715</v>
      </c>
      <c r="D12068" t="inlineStr">
        <is>
          <t>KALMAR LÄN</t>
        </is>
      </c>
      <c r="E12068" t="inlineStr">
        <is>
          <t>NYBRO</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39350-2024</t>
        </is>
      </c>
      <c r="B12069" s="1" t="n">
        <v>45551</v>
      </c>
      <c r="C12069" s="1" t="n">
        <v>45715</v>
      </c>
      <c r="D12069" t="inlineStr">
        <is>
          <t>KALMAR LÄN</t>
        </is>
      </c>
      <c r="E12069" t="inlineStr">
        <is>
          <t>KALMAR</t>
        </is>
      </c>
      <c r="G12069" t="n">
        <v>3.6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39354-2024</t>
        </is>
      </c>
      <c r="B12070" s="1" t="n">
        <v>45551</v>
      </c>
      <c r="C12070" s="1" t="n">
        <v>45715</v>
      </c>
      <c r="D12070" t="inlineStr">
        <is>
          <t>KALMAR LÄN</t>
        </is>
      </c>
      <c r="E12070" t="inlineStr">
        <is>
          <t>NYBRO</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39387-2024</t>
        </is>
      </c>
      <c r="B12071" s="1" t="n">
        <v>45551</v>
      </c>
      <c r="C12071" s="1" t="n">
        <v>45715</v>
      </c>
      <c r="D12071" t="inlineStr">
        <is>
          <t>KALMAR LÄN</t>
        </is>
      </c>
      <c r="E12071" t="inlineStr">
        <is>
          <t>HULTSFRED</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39522-2024</t>
        </is>
      </c>
      <c r="B12072" s="1" t="n">
        <v>45551</v>
      </c>
      <c r="C12072" s="1" t="n">
        <v>45715</v>
      </c>
      <c r="D12072" t="inlineStr">
        <is>
          <t>KALMAR LÄN</t>
        </is>
      </c>
      <c r="E12072" t="inlineStr">
        <is>
          <t>KALMAR</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39543-2024</t>
        </is>
      </c>
      <c r="B12073" s="1" t="n">
        <v>45551</v>
      </c>
      <c r="C12073" s="1" t="n">
        <v>45715</v>
      </c>
      <c r="D12073" t="inlineStr">
        <is>
          <t>KALMAR LÄN</t>
        </is>
      </c>
      <c r="E12073" t="inlineStr">
        <is>
          <t>MÖNSTERÅS</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39488-2024</t>
        </is>
      </c>
      <c r="B12074" s="1" t="n">
        <v>45551</v>
      </c>
      <c r="C12074" s="1" t="n">
        <v>45715</v>
      </c>
      <c r="D12074" t="inlineStr">
        <is>
          <t>KALMAR LÄN</t>
        </is>
      </c>
      <c r="E12074" t="inlineStr">
        <is>
          <t>BORGHOLM</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39521-2024</t>
        </is>
      </c>
      <c r="B12075" s="1" t="n">
        <v>45551</v>
      </c>
      <c r="C12075" s="1" t="n">
        <v>45715</v>
      </c>
      <c r="D12075" t="inlineStr">
        <is>
          <t>KALMAR LÄN</t>
        </is>
      </c>
      <c r="E12075" t="inlineStr">
        <is>
          <t>EMMABODA</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39584-2024</t>
        </is>
      </c>
      <c r="B12076" s="1" t="n">
        <v>45552</v>
      </c>
      <c r="C12076" s="1" t="n">
        <v>45715</v>
      </c>
      <c r="D12076" t="inlineStr">
        <is>
          <t>KALMAR LÄN</t>
        </is>
      </c>
      <c r="E12076" t="inlineStr">
        <is>
          <t>VIMMERBY</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39589-2024</t>
        </is>
      </c>
      <c r="B12077" s="1" t="n">
        <v>45552</v>
      </c>
      <c r="C12077" s="1" t="n">
        <v>45715</v>
      </c>
      <c r="D12077" t="inlineStr">
        <is>
          <t>KALMAR LÄN</t>
        </is>
      </c>
      <c r="E12077" t="inlineStr">
        <is>
          <t>OSKARSHAMN</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39578-2024</t>
        </is>
      </c>
      <c r="B12078" s="1" t="n">
        <v>45552</v>
      </c>
      <c r="C12078" s="1" t="n">
        <v>45715</v>
      </c>
      <c r="D12078" t="inlineStr">
        <is>
          <t>KALMAR LÄN</t>
        </is>
      </c>
      <c r="E12078" t="inlineStr">
        <is>
          <t>VIMMERBY</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39629-2024</t>
        </is>
      </c>
      <c r="B12079" s="1" t="n">
        <v>45552</v>
      </c>
      <c r="C12079" s="1" t="n">
        <v>45715</v>
      </c>
      <c r="D12079" t="inlineStr">
        <is>
          <t>KALMAR LÄN</t>
        </is>
      </c>
      <c r="E12079" t="inlineStr">
        <is>
          <t>HÖGSBY</t>
        </is>
      </c>
      <c r="G12079" t="n">
        <v>0.4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39743-2024</t>
        </is>
      </c>
      <c r="B12080" s="1" t="n">
        <v>45552</v>
      </c>
      <c r="C12080" s="1" t="n">
        <v>45715</v>
      </c>
      <c r="D12080" t="inlineStr">
        <is>
          <t>KALMAR LÄN</t>
        </is>
      </c>
      <c r="E12080" t="inlineStr">
        <is>
          <t>VIMMERBY</t>
        </is>
      </c>
      <c r="G12080" t="n">
        <v>6.9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39616-2024</t>
        </is>
      </c>
      <c r="B12081" s="1" t="n">
        <v>45552</v>
      </c>
      <c r="C12081" s="1" t="n">
        <v>45715</v>
      </c>
      <c r="D12081" t="inlineStr">
        <is>
          <t>KALMAR LÄN</t>
        </is>
      </c>
      <c r="E12081" t="inlineStr">
        <is>
          <t>KALMAR</t>
        </is>
      </c>
      <c r="G12081" t="n">
        <v>4.1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39624-2024</t>
        </is>
      </c>
      <c r="B12082" s="1" t="n">
        <v>45552</v>
      </c>
      <c r="C12082" s="1" t="n">
        <v>45715</v>
      </c>
      <c r="D12082" t="inlineStr">
        <is>
          <t>KALMAR LÄN</t>
        </is>
      </c>
      <c r="E12082" t="inlineStr">
        <is>
          <t>NYBRO</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39674-2024</t>
        </is>
      </c>
      <c r="B12083" s="1" t="n">
        <v>45552</v>
      </c>
      <c r="C12083" s="1" t="n">
        <v>45715</v>
      </c>
      <c r="D12083" t="inlineStr">
        <is>
          <t>KALMAR LÄN</t>
        </is>
      </c>
      <c r="E12083" t="inlineStr">
        <is>
          <t>NYBRO</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39728-2024</t>
        </is>
      </c>
      <c r="B12084" s="1" t="n">
        <v>45552</v>
      </c>
      <c r="C12084" s="1" t="n">
        <v>45715</v>
      </c>
      <c r="D12084" t="inlineStr">
        <is>
          <t>KALMAR LÄN</t>
        </is>
      </c>
      <c r="E12084" t="inlineStr">
        <is>
          <t>TORSÅS</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39630-2024</t>
        </is>
      </c>
      <c r="B12085" s="1" t="n">
        <v>45552</v>
      </c>
      <c r="C12085" s="1" t="n">
        <v>45715</v>
      </c>
      <c r="D12085" t="inlineStr">
        <is>
          <t>KALMAR LÄN</t>
        </is>
      </c>
      <c r="E12085" t="inlineStr">
        <is>
          <t>HÖGSBY</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39651-2024</t>
        </is>
      </c>
      <c r="B12086" s="1" t="n">
        <v>45552</v>
      </c>
      <c r="C12086" s="1" t="n">
        <v>45715</v>
      </c>
      <c r="D12086" t="inlineStr">
        <is>
          <t>KALMAR LÄN</t>
        </is>
      </c>
      <c r="E12086" t="inlineStr">
        <is>
          <t>HÖGSBY</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39672-2024</t>
        </is>
      </c>
      <c r="B12087" s="1" t="n">
        <v>45552</v>
      </c>
      <c r="C12087" s="1" t="n">
        <v>45715</v>
      </c>
      <c r="D12087" t="inlineStr">
        <is>
          <t>KALMAR LÄN</t>
        </is>
      </c>
      <c r="E12087" t="inlineStr">
        <is>
          <t>NYBRO</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39726-2024</t>
        </is>
      </c>
      <c r="B12088" s="1" t="n">
        <v>45552</v>
      </c>
      <c r="C12088" s="1" t="n">
        <v>45715</v>
      </c>
      <c r="D12088" t="inlineStr">
        <is>
          <t>KALMAR LÄN</t>
        </is>
      </c>
      <c r="E12088" t="inlineStr">
        <is>
          <t>TORSÅS</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39860-2024</t>
        </is>
      </c>
      <c r="B12089" s="1" t="n">
        <v>45553</v>
      </c>
      <c r="C12089" s="1" t="n">
        <v>45715</v>
      </c>
      <c r="D12089" t="inlineStr">
        <is>
          <t>KALMAR LÄN</t>
        </is>
      </c>
      <c r="E12089" t="inlineStr">
        <is>
          <t>MÖNSTERÅS</t>
        </is>
      </c>
      <c r="G12089" t="n">
        <v>6.6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39911-2024</t>
        </is>
      </c>
      <c r="B12090" s="1" t="n">
        <v>45553</v>
      </c>
      <c r="C12090" s="1" t="n">
        <v>45715</v>
      </c>
      <c r="D12090" t="inlineStr">
        <is>
          <t>KALMAR LÄN</t>
        </is>
      </c>
      <c r="E12090" t="inlineStr">
        <is>
          <t>OSKARSHAMN</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39912-2024</t>
        </is>
      </c>
      <c r="B12091" s="1" t="n">
        <v>45553</v>
      </c>
      <c r="C12091" s="1" t="n">
        <v>45715</v>
      </c>
      <c r="D12091" t="inlineStr">
        <is>
          <t>KALMAR LÄN</t>
        </is>
      </c>
      <c r="E12091" t="inlineStr">
        <is>
          <t>OSKARSHAMN</t>
        </is>
      </c>
      <c r="G12091" t="n">
        <v>9.5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39982-2024</t>
        </is>
      </c>
      <c r="B12092" s="1" t="n">
        <v>45553</v>
      </c>
      <c r="C12092" s="1" t="n">
        <v>45715</v>
      </c>
      <c r="D12092" t="inlineStr">
        <is>
          <t>KALMAR LÄN</t>
        </is>
      </c>
      <c r="E12092" t="inlineStr">
        <is>
          <t>VÄSTERVIK</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40002-2024</t>
        </is>
      </c>
      <c r="B12093" s="1" t="n">
        <v>45553</v>
      </c>
      <c r="C12093" s="1" t="n">
        <v>45715</v>
      </c>
      <c r="D12093" t="inlineStr">
        <is>
          <t>KALMAR LÄN</t>
        </is>
      </c>
      <c r="E12093" t="inlineStr">
        <is>
          <t>OSKARSHAMN</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39983-2024</t>
        </is>
      </c>
      <c r="B12094" s="1" t="n">
        <v>45553</v>
      </c>
      <c r="C12094" s="1" t="n">
        <v>45715</v>
      </c>
      <c r="D12094" t="inlineStr">
        <is>
          <t>KALMAR LÄN</t>
        </is>
      </c>
      <c r="E12094" t="inlineStr">
        <is>
          <t>VÄSTERVIK</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39887-2024</t>
        </is>
      </c>
      <c r="B12095" s="1" t="n">
        <v>45553</v>
      </c>
      <c r="C12095" s="1" t="n">
        <v>45715</v>
      </c>
      <c r="D12095" t="inlineStr">
        <is>
          <t>KALMAR LÄN</t>
        </is>
      </c>
      <c r="E12095" t="inlineStr">
        <is>
          <t>HÖGSBY</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39892-2024</t>
        </is>
      </c>
      <c r="B12096" s="1" t="n">
        <v>45553</v>
      </c>
      <c r="C12096" s="1" t="n">
        <v>45715</v>
      </c>
      <c r="D12096" t="inlineStr">
        <is>
          <t>KALMAR LÄN</t>
        </is>
      </c>
      <c r="E12096" t="inlineStr">
        <is>
          <t>HÖGSBY</t>
        </is>
      </c>
      <c r="G12096" t="n">
        <v>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39980-2024</t>
        </is>
      </c>
      <c r="B12097" s="1" t="n">
        <v>45553</v>
      </c>
      <c r="C12097" s="1" t="n">
        <v>45715</v>
      </c>
      <c r="D12097" t="inlineStr">
        <is>
          <t>KALMAR LÄN</t>
        </is>
      </c>
      <c r="E12097" t="inlineStr">
        <is>
          <t>VÄSTERVIK</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40012-2024</t>
        </is>
      </c>
      <c r="B12098" s="1" t="n">
        <v>45553</v>
      </c>
      <c r="C12098" s="1" t="n">
        <v>45715</v>
      </c>
      <c r="D12098" t="inlineStr">
        <is>
          <t>KALMAR LÄN</t>
        </is>
      </c>
      <c r="E12098" t="inlineStr">
        <is>
          <t>EMMABODA</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40054-2024</t>
        </is>
      </c>
      <c r="B12099" s="1" t="n">
        <v>45553</v>
      </c>
      <c r="C12099" s="1" t="n">
        <v>45715</v>
      </c>
      <c r="D12099" t="inlineStr">
        <is>
          <t>KALMAR LÄN</t>
        </is>
      </c>
      <c r="E12099" t="inlineStr">
        <is>
          <t>HULTSFRED</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40080-2024</t>
        </is>
      </c>
      <c r="B12100" s="1" t="n">
        <v>45554</v>
      </c>
      <c r="C12100" s="1" t="n">
        <v>45715</v>
      </c>
      <c r="D12100" t="inlineStr">
        <is>
          <t>KALMAR LÄN</t>
        </is>
      </c>
      <c r="E12100" t="inlineStr">
        <is>
          <t>HÖGSBY</t>
        </is>
      </c>
      <c r="G12100" t="n">
        <v>20.7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40108-2024</t>
        </is>
      </c>
      <c r="B12101" s="1" t="n">
        <v>45554</v>
      </c>
      <c r="C12101" s="1" t="n">
        <v>45715</v>
      </c>
      <c r="D12101" t="inlineStr">
        <is>
          <t>KALMAR LÄN</t>
        </is>
      </c>
      <c r="E12101" t="inlineStr">
        <is>
          <t>OSKARSHAMN</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40116-2024</t>
        </is>
      </c>
      <c r="B12102" s="1" t="n">
        <v>45554</v>
      </c>
      <c r="C12102" s="1" t="n">
        <v>45715</v>
      </c>
      <c r="D12102" t="inlineStr">
        <is>
          <t>KALMAR LÄN</t>
        </is>
      </c>
      <c r="E12102" t="inlineStr">
        <is>
          <t>EMMABODA</t>
        </is>
      </c>
      <c r="F12102" t="inlineStr">
        <is>
          <t>Kyrkan</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40247-2024</t>
        </is>
      </c>
      <c r="B12103" s="1" t="n">
        <v>45554</v>
      </c>
      <c r="C12103" s="1" t="n">
        <v>45715</v>
      </c>
      <c r="D12103" t="inlineStr">
        <is>
          <t>KALMAR LÄN</t>
        </is>
      </c>
      <c r="E12103" t="inlineStr">
        <is>
          <t>EMMABODA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40255-2024</t>
        </is>
      </c>
      <c r="B12104" s="1" t="n">
        <v>45554</v>
      </c>
      <c r="C12104" s="1" t="n">
        <v>45715</v>
      </c>
      <c r="D12104" t="inlineStr">
        <is>
          <t>KALMAR LÄN</t>
        </is>
      </c>
      <c r="E12104" t="inlineStr">
        <is>
          <t>VIMMERBY</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40260-2024</t>
        </is>
      </c>
      <c r="B12105" s="1" t="n">
        <v>45554</v>
      </c>
      <c r="C12105" s="1" t="n">
        <v>45715</v>
      </c>
      <c r="D12105" t="inlineStr">
        <is>
          <t>KALMAR LÄN</t>
        </is>
      </c>
      <c r="E12105" t="inlineStr">
        <is>
          <t>VIMMERBY</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40129-2024</t>
        </is>
      </c>
      <c r="B12106" s="1" t="n">
        <v>45554</v>
      </c>
      <c r="C12106" s="1" t="n">
        <v>45715</v>
      </c>
      <c r="D12106" t="inlineStr">
        <is>
          <t>KALMAR LÄN</t>
        </is>
      </c>
      <c r="E12106" t="inlineStr">
        <is>
          <t>HÖGSBY</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40137-2024</t>
        </is>
      </c>
      <c r="B12107" s="1" t="n">
        <v>45554</v>
      </c>
      <c r="C12107" s="1" t="n">
        <v>45715</v>
      </c>
      <c r="D12107" t="inlineStr">
        <is>
          <t>KALMAR LÄN</t>
        </is>
      </c>
      <c r="E12107" t="inlineStr">
        <is>
          <t>HÖGSBY</t>
        </is>
      </c>
      <c r="G12107" t="n">
        <v>1.4</v>
      </c>
      <c r="H12107" t="n">
        <v>0</v>
      </c>
      <c r="I12107" t="n">
        <v>0</v>
      </c>
      <c r="J12107" t="n">
        <v>0</v>
      </c>
      <c r="K12107" t="n">
        <v>0</v>
      </c>
      <c r="L12107" t="n">
        <v>0</v>
      </c>
      <c r="M12107" t="n">
        <v>0</v>
      </c>
      <c r="N12107" t="n">
        <v>0</v>
      </c>
      <c r="O12107" t="n">
        <v>0</v>
      </c>
      <c r="P12107" t="n">
        <v>0</v>
      </c>
      <c r="Q12107" t="n">
        <v>0</v>
      </c>
      <c r="R12107" s="2" t="inlineStr"/>
      <c r="U12107">
        <f>HYPERLINK("https://klasma.github.io/Logging_0821/knärot/A 40137-2024 karta knärot.png", "A 40137-2024")</f>
        <v/>
      </c>
      <c r="V12107">
        <f>HYPERLINK("https://klasma.github.io/Logging_0821/klagomål/A 40137-2024 FSC-klagomål.docx", "A 40137-2024")</f>
        <v/>
      </c>
      <c r="W12107">
        <f>HYPERLINK("https://klasma.github.io/Logging_0821/klagomålsmail/A 40137-2024 FSC-klagomål mail.docx", "A 40137-2024")</f>
        <v/>
      </c>
      <c r="X12107">
        <f>HYPERLINK("https://klasma.github.io/Logging_0821/tillsyn/A 40137-2024 tillsynsbegäran.docx", "A 40137-2024")</f>
        <v/>
      </c>
      <c r="Y12107">
        <f>HYPERLINK("https://klasma.github.io/Logging_0821/tillsynsmail/A 40137-2024 tillsynsbegäran mail.docx", "A 40137-2024")</f>
        <v/>
      </c>
    </row>
    <row r="12108" ht="15" customHeight="1">
      <c r="A12108" t="inlineStr">
        <is>
          <t>A 40141-2024</t>
        </is>
      </c>
      <c r="B12108" s="1" t="n">
        <v>45554</v>
      </c>
      <c r="C12108" s="1" t="n">
        <v>45715</v>
      </c>
      <c r="D12108" t="inlineStr">
        <is>
          <t>KALMAR LÄN</t>
        </is>
      </c>
      <c r="E12108" t="inlineStr">
        <is>
          <t>EMMABODA</t>
        </is>
      </c>
      <c r="F12108" t="inlineStr">
        <is>
          <t>Kyrkan</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40256-2024</t>
        </is>
      </c>
      <c r="B12109" s="1" t="n">
        <v>45554</v>
      </c>
      <c r="C12109" s="1" t="n">
        <v>45715</v>
      </c>
      <c r="D12109" t="inlineStr">
        <is>
          <t>KALMAR LÄN</t>
        </is>
      </c>
      <c r="E12109" t="inlineStr">
        <is>
          <t>VIMMERBY</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40320-2024</t>
        </is>
      </c>
      <c r="B12110" s="1" t="n">
        <v>45554</v>
      </c>
      <c r="C12110" s="1" t="n">
        <v>45715</v>
      </c>
      <c r="D12110" t="inlineStr">
        <is>
          <t>KALMAR LÄN</t>
        </is>
      </c>
      <c r="E12110" t="inlineStr">
        <is>
          <t>VÄSTERVIK</t>
        </is>
      </c>
      <c r="F12110" t="inlineStr">
        <is>
          <t>Sveaskog</t>
        </is>
      </c>
      <c r="G12110" t="n">
        <v>4.4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40095-2024</t>
        </is>
      </c>
      <c r="B12111" s="1" t="n">
        <v>45554</v>
      </c>
      <c r="C12111" s="1" t="n">
        <v>45715</v>
      </c>
      <c r="D12111" t="inlineStr">
        <is>
          <t>KALMAR LÄN</t>
        </is>
      </c>
      <c r="E12111" t="inlineStr">
        <is>
          <t>HULTSFRED</t>
        </is>
      </c>
      <c r="G12111" t="n">
        <v>4.8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40123-2024</t>
        </is>
      </c>
      <c r="B12112" s="1" t="n">
        <v>45554</v>
      </c>
      <c r="C12112" s="1" t="n">
        <v>45715</v>
      </c>
      <c r="D12112" t="inlineStr">
        <is>
          <t>KALMAR LÄN</t>
        </is>
      </c>
      <c r="E12112" t="inlineStr">
        <is>
          <t>EMMABODA</t>
        </is>
      </c>
      <c r="F12112" t="inlineStr">
        <is>
          <t>Kyrkan</t>
        </is>
      </c>
      <c r="G12112" t="n">
        <v>4.4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40131-2024</t>
        </is>
      </c>
      <c r="B12113" s="1" t="n">
        <v>45554</v>
      </c>
      <c r="C12113" s="1" t="n">
        <v>45715</v>
      </c>
      <c r="D12113" t="inlineStr">
        <is>
          <t>KALMAR LÄN</t>
        </is>
      </c>
      <c r="E12113" t="inlineStr">
        <is>
          <t>NYBRO</t>
        </is>
      </c>
      <c r="F12113" t="inlineStr">
        <is>
          <t>Kyrkan</t>
        </is>
      </c>
      <c r="G12113" t="n">
        <v>6.8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40135-2024</t>
        </is>
      </c>
      <c r="B12114" s="1" t="n">
        <v>45554</v>
      </c>
      <c r="C12114" s="1" t="n">
        <v>45715</v>
      </c>
      <c r="D12114" t="inlineStr">
        <is>
          <t>KALMAR LÄN</t>
        </is>
      </c>
      <c r="E12114" t="inlineStr">
        <is>
          <t>HÖGSBY</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40366-2024</t>
        </is>
      </c>
      <c r="B12115" s="1" t="n">
        <v>45555</v>
      </c>
      <c r="C12115" s="1" t="n">
        <v>45715</v>
      </c>
      <c r="D12115" t="inlineStr">
        <is>
          <t>KALMAR LÄN</t>
        </is>
      </c>
      <c r="E12115" t="inlineStr">
        <is>
          <t>EMMABODA</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40444-2024</t>
        </is>
      </c>
      <c r="B12116" s="1" t="n">
        <v>45555</v>
      </c>
      <c r="C12116" s="1" t="n">
        <v>45715</v>
      </c>
      <c r="D12116" t="inlineStr">
        <is>
          <t>KALMAR LÄN</t>
        </is>
      </c>
      <c r="E12116" t="inlineStr">
        <is>
          <t>VIMMERBY</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40594-2024</t>
        </is>
      </c>
      <c r="B12117" s="1" t="n">
        <v>45555</v>
      </c>
      <c r="C12117" s="1" t="n">
        <v>45715</v>
      </c>
      <c r="D12117" t="inlineStr">
        <is>
          <t>KALMAR LÄN</t>
        </is>
      </c>
      <c r="E12117" t="inlineStr">
        <is>
          <t>NYBRO</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40348-2024</t>
        </is>
      </c>
      <c r="B12118" s="1" t="n">
        <v>45555</v>
      </c>
      <c r="C12118" s="1" t="n">
        <v>45715</v>
      </c>
      <c r="D12118" t="inlineStr">
        <is>
          <t>KALMAR LÄN</t>
        </is>
      </c>
      <c r="E12118" t="inlineStr">
        <is>
          <t>OSKARSHAMN</t>
        </is>
      </c>
      <c r="G12118" t="n">
        <v>3.3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40648-2024</t>
        </is>
      </c>
      <c r="B12119" s="1" t="n">
        <v>45558</v>
      </c>
      <c r="C12119" s="1" t="n">
        <v>45715</v>
      </c>
      <c r="D12119" t="inlineStr">
        <is>
          <t>KALMAR LÄN</t>
        </is>
      </c>
      <c r="E12119" t="inlineStr">
        <is>
          <t>VÄSTERVIK</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40645-2024</t>
        </is>
      </c>
      <c r="B12120" s="1" t="n">
        <v>45558</v>
      </c>
      <c r="C12120" s="1" t="n">
        <v>45715</v>
      </c>
      <c r="D12120" t="inlineStr">
        <is>
          <t>KALMAR LÄN</t>
        </is>
      </c>
      <c r="E12120" t="inlineStr">
        <is>
          <t>VÄSTERVIK</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40721-2024</t>
        </is>
      </c>
      <c r="B12121" s="1" t="n">
        <v>45558</v>
      </c>
      <c r="C12121" s="1" t="n">
        <v>45715</v>
      </c>
      <c r="D12121" t="inlineStr">
        <is>
          <t>KALMAR LÄN</t>
        </is>
      </c>
      <c r="E12121" t="inlineStr">
        <is>
          <t>HULTSFRED</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40730-2024</t>
        </is>
      </c>
      <c r="B12122" s="1" t="n">
        <v>45558</v>
      </c>
      <c r="C12122" s="1" t="n">
        <v>45715</v>
      </c>
      <c r="D12122" t="inlineStr">
        <is>
          <t>KALMAR LÄN</t>
        </is>
      </c>
      <c r="E12122" t="inlineStr">
        <is>
          <t>VIMMERBY</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40750-2024</t>
        </is>
      </c>
      <c r="B12123" s="1" t="n">
        <v>45558</v>
      </c>
      <c r="C12123" s="1" t="n">
        <v>45715</v>
      </c>
      <c r="D12123" t="inlineStr">
        <is>
          <t>KALMAR LÄN</t>
        </is>
      </c>
      <c r="E12123" t="inlineStr">
        <is>
          <t>VIMMERBY</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40852-2024</t>
        </is>
      </c>
      <c r="B12124" s="1" t="n">
        <v>45558</v>
      </c>
      <c r="C12124" s="1" t="n">
        <v>45715</v>
      </c>
      <c r="D12124" t="inlineStr">
        <is>
          <t>KALMAR LÄN</t>
        </is>
      </c>
      <c r="E12124" t="inlineStr">
        <is>
          <t>NYBRO</t>
        </is>
      </c>
      <c r="G12124" t="n">
        <v>4.2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40860-2024</t>
        </is>
      </c>
      <c r="B12125" s="1" t="n">
        <v>45558</v>
      </c>
      <c r="C12125" s="1" t="n">
        <v>45715</v>
      </c>
      <c r="D12125" t="inlineStr">
        <is>
          <t>KALMAR LÄN</t>
        </is>
      </c>
      <c r="E12125" t="inlineStr">
        <is>
          <t>NYBRO</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40929-2024</t>
        </is>
      </c>
      <c r="B12126" s="1" t="n">
        <v>45558</v>
      </c>
      <c r="C12126" s="1" t="n">
        <v>45715</v>
      </c>
      <c r="D12126" t="inlineStr">
        <is>
          <t>KALMAR LÄN</t>
        </is>
      </c>
      <c r="E12126" t="inlineStr">
        <is>
          <t>KALMAR</t>
        </is>
      </c>
      <c r="G12126" t="n">
        <v>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40933-2024</t>
        </is>
      </c>
      <c r="B12127" s="1" t="n">
        <v>45558</v>
      </c>
      <c r="C12127" s="1" t="n">
        <v>45715</v>
      </c>
      <c r="D12127" t="inlineStr">
        <is>
          <t>KALMAR LÄN</t>
        </is>
      </c>
      <c r="E12127" t="inlineStr">
        <is>
          <t>KALMAR</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40770-2024</t>
        </is>
      </c>
      <c r="B12128" s="1" t="n">
        <v>45558</v>
      </c>
      <c r="C12128" s="1" t="n">
        <v>45715</v>
      </c>
      <c r="D12128" t="inlineStr">
        <is>
          <t>KALMAR LÄN</t>
        </is>
      </c>
      <c r="E12128" t="inlineStr">
        <is>
          <t>VÄSTERVIK</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40782-2024</t>
        </is>
      </c>
      <c r="B12129" s="1" t="n">
        <v>45558</v>
      </c>
      <c r="C12129" s="1" t="n">
        <v>45715</v>
      </c>
      <c r="D12129" t="inlineStr">
        <is>
          <t>KALMAR LÄN</t>
        </is>
      </c>
      <c r="E12129" t="inlineStr">
        <is>
          <t>VIMMERBY</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40786-2024</t>
        </is>
      </c>
      <c r="B12130" s="1" t="n">
        <v>45558</v>
      </c>
      <c r="C12130" s="1" t="n">
        <v>45715</v>
      </c>
      <c r="D12130" t="inlineStr">
        <is>
          <t>KALMAR LÄN</t>
        </is>
      </c>
      <c r="E12130" t="inlineStr">
        <is>
          <t>KALMAR</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40831-2024</t>
        </is>
      </c>
      <c r="B12131" s="1" t="n">
        <v>45558</v>
      </c>
      <c r="C12131" s="1" t="n">
        <v>45715</v>
      </c>
      <c r="D12131" t="inlineStr">
        <is>
          <t>KALMAR LÄN</t>
        </is>
      </c>
      <c r="E12131" t="inlineStr">
        <is>
          <t>NYBRO</t>
        </is>
      </c>
      <c r="F12131" t="inlineStr">
        <is>
          <t>Sveaskog</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40839-2024</t>
        </is>
      </c>
      <c r="B12132" s="1" t="n">
        <v>45558</v>
      </c>
      <c r="C12132" s="1" t="n">
        <v>45715</v>
      </c>
      <c r="D12132" t="inlineStr">
        <is>
          <t>KALMAR LÄN</t>
        </is>
      </c>
      <c r="E12132" t="inlineStr">
        <is>
          <t>NYBRO</t>
        </is>
      </c>
      <c r="F12132" t="inlineStr">
        <is>
          <t>Sveaskog</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40855-2024</t>
        </is>
      </c>
      <c r="B12133" s="1" t="n">
        <v>45558</v>
      </c>
      <c r="C12133" s="1" t="n">
        <v>45715</v>
      </c>
      <c r="D12133" t="inlineStr">
        <is>
          <t>KALMAR LÄN</t>
        </is>
      </c>
      <c r="E12133" t="inlineStr">
        <is>
          <t>NYBRO</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40924-2024</t>
        </is>
      </c>
      <c r="B12134" s="1" t="n">
        <v>45558</v>
      </c>
      <c r="C12134" s="1" t="n">
        <v>45715</v>
      </c>
      <c r="D12134" t="inlineStr">
        <is>
          <t>KALMAR LÄN</t>
        </is>
      </c>
      <c r="E12134" t="inlineStr">
        <is>
          <t>KALMAR</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40965-2024</t>
        </is>
      </c>
      <c r="B12135" s="1" t="n">
        <v>45558</v>
      </c>
      <c r="C12135" s="1" t="n">
        <v>45715</v>
      </c>
      <c r="D12135" t="inlineStr">
        <is>
          <t>KALMAR LÄN</t>
        </is>
      </c>
      <c r="E12135" t="inlineStr">
        <is>
          <t>NYBRO</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40744-2024</t>
        </is>
      </c>
      <c r="B12136" s="1" t="n">
        <v>45558</v>
      </c>
      <c r="C12136" s="1" t="n">
        <v>45715</v>
      </c>
      <c r="D12136" t="inlineStr">
        <is>
          <t>KALMAR LÄN</t>
        </is>
      </c>
      <c r="E12136" t="inlineStr">
        <is>
          <t>TORSÅS</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40756-2024</t>
        </is>
      </c>
      <c r="B12137" s="1" t="n">
        <v>45558</v>
      </c>
      <c r="C12137" s="1" t="n">
        <v>45715</v>
      </c>
      <c r="D12137" t="inlineStr">
        <is>
          <t>KALMAR LÄN</t>
        </is>
      </c>
      <c r="E12137" t="inlineStr">
        <is>
          <t>VIMMERBY</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40814-2024</t>
        </is>
      </c>
      <c r="B12138" s="1" t="n">
        <v>45558</v>
      </c>
      <c r="C12138" s="1" t="n">
        <v>45715</v>
      </c>
      <c r="D12138" t="inlineStr">
        <is>
          <t>KALMAR LÄN</t>
        </is>
      </c>
      <c r="E12138" t="inlineStr">
        <is>
          <t>KALMAR</t>
        </is>
      </c>
      <c r="F12138" t="inlineStr">
        <is>
          <t>Sveaskog</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40822-2024</t>
        </is>
      </c>
      <c r="B12139" s="1" t="n">
        <v>45558</v>
      </c>
      <c r="C12139" s="1" t="n">
        <v>45715</v>
      </c>
      <c r="D12139" t="inlineStr">
        <is>
          <t>KALMAR LÄN</t>
        </is>
      </c>
      <c r="E12139" t="inlineStr">
        <is>
          <t>KALMAR</t>
        </is>
      </c>
      <c r="F12139" t="inlineStr">
        <is>
          <t>Sveaskog</t>
        </is>
      </c>
      <c r="G12139" t="n">
        <v>4.7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40991-2024</t>
        </is>
      </c>
      <c r="B12140" s="1" t="n">
        <v>45558</v>
      </c>
      <c r="C12140" s="1" t="n">
        <v>45715</v>
      </c>
      <c r="D12140" t="inlineStr">
        <is>
          <t>KALMAR LÄN</t>
        </is>
      </c>
      <c r="E12140" t="inlineStr">
        <is>
          <t>MÖNSTERÅS</t>
        </is>
      </c>
      <c r="G12140" t="n">
        <v>3.7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40993-2024</t>
        </is>
      </c>
      <c r="B12141" s="1" t="n">
        <v>45558</v>
      </c>
      <c r="C12141" s="1" t="n">
        <v>45715</v>
      </c>
      <c r="D12141" t="inlineStr">
        <is>
          <t>KALMAR LÄN</t>
        </is>
      </c>
      <c r="E12141" t="inlineStr">
        <is>
          <t>MÖNSTERÅS</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41007-2024</t>
        </is>
      </c>
      <c r="B12142" s="1" t="n">
        <v>45559</v>
      </c>
      <c r="C12142" s="1" t="n">
        <v>45715</v>
      </c>
      <c r="D12142" t="inlineStr">
        <is>
          <t>KALMAR LÄN</t>
        </is>
      </c>
      <c r="E12142" t="inlineStr">
        <is>
          <t>HÖGSBY</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41066-2024</t>
        </is>
      </c>
      <c r="B12143" s="1" t="n">
        <v>45559</v>
      </c>
      <c r="C12143" s="1" t="n">
        <v>45715</v>
      </c>
      <c r="D12143" t="inlineStr">
        <is>
          <t>KALMAR LÄN</t>
        </is>
      </c>
      <c r="E12143" t="inlineStr">
        <is>
          <t>VIMMERBY</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41071-2024</t>
        </is>
      </c>
      <c r="B12144" s="1" t="n">
        <v>45559</v>
      </c>
      <c r="C12144" s="1" t="n">
        <v>45715</v>
      </c>
      <c r="D12144" t="inlineStr">
        <is>
          <t>KALMAR LÄN</t>
        </is>
      </c>
      <c r="E12144" t="inlineStr">
        <is>
          <t>VIMMERBY</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41084-2024</t>
        </is>
      </c>
      <c r="B12145" s="1" t="n">
        <v>45559</v>
      </c>
      <c r="C12145" s="1" t="n">
        <v>45715</v>
      </c>
      <c r="D12145" t="inlineStr">
        <is>
          <t>KALMAR LÄN</t>
        </is>
      </c>
      <c r="E12145" t="inlineStr">
        <is>
          <t>VIMMERBY</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41119-2024</t>
        </is>
      </c>
      <c r="B12146" s="1" t="n">
        <v>45559</v>
      </c>
      <c r="C12146" s="1" t="n">
        <v>45715</v>
      </c>
      <c r="D12146" t="inlineStr">
        <is>
          <t>KALMAR LÄN</t>
        </is>
      </c>
      <c r="E12146" t="inlineStr">
        <is>
          <t>VIMMERBY</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41187-2024</t>
        </is>
      </c>
      <c r="B12147" s="1" t="n">
        <v>45559</v>
      </c>
      <c r="C12147" s="1" t="n">
        <v>45715</v>
      </c>
      <c r="D12147" t="inlineStr">
        <is>
          <t>KALMAR LÄN</t>
        </is>
      </c>
      <c r="E12147" t="inlineStr">
        <is>
          <t>HULTSFRED</t>
        </is>
      </c>
      <c r="G12147" t="n">
        <v>0.4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41199-2024</t>
        </is>
      </c>
      <c r="B12148" s="1" t="n">
        <v>45559</v>
      </c>
      <c r="C12148" s="1" t="n">
        <v>45715</v>
      </c>
      <c r="D12148" t="inlineStr">
        <is>
          <t>KALMAR LÄN</t>
        </is>
      </c>
      <c r="E12148" t="inlineStr">
        <is>
          <t>HULTSFRED</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41248-2024</t>
        </is>
      </c>
      <c r="B12149" s="1" t="n">
        <v>45559</v>
      </c>
      <c r="C12149" s="1" t="n">
        <v>45715</v>
      </c>
      <c r="D12149" t="inlineStr">
        <is>
          <t>KALMAR LÄN</t>
        </is>
      </c>
      <c r="E12149" t="inlineStr">
        <is>
          <t>VÄSTERVIK</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41296-2024</t>
        </is>
      </c>
      <c r="B12150" s="1" t="n">
        <v>45559</v>
      </c>
      <c r="C12150" s="1" t="n">
        <v>45715</v>
      </c>
      <c r="D12150" t="inlineStr">
        <is>
          <t>KALMAR LÄN</t>
        </is>
      </c>
      <c r="E12150" t="inlineStr">
        <is>
          <t>EMMABODA</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41366-2024</t>
        </is>
      </c>
      <c r="B12151" s="1" t="n">
        <v>45559</v>
      </c>
      <c r="C12151" s="1" t="n">
        <v>45715</v>
      </c>
      <c r="D12151" t="inlineStr">
        <is>
          <t>KALMAR LÄN</t>
        </is>
      </c>
      <c r="E12151" t="inlineStr">
        <is>
          <t>EMMABODA</t>
        </is>
      </c>
      <c r="F12151" t="inlineStr">
        <is>
          <t>Övriga Aktiebolag</t>
        </is>
      </c>
      <c r="G12151" t="n">
        <v>5.1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41361-2024</t>
        </is>
      </c>
      <c r="B12152" s="1" t="n">
        <v>45559</v>
      </c>
      <c r="C12152" s="1" t="n">
        <v>45715</v>
      </c>
      <c r="D12152" t="inlineStr">
        <is>
          <t>KALMAR LÄN</t>
        </is>
      </c>
      <c r="E12152" t="inlineStr">
        <is>
          <t>EMMABODA</t>
        </is>
      </c>
      <c r="F12152" t="inlineStr">
        <is>
          <t>Övriga Aktiebolag</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41365-2024</t>
        </is>
      </c>
      <c r="B12153" s="1" t="n">
        <v>45559</v>
      </c>
      <c r="C12153" s="1" t="n">
        <v>45715</v>
      </c>
      <c r="D12153" t="inlineStr">
        <is>
          <t>KALMAR LÄN</t>
        </is>
      </c>
      <c r="E12153" t="inlineStr">
        <is>
          <t>EMMABODA</t>
        </is>
      </c>
      <c r="F12153" t="inlineStr">
        <is>
          <t>Övriga Aktiebolag</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41347-2024</t>
        </is>
      </c>
      <c r="B12154" s="1" t="n">
        <v>45559</v>
      </c>
      <c r="C12154" s="1" t="n">
        <v>45715</v>
      </c>
      <c r="D12154" t="inlineStr">
        <is>
          <t>KALMAR LÄN</t>
        </is>
      </c>
      <c r="E12154" t="inlineStr">
        <is>
          <t>EMMABODA</t>
        </is>
      </c>
      <c r="F12154" t="inlineStr">
        <is>
          <t>Övriga Aktiebolag</t>
        </is>
      </c>
      <c r="G12154" t="n">
        <v>5.4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41237-2024</t>
        </is>
      </c>
      <c r="B12155" s="1" t="n">
        <v>45559</v>
      </c>
      <c r="C12155" s="1" t="n">
        <v>45715</v>
      </c>
      <c r="D12155" t="inlineStr">
        <is>
          <t>KALMAR LÄN</t>
        </is>
      </c>
      <c r="E12155" t="inlineStr">
        <is>
          <t>VÄSTERVIK</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41358-2024</t>
        </is>
      </c>
      <c r="B12156" s="1" t="n">
        <v>45559</v>
      </c>
      <c r="C12156" s="1" t="n">
        <v>45715</v>
      </c>
      <c r="D12156" t="inlineStr">
        <is>
          <t>KALMAR LÄN</t>
        </is>
      </c>
      <c r="E12156" t="inlineStr">
        <is>
          <t>EMMABODA</t>
        </is>
      </c>
      <c r="F12156" t="inlineStr">
        <is>
          <t>Övriga Aktiebolag</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41367-2024</t>
        </is>
      </c>
      <c r="B12157" s="1" t="n">
        <v>45559</v>
      </c>
      <c r="C12157" s="1" t="n">
        <v>45715</v>
      </c>
      <c r="D12157" t="inlineStr">
        <is>
          <t>KALMAR LÄN</t>
        </is>
      </c>
      <c r="E12157" t="inlineStr">
        <is>
          <t>EMMABODA</t>
        </is>
      </c>
      <c r="F12157" t="inlineStr">
        <is>
          <t>Övriga Aktiebolag</t>
        </is>
      </c>
      <c r="G12157" t="n">
        <v>4.3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41679-2024</t>
        </is>
      </c>
      <c r="B12158" s="1" t="n">
        <v>45560</v>
      </c>
      <c r="C12158" s="1" t="n">
        <v>45715</v>
      </c>
      <c r="D12158" t="inlineStr">
        <is>
          <t>KALMAR LÄN</t>
        </is>
      </c>
      <c r="E12158" t="inlineStr">
        <is>
          <t>NYBRO</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41480-2024</t>
        </is>
      </c>
      <c r="B12159" s="1" t="n">
        <v>45560</v>
      </c>
      <c r="C12159" s="1" t="n">
        <v>45715</v>
      </c>
      <c r="D12159" t="inlineStr">
        <is>
          <t>KALMAR LÄN</t>
        </is>
      </c>
      <c r="E12159" t="inlineStr">
        <is>
          <t>MÖNSTERÅS</t>
        </is>
      </c>
      <c r="G12159" t="n">
        <v>10.2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41614-2024</t>
        </is>
      </c>
      <c r="B12160" s="1" t="n">
        <v>45560</v>
      </c>
      <c r="C12160" s="1" t="n">
        <v>45715</v>
      </c>
      <c r="D12160" t="inlineStr">
        <is>
          <t>KALMAR LÄN</t>
        </is>
      </c>
      <c r="E12160" t="inlineStr">
        <is>
          <t>MÖNSTERÅS</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41536-2024</t>
        </is>
      </c>
      <c r="B12161" s="1" t="n">
        <v>45560</v>
      </c>
      <c r="C12161" s="1" t="n">
        <v>45715</v>
      </c>
      <c r="D12161" t="inlineStr">
        <is>
          <t>KALMAR LÄN</t>
        </is>
      </c>
      <c r="E12161" t="inlineStr">
        <is>
          <t>OSKARSHAMN</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41573-2024</t>
        </is>
      </c>
      <c r="B12162" s="1" t="n">
        <v>45560</v>
      </c>
      <c r="C12162" s="1" t="n">
        <v>45715</v>
      </c>
      <c r="D12162" t="inlineStr">
        <is>
          <t>KALMAR LÄN</t>
        </is>
      </c>
      <c r="E12162" t="inlineStr">
        <is>
          <t>VÄSTERVIK</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41581-2024</t>
        </is>
      </c>
      <c r="B12163" s="1" t="n">
        <v>45560</v>
      </c>
      <c r="C12163" s="1" t="n">
        <v>45715</v>
      </c>
      <c r="D12163" t="inlineStr">
        <is>
          <t>KALMAR LÄN</t>
        </is>
      </c>
      <c r="E12163" t="inlineStr">
        <is>
          <t>MÖNSTERÅS</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41452-2024</t>
        </is>
      </c>
      <c r="B12164" s="1" t="n">
        <v>45560</v>
      </c>
      <c r="C12164" s="1" t="n">
        <v>45715</v>
      </c>
      <c r="D12164" t="inlineStr">
        <is>
          <t>KALMAR LÄN</t>
        </is>
      </c>
      <c r="E12164" t="inlineStr">
        <is>
          <t>OSKARSHAMN</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41428-2024</t>
        </is>
      </c>
      <c r="B12165" s="1" t="n">
        <v>45560</v>
      </c>
      <c r="C12165" s="1" t="n">
        <v>45715</v>
      </c>
      <c r="D12165" t="inlineStr">
        <is>
          <t>KALMAR LÄN</t>
        </is>
      </c>
      <c r="E12165" t="inlineStr">
        <is>
          <t>EMMABODA</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41674-2024</t>
        </is>
      </c>
      <c r="B12166" s="1" t="n">
        <v>45560</v>
      </c>
      <c r="C12166" s="1" t="n">
        <v>45715</v>
      </c>
      <c r="D12166" t="inlineStr">
        <is>
          <t>KALMAR LÄN</t>
        </is>
      </c>
      <c r="E12166" t="inlineStr">
        <is>
          <t>NYBRO</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41724-2024</t>
        </is>
      </c>
      <c r="B12167" s="1" t="n">
        <v>45560</v>
      </c>
      <c r="C12167" s="1" t="n">
        <v>45715</v>
      </c>
      <c r="D12167" t="inlineStr">
        <is>
          <t>KALMAR LÄN</t>
        </is>
      </c>
      <c r="E12167" t="inlineStr">
        <is>
          <t>NYBRO</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41571-2024</t>
        </is>
      </c>
      <c r="B12168" s="1" t="n">
        <v>45560</v>
      </c>
      <c r="C12168" s="1" t="n">
        <v>45715</v>
      </c>
      <c r="D12168" t="inlineStr">
        <is>
          <t>KALMAR LÄN</t>
        </is>
      </c>
      <c r="E12168" t="inlineStr">
        <is>
          <t>VÄSTERVIK</t>
        </is>
      </c>
      <c r="G12168" t="n">
        <v>5.2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41607-2024</t>
        </is>
      </c>
      <c r="B12169" s="1" t="n">
        <v>45560</v>
      </c>
      <c r="C12169" s="1" t="n">
        <v>45715</v>
      </c>
      <c r="D12169" t="inlineStr">
        <is>
          <t>KALMAR LÄN</t>
        </is>
      </c>
      <c r="E12169" t="inlineStr">
        <is>
          <t>MÖNSTERÅS</t>
        </is>
      </c>
      <c r="G12169" t="n">
        <v>4.5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41747-2024</t>
        </is>
      </c>
      <c r="B12170" s="1" t="n">
        <v>45561</v>
      </c>
      <c r="C12170" s="1" t="n">
        <v>45715</v>
      </c>
      <c r="D12170" t="inlineStr">
        <is>
          <t>KALMAR LÄN</t>
        </is>
      </c>
      <c r="E12170" t="inlineStr">
        <is>
          <t>NYBRO</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41751-2024</t>
        </is>
      </c>
      <c r="B12171" s="1" t="n">
        <v>45561</v>
      </c>
      <c r="C12171" s="1" t="n">
        <v>45715</v>
      </c>
      <c r="D12171" t="inlineStr">
        <is>
          <t>KALMAR LÄN</t>
        </is>
      </c>
      <c r="E12171" t="inlineStr">
        <is>
          <t>HULTSFRED</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41746-2024</t>
        </is>
      </c>
      <c r="B12172" s="1" t="n">
        <v>45561</v>
      </c>
      <c r="C12172" s="1" t="n">
        <v>45715</v>
      </c>
      <c r="D12172" t="inlineStr">
        <is>
          <t>KALMAR LÄN</t>
        </is>
      </c>
      <c r="E12172" t="inlineStr">
        <is>
          <t>NYBRO</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41824-2024</t>
        </is>
      </c>
      <c r="B12173" s="1" t="n">
        <v>45561</v>
      </c>
      <c r="C12173" s="1" t="n">
        <v>45715</v>
      </c>
      <c r="D12173" t="inlineStr">
        <is>
          <t>KALMAR LÄN</t>
        </is>
      </c>
      <c r="E12173" t="inlineStr">
        <is>
          <t>HÖGSBY</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41926-2024</t>
        </is>
      </c>
      <c r="B12174" s="1" t="n">
        <v>45561</v>
      </c>
      <c r="C12174" s="1" t="n">
        <v>45715</v>
      </c>
      <c r="D12174" t="inlineStr">
        <is>
          <t>KALMAR LÄN</t>
        </is>
      </c>
      <c r="E12174" t="inlineStr">
        <is>
          <t>VÄSTERVIK</t>
        </is>
      </c>
      <c r="F12174" t="inlineStr">
        <is>
          <t>Kyrkan</t>
        </is>
      </c>
      <c r="G12174" t="n">
        <v>10</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41958-2024</t>
        </is>
      </c>
      <c r="B12175" s="1" t="n">
        <v>45561</v>
      </c>
      <c r="C12175" s="1" t="n">
        <v>45715</v>
      </c>
      <c r="D12175" t="inlineStr">
        <is>
          <t>KALMAR LÄN</t>
        </is>
      </c>
      <c r="E12175" t="inlineStr">
        <is>
          <t>NYBRO</t>
        </is>
      </c>
      <c r="F12175" t="inlineStr">
        <is>
          <t>Kyrkan</t>
        </is>
      </c>
      <c r="G12175" t="n">
        <v>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41974-2024</t>
        </is>
      </c>
      <c r="B12176" s="1" t="n">
        <v>45561</v>
      </c>
      <c r="C12176" s="1" t="n">
        <v>45715</v>
      </c>
      <c r="D12176" t="inlineStr">
        <is>
          <t>KALMAR LÄN</t>
        </is>
      </c>
      <c r="E12176" t="inlineStr">
        <is>
          <t>NYBRO</t>
        </is>
      </c>
      <c r="F12176" t="inlineStr">
        <is>
          <t>Sveaskog</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42030-2024</t>
        </is>
      </c>
      <c r="B12177" s="1" t="n">
        <v>45561</v>
      </c>
      <c r="C12177" s="1" t="n">
        <v>45715</v>
      </c>
      <c r="D12177" t="inlineStr">
        <is>
          <t>KALMAR LÄN</t>
        </is>
      </c>
      <c r="E12177" t="inlineStr">
        <is>
          <t>NYBRO</t>
        </is>
      </c>
      <c r="F12177" t="inlineStr">
        <is>
          <t>Kyrkan</t>
        </is>
      </c>
      <c r="G12177" t="n">
        <v>6.8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41935-2024</t>
        </is>
      </c>
      <c r="B12178" s="1" t="n">
        <v>45561</v>
      </c>
      <c r="C12178" s="1" t="n">
        <v>45715</v>
      </c>
      <c r="D12178" t="inlineStr">
        <is>
          <t>KALMAR LÄN</t>
        </is>
      </c>
      <c r="E12178" t="inlineStr">
        <is>
          <t>EMMABODA</t>
        </is>
      </c>
      <c r="F12178" t="inlineStr">
        <is>
          <t>Övriga Aktiebolag</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41993-2024</t>
        </is>
      </c>
      <c r="B12179" s="1" t="n">
        <v>45561</v>
      </c>
      <c r="C12179" s="1" t="n">
        <v>45715</v>
      </c>
      <c r="D12179" t="inlineStr">
        <is>
          <t>KALMAR LÄN</t>
        </is>
      </c>
      <c r="E12179" t="inlineStr">
        <is>
          <t>NYBRO</t>
        </is>
      </c>
      <c r="F12179" t="inlineStr">
        <is>
          <t>Kyrkan</t>
        </is>
      </c>
      <c r="G12179" t="n">
        <v>9.800000000000001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42001-2024</t>
        </is>
      </c>
      <c r="B12180" s="1" t="n">
        <v>45561</v>
      </c>
      <c r="C12180" s="1" t="n">
        <v>45715</v>
      </c>
      <c r="D12180" t="inlineStr">
        <is>
          <t>KALMAR LÄN</t>
        </is>
      </c>
      <c r="E12180" t="inlineStr">
        <is>
          <t>KALMAR</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42037-2024</t>
        </is>
      </c>
      <c r="B12181" s="1" t="n">
        <v>45561</v>
      </c>
      <c r="C12181" s="1" t="n">
        <v>45715</v>
      </c>
      <c r="D12181" t="inlineStr">
        <is>
          <t>KALMAR LÄN</t>
        </is>
      </c>
      <c r="E12181" t="inlineStr">
        <is>
          <t>NYBRO</t>
        </is>
      </c>
      <c r="G12181" t="n">
        <v>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42011-2024</t>
        </is>
      </c>
      <c r="B12182" s="1" t="n">
        <v>45561</v>
      </c>
      <c r="C12182" s="1" t="n">
        <v>45715</v>
      </c>
      <c r="D12182" t="inlineStr">
        <is>
          <t>KALMAR LÄN</t>
        </is>
      </c>
      <c r="E12182" t="inlineStr">
        <is>
          <t>NYBRO</t>
        </is>
      </c>
      <c r="G12182" t="n">
        <v>7.6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41768-2024</t>
        </is>
      </c>
      <c r="B12183" s="1" t="n">
        <v>45561</v>
      </c>
      <c r="C12183" s="1" t="n">
        <v>45715</v>
      </c>
      <c r="D12183" t="inlineStr">
        <is>
          <t>KALMAR LÄN</t>
        </is>
      </c>
      <c r="E12183" t="inlineStr">
        <is>
          <t>NYBRO</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41846-2024</t>
        </is>
      </c>
      <c r="B12184" s="1" t="n">
        <v>45561</v>
      </c>
      <c r="C12184" s="1" t="n">
        <v>45715</v>
      </c>
      <c r="D12184" t="inlineStr">
        <is>
          <t>KALMAR LÄN</t>
        </is>
      </c>
      <c r="E12184" t="inlineStr">
        <is>
          <t>NYBRO</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41919-2024</t>
        </is>
      </c>
      <c r="B12185" s="1" t="n">
        <v>45561</v>
      </c>
      <c r="C12185" s="1" t="n">
        <v>45715</v>
      </c>
      <c r="D12185" t="inlineStr">
        <is>
          <t>KALMAR LÄN</t>
        </is>
      </c>
      <c r="E12185" t="inlineStr">
        <is>
          <t>EMMABODA</t>
        </is>
      </c>
      <c r="F12185" t="inlineStr">
        <is>
          <t>Övriga Aktiebolag</t>
        </is>
      </c>
      <c r="G12185" t="n">
        <v>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41948-2024</t>
        </is>
      </c>
      <c r="B12186" s="1" t="n">
        <v>45561</v>
      </c>
      <c r="C12186" s="1" t="n">
        <v>45715</v>
      </c>
      <c r="D12186" t="inlineStr">
        <is>
          <t>KALMAR LÄN</t>
        </is>
      </c>
      <c r="E12186" t="inlineStr">
        <is>
          <t>EMMABODA</t>
        </is>
      </c>
      <c r="F12186" t="inlineStr">
        <is>
          <t>Övriga Aktiebolag</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41992-2024</t>
        </is>
      </c>
      <c r="B12187" s="1" t="n">
        <v>45561</v>
      </c>
      <c r="C12187" s="1" t="n">
        <v>45715</v>
      </c>
      <c r="D12187" t="inlineStr">
        <is>
          <t>KALMAR LÄN</t>
        </is>
      </c>
      <c r="E12187" t="inlineStr">
        <is>
          <t>NYBRO</t>
        </is>
      </c>
      <c r="F12187" t="inlineStr">
        <is>
          <t>Kyrkan</t>
        </is>
      </c>
      <c r="G12187" t="n">
        <v>3.8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42032-2024</t>
        </is>
      </c>
      <c r="B12188" s="1" t="n">
        <v>45561</v>
      </c>
      <c r="C12188" s="1" t="n">
        <v>45715</v>
      </c>
      <c r="D12188" t="inlineStr">
        <is>
          <t>KALMAR LÄN</t>
        </is>
      </c>
      <c r="E12188" t="inlineStr">
        <is>
          <t>NYBRO</t>
        </is>
      </c>
      <c r="G12188" t="n">
        <v>7.9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42066-2024</t>
        </is>
      </c>
      <c r="B12189" s="1" t="n">
        <v>45562</v>
      </c>
      <c r="C12189" s="1" t="n">
        <v>45715</v>
      </c>
      <c r="D12189" t="inlineStr">
        <is>
          <t>KALMAR LÄN</t>
        </is>
      </c>
      <c r="E12189" t="inlineStr">
        <is>
          <t>HÖGSBY</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42070-2024</t>
        </is>
      </c>
      <c r="B12190" s="1" t="n">
        <v>45562</v>
      </c>
      <c r="C12190" s="1" t="n">
        <v>45715</v>
      </c>
      <c r="D12190" t="inlineStr">
        <is>
          <t>KALMAR LÄN</t>
        </is>
      </c>
      <c r="E12190" t="inlineStr">
        <is>
          <t>HÖGSBY</t>
        </is>
      </c>
      <c r="F12190" t="inlineStr">
        <is>
          <t>Sveaskog</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42080-2024</t>
        </is>
      </c>
      <c r="B12191" s="1" t="n">
        <v>45562</v>
      </c>
      <c r="C12191" s="1" t="n">
        <v>45715</v>
      </c>
      <c r="D12191" t="inlineStr">
        <is>
          <t>KALMAR LÄN</t>
        </is>
      </c>
      <c r="E12191" t="inlineStr">
        <is>
          <t>NYBRO</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42165-2024</t>
        </is>
      </c>
      <c r="B12192" s="1" t="n">
        <v>45562</v>
      </c>
      <c r="C12192" s="1" t="n">
        <v>45715</v>
      </c>
      <c r="D12192" t="inlineStr">
        <is>
          <t>KALMAR LÄN</t>
        </is>
      </c>
      <c r="E12192" t="inlineStr">
        <is>
          <t>VIMMERBY</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42194-2024</t>
        </is>
      </c>
      <c r="B12193" s="1" t="n">
        <v>45562</v>
      </c>
      <c r="C12193" s="1" t="n">
        <v>45715</v>
      </c>
      <c r="D12193" t="inlineStr">
        <is>
          <t>KALMAR LÄN</t>
        </is>
      </c>
      <c r="E12193" t="inlineStr">
        <is>
          <t>EMMABODA</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42218-2024</t>
        </is>
      </c>
      <c r="B12194" s="1" t="n">
        <v>45562</v>
      </c>
      <c r="C12194" s="1" t="n">
        <v>45715</v>
      </c>
      <c r="D12194" t="inlineStr">
        <is>
          <t>KALMAR LÄN</t>
        </is>
      </c>
      <c r="E12194" t="inlineStr">
        <is>
          <t>VÄSTERVIK</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42351-2024</t>
        </is>
      </c>
      <c r="B12195" s="1" t="n">
        <v>45562</v>
      </c>
      <c r="C12195" s="1" t="n">
        <v>45715</v>
      </c>
      <c r="D12195" t="inlineStr">
        <is>
          <t>KALMAR LÄN</t>
        </is>
      </c>
      <c r="E12195" t="inlineStr">
        <is>
          <t>HULTSFRED</t>
        </is>
      </c>
      <c r="G12195" t="n">
        <v>5.3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42072-2024</t>
        </is>
      </c>
      <c r="B12196" s="1" t="n">
        <v>45562</v>
      </c>
      <c r="C12196" s="1" t="n">
        <v>45715</v>
      </c>
      <c r="D12196" t="inlineStr">
        <is>
          <t>KALMAR LÄN</t>
        </is>
      </c>
      <c r="E12196" t="inlineStr">
        <is>
          <t>HÖGSBY</t>
        </is>
      </c>
      <c r="F12196" t="inlineStr">
        <is>
          <t>Sveaskog</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42076-2024</t>
        </is>
      </c>
      <c r="B12197" s="1" t="n">
        <v>45562</v>
      </c>
      <c r="C12197" s="1" t="n">
        <v>45715</v>
      </c>
      <c r="D12197" t="inlineStr">
        <is>
          <t>KALMAR LÄN</t>
        </is>
      </c>
      <c r="E12197" t="inlineStr">
        <is>
          <t>HÖGSBY</t>
        </is>
      </c>
      <c r="F12197" t="inlineStr">
        <is>
          <t>Sveaskog</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42073-2024</t>
        </is>
      </c>
      <c r="B12198" s="1" t="n">
        <v>45562</v>
      </c>
      <c r="C12198" s="1" t="n">
        <v>45715</v>
      </c>
      <c r="D12198" t="inlineStr">
        <is>
          <t>KALMAR LÄN</t>
        </is>
      </c>
      <c r="E12198" t="inlineStr">
        <is>
          <t>HÖGSBY</t>
        </is>
      </c>
      <c r="F12198" t="inlineStr">
        <is>
          <t>Sveaskog</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42353-2024</t>
        </is>
      </c>
      <c r="B12199" s="1" t="n">
        <v>45562</v>
      </c>
      <c r="C12199" s="1" t="n">
        <v>45715</v>
      </c>
      <c r="D12199" t="inlineStr">
        <is>
          <t>KALMAR LÄN</t>
        </is>
      </c>
      <c r="E12199" t="inlineStr">
        <is>
          <t>HULTSFRED</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42344-2024</t>
        </is>
      </c>
      <c r="B12200" s="1" t="n">
        <v>45562</v>
      </c>
      <c r="C12200" s="1" t="n">
        <v>45715</v>
      </c>
      <c r="D12200" t="inlineStr">
        <is>
          <t>KALMAR LÄN</t>
        </is>
      </c>
      <c r="E12200" t="inlineStr">
        <is>
          <t>HULTSFRED</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42352-2024</t>
        </is>
      </c>
      <c r="B12201" s="1" t="n">
        <v>45562</v>
      </c>
      <c r="C12201" s="1" t="n">
        <v>45715</v>
      </c>
      <c r="D12201" t="inlineStr">
        <is>
          <t>KALMAR LÄN</t>
        </is>
      </c>
      <c r="E12201" t="inlineStr">
        <is>
          <t>HULTSFRED</t>
        </is>
      </c>
      <c r="G12201" t="n">
        <v>5.5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42354-2024</t>
        </is>
      </c>
      <c r="B12202" s="1" t="n">
        <v>45562</v>
      </c>
      <c r="C12202" s="1" t="n">
        <v>45715</v>
      </c>
      <c r="D12202" t="inlineStr">
        <is>
          <t>KALMAR LÄN</t>
        </is>
      </c>
      <c r="E12202" t="inlineStr">
        <is>
          <t>HULTSFRED</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42369-2024</t>
        </is>
      </c>
      <c r="B12203" s="1" t="n">
        <v>45564</v>
      </c>
      <c r="C12203" s="1" t="n">
        <v>45715</v>
      </c>
      <c r="D12203" t="inlineStr">
        <is>
          <t>KALMAR LÄN</t>
        </is>
      </c>
      <c r="E12203" t="inlineStr">
        <is>
          <t>KALMAR</t>
        </is>
      </c>
      <c r="G12203" t="n">
        <v>7.1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42407-2024</t>
        </is>
      </c>
      <c r="B12204" s="1" t="n">
        <v>45565</v>
      </c>
      <c r="C12204" s="1" t="n">
        <v>45715</v>
      </c>
      <c r="D12204" t="inlineStr">
        <is>
          <t>KALMAR LÄN</t>
        </is>
      </c>
      <c r="E12204" t="inlineStr">
        <is>
          <t>HULTSFRED</t>
        </is>
      </c>
      <c r="F12204" t="inlineStr">
        <is>
          <t>Kyrkan</t>
        </is>
      </c>
      <c r="G12204" t="n">
        <v>4.6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42429-2024</t>
        </is>
      </c>
      <c r="B12205" s="1" t="n">
        <v>45565</v>
      </c>
      <c r="C12205" s="1" t="n">
        <v>45715</v>
      </c>
      <c r="D12205" t="inlineStr">
        <is>
          <t>KALMAR LÄN</t>
        </is>
      </c>
      <c r="E12205" t="inlineStr">
        <is>
          <t>VIMMERBY</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42427-2024</t>
        </is>
      </c>
      <c r="B12206" s="1" t="n">
        <v>45565</v>
      </c>
      <c r="C12206" s="1" t="n">
        <v>45715</v>
      </c>
      <c r="D12206" t="inlineStr">
        <is>
          <t>KALMAR LÄN</t>
        </is>
      </c>
      <c r="E12206" t="inlineStr">
        <is>
          <t>MÖNSTERÅS</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42415-2024</t>
        </is>
      </c>
      <c r="B12207" s="1" t="n">
        <v>45565</v>
      </c>
      <c r="C12207" s="1" t="n">
        <v>45715</v>
      </c>
      <c r="D12207" t="inlineStr">
        <is>
          <t>KALMAR LÄN</t>
        </is>
      </c>
      <c r="E12207" t="inlineStr">
        <is>
          <t>HULTSFRED</t>
        </is>
      </c>
      <c r="F12207" t="inlineStr">
        <is>
          <t>Kyrkan</t>
        </is>
      </c>
      <c r="G12207" t="n">
        <v>11.3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42452-2024</t>
        </is>
      </c>
      <c r="B12208" s="1" t="n">
        <v>45565</v>
      </c>
      <c r="C12208" s="1" t="n">
        <v>45715</v>
      </c>
      <c r="D12208" t="inlineStr">
        <is>
          <t>KALMAR LÄN</t>
        </is>
      </c>
      <c r="E12208" t="inlineStr">
        <is>
          <t>EMMABODA</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42448-2024</t>
        </is>
      </c>
      <c r="B12209" s="1" t="n">
        <v>45565</v>
      </c>
      <c r="C12209" s="1" t="n">
        <v>45715</v>
      </c>
      <c r="D12209" t="inlineStr">
        <is>
          <t>KALMAR LÄN</t>
        </is>
      </c>
      <c r="E12209" t="inlineStr">
        <is>
          <t>EMMABODA</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42501-2024</t>
        </is>
      </c>
      <c r="B12210" s="1" t="n">
        <v>45565</v>
      </c>
      <c r="C12210" s="1" t="n">
        <v>45715</v>
      </c>
      <c r="D12210" t="inlineStr">
        <is>
          <t>KALMAR LÄN</t>
        </is>
      </c>
      <c r="E12210" t="inlineStr">
        <is>
          <t>HULTSFRED</t>
        </is>
      </c>
      <c r="G12210" t="n">
        <v>7.3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42464-2024</t>
        </is>
      </c>
      <c r="B12211" s="1" t="n">
        <v>45565</v>
      </c>
      <c r="C12211" s="1" t="n">
        <v>45715</v>
      </c>
      <c r="D12211" t="inlineStr">
        <is>
          <t>KALMAR LÄN</t>
        </is>
      </c>
      <c r="E12211" t="inlineStr">
        <is>
          <t>VIMMERBY</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42460-2024</t>
        </is>
      </c>
      <c r="B12212" s="1" t="n">
        <v>45565</v>
      </c>
      <c r="C12212" s="1" t="n">
        <v>45715</v>
      </c>
      <c r="D12212" t="inlineStr">
        <is>
          <t>KALMAR LÄN</t>
        </is>
      </c>
      <c r="E12212" t="inlineStr">
        <is>
          <t>HÖGSBY</t>
        </is>
      </c>
      <c r="G12212" t="n">
        <v>5.1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42847-2024</t>
        </is>
      </c>
      <c r="B12213" s="1" t="n">
        <v>45566</v>
      </c>
      <c r="C12213" s="1" t="n">
        <v>45715</v>
      </c>
      <c r="D12213" t="inlineStr">
        <is>
          <t>KALMAR LÄN</t>
        </is>
      </c>
      <c r="E12213" t="inlineStr">
        <is>
          <t>EMMABODA</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42737-2024</t>
        </is>
      </c>
      <c r="B12214" s="1" t="n">
        <v>45566</v>
      </c>
      <c r="C12214" s="1" t="n">
        <v>45715</v>
      </c>
      <c r="D12214" t="inlineStr">
        <is>
          <t>KALMAR LÄN</t>
        </is>
      </c>
      <c r="E12214" t="inlineStr">
        <is>
          <t>VIMMERBY</t>
        </is>
      </c>
      <c r="G12214" t="n">
        <v>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42747-2024</t>
        </is>
      </c>
      <c r="B12215" s="1" t="n">
        <v>45566</v>
      </c>
      <c r="C12215" s="1" t="n">
        <v>45715</v>
      </c>
      <c r="D12215" t="inlineStr">
        <is>
          <t>KALMAR LÄN</t>
        </is>
      </c>
      <c r="E12215" t="inlineStr">
        <is>
          <t>HULTSFRED</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42743-2024</t>
        </is>
      </c>
      <c r="B12216" s="1" t="n">
        <v>45566</v>
      </c>
      <c r="C12216" s="1" t="n">
        <v>45715</v>
      </c>
      <c r="D12216" t="inlineStr">
        <is>
          <t>KALMAR LÄN</t>
        </is>
      </c>
      <c r="E12216" t="inlineStr">
        <is>
          <t>HULTSFRED</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42904-2024</t>
        </is>
      </c>
      <c r="B12217" s="1" t="n">
        <v>45566</v>
      </c>
      <c r="C12217" s="1" t="n">
        <v>45715</v>
      </c>
      <c r="D12217" t="inlineStr">
        <is>
          <t>KALMAR LÄN</t>
        </is>
      </c>
      <c r="E12217" t="inlineStr">
        <is>
          <t>OSKARSHAMN</t>
        </is>
      </c>
      <c r="F12217" t="inlineStr">
        <is>
          <t>Sveaskog</t>
        </is>
      </c>
      <c r="G12217" t="n">
        <v>4.8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42816-2024</t>
        </is>
      </c>
      <c r="B12218" s="1" t="n">
        <v>45566</v>
      </c>
      <c r="C12218" s="1" t="n">
        <v>45715</v>
      </c>
      <c r="D12218" t="inlineStr">
        <is>
          <t>KALMAR LÄN</t>
        </is>
      </c>
      <c r="E12218" t="inlineStr">
        <is>
          <t>VÄSTERVIK</t>
        </is>
      </c>
      <c r="G12218" t="n">
        <v>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42770-2024</t>
        </is>
      </c>
      <c r="B12219" s="1" t="n">
        <v>45566</v>
      </c>
      <c r="C12219" s="1" t="n">
        <v>45715</v>
      </c>
      <c r="D12219" t="inlineStr">
        <is>
          <t>KALMAR LÄN</t>
        </is>
      </c>
      <c r="E12219" t="inlineStr">
        <is>
          <t>HULTSFRED</t>
        </is>
      </c>
      <c r="G12219" t="n">
        <v>0.3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42762-2024</t>
        </is>
      </c>
      <c r="B12220" s="1" t="n">
        <v>45566</v>
      </c>
      <c r="C12220" s="1" t="n">
        <v>45715</v>
      </c>
      <c r="D12220" t="inlineStr">
        <is>
          <t>KALMAR LÄN</t>
        </is>
      </c>
      <c r="E12220" t="inlineStr">
        <is>
          <t>HULTSFRED</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42903-2024</t>
        </is>
      </c>
      <c r="B12221" s="1" t="n">
        <v>45566</v>
      </c>
      <c r="C12221" s="1" t="n">
        <v>45715</v>
      </c>
      <c r="D12221" t="inlineStr">
        <is>
          <t>KALMAR LÄN</t>
        </is>
      </c>
      <c r="E12221" t="inlineStr">
        <is>
          <t>OSKARSHAMN</t>
        </is>
      </c>
      <c r="F12221" t="inlineStr">
        <is>
          <t>Sveaskog</t>
        </is>
      </c>
      <c r="G12221" t="n">
        <v>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42718-2024</t>
        </is>
      </c>
      <c r="B12222" s="1" t="n">
        <v>45566</v>
      </c>
      <c r="C12222" s="1" t="n">
        <v>45715</v>
      </c>
      <c r="D12222" t="inlineStr">
        <is>
          <t>KALMAR LÄN</t>
        </is>
      </c>
      <c r="E12222" t="inlineStr">
        <is>
          <t>KALMAR</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42767-2024</t>
        </is>
      </c>
      <c r="B12223" s="1" t="n">
        <v>45566</v>
      </c>
      <c r="C12223" s="1" t="n">
        <v>45715</v>
      </c>
      <c r="D12223" t="inlineStr">
        <is>
          <t>KALMAR LÄN</t>
        </is>
      </c>
      <c r="E12223" t="inlineStr">
        <is>
          <t>HULTSFRED</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42776-2024</t>
        </is>
      </c>
      <c r="B12224" s="1" t="n">
        <v>45566</v>
      </c>
      <c r="C12224" s="1" t="n">
        <v>45715</v>
      </c>
      <c r="D12224" t="inlineStr">
        <is>
          <t>KALMAR LÄN</t>
        </is>
      </c>
      <c r="E12224" t="inlineStr">
        <is>
          <t>HULTSFRED</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42750-2024</t>
        </is>
      </c>
      <c r="B12225" s="1" t="n">
        <v>45566</v>
      </c>
      <c r="C12225" s="1" t="n">
        <v>45715</v>
      </c>
      <c r="D12225" t="inlineStr">
        <is>
          <t>KALMAR LÄN</t>
        </is>
      </c>
      <c r="E12225" t="inlineStr">
        <is>
          <t>HULTSFRED</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42746-2024</t>
        </is>
      </c>
      <c r="B12226" s="1" t="n">
        <v>45566</v>
      </c>
      <c r="C12226" s="1" t="n">
        <v>45715</v>
      </c>
      <c r="D12226" t="inlineStr">
        <is>
          <t>KALMAR LÄN</t>
        </is>
      </c>
      <c r="E12226" t="inlineStr">
        <is>
          <t>VÄSTERVIK</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42742-2024</t>
        </is>
      </c>
      <c r="B12227" s="1" t="n">
        <v>45566</v>
      </c>
      <c r="C12227" s="1" t="n">
        <v>45715</v>
      </c>
      <c r="D12227" t="inlineStr">
        <is>
          <t>KALMAR LÄN</t>
        </is>
      </c>
      <c r="E12227" t="inlineStr">
        <is>
          <t>VÄSTERVIK</t>
        </is>
      </c>
      <c r="G12227" t="n">
        <v>3.8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42749-2024</t>
        </is>
      </c>
      <c r="B12228" s="1" t="n">
        <v>45566</v>
      </c>
      <c r="C12228" s="1" t="n">
        <v>45715</v>
      </c>
      <c r="D12228" t="inlineStr">
        <is>
          <t>KALMAR LÄN</t>
        </is>
      </c>
      <c r="E12228" t="inlineStr">
        <is>
          <t>HULTSFRED</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42697-2024</t>
        </is>
      </c>
      <c r="B12229" s="1" t="n">
        <v>45566</v>
      </c>
      <c r="C12229" s="1" t="n">
        <v>45715</v>
      </c>
      <c r="D12229" t="inlineStr">
        <is>
          <t>KALMAR LÄN</t>
        </is>
      </c>
      <c r="E12229" t="inlineStr">
        <is>
          <t>KALMAR</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42693-2024</t>
        </is>
      </c>
      <c r="B12230" s="1" t="n">
        <v>45566</v>
      </c>
      <c r="C12230" s="1" t="n">
        <v>45715</v>
      </c>
      <c r="D12230" t="inlineStr">
        <is>
          <t>KALMAR LÄN</t>
        </is>
      </c>
      <c r="E12230" t="inlineStr">
        <is>
          <t>VIMMERBY</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43066-2024</t>
        </is>
      </c>
      <c r="B12231" s="1" t="n">
        <v>45567</v>
      </c>
      <c r="C12231" s="1" t="n">
        <v>45715</v>
      </c>
      <c r="D12231" t="inlineStr">
        <is>
          <t>KALMAR LÄN</t>
        </is>
      </c>
      <c r="E12231" t="inlineStr">
        <is>
          <t>TORSÅS</t>
        </is>
      </c>
      <c r="G12231" t="n">
        <v>4.6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43110-2024</t>
        </is>
      </c>
      <c r="B12232" s="1" t="n">
        <v>45567</v>
      </c>
      <c r="C12232" s="1" t="n">
        <v>45715</v>
      </c>
      <c r="D12232" t="inlineStr">
        <is>
          <t>KALMAR LÄN</t>
        </is>
      </c>
      <c r="E12232" t="inlineStr">
        <is>
          <t>OSKARSHAMN</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43122-2024</t>
        </is>
      </c>
      <c r="B12233" s="1" t="n">
        <v>45567</v>
      </c>
      <c r="C12233" s="1" t="n">
        <v>45715</v>
      </c>
      <c r="D12233" t="inlineStr">
        <is>
          <t>KALMAR LÄN</t>
        </is>
      </c>
      <c r="E12233" t="inlineStr">
        <is>
          <t>VIMMERBY</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43150-2024</t>
        </is>
      </c>
      <c r="B12234" s="1" t="n">
        <v>45567</v>
      </c>
      <c r="C12234" s="1" t="n">
        <v>45715</v>
      </c>
      <c r="D12234" t="inlineStr">
        <is>
          <t>KALMAR LÄN</t>
        </is>
      </c>
      <c r="E12234" t="inlineStr">
        <is>
          <t>OSKARSHAMN</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43215-2024</t>
        </is>
      </c>
      <c r="B12235" s="1" t="n">
        <v>45567</v>
      </c>
      <c r="C12235" s="1" t="n">
        <v>45715</v>
      </c>
      <c r="D12235" t="inlineStr">
        <is>
          <t>KALMAR LÄN</t>
        </is>
      </c>
      <c r="E12235" t="inlineStr">
        <is>
          <t>NYBRO</t>
        </is>
      </c>
      <c r="F12235" t="inlineStr">
        <is>
          <t>Kyrkan</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43211-2024</t>
        </is>
      </c>
      <c r="B12236" s="1" t="n">
        <v>45567</v>
      </c>
      <c r="C12236" s="1" t="n">
        <v>45715</v>
      </c>
      <c r="D12236" t="inlineStr">
        <is>
          <t>KALMAR LÄN</t>
        </is>
      </c>
      <c r="E12236" t="inlineStr">
        <is>
          <t>EMMABODA</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43199-2024</t>
        </is>
      </c>
      <c r="B12237" s="1" t="n">
        <v>45567</v>
      </c>
      <c r="C12237" s="1" t="n">
        <v>45715</v>
      </c>
      <c r="D12237" t="inlineStr">
        <is>
          <t>KALMAR LÄN</t>
        </is>
      </c>
      <c r="E12237" t="inlineStr">
        <is>
          <t>VÄSTERVIK</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43119-2024</t>
        </is>
      </c>
      <c r="B12238" s="1" t="n">
        <v>45567</v>
      </c>
      <c r="C12238" s="1" t="n">
        <v>45715</v>
      </c>
      <c r="D12238" t="inlineStr">
        <is>
          <t>KALMAR LÄN</t>
        </is>
      </c>
      <c r="E12238" t="inlineStr">
        <is>
          <t>VIMMERBY</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43087-2024</t>
        </is>
      </c>
      <c r="B12239" s="1" t="n">
        <v>45567</v>
      </c>
      <c r="C12239" s="1" t="n">
        <v>45715</v>
      </c>
      <c r="D12239" t="inlineStr">
        <is>
          <t>KALMAR LÄN</t>
        </is>
      </c>
      <c r="E12239" t="inlineStr">
        <is>
          <t>HULTSFRED</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43083-2024</t>
        </is>
      </c>
      <c r="B12240" s="1" t="n">
        <v>45567</v>
      </c>
      <c r="C12240" s="1" t="n">
        <v>45715</v>
      </c>
      <c r="D12240" t="inlineStr">
        <is>
          <t>KALMAR LÄN</t>
        </is>
      </c>
      <c r="E12240" t="inlineStr">
        <is>
          <t>VIMMERBY</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43217-2024</t>
        </is>
      </c>
      <c r="B12241" s="1" t="n">
        <v>45567</v>
      </c>
      <c r="C12241" s="1" t="n">
        <v>45715</v>
      </c>
      <c r="D12241" t="inlineStr">
        <is>
          <t>KALMAR LÄN</t>
        </is>
      </c>
      <c r="E12241" t="inlineStr">
        <is>
          <t>KALMAR</t>
        </is>
      </c>
      <c r="F12241" t="inlineStr">
        <is>
          <t>Kyrkan</t>
        </is>
      </c>
      <c r="G12241" t="n">
        <v>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43210-2024</t>
        </is>
      </c>
      <c r="B12242" s="1" t="n">
        <v>45567</v>
      </c>
      <c r="C12242" s="1" t="n">
        <v>45715</v>
      </c>
      <c r="D12242" t="inlineStr">
        <is>
          <t>KALMAR LÄN</t>
        </is>
      </c>
      <c r="E12242" t="inlineStr">
        <is>
          <t>EMMABODA</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43038-2024</t>
        </is>
      </c>
      <c r="B12243" s="1" t="n">
        <v>45567</v>
      </c>
      <c r="C12243" s="1" t="n">
        <v>45715</v>
      </c>
      <c r="D12243" t="inlineStr">
        <is>
          <t>KALMAR LÄN</t>
        </is>
      </c>
      <c r="E12243" t="inlineStr">
        <is>
          <t>HÖGSBY</t>
        </is>
      </c>
      <c r="G12243" t="n">
        <v>9.1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43034-2024</t>
        </is>
      </c>
      <c r="B12244" s="1" t="n">
        <v>45567</v>
      </c>
      <c r="C12244" s="1" t="n">
        <v>45715</v>
      </c>
      <c r="D12244" t="inlineStr">
        <is>
          <t>KALMAR LÄN</t>
        </is>
      </c>
      <c r="E12244" t="inlineStr">
        <is>
          <t>VIMMERBY</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43030-2024</t>
        </is>
      </c>
      <c r="B12245" s="1" t="n">
        <v>45567</v>
      </c>
      <c r="C12245" s="1" t="n">
        <v>45715</v>
      </c>
      <c r="D12245" t="inlineStr">
        <is>
          <t>KALMAR LÄN</t>
        </is>
      </c>
      <c r="E12245" t="inlineStr">
        <is>
          <t>VIMMERBY</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42925-2024</t>
        </is>
      </c>
      <c r="B12246" s="1" t="n">
        <v>45567</v>
      </c>
      <c r="C12246" s="1" t="n">
        <v>45715</v>
      </c>
      <c r="D12246" t="inlineStr">
        <is>
          <t>KALMAR LÄN</t>
        </is>
      </c>
      <c r="E12246" t="inlineStr">
        <is>
          <t>OSKARSHAMN</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43173-2024</t>
        </is>
      </c>
      <c r="B12247" s="1" t="n">
        <v>45567</v>
      </c>
      <c r="C12247" s="1" t="n">
        <v>45715</v>
      </c>
      <c r="D12247" t="inlineStr">
        <is>
          <t>KALMAR LÄN</t>
        </is>
      </c>
      <c r="E12247" t="inlineStr">
        <is>
          <t>OSKARSHAMN</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43165-2024</t>
        </is>
      </c>
      <c r="B12248" s="1" t="n">
        <v>45567</v>
      </c>
      <c r="C12248" s="1" t="n">
        <v>45715</v>
      </c>
      <c r="D12248" t="inlineStr">
        <is>
          <t>KALMAR LÄN</t>
        </is>
      </c>
      <c r="E12248" t="inlineStr">
        <is>
          <t>OSKARSHAMN</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43093-2024</t>
        </is>
      </c>
      <c r="B12249" s="1" t="n">
        <v>45567</v>
      </c>
      <c r="C12249" s="1" t="n">
        <v>45715</v>
      </c>
      <c r="D12249" t="inlineStr">
        <is>
          <t>KALMAR LÄN</t>
        </is>
      </c>
      <c r="E12249" t="inlineStr">
        <is>
          <t>VIMMERBY</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43085-2024</t>
        </is>
      </c>
      <c r="B12250" s="1" t="n">
        <v>45567</v>
      </c>
      <c r="C12250" s="1" t="n">
        <v>45715</v>
      </c>
      <c r="D12250" t="inlineStr">
        <is>
          <t>KALMAR LÄN</t>
        </is>
      </c>
      <c r="E12250" t="inlineStr">
        <is>
          <t>VIMMERBY</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43081-2024</t>
        </is>
      </c>
      <c r="B12251" s="1" t="n">
        <v>45567</v>
      </c>
      <c r="C12251" s="1" t="n">
        <v>45715</v>
      </c>
      <c r="D12251" t="inlineStr">
        <is>
          <t>KALMAR LÄN</t>
        </is>
      </c>
      <c r="E12251" t="inlineStr">
        <is>
          <t>VIMMERBY</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43208-2024</t>
        </is>
      </c>
      <c r="B12252" s="1" t="n">
        <v>45567</v>
      </c>
      <c r="C12252" s="1" t="n">
        <v>45715</v>
      </c>
      <c r="D12252" t="inlineStr">
        <is>
          <t>KALMAR LÄN</t>
        </is>
      </c>
      <c r="E12252" t="inlineStr">
        <is>
          <t>VÄSTERVIK</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43188-2024</t>
        </is>
      </c>
      <c r="B12253" s="1" t="n">
        <v>45567</v>
      </c>
      <c r="C12253" s="1" t="n">
        <v>45715</v>
      </c>
      <c r="D12253" t="inlineStr">
        <is>
          <t>KALMAR LÄN</t>
        </is>
      </c>
      <c r="E12253" t="inlineStr">
        <is>
          <t>OSKARSHAMN</t>
        </is>
      </c>
      <c r="G12253" t="n">
        <v>9.300000000000001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43160-2024</t>
        </is>
      </c>
      <c r="B12254" s="1" t="n">
        <v>45567</v>
      </c>
      <c r="C12254" s="1" t="n">
        <v>45715</v>
      </c>
      <c r="D12254" t="inlineStr">
        <is>
          <t>KALMAR LÄN</t>
        </is>
      </c>
      <c r="E12254" t="inlineStr">
        <is>
          <t>OSKARSHAMN</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43120-2024</t>
        </is>
      </c>
      <c r="B12255" s="1" t="n">
        <v>45567</v>
      </c>
      <c r="C12255" s="1" t="n">
        <v>45715</v>
      </c>
      <c r="D12255" t="inlineStr">
        <is>
          <t>KALMAR LÄN</t>
        </is>
      </c>
      <c r="E12255" t="inlineStr">
        <is>
          <t>OSKARSHAMN</t>
        </is>
      </c>
      <c r="G12255" t="n">
        <v>7.3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43100-2024</t>
        </is>
      </c>
      <c r="B12256" s="1" t="n">
        <v>45567</v>
      </c>
      <c r="C12256" s="1" t="n">
        <v>45715</v>
      </c>
      <c r="D12256" t="inlineStr">
        <is>
          <t>KALMAR LÄN</t>
        </is>
      </c>
      <c r="E12256" t="inlineStr">
        <is>
          <t>HÖGSBY</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43092-2024</t>
        </is>
      </c>
      <c r="B12257" s="1" t="n">
        <v>45567</v>
      </c>
      <c r="C12257" s="1" t="n">
        <v>45715</v>
      </c>
      <c r="D12257" t="inlineStr">
        <is>
          <t>KALMAR LÄN</t>
        </is>
      </c>
      <c r="E12257" t="inlineStr">
        <is>
          <t>VIMMERBY</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43088-2024</t>
        </is>
      </c>
      <c r="B12258" s="1" t="n">
        <v>45567</v>
      </c>
      <c r="C12258" s="1" t="n">
        <v>45715</v>
      </c>
      <c r="D12258" t="inlineStr">
        <is>
          <t>KALMAR LÄN</t>
        </is>
      </c>
      <c r="E12258" t="inlineStr">
        <is>
          <t>VIMMERBY</t>
        </is>
      </c>
      <c r="G12258" t="n">
        <v>5.3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43084-2024</t>
        </is>
      </c>
      <c r="B12259" s="1" t="n">
        <v>45567</v>
      </c>
      <c r="C12259" s="1" t="n">
        <v>45715</v>
      </c>
      <c r="D12259" t="inlineStr">
        <is>
          <t>KALMAR LÄN</t>
        </is>
      </c>
      <c r="E12259" t="inlineStr">
        <is>
          <t>VIMMERBY</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43064-2024</t>
        </is>
      </c>
      <c r="B12260" s="1" t="n">
        <v>45567</v>
      </c>
      <c r="C12260" s="1" t="n">
        <v>45715</v>
      </c>
      <c r="D12260" t="inlineStr">
        <is>
          <t>KALMAR LÄN</t>
        </is>
      </c>
      <c r="E12260" t="inlineStr">
        <is>
          <t>TORSÅS</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43482-2024</t>
        </is>
      </c>
      <c r="B12261" s="1" t="n">
        <v>45568</v>
      </c>
      <c r="C12261" s="1" t="n">
        <v>45715</v>
      </c>
      <c r="D12261" t="inlineStr">
        <is>
          <t>KALMAR LÄN</t>
        </is>
      </c>
      <c r="E12261" t="inlineStr">
        <is>
          <t>NYBRO</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43431-2024</t>
        </is>
      </c>
      <c r="B12262" s="1" t="n">
        <v>45568</v>
      </c>
      <c r="C12262" s="1" t="n">
        <v>45715</v>
      </c>
      <c r="D12262" t="inlineStr">
        <is>
          <t>KALMAR LÄN</t>
        </is>
      </c>
      <c r="E12262" t="inlineStr">
        <is>
          <t>MÖNSTERÅS</t>
        </is>
      </c>
      <c r="F12262" t="inlineStr">
        <is>
          <t>Övriga Aktiebolag</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43259-2024</t>
        </is>
      </c>
      <c r="B12263" s="1" t="n">
        <v>45568</v>
      </c>
      <c r="C12263" s="1" t="n">
        <v>45715</v>
      </c>
      <c r="D12263" t="inlineStr">
        <is>
          <t>KALMAR LÄN</t>
        </is>
      </c>
      <c r="E12263" t="inlineStr">
        <is>
          <t>HULTSFRED</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43377-2024</t>
        </is>
      </c>
      <c r="B12264" s="1" t="n">
        <v>45568</v>
      </c>
      <c r="C12264" s="1" t="n">
        <v>45715</v>
      </c>
      <c r="D12264" t="inlineStr">
        <is>
          <t>KALMAR LÄN</t>
        </is>
      </c>
      <c r="E12264" t="inlineStr">
        <is>
          <t>NYBRO</t>
        </is>
      </c>
      <c r="F12264" t="inlineStr">
        <is>
          <t>Kyrkan</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43293-2024</t>
        </is>
      </c>
      <c r="B12265" s="1" t="n">
        <v>45568</v>
      </c>
      <c r="C12265" s="1" t="n">
        <v>45715</v>
      </c>
      <c r="D12265" t="inlineStr">
        <is>
          <t>KALMAR LÄN</t>
        </is>
      </c>
      <c r="E12265" t="inlineStr">
        <is>
          <t>BORGHOLM</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43277-2024</t>
        </is>
      </c>
      <c r="B12266" s="1" t="n">
        <v>45568</v>
      </c>
      <c r="C12266" s="1" t="n">
        <v>45715</v>
      </c>
      <c r="D12266" t="inlineStr">
        <is>
          <t>KALMAR LÄN</t>
        </is>
      </c>
      <c r="E12266" t="inlineStr">
        <is>
          <t>NYBRO</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43257-2024</t>
        </is>
      </c>
      <c r="B12267" s="1" t="n">
        <v>45568</v>
      </c>
      <c r="C12267" s="1" t="n">
        <v>45715</v>
      </c>
      <c r="D12267" t="inlineStr">
        <is>
          <t>KALMAR LÄN</t>
        </is>
      </c>
      <c r="E12267" t="inlineStr">
        <is>
          <t>EMMABODA</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43242-2024</t>
        </is>
      </c>
      <c r="B12268" s="1" t="n">
        <v>45568</v>
      </c>
      <c r="C12268" s="1" t="n">
        <v>45715</v>
      </c>
      <c r="D12268" t="inlineStr">
        <is>
          <t>KALMAR LÄN</t>
        </is>
      </c>
      <c r="E12268" t="inlineStr">
        <is>
          <t>VIMMERBY</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43299-2024</t>
        </is>
      </c>
      <c r="B12269" s="1" t="n">
        <v>45568</v>
      </c>
      <c r="C12269" s="1" t="n">
        <v>45715</v>
      </c>
      <c r="D12269" t="inlineStr">
        <is>
          <t>KALMAR LÄN</t>
        </is>
      </c>
      <c r="E12269" t="inlineStr">
        <is>
          <t>NYBRO</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43305-2024</t>
        </is>
      </c>
      <c r="B12270" s="1" t="n">
        <v>45568</v>
      </c>
      <c r="C12270" s="1" t="n">
        <v>45715</v>
      </c>
      <c r="D12270" t="inlineStr">
        <is>
          <t>KALMAR LÄN</t>
        </is>
      </c>
      <c r="E12270" t="inlineStr">
        <is>
          <t>VIMMERBY</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43329-2024</t>
        </is>
      </c>
      <c r="B12271" s="1" t="n">
        <v>45568</v>
      </c>
      <c r="C12271" s="1" t="n">
        <v>45715</v>
      </c>
      <c r="D12271" t="inlineStr">
        <is>
          <t>KALMAR LÄN</t>
        </is>
      </c>
      <c r="E12271" t="inlineStr">
        <is>
          <t>OSKARSHAMN</t>
        </is>
      </c>
      <c r="G12271" t="n">
        <v>4.4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43274-2024</t>
        </is>
      </c>
      <c r="B12272" s="1" t="n">
        <v>45568</v>
      </c>
      <c r="C12272" s="1" t="n">
        <v>45715</v>
      </c>
      <c r="D12272" t="inlineStr">
        <is>
          <t>KALMAR LÄN</t>
        </is>
      </c>
      <c r="E12272" t="inlineStr">
        <is>
          <t>VÄSTERVIK</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43266-2024</t>
        </is>
      </c>
      <c r="B12273" s="1" t="n">
        <v>45568</v>
      </c>
      <c r="C12273" s="1" t="n">
        <v>45715</v>
      </c>
      <c r="D12273" t="inlineStr">
        <is>
          <t>KALMAR LÄN</t>
        </is>
      </c>
      <c r="E12273" t="inlineStr">
        <is>
          <t>VIMMERBY</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43300-2024</t>
        </is>
      </c>
      <c r="B12274" s="1" t="n">
        <v>45568</v>
      </c>
      <c r="C12274" s="1" t="n">
        <v>45715</v>
      </c>
      <c r="D12274" t="inlineStr">
        <is>
          <t>KALMAR LÄN</t>
        </is>
      </c>
      <c r="E12274" t="inlineStr">
        <is>
          <t>NYBRO</t>
        </is>
      </c>
      <c r="F12274" t="inlineStr">
        <is>
          <t>Sveaskog</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43243-2024</t>
        </is>
      </c>
      <c r="B12275" s="1" t="n">
        <v>45568</v>
      </c>
      <c r="C12275" s="1" t="n">
        <v>45715</v>
      </c>
      <c r="D12275" t="inlineStr">
        <is>
          <t>KALMAR LÄN</t>
        </is>
      </c>
      <c r="E12275" t="inlineStr">
        <is>
          <t>VIMMERBY</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43601-2024</t>
        </is>
      </c>
      <c r="B12276" s="1" t="n">
        <v>45569</v>
      </c>
      <c r="C12276" s="1" t="n">
        <v>45715</v>
      </c>
      <c r="D12276" t="inlineStr">
        <is>
          <t>KALMAR LÄN</t>
        </is>
      </c>
      <c r="E12276" t="inlineStr">
        <is>
          <t>VIMMERBY</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43609-2024</t>
        </is>
      </c>
      <c r="B12277" s="1" t="n">
        <v>45569</v>
      </c>
      <c r="C12277" s="1" t="n">
        <v>45715</v>
      </c>
      <c r="D12277" t="inlineStr">
        <is>
          <t>KALMAR LÄN</t>
        </is>
      </c>
      <c r="E12277" t="inlineStr">
        <is>
          <t>VIMMERBY</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43606-2024</t>
        </is>
      </c>
      <c r="B12278" s="1" t="n">
        <v>45569</v>
      </c>
      <c r="C12278" s="1" t="n">
        <v>45715</v>
      </c>
      <c r="D12278" t="inlineStr">
        <is>
          <t>KALMAR LÄN</t>
        </is>
      </c>
      <c r="E12278" t="inlineStr">
        <is>
          <t>VIMMERBY</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43610-2024</t>
        </is>
      </c>
      <c r="B12279" s="1" t="n">
        <v>45569</v>
      </c>
      <c r="C12279" s="1" t="n">
        <v>45715</v>
      </c>
      <c r="D12279" t="inlineStr">
        <is>
          <t>KALMAR LÄN</t>
        </is>
      </c>
      <c r="E12279" t="inlineStr">
        <is>
          <t>HULTSFRED</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43635-2024</t>
        </is>
      </c>
      <c r="B12280" s="1" t="n">
        <v>45569</v>
      </c>
      <c r="C12280" s="1" t="n">
        <v>45715</v>
      </c>
      <c r="D12280" t="inlineStr">
        <is>
          <t>KALMAR LÄN</t>
        </is>
      </c>
      <c r="E12280" t="inlineStr">
        <is>
          <t>HULTSFRED</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43663-2024</t>
        </is>
      </c>
      <c r="B12281" s="1" t="n">
        <v>45569</v>
      </c>
      <c r="C12281" s="1" t="n">
        <v>45715</v>
      </c>
      <c r="D12281" t="inlineStr">
        <is>
          <t>KALMAR LÄN</t>
        </is>
      </c>
      <c r="E12281" t="inlineStr">
        <is>
          <t>HULTSFRED</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43502-2024</t>
        </is>
      </c>
      <c r="B12282" s="1" t="n">
        <v>45569</v>
      </c>
      <c r="C12282" s="1" t="n">
        <v>45715</v>
      </c>
      <c r="D12282" t="inlineStr">
        <is>
          <t>KALMAR LÄN</t>
        </is>
      </c>
      <c r="E12282" t="inlineStr">
        <is>
          <t>KALMAR</t>
        </is>
      </c>
      <c r="G12282" t="n">
        <v>11.3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43590-2024</t>
        </is>
      </c>
      <c r="B12283" s="1" t="n">
        <v>45569</v>
      </c>
      <c r="C12283" s="1" t="n">
        <v>45715</v>
      </c>
      <c r="D12283" t="inlineStr">
        <is>
          <t>KALMAR LÄN</t>
        </is>
      </c>
      <c r="E12283" t="inlineStr">
        <is>
          <t>BORGHOLM</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43746-2024</t>
        </is>
      </c>
      <c r="B12284" s="1" t="n">
        <v>45569</v>
      </c>
      <c r="C12284" s="1" t="n">
        <v>45715</v>
      </c>
      <c r="D12284" t="inlineStr">
        <is>
          <t>KALMAR LÄN</t>
        </is>
      </c>
      <c r="E12284" t="inlineStr">
        <is>
          <t>MÖNSTERÅS</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43617-2024</t>
        </is>
      </c>
      <c r="B12285" s="1" t="n">
        <v>45569</v>
      </c>
      <c r="C12285" s="1" t="n">
        <v>45715</v>
      </c>
      <c r="D12285" t="inlineStr">
        <is>
          <t>KALMAR LÄN</t>
        </is>
      </c>
      <c r="E12285" t="inlineStr">
        <is>
          <t>VIMMERBY</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43745-2024</t>
        </is>
      </c>
      <c r="B12286" s="1" t="n">
        <v>45569</v>
      </c>
      <c r="C12286" s="1" t="n">
        <v>45715</v>
      </c>
      <c r="D12286" t="inlineStr">
        <is>
          <t>KALMAR LÄN</t>
        </is>
      </c>
      <c r="E12286" t="inlineStr">
        <is>
          <t>MÖNSTERÅS</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43579-2024</t>
        </is>
      </c>
      <c r="B12287" s="1" t="n">
        <v>45569</v>
      </c>
      <c r="C12287" s="1" t="n">
        <v>45715</v>
      </c>
      <c r="D12287" t="inlineStr">
        <is>
          <t>KALMAR LÄN</t>
        </is>
      </c>
      <c r="E12287" t="inlineStr">
        <is>
          <t>VIMMERBY</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43575-2024</t>
        </is>
      </c>
      <c r="B12288" s="1" t="n">
        <v>45569</v>
      </c>
      <c r="C12288" s="1" t="n">
        <v>45715</v>
      </c>
      <c r="D12288" t="inlineStr">
        <is>
          <t>KALMAR LÄN</t>
        </is>
      </c>
      <c r="E12288" t="inlineStr">
        <is>
          <t>VIMMERBY</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43594-2024</t>
        </is>
      </c>
      <c r="B12289" s="1" t="n">
        <v>45569</v>
      </c>
      <c r="C12289" s="1" t="n">
        <v>45715</v>
      </c>
      <c r="D12289" t="inlineStr">
        <is>
          <t>KALMAR LÄN</t>
        </is>
      </c>
      <c r="E12289" t="inlineStr">
        <is>
          <t>VIMMERBY</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43551-2024</t>
        </is>
      </c>
      <c r="B12290" s="1" t="n">
        <v>45569</v>
      </c>
      <c r="C12290" s="1" t="n">
        <v>45715</v>
      </c>
      <c r="D12290" t="inlineStr">
        <is>
          <t>KALMAR LÄN</t>
        </is>
      </c>
      <c r="E12290" t="inlineStr">
        <is>
          <t>TORSÅS</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43822-2024</t>
        </is>
      </c>
      <c r="B12291" s="1" t="n">
        <v>45571</v>
      </c>
      <c r="C12291" s="1" t="n">
        <v>45715</v>
      </c>
      <c r="D12291" t="inlineStr">
        <is>
          <t>KALMAR LÄN</t>
        </is>
      </c>
      <c r="E12291" t="inlineStr">
        <is>
          <t>VIMMERBY</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43824-2024</t>
        </is>
      </c>
      <c r="B12292" s="1" t="n">
        <v>45571</v>
      </c>
      <c r="C12292" s="1" t="n">
        <v>45715</v>
      </c>
      <c r="D12292" t="inlineStr">
        <is>
          <t>KALMAR LÄN</t>
        </is>
      </c>
      <c r="E12292" t="inlineStr">
        <is>
          <t>VIMMERBY</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43823-2024</t>
        </is>
      </c>
      <c r="B12293" s="1" t="n">
        <v>45571</v>
      </c>
      <c r="C12293" s="1" t="n">
        <v>45715</v>
      </c>
      <c r="D12293" t="inlineStr">
        <is>
          <t>KALMAR LÄN</t>
        </is>
      </c>
      <c r="E12293" t="inlineStr">
        <is>
          <t>VIMMERBY</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43962-2024</t>
        </is>
      </c>
      <c r="B12294" s="1" t="n">
        <v>45572</v>
      </c>
      <c r="C12294" s="1" t="n">
        <v>45715</v>
      </c>
      <c r="D12294" t="inlineStr">
        <is>
          <t>KALMAR LÄN</t>
        </is>
      </c>
      <c r="E12294" t="inlineStr">
        <is>
          <t>VIMMERBY</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43837-2024</t>
        </is>
      </c>
      <c r="B12295" s="1" t="n">
        <v>45572</v>
      </c>
      <c r="C12295" s="1" t="n">
        <v>45715</v>
      </c>
      <c r="D12295" t="inlineStr">
        <is>
          <t>KALMAR LÄN</t>
        </is>
      </c>
      <c r="E12295" t="inlineStr">
        <is>
          <t>KALMAR</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44141-2024</t>
        </is>
      </c>
      <c r="B12296" s="1" t="n">
        <v>45572</v>
      </c>
      <c r="C12296" s="1" t="n">
        <v>45715</v>
      </c>
      <c r="D12296" t="inlineStr">
        <is>
          <t>KALMAR LÄN</t>
        </is>
      </c>
      <c r="E12296" t="inlineStr">
        <is>
          <t>NYBRO</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43980-2024</t>
        </is>
      </c>
      <c r="B12297" s="1" t="n">
        <v>45572</v>
      </c>
      <c r="C12297" s="1" t="n">
        <v>45715</v>
      </c>
      <c r="D12297" t="inlineStr">
        <is>
          <t>KALMAR LÄN</t>
        </is>
      </c>
      <c r="E12297" t="inlineStr">
        <is>
          <t>NYBRO</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43984-2024</t>
        </is>
      </c>
      <c r="B12298" s="1" t="n">
        <v>45572</v>
      </c>
      <c r="C12298" s="1" t="n">
        <v>45715</v>
      </c>
      <c r="D12298" t="inlineStr">
        <is>
          <t>KALMAR LÄN</t>
        </is>
      </c>
      <c r="E12298" t="inlineStr">
        <is>
          <t>NYBRO</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44017-2024</t>
        </is>
      </c>
      <c r="B12299" s="1" t="n">
        <v>45572</v>
      </c>
      <c r="C12299" s="1" t="n">
        <v>45715</v>
      </c>
      <c r="D12299" t="inlineStr">
        <is>
          <t>KALMAR LÄN</t>
        </is>
      </c>
      <c r="E12299" t="inlineStr">
        <is>
          <t>NYBRO</t>
        </is>
      </c>
      <c r="F12299" t="inlineStr">
        <is>
          <t>Sveaskog</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43950-2024</t>
        </is>
      </c>
      <c r="B12300" s="1" t="n">
        <v>45572</v>
      </c>
      <c r="C12300" s="1" t="n">
        <v>45715</v>
      </c>
      <c r="D12300" t="inlineStr">
        <is>
          <t>KALMAR LÄN</t>
        </is>
      </c>
      <c r="E12300" t="inlineStr">
        <is>
          <t>HULTSFRED</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43934-2024</t>
        </is>
      </c>
      <c r="B12301" s="1" t="n">
        <v>45572</v>
      </c>
      <c r="C12301" s="1" t="n">
        <v>45715</v>
      </c>
      <c r="D12301" t="inlineStr">
        <is>
          <t>KALMAR LÄN</t>
        </is>
      </c>
      <c r="E12301" t="inlineStr">
        <is>
          <t>OSKARSHAMN</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43931-2024</t>
        </is>
      </c>
      <c r="B12302" s="1" t="n">
        <v>45572</v>
      </c>
      <c r="C12302" s="1" t="n">
        <v>45715</v>
      </c>
      <c r="D12302" t="inlineStr">
        <is>
          <t>KALMAR LÄN</t>
        </is>
      </c>
      <c r="E12302" t="inlineStr">
        <is>
          <t>OSKARSHAMN</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43982-2024</t>
        </is>
      </c>
      <c r="B12303" s="1" t="n">
        <v>45572</v>
      </c>
      <c r="C12303" s="1" t="n">
        <v>45715</v>
      </c>
      <c r="D12303" t="inlineStr">
        <is>
          <t>KALMAR LÄN</t>
        </is>
      </c>
      <c r="E12303" t="inlineStr">
        <is>
          <t>NYBRO</t>
        </is>
      </c>
      <c r="G12303" t="n">
        <v>4.7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44014-2024</t>
        </is>
      </c>
      <c r="B12304" s="1" t="n">
        <v>45572</v>
      </c>
      <c r="C12304" s="1" t="n">
        <v>45715</v>
      </c>
      <c r="D12304" t="inlineStr">
        <is>
          <t>KALMAR LÄN</t>
        </is>
      </c>
      <c r="E12304" t="inlineStr">
        <is>
          <t>NYBRO</t>
        </is>
      </c>
      <c r="F12304" t="inlineStr">
        <is>
          <t>Sveaskog</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44128-2024</t>
        </is>
      </c>
      <c r="B12305" s="1" t="n">
        <v>45572</v>
      </c>
      <c r="C12305" s="1" t="n">
        <v>45715</v>
      </c>
      <c r="D12305" t="inlineStr">
        <is>
          <t>KALMAR LÄN</t>
        </is>
      </c>
      <c r="E12305" t="inlineStr">
        <is>
          <t>NYBRO</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44409-2024</t>
        </is>
      </c>
      <c r="B12306" s="1" t="n">
        <v>45573</v>
      </c>
      <c r="C12306" s="1" t="n">
        <v>45715</v>
      </c>
      <c r="D12306" t="inlineStr">
        <is>
          <t>KALMAR LÄN</t>
        </is>
      </c>
      <c r="E12306" t="inlineStr">
        <is>
          <t>KALMAR</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44410-2024</t>
        </is>
      </c>
      <c r="B12307" s="1" t="n">
        <v>45573</v>
      </c>
      <c r="C12307" s="1" t="n">
        <v>45715</v>
      </c>
      <c r="D12307" t="inlineStr">
        <is>
          <t>KALMAR LÄN</t>
        </is>
      </c>
      <c r="E12307" t="inlineStr">
        <is>
          <t>KALMAR</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44414-2024</t>
        </is>
      </c>
      <c r="B12308" s="1" t="n">
        <v>45573</v>
      </c>
      <c r="C12308" s="1" t="n">
        <v>45715</v>
      </c>
      <c r="D12308" t="inlineStr">
        <is>
          <t>KALMAR LÄN</t>
        </is>
      </c>
      <c r="E12308" t="inlineStr">
        <is>
          <t>TORSÅS</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44226-2024</t>
        </is>
      </c>
      <c r="B12309" s="1" t="n">
        <v>45573</v>
      </c>
      <c r="C12309" s="1" t="n">
        <v>45715</v>
      </c>
      <c r="D12309" t="inlineStr">
        <is>
          <t>KALMAR LÄN</t>
        </is>
      </c>
      <c r="E12309" t="inlineStr">
        <is>
          <t>TORSÅS</t>
        </is>
      </c>
      <c r="F12309" t="inlineStr">
        <is>
          <t>Kommuner</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44188-2024</t>
        </is>
      </c>
      <c r="B12310" s="1" t="n">
        <v>45573</v>
      </c>
      <c r="C12310" s="1" t="n">
        <v>45715</v>
      </c>
      <c r="D12310" t="inlineStr">
        <is>
          <t>KALMAR LÄN</t>
        </is>
      </c>
      <c r="E12310" t="inlineStr">
        <is>
          <t>HULTSFRED</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44198-2024</t>
        </is>
      </c>
      <c r="B12311" s="1" t="n">
        <v>45573</v>
      </c>
      <c r="C12311" s="1" t="n">
        <v>45715</v>
      </c>
      <c r="D12311" t="inlineStr">
        <is>
          <t>KALMAR LÄN</t>
        </is>
      </c>
      <c r="E12311" t="inlineStr">
        <is>
          <t>VÄSTERVIK</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44203-2024</t>
        </is>
      </c>
      <c r="B12312" s="1" t="n">
        <v>45573</v>
      </c>
      <c r="C12312" s="1" t="n">
        <v>45715</v>
      </c>
      <c r="D12312" t="inlineStr">
        <is>
          <t>KALMAR LÄN</t>
        </is>
      </c>
      <c r="E12312" t="inlineStr">
        <is>
          <t>VÄSTERVIK</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44215-2024</t>
        </is>
      </c>
      <c r="B12313" s="1" t="n">
        <v>45573</v>
      </c>
      <c r="C12313" s="1" t="n">
        <v>45715</v>
      </c>
      <c r="D12313" t="inlineStr">
        <is>
          <t>KALMAR LÄN</t>
        </is>
      </c>
      <c r="E12313" t="inlineStr">
        <is>
          <t>EMMABODA</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44223-2024</t>
        </is>
      </c>
      <c r="B12314" s="1" t="n">
        <v>45573</v>
      </c>
      <c r="C12314" s="1" t="n">
        <v>45715</v>
      </c>
      <c r="D12314" t="inlineStr">
        <is>
          <t>KALMAR LÄN</t>
        </is>
      </c>
      <c r="E12314" t="inlineStr">
        <is>
          <t>VÄSTERVIK</t>
        </is>
      </c>
      <c r="F12314" t="inlineStr">
        <is>
          <t>Holmen skog AB</t>
        </is>
      </c>
      <c r="G12314" t="n">
        <v>8.800000000000001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44256-2024</t>
        </is>
      </c>
      <c r="B12315" s="1" t="n">
        <v>45573</v>
      </c>
      <c r="C12315" s="1" t="n">
        <v>45715</v>
      </c>
      <c r="D12315" t="inlineStr">
        <is>
          <t>KALMAR LÄN</t>
        </is>
      </c>
      <c r="E12315" t="inlineStr">
        <is>
          <t>HULTSFRED</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44269-2024</t>
        </is>
      </c>
      <c r="B12316" s="1" t="n">
        <v>45573</v>
      </c>
      <c r="C12316" s="1" t="n">
        <v>45715</v>
      </c>
      <c r="D12316" t="inlineStr">
        <is>
          <t>KALMAR LÄN</t>
        </is>
      </c>
      <c r="E12316" t="inlineStr">
        <is>
          <t>HULTSFRED</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44257-2024</t>
        </is>
      </c>
      <c r="B12317" s="1" t="n">
        <v>45573</v>
      </c>
      <c r="C12317" s="1" t="n">
        <v>45715</v>
      </c>
      <c r="D12317" t="inlineStr">
        <is>
          <t>KALMAR LÄN</t>
        </is>
      </c>
      <c r="E12317" t="inlineStr">
        <is>
          <t>HULTSFRED</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44220-2024</t>
        </is>
      </c>
      <c r="B12318" s="1" t="n">
        <v>45573</v>
      </c>
      <c r="C12318" s="1" t="n">
        <v>45715</v>
      </c>
      <c r="D12318" t="inlineStr">
        <is>
          <t>KALMAR LÄN</t>
        </is>
      </c>
      <c r="E12318" t="inlineStr">
        <is>
          <t>TORSÅS</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44504-2024</t>
        </is>
      </c>
      <c r="B12319" s="1" t="n">
        <v>45574</v>
      </c>
      <c r="C12319" s="1" t="n">
        <v>45715</v>
      </c>
      <c r="D12319" t="inlineStr">
        <is>
          <t>KALMAR LÄN</t>
        </is>
      </c>
      <c r="E12319" t="inlineStr">
        <is>
          <t>VIMMERBY</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44524-2024</t>
        </is>
      </c>
      <c r="B12320" s="1" t="n">
        <v>45574</v>
      </c>
      <c r="C12320" s="1" t="n">
        <v>45715</v>
      </c>
      <c r="D12320" t="inlineStr">
        <is>
          <t>KALMAR LÄN</t>
        </is>
      </c>
      <c r="E12320" t="inlineStr">
        <is>
          <t>OSKARSHAMN</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44533-2024</t>
        </is>
      </c>
      <c r="B12321" s="1" t="n">
        <v>45574</v>
      </c>
      <c r="C12321" s="1" t="n">
        <v>45715</v>
      </c>
      <c r="D12321" t="inlineStr">
        <is>
          <t>KALMAR LÄN</t>
        </is>
      </c>
      <c r="E12321" t="inlineStr">
        <is>
          <t>EMMABODA</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44541-2024</t>
        </is>
      </c>
      <c r="B12322" s="1" t="n">
        <v>45574</v>
      </c>
      <c r="C12322" s="1" t="n">
        <v>45715</v>
      </c>
      <c r="D12322" t="inlineStr">
        <is>
          <t>KALMAR LÄN</t>
        </is>
      </c>
      <c r="E12322" t="inlineStr">
        <is>
          <t>HÖGSBY</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44464-2024</t>
        </is>
      </c>
      <c r="B12323" s="1" t="n">
        <v>45574</v>
      </c>
      <c r="C12323" s="1" t="n">
        <v>45715</v>
      </c>
      <c r="D12323" t="inlineStr">
        <is>
          <t>KALMAR LÄN</t>
        </is>
      </c>
      <c r="E12323" t="inlineStr">
        <is>
          <t>VIMMERBY</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44582-2024</t>
        </is>
      </c>
      <c r="B12324" s="1" t="n">
        <v>45574</v>
      </c>
      <c r="C12324" s="1" t="n">
        <v>45715</v>
      </c>
      <c r="D12324" t="inlineStr">
        <is>
          <t>KALMAR LÄN</t>
        </is>
      </c>
      <c r="E12324" t="inlineStr">
        <is>
          <t>VIMMERBY</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44499-2024</t>
        </is>
      </c>
      <c r="B12325" s="1" t="n">
        <v>45574</v>
      </c>
      <c r="C12325" s="1" t="n">
        <v>45715</v>
      </c>
      <c r="D12325" t="inlineStr">
        <is>
          <t>KALMAR LÄN</t>
        </is>
      </c>
      <c r="E12325" t="inlineStr">
        <is>
          <t>EMMABODA</t>
        </is>
      </c>
      <c r="G12325" t="n">
        <v>5.7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44765-2024</t>
        </is>
      </c>
      <c r="B12326" s="1" t="n">
        <v>45574</v>
      </c>
      <c r="C12326" s="1" t="n">
        <v>45715</v>
      </c>
      <c r="D12326" t="inlineStr">
        <is>
          <t>KALMAR LÄN</t>
        </is>
      </c>
      <c r="E12326" t="inlineStr">
        <is>
          <t>KALMAR</t>
        </is>
      </c>
      <c r="F12326" t="inlineStr">
        <is>
          <t>Kommuner</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44490-2024</t>
        </is>
      </c>
      <c r="B12327" s="1" t="n">
        <v>45574</v>
      </c>
      <c r="C12327" s="1" t="n">
        <v>45715</v>
      </c>
      <c r="D12327" t="inlineStr">
        <is>
          <t>KALMAR LÄN</t>
        </is>
      </c>
      <c r="E12327" t="inlineStr">
        <is>
          <t>EMMABODA</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44522-2024</t>
        </is>
      </c>
      <c r="B12328" s="1" t="n">
        <v>45574</v>
      </c>
      <c r="C12328" s="1" t="n">
        <v>45715</v>
      </c>
      <c r="D12328" t="inlineStr">
        <is>
          <t>KALMAR LÄN</t>
        </is>
      </c>
      <c r="E12328" t="inlineStr">
        <is>
          <t>EMMABODA</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44535-2024</t>
        </is>
      </c>
      <c r="B12329" s="1" t="n">
        <v>45574</v>
      </c>
      <c r="C12329" s="1" t="n">
        <v>45715</v>
      </c>
      <c r="D12329" t="inlineStr">
        <is>
          <t>KALMAR LÄN</t>
        </is>
      </c>
      <c r="E12329" t="inlineStr">
        <is>
          <t>MÖNSTERÅS</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44691-2024</t>
        </is>
      </c>
      <c r="B12330" s="1" t="n">
        <v>45574</v>
      </c>
      <c r="C12330" s="1" t="n">
        <v>45715</v>
      </c>
      <c r="D12330" t="inlineStr">
        <is>
          <t>KALMAR LÄN</t>
        </is>
      </c>
      <c r="E12330" t="inlineStr">
        <is>
          <t>KALMAR</t>
        </is>
      </c>
      <c r="F12330" t="inlineStr">
        <is>
          <t>Kommuner</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44731-2024</t>
        </is>
      </c>
      <c r="B12331" s="1" t="n">
        <v>45574</v>
      </c>
      <c r="C12331" s="1" t="n">
        <v>45715</v>
      </c>
      <c r="D12331" t="inlineStr">
        <is>
          <t>KALMAR LÄN</t>
        </is>
      </c>
      <c r="E12331" t="inlineStr">
        <is>
          <t>KALMAR</t>
        </is>
      </c>
      <c r="F12331" t="inlineStr">
        <is>
          <t>Kommuner</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44740-2024</t>
        </is>
      </c>
      <c r="B12332" s="1" t="n">
        <v>45574</v>
      </c>
      <c r="C12332" s="1" t="n">
        <v>45715</v>
      </c>
      <c r="D12332" t="inlineStr">
        <is>
          <t>KALMAR LÄN</t>
        </is>
      </c>
      <c r="E12332" t="inlineStr">
        <is>
          <t>VIMMERBY</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44971-2024</t>
        </is>
      </c>
      <c r="B12333" s="1" t="n">
        <v>45575</v>
      </c>
      <c r="C12333" s="1" t="n">
        <v>45715</v>
      </c>
      <c r="D12333" t="inlineStr">
        <is>
          <t>KALMAR LÄN</t>
        </is>
      </c>
      <c r="E12333" t="inlineStr">
        <is>
          <t>OSKARSHAMN</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45031-2024</t>
        </is>
      </c>
      <c r="B12334" s="1" t="n">
        <v>45575</v>
      </c>
      <c r="C12334" s="1" t="n">
        <v>45715</v>
      </c>
      <c r="D12334" t="inlineStr">
        <is>
          <t>KALMAR LÄN</t>
        </is>
      </c>
      <c r="E12334" t="inlineStr">
        <is>
          <t>HULTSFRED</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45066-2024</t>
        </is>
      </c>
      <c r="B12335" s="1" t="n">
        <v>45575</v>
      </c>
      <c r="C12335" s="1" t="n">
        <v>45715</v>
      </c>
      <c r="D12335" t="inlineStr">
        <is>
          <t>KALMAR LÄN</t>
        </is>
      </c>
      <c r="E12335" t="inlineStr">
        <is>
          <t>MÖNSTERÅS</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45062-2024</t>
        </is>
      </c>
      <c r="B12336" s="1" t="n">
        <v>45575</v>
      </c>
      <c r="C12336" s="1" t="n">
        <v>45715</v>
      </c>
      <c r="D12336" t="inlineStr">
        <is>
          <t>KALMAR LÄN</t>
        </is>
      </c>
      <c r="E12336" t="inlineStr">
        <is>
          <t>MÖNSTERÅS</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45033-2024</t>
        </is>
      </c>
      <c r="B12337" s="1" t="n">
        <v>45575</v>
      </c>
      <c r="C12337" s="1" t="n">
        <v>45715</v>
      </c>
      <c r="D12337" t="inlineStr">
        <is>
          <t>KALMAR LÄN</t>
        </is>
      </c>
      <c r="E12337" t="inlineStr">
        <is>
          <t>HULTSFRED</t>
        </is>
      </c>
      <c r="G12337" t="n">
        <v>5.1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44936-2024</t>
        </is>
      </c>
      <c r="B12338" s="1" t="n">
        <v>45575</v>
      </c>
      <c r="C12338" s="1" t="n">
        <v>45715</v>
      </c>
      <c r="D12338" t="inlineStr">
        <is>
          <t>KALMAR LÄN</t>
        </is>
      </c>
      <c r="E12338" t="inlineStr">
        <is>
          <t>MÖNSTERÅS</t>
        </is>
      </c>
      <c r="G12338" t="n">
        <v>4.1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44932-2024</t>
        </is>
      </c>
      <c r="B12339" s="1" t="n">
        <v>45575</v>
      </c>
      <c r="C12339" s="1" t="n">
        <v>45715</v>
      </c>
      <c r="D12339" t="inlineStr">
        <is>
          <t>KALMAR LÄN</t>
        </is>
      </c>
      <c r="E12339" t="inlineStr">
        <is>
          <t>MÖNSTERÅS</t>
        </is>
      </c>
      <c r="F12339" t="inlineStr">
        <is>
          <t>Kommuner</t>
        </is>
      </c>
      <c r="G12339" t="n">
        <v>3.9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44920-2024</t>
        </is>
      </c>
      <c r="B12340" s="1" t="n">
        <v>45575</v>
      </c>
      <c r="C12340" s="1" t="n">
        <v>45715</v>
      </c>
      <c r="D12340" t="inlineStr">
        <is>
          <t>KALMAR LÄN</t>
        </is>
      </c>
      <c r="E12340" t="inlineStr">
        <is>
          <t>NYBRO</t>
        </is>
      </c>
      <c r="G12340" t="n">
        <v>8.199999999999999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44930-2024</t>
        </is>
      </c>
      <c r="B12341" s="1" t="n">
        <v>45575</v>
      </c>
      <c r="C12341" s="1" t="n">
        <v>45715</v>
      </c>
      <c r="D12341" t="inlineStr">
        <is>
          <t>KALMAR LÄN</t>
        </is>
      </c>
      <c r="E12341" t="inlineStr">
        <is>
          <t>KALMAR</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44858-2024</t>
        </is>
      </c>
      <c r="B12342" s="1" t="n">
        <v>45575</v>
      </c>
      <c r="C12342" s="1" t="n">
        <v>45715</v>
      </c>
      <c r="D12342" t="inlineStr">
        <is>
          <t>KALMAR LÄN</t>
        </is>
      </c>
      <c r="E12342" t="inlineStr">
        <is>
          <t>MÖNSTERÅS</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44886-2024</t>
        </is>
      </c>
      <c r="B12343" s="1" t="n">
        <v>45575</v>
      </c>
      <c r="C12343" s="1" t="n">
        <v>45715</v>
      </c>
      <c r="D12343" t="inlineStr">
        <is>
          <t>KALMAR LÄN</t>
        </is>
      </c>
      <c r="E12343" t="inlineStr">
        <is>
          <t>VIMMERBY</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45065-2024</t>
        </is>
      </c>
      <c r="B12344" s="1" t="n">
        <v>45575</v>
      </c>
      <c r="C12344" s="1" t="n">
        <v>45715</v>
      </c>
      <c r="D12344" t="inlineStr">
        <is>
          <t>KALMAR LÄN</t>
        </is>
      </c>
      <c r="E12344" t="inlineStr">
        <is>
          <t>MÖNSTERÅS</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45032-2024</t>
        </is>
      </c>
      <c r="B12345" s="1" t="n">
        <v>45575</v>
      </c>
      <c r="C12345" s="1" t="n">
        <v>45715</v>
      </c>
      <c r="D12345" t="inlineStr">
        <is>
          <t>KALMAR LÄN</t>
        </is>
      </c>
      <c r="E12345" t="inlineStr">
        <is>
          <t>HULTSFRED</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44941-2024</t>
        </is>
      </c>
      <c r="B12346" s="1" t="n">
        <v>45575</v>
      </c>
      <c r="C12346" s="1" t="n">
        <v>45715</v>
      </c>
      <c r="D12346" t="inlineStr">
        <is>
          <t>KALMAR LÄN</t>
        </is>
      </c>
      <c r="E12346" t="inlineStr">
        <is>
          <t>MÖNSTERÅS</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45470-2024</t>
        </is>
      </c>
      <c r="B12347" s="1" t="n">
        <v>45576</v>
      </c>
      <c r="C12347" s="1" t="n">
        <v>45715</v>
      </c>
      <c r="D12347" t="inlineStr">
        <is>
          <t>KALMAR LÄN</t>
        </is>
      </c>
      <c r="E12347" t="inlineStr">
        <is>
          <t>OSKARSHAMN</t>
        </is>
      </c>
      <c r="G12347" t="n">
        <v>3.9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45481-2024</t>
        </is>
      </c>
      <c r="B12348" s="1" t="n">
        <v>45576</v>
      </c>
      <c r="C12348" s="1" t="n">
        <v>45715</v>
      </c>
      <c r="D12348" t="inlineStr">
        <is>
          <t>KALMAR LÄN</t>
        </is>
      </c>
      <c r="E12348" t="inlineStr">
        <is>
          <t>KALMAR</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45465-2024</t>
        </is>
      </c>
      <c r="B12349" s="1" t="n">
        <v>45576</v>
      </c>
      <c r="C12349" s="1" t="n">
        <v>45715</v>
      </c>
      <c r="D12349" t="inlineStr">
        <is>
          <t>KALMAR LÄN</t>
        </is>
      </c>
      <c r="E12349" t="inlineStr">
        <is>
          <t>VÄSTERVIK</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45471-2024</t>
        </is>
      </c>
      <c r="B12350" s="1" t="n">
        <v>45576</v>
      </c>
      <c r="C12350" s="1" t="n">
        <v>45715</v>
      </c>
      <c r="D12350" t="inlineStr">
        <is>
          <t>KALMAR LÄN</t>
        </is>
      </c>
      <c r="E12350" t="inlineStr">
        <is>
          <t>OSKARSHAMN</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45463-2024</t>
        </is>
      </c>
      <c r="B12351" s="1" t="n">
        <v>45576</v>
      </c>
      <c r="C12351" s="1" t="n">
        <v>45715</v>
      </c>
      <c r="D12351" t="inlineStr">
        <is>
          <t>KALMAR LÄN</t>
        </is>
      </c>
      <c r="E12351" t="inlineStr">
        <is>
          <t>VÄSTERVIK</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45253-2024</t>
        </is>
      </c>
      <c r="B12352" s="1" t="n">
        <v>45576</v>
      </c>
      <c r="C12352" s="1" t="n">
        <v>45715</v>
      </c>
      <c r="D12352" t="inlineStr">
        <is>
          <t>KALMAR LÄN</t>
        </is>
      </c>
      <c r="E12352" t="inlineStr">
        <is>
          <t>VIMMERBY</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45497-2024</t>
        </is>
      </c>
      <c r="B12353" s="1" t="n">
        <v>45577</v>
      </c>
      <c r="C12353" s="1" t="n">
        <v>45715</v>
      </c>
      <c r="D12353" t="inlineStr">
        <is>
          <t>KALMAR LÄN</t>
        </is>
      </c>
      <c r="E12353" t="inlineStr">
        <is>
          <t>NYBRO</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45484-2024</t>
        </is>
      </c>
      <c r="B12354" s="1" t="n">
        <v>45577</v>
      </c>
      <c r="C12354" s="1" t="n">
        <v>45715</v>
      </c>
      <c r="D12354" t="inlineStr">
        <is>
          <t>KALMAR LÄN</t>
        </is>
      </c>
      <c r="E12354" t="inlineStr">
        <is>
          <t>NYBRO</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45711-2024</t>
        </is>
      </c>
      <c r="B12355" s="1" t="n">
        <v>45579</v>
      </c>
      <c r="C12355" s="1" t="n">
        <v>45715</v>
      </c>
      <c r="D12355" t="inlineStr">
        <is>
          <t>KALMAR LÄN</t>
        </is>
      </c>
      <c r="E12355" t="inlineStr">
        <is>
          <t>NYBRO</t>
        </is>
      </c>
      <c r="G12355" t="n">
        <v>5.6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45656-2024</t>
        </is>
      </c>
      <c r="B12356" s="1" t="n">
        <v>45579</v>
      </c>
      <c r="C12356" s="1" t="n">
        <v>45715</v>
      </c>
      <c r="D12356" t="inlineStr">
        <is>
          <t>KALMAR LÄN</t>
        </is>
      </c>
      <c r="E12356" t="inlineStr">
        <is>
          <t>VÄSTERVIK</t>
        </is>
      </c>
      <c r="F12356" t="inlineStr">
        <is>
          <t>Kyrkan</t>
        </is>
      </c>
      <c r="G12356" t="n">
        <v>3.5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45652-2024</t>
        </is>
      </c>
      <c r="B12357" s="1" t="n">
        <v>45579</v>
      </c>
      <c r="C12357" s="1" t="n">
        <v>45715</v>
      </c>
      <c r="D12357" t="inlineStr">
        <is>
          <t>KALMAR LÄN</t>
        </is>
      </c>
      <c r="E12357" t="inlineStr">
        <is>
          <t>VÄSTERVIK</t>
        </is>
      </c>
      <c r="F12357" t="inlineStr">
        <is>
          <t>Kyrkan</t>
        </is>
      </c>
      <c r="G12357" t="n">
        <v>3.1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45678-2024</t>
        </is>
      </c>
      <c r="B12358" s="1" t="n">
        <v>45579</v>
      </c>
      <c r="C12358" s="1" t="n">
        <v>45715</v>
      </c>
      <c r="D12358" t="inlineStr">
        <is>
          <t>KALMAR LÄN</t>
        </is>
      </c>
      <c r="E12358" t="inlineStr">
        <is>
          <t>VÄSTERVIK</t>
        </is>
      </c>
      <c r="F12358" t="inlineStr">
        <is>
          <t>Kyrkan</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45640-2024</t>
        </is>
      </c>
      <c r="B12359" s="1" t="n">
        <v>45579</v>
      </c>
      <c r="C12359" s="1" t="n">
        <v>45715</v>
      </c>
      <c r="D12359" t="inlineStr">
        <is>
          <t>KALMAR LÄN</t>
        </is>
      </c>
      <c r="E12359" t="inlineStr">
        <is>
          <t>EMMABODA</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45584-2024</t>
        </is>
      </c>
      <c r="B12360" s="1" t="n">
        <v>45579</v>
      </c>
      <c r="C12360" s="1" t="n">
        <v>45715</v>
      </c>
      <c r="D12360" t="inlineStr">
        <is>
          <t>KALMAR LÄN</t>
        </is>
      </c>
      <c r="E12360" t="inlineStr">
        <is>
          <t>KALMAR</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45823-2024</t>
        </is>
      </c>
      <c r="B12361" s="1" t="n">
        <v>45579</v>
      </c>
      <c r="C12361" s="1" t="n">
        <v>45715</v>
      </c>
      <c r="D12361" t="inlineStr">
        <is>
          <t>KALMAR LÄN</t>
        </is>
      </c>
      <c r="E12361" t="inlineStr">
        <is>
          <t>OSKARSHAMN</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45815-2024</t>
        </is>
      </c>
      <c r="B12362" s="1" t="n">
        <v>45579</v>
      </c>
      <c r="C12362" s="1" t="n">
        <v>45715</v>
      </c>
      <c r="D12362" t="inlineStr">
        <is>
          <t>KALMAR LÄN</t>
        </is>
      </c>
      <c r="E12362" t="inlineStr">
        <is>
          <t>TORSÅS</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45712-2024</t>
        </is>
      </c>
      <c r="B12363" s="1" t="n">
        <v>45579</v>
      </c>
      <c r="C12363" s="1" t="n">
        <v>45715</v>
      </c>
      <c r="D12363" t="inlineStr">
        <is>
          <t>KALMAR LÄN</t>
        </is>
      </c>
      <c r="E12363" t="inlineStr">
        <is>
          <t>NYBRO</t>
        </is>
      </c>
      <c r="G12363" t="n">
        <v>6.5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45822-2024</t>
        </is>
      </c>
      <c r="B12364" s="1" t="n">
        <v>45579</v>
      </c>
      <c r="C12364" s="1" t="n">
        <v>45715</v>
      </c>
      <c r="D12364" t="inlineStr">
        <is>
          <t>KALMAR LÄN</t>
        </is>
      </c>
      <c r="E12364" t="inlineStr">
        <is>
          <t>OSKARSHAMN</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45883-2024</t>
        </is>
      </c>
      <c r="B12365" s="1" t="n">
        <v>45580</v>
      </c>
      <c r="C12365" s="1" t="n">
        <v>45715</v>
      </c>
      <c r="D12365" t="inlineStr">
        <is>
          <t>KALMAR LÄN</t>
        </is>
      </c>
      <c r="E12365" t="inlineStr">
        <is>
          <t>OSKARSHAMN</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45967-2024</t>
        </is>
      </c>
      <c r="B12366" s="1" t="n">
        <v>45580</v>
      </c>
      <c r="C12366" s="1" t="n">
        <v>45715</v>
      </c>
      <c r="D12366" t="inlineStr">
        <is>
          <t>KALMAR LÄN</t>
        </is>
      </c>
      <c r="E12366" t="inlineStr">
        <is>
          <t>NYBRO</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45860-2024</t>
        </is>
      </c>
      <c r="B12367" s="1" t="n">
        <v>45580</v>
      </c>
      <c r="C12367" s="1" t="n">
        <v>45715</v>
      </c>
      <c r="D12367" t="inlineStr">
        <is>
          <t>KALMAR LÄN</t>
        </is>
      </c>
      <c r="E12367" t="inlineStr">
        <is>
          <t>EMMABODA</t>
        </is>
      </c>
      <c r="G12367" t="n">
        <v>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45893-2024</t>
        </is>
      </c>
      <c r="B12368" s="1" t="n">
        <v>45580</v>
      </c>
      <c r="C12368" s="1" t="n">
        <v>45715</v>
      </c>
      <c r="D12368" t="inlineStr">
        <is>
          <t>KALMAR LÄN</t>
        </is>
      </c>
      <c r="E12368" t="inlineStr">
        <is>
          <t>OSKARSHAMN</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45888-2024</t>
        </is>
      </c>
      <c r="B12369" s="1" t="n">
        <v>45580</v>
      </c>
      <c r="C12369" s="1" t="n">
        <v>45715</v>
      </c>
      <c r="D12369" t="inlineStr">
        <is>
          <t>KALMAR LÄN</t>
        </is>
      </c>
      <c r="E12369" t="inlineStr">
        <is>
          <t>MÖNSTERÅS</t>
        </is>
      </c>
      <c r="G12369" t="n">
        <v>6.6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45900-2024</t>
        </is>
      </c>
      <c r="B12370" s="1" t="n">
        <v>45580</v>
      </c>
      <c r="C12370" s="1" t="n">
        <v>45715</v>
      </c>
      <c r="D12370" t="inlineStr">
        <is>
          <t>KALMAR LÄN</t>
        </is>
      </c>
      <c r="E12370" t="inlineStr">
        <is>
          <t>OSKARSHAMN</t>
        </is>
      </c>
      <c r="G12370" t="n">
        <v>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46029-2024</t>
        </is>
      </c>
      <c r="B12371" s="1" t="n">
        <v>45580</v>
      </c>
      <c r="C12371" s="1" t="n">
        <v>45715</v>
      </c>
      <c r="D12371" t="inlineStr">
        <is>
          <t>KALMAR LÄN</t>
        </is>
      </c>
      <c r="E12371" t="inlineStr">
        <is>
          <t>HULTSFRED</t>
        </is>
      </c>
      <c r="G12371" t="n">
        <v>5.3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45898-2024</t>
        </is>
      </c>
      <c r="B12372" s="1" t="n">
        <v>45580</v>
      </c>
      <c r="C12372" s="1" t="n">
        <v>45715</v>
      </c>
      <c r="D12372" t="inlineStr">
        <is>
          <t>KALMAR LÄN</t>
        </is>
      </c>
      <c r="E12372" t="inlineStr">
        <is>
          <t>OSKARSHAMN</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46226-2024</t>
        </is>
      </c>
      <c r="B12373" s="1" t="n">
        <v>45581</v>
      </c>
      <c r="C12373" s="1" t="n">
        <v>45715</v>
      </c>
      <c r="D12373" t="inlineStr">
        <is>
          <t>KALMAR LÄN</t>
        </is>
      </c>
      <c r="E12373" t="inlineStr">
        <is>
          <t>NYBRO</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46324-2024</t>
        </is>
      </c>
      <c r="B12374" s="1" t="n">
        <v>45581</v>
      </c>
      <c r="C12374" s="1" t="n">
        <v>45715</v>
      </c>
      <c r="D12374" t="inlineStr">
        <is>
          <t>KALMAR LÄN</t>
        </is>
      </c>
      <c r="E12374" t="inlineStr">
        <is>
          <t>EMMABODA</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46328-2024</t>
        </is>
      </c>
      <c r="B12375" s="1" t="n">
        <v>45581</v>
      </c>
      <c r="C12375" s="1" t="n">
        <v>45715</v>
      </c>
      <c r="D12375" t="inlineStr">
        <is>
          <t>KALMAR LÄN</t>
        </is>
      </c>
      <c r="E12375" t="inlineStr">
        <is>
          <t>EMMABODA</t>
        </is>
      </c>
      <c r="G12375" t="n">
        <v>4.1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46330-2024</t>
        </is>
      </c>
      <c r="B12376" s="1" t="n">
        <v>45581</v>
      </c>
      <c r="C12376" s="1" t="n">
        <v>45715</v>
      </c>
      <c r="D12376" t="inlineStr">
        <is>
          <t>KALMAR LÄN</t>
        </is>
      </c>
      <c r="E12376" t="inlineStr">
        <is>
          <t>HÖGSBY</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46285-2024</t>
        </is>
      </c>
      <c r="B12377" s="1" t="n">
        <v>45581</v>
      </c>
      <c r="C12377" s="1" t="n">
        <v>45715</v>
      </c>
      <c r="D12377" t="inlineStr">
        <is>
          <t>KALMAR LÄN</t>
        </is>
      </c>
      <c r="E12377" t="inlineStr">
        <is>
          <t>HÖGSBY</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46278-2024</t>
        </is>
      </c>
      <c r="B12378" s="1" t="n">
        <v>45581</v>
      </c>
      <c r="C12378" s="1" t="n">
        <v>45715</v>
      </c>
      <c r="D12378" t="inlineStr">
        <is>
          <t>KALMAR LÄN</t>
        </is>
      </c>
      <c r="E12378" t="inlineStr">
        <is>
          <t>HÖGSBY</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46224-2024</t>
        </is>
      </c>
      <c r="B12379" s="1" t="n">
        <v>45581</v>
      </c>
      <c r="C12379" s="1" t="n">
        <v>45715</v>
      </c>
      <c r="D12379" t="inlineStr">
        <is>
          <t>KALMAR LÄN</t>
        </is>
      </c>
      <c r="E12379" t="inlineStr">
        <is>
          <t>VIMMERBY</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46225-2024</t>
        </is>
      </c>
      <c r="B12380" s="1" t="n">
        <v>45581</v>
      </c>
      <c r="C12380" s="1" t="n">
        <v>45715</v>
      </c>
      <c r="D12380" t="inlineStr">
        <is>
          <t>KALMAR LÄN</t>
        </is>
      </c>
      <c r="E12380" t="inlineStr">
        <is>
          <t>VIMMERBY</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46229-2024</t>
        </is>
      </c>
      <c r="B12381" s="1" t="n">
        <v>45581</v>
      </c>
      <c r="C12381" s="1" t="n">
        <v>45715</v>
      </c>
      <c r="D12381" t="inlineStr">
        <is>
          <t>KALMAR LÄN</t>
        </is>
      </c>
      <c r="E12381" t="inlineStr">
        <is>
          <t>NYBRO</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46234-2024</t>
        </is>
      </c>
      <c r="B12382" s="1" t="n">
        <v>45581</v>
      </c>
      <c r="C12382" s="1" t="n">
        <v>45715</v>
      </c>
      <c r="D12382" t="inlineStr">
        <is>
          <t>KALMAR LÄN</t>
        </is>
      </c>
      <c r="E12382" t="inlineStr">
        <is>
          <t>VIMMERBY</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46238-2024</t>
        </is>
      </c>
      <c r="B12383" s="1" t="n">
        <v>45581</v>
      </c>
      <c r="C12383" s="1" t="n">
        <v>45715</v>
      </c>
      <c r="D12383" t="inlineStr">
        <is>
          <t>KALMAR LÄN</t>
        </is>
      </c>
      <c r="E12383" t="inlineStr">
        <is>
          <t>VIMMERBY</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46242-2024</t>
        </is>
      </c>
      <c r="B12384" s="1" t="n">
        <v>45581</v>
      </c>
      <c r="C12384" s="1" t="n">
        <v>45715</v>
      </c>
      <c r="D12384" t="inlineStr">
        <is>
          <t>KALMAR LÄN</t>
        </is>
      </c>
      <c r="E12384" t="inlineStr">
        <is>
          <t>VIMMERBY</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46329-2024</t>
        </is>
      </c>
      <c r="B12385" s="1" t="n">
        <v>45581</v>
      </c>
      <c r="C12385" s="1" t="n">
        <v>45715</v>
      </c>
      <c r="D12385" t="inlineStr">
        <is>
          <t>KALMAR LÄN</t>
        </is>
      </c>
      <c r="E12385" t="inlineStr">
        <is>
          <t>HÖGSBY</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46476-2024</t>
        </is>
      </c>
      <c r="B12386" s="1" t="n">
        <v>45582</v>
      </c>
      <c r="C12386" s="1" t="n">
        <v>45715</v>
      </c>
      <c r="D12386" t="inlineStr">
        <is>
          <t>KALMAR LÄN</t>
        </is>
      </c>
      <c r="E12386" t="inlineStr">
        <is>
          <t>HULTSFRED</t>
        </is>
      </c>
      <c r="F12386" t="inlineStr">
        <is>
          <t>Sveaskog</t>
        </is>
      </c>
      <c r="G12386" t="n">
        <v>0.3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46556-2024</t>
        </is>
      </c>
      <c r="B12387" s="1" t="n">
        <v>45582</v>
      </c>
      <c r="C12387" s="1" t="n">
        <v>45715</v>
      </c>
      <c r="D12387" t="inlineStr">
        <is>
          <t>KALMAR LÄN</t>
        </is>
      </c>
      <c r="E12387" t="inlineStr">
        <is>
          <t>HÖGSBY</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46455-2024</t>
        </is>
      </c>
      <c r="B12388" s="1" t="n">
        <v>45582</v>
      </c>
      <c r="C12388" s="1" t="n">
        <v>45715</v>
      </c>
      <c r="D12388" t="inlineStr">
        <is>
          <t>KALMAR LÄN</t>
        </is>
      </c>
      <c r="E12388" t="inlineStr">
        <is>
          <t>VIMMERBY</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46547-2024</t>
        </is>
      </c>
      <c r="B12389" s="1" t="n">
        <v>45582</v>
      </c>
      <c r="C12389" s="1" t="n">
        <v>45715</v>
      </c>
      <c r="D12389" t="inlineStr">
        <is>
          <t>KALMAR LÄN</t>
        </is>
      </c>
      <c r="E12389" t="inlineStr">
        <is>
          <t>HÖGSBY</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46603-2024</t>
        </is>
      </c>
      <c r="B12390" s="1" t="n">
        <v>45582</v>
      </c>
      <c r="C12390" s="1" t="n">
        <v>45715</v>
      </c>
      <c r="D12390" t="inlineStr">
        <is>
          <t>KALMAR LÄN</t>
        </is>
      </c>
      <c r="E12390" t="inlineStr">
        <is>
          <t>VIMMERBY</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46424-2024</t>
        </is>
      </c>
      <c r="B12391" s="1" t="n">
        <v>45582</v>
      </c>
      <c r="C12391" s="1" t="n">
        <v>45715</v>
      </c>
      <c r="D12391" t="inlineStr">
        <is>
          <t>KALMAR LÄN</t>
        </is>
      </c>
      <c r="E12391" t="inlineStr">
        <is>
          <t>EMMABODA</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46399-2024</t>
        </is>
      </c>
      <c r="B12392" s="1" t="n">
        <v>45582</v>
      </c>
      <c r="C12392" s="1" t="n">
        <v>45715</v>
      </c>
      <c r="D12392" t="inlineStr">
        <is>
          <t>KALMAR LÄN</t>
        </is>
      </c>
      <c r="E12392" t="inlineStr">
        <is>
          <t>VIMMERBY</t>
        </is>
      </c>
      <c r="G12392" t="n">
        <v>4.6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46395-2024</t>
        </is>
      </c>
      <c r="B12393" s="1" t="n">
        <v>45582</v>
      </c>
      <c r="C12393" s="1" t="n">
        <v>45715</v>
      </c>
      <c r="D12393" t="inlineStr">
        <is>
          <t>KALMAR LÄN</t>
        </is>
      </c>
      <c r="E12393" t="inlineStr">
        <is>
          <t>KALMAR</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46347-2024</t>
        </is>
      </c>
      <c r="B12394" s="1" t="n">
        <v>45582</v>
      </c>
      <c r="C12394" s="1" t="n">
        <v>45715</v>
      </c>
      <c r="D12394" t="inlineStr">
        <is>
          <t>KALMAR LÄN</t>
        </is>
      </c>
      <c r="E12394" t="inlineStr">
        <is>
          <t>NYBRO</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46600-2024</t>
        </is>
      </c>
      <c r="B12395" s="1" t="n">
        <v>45582</v>
      </c>
      <c r="C12395" s="1" t="n">
        <v>45715</v>
      </c>
      <c r="D12395" t="inlineStr">
        <is>
          <t>KALMAR LÄN</t>
        </is>
      </c>
      <c r="E12395" t="inlineStr">
        <is>
          <t>VIMMERBY</t>
        </is>
      </c>
      <c r="G12395" t="n">
        <v>9.199999999999999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46429-2024</t>
        </is>
      </c>
      <c r="B12396" s="1" t="n">
        <v>45582</v>
      </c>
      <c r="C12396" s="1" t="n">
        <v>45715</v>
      </c>
      <c r="D12396" t="inlineStr">
        <is>
          <t>KALMAR LÄN</t>
        </is>
      </c>
      <c r="E12396" t="inlineStr">
        <is>
          <t>EMMABODA</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46457-2024</t>
        </is>
      </c>
      <c r="B12397" s="1" t="n">
        <v>45582</v>
      </c>
      <c r="C12397" s="1" t="n">
        <v>45715</v>
      </c>
      <c r="D12397" t="inlineStr">
        <is>
          <t>KALMAR LÄN</t>
        </is>
      </c>
      <c r="E12397" t="inlineStr">
        <is>
          <t>VIMMERBY</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46541-2024</t>
        </is>
      </c>
      <c r="B12398" s="1" t="n">
        <v>45582</v>
      </c>
      <c r="C12398" s="1" t="n">
        <v>45715</v>
      </c>
      <c r="D12398" t="inlineStr">
        <is>
          <t>KALMAR LÄN</t>
        </is>
      </c>
      <c r="E12398" t="inlineStr">
        <is>
          <t>HULTSFRED</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46649-2024</t>
        </is>
      </c>
      <c r="B12399" s="1" t="n">
        <v>45583</v>
      </c>
      <c r="C12399" s="1" t="n">
        <v>45715</v>
      </c>
      <c r="D12399" t="inlineStr">
        <is>
          <t>KALMAR LÄN</t>
        </is>
      </c>
      <c r="E12399" t="inlineStr">
        <is>
          <t>VIMMERBY</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46626-2024</t>
        </is>
      </c>
      <c r="B12400" s="1" t="n">
        <v>45583</v>
      </c>
      <c r="C12400" s="1" t="n">
        <v>45715</v>
      </c>
      <c r="D12400" t="inlineStr">
        <is>
          <t>KALMAR LÄN</t>
        </is>
      </c>
      <c r="E12400" t="inlineStr">
        <is>
          <t>TORSÅS</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46622-2024</t>
        </is>
      </c>
      <c r="B12401" s="1" t="n">
        <v>45583</v>
      </c>
      <c r="C12401" s="1" t="n">
        <v>45715</v>
      </c>
      <c r="D12401" t="inlineStr">
        <is>
          <t>KALMAR LÄN</t>
        </is>
      </c>
      <c r="E12401" t="inlineStr">
        <is>
          <t>TORSÅS</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46935-2024</t>
        </is>
      </c>
      <c r="B12402" s="1" t="n">
        <v>45585</v>
      </c>
      <c r="C12402" s="1" t="n">
        <v>45715</v>
      </c>
      <c r="D12402" t="inlineStr">
        <is>
          <t>KALMAR LÄN</t>
        </is>
      </c>
      <c r="E12402" t="inlineStr">
        <is>
          <t>HULTSFRED</t>
        </is>
      </c>
      <c r="F12402" t="inlineStr">
        <is>
          <t>Sveaskog</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46933-2024</t>
        </is>
      </c>
      <c r="B12403" s="1" t="n">
        <v>45585</v>
      </c>
      <c r="C12403" s="1" t="n">
        <v>45715</v>
      </c>
      <c r="D12403" t="inlineStr">
        <is>
          <t>KALMAR LÄN</t>
        </is>
      </c>
      <c r="E12403" t="inlineStr">
        <is>
          <t>HULTSFRED</t>
        </is>
      </c>
      <c r="F12403" t="inlineStr">
        <is>
          <t>Sveaskog</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46946-2024</t>
        </is>
      </c>
      <c r="B12404" s="1" t="n">
        <v>45585</v>
      </c>
      <c r="C12404" s="1" t="n">
        <v>45715</v>
      </c>
      <c r="D12404" t="inlineStr">
        <is>
          <t>KALMAR LÄN</t>
        </is>
      </c>
      <c r="E12404" t="inlineStr">
        <is>
          <t>EMMABODA</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47270-2024</t>
        </is>
      </c>
      <c r="B12405" s="1" t="n">
        <v>45586</v>
      </c>
      <c r="C12405" s="1" t="n">
        <v>45715</v>
      </c>
      <c r="D12405" t="inlineStr">
        <is>
          <t>KALMAR LÄN</t>
        </is>
      </c>
      <c r="E12405" t="inlineStr">
        <is>
          <t>NYBRO</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47266-2024</t>
        </is>
      </c>
      <c r="B12406" s="1" t="n">
        <v>45586</v>
      </c>
      <c r="C12406" s="1" t="n">
        <v>45715</v>
      </c>
      <c r="D12406" t="inlineStr">
        <is>
          <t>KALMAR LÄN</t>
        </is>
      </c>
      <c r="E12406" t="inlineStr">
        <is>
          <t>EMMABODA</t>
        </is>
      </c>
      <c r="G12406" t="n">
        <v>6.1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46967-2024</t>
        </is>
      </c>
      <c r="B12407" s="1" t="n">
        <v>45586</v>
      </c>
      <c r="C12407" s="1" t="n">
        <v>45715</v>
      </c>
      <c r="D12407" t="inlineStr">
        <is>
          <t>KALMAR LÄN</t>
        </is>
      </c>
      <c r="E12407" t="inlineStr">
        <is>
          <t>VÄSTERVIK</t>
        </is>
      </c>
      <c r="G12407" t="n">
        <v>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47236-2024</t>
        </is>
      </c>
      <c r="B12408" s="1" t="n">
        <v>45586</v>
      </c>
      <c r="C12408" s="1" t="n">
        <v>45715</v>
      </c>
      <c r="D12408" t="inlineStr">
        <is>
          <t>KALMAR LÄN</t>
        </is>
      </c>
      <c r="E12408" t="inlineStr">
        <is>
          <t>EMMABODA</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47077-2024</t>
        </is>
      </c>
      <c r="B12409" s="1" t="n">
        <v>45586</v>
      </c>
      <c r="C12409" s="1" t="n">
        <v>45715</v>
      </c>
      <c r="D12409" t="inlineStr">
        <is>
          <t>KALMAR LÄN</t>
        </is>
      </c>
      <c r="E12409" t="inlineStr">
        <is>
          <t>HULTSFRED</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47053-2024</t>
        </is>
      </c>
      <c r="B12410" s="1" t="n">
        <v>45586</v>
      </c>
      <c r="C12410" s="1" t="n">
        <v>45715</v>
      </c>
      <c r="D12410" t="inlineStr">
        <is>
          <t>KALMAR LÄN</t>
        </is>
      </c>
      <c r="E12410" t="inlineStr">
        <is>
          <t>VÄSTERVIK</t>
        </is>
      </c>
      <c r="F12410" t="inlineStr">
        <is>
          <t>Holmen skog AB</t>
        </is>
      </c>
      <c r="G12410" t="n">
        <v>13.7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47251-2024</t>
        </is>
      </c>
      <c r="B12411" s="1" t="n">
        <v>45586</v>
      </c>
      <c r="C12411" s="1" t="n">
        <v>45715</v>
      </c>
      <c r="D12411" t="inlineStr">
        <is>
          <t>KALMAR LÄN</t>
        </is>
      </c>
      <c r="E12411" t="inlineStr">
        <is>
          <t>HÖGSBY</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47267-2024</t>
        </is>
      </c>
      <c r="B12412" s="1" t="n">
        <v>45586</v>
      </c>
      <c r="C12412" s="1" t="n">
        <v>45715</v>
      </c>
      <c r="D12412" t="inlineStr">
        <is>
          <t>KALMAR LÄN</t>
        </is>
      </c>
      <c r="E12412" t="inlineStr">
        <is>
          <t>NYBRO</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47335-2024</t>
        </is>
      </c>
      <c r="B12413" s="1" t="n">
        <v>45587</v>
      </c>
      <c r="C12413" s="1" t="n">
        <v>45715</v>
      </c>
      <c r="D12413" t="inlineStr">
        <is>
          <t>KALMAR LÄN</t>
        </is>
      </c>
      <c r="E12413" t="inlineStr">
        <is>
          <t>NYBRO</t>
        </is>
      </c>
      <c r="G12413" t="n">
        <v>8.699999999999999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47421-2024</t>
        </is>
      </c>
      <c r="B12414" s="1" t="n">
        <v>45587</v>
      </c>
      <c r="C12414" s="1" t="n">
        <v>45715</v>
      </c>
      <c r="D12414" t="inlineStr">
        <is>
          <t>KALMAR LÄN</t>
        </is>
      </c>
      <c r="E12414" t="inlineStr">
        <is>
          <t>VIMMERBY</t>
        </is>
      </c>
      <c r="G12414" t="n">
        <v>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47451-2024</t>
        </is>
      </c>
      <c r="B12415" s="1" t="n">
        <v>45587</v>
      </c>
      <c r="C12415" s="1" t="n">
        <v>45715</v>
      </c>
      <c r="D12415" t="inlineStr">
        <is>
          <t>KALMAR LÄN</t>
        </is>
      </c>
      <c r="E12415" t="inlineStr">
        <is>
          <t>EMMABODA</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47582-2024</t>
        </is>
      </c>
      <c r="B12416" s="1" t="n">
        <v>45587</v>
      </c>
      <c r="C12416" s="1" t="n">
        <v>45715</v>
      </c>
      <c r="D12416" t="inlineStr">
        <is>
          <t>KALMAR LÄN</t>
        </is>
      </c>
      <c r="E12416" t="inlineStr">
        <is>
          <t>OSKARSHAMN</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47415-2024</t>
        </is>
      </c>
      <c r="B12417" s="1" t="n">
        <v>45587</v>
      </c>
      <c r="C12417" s="1" t="n">
        <v>45715</v>
      </c>
      <c r="D12417" t="inlineStr">
        <is>
          <t>KALMAR LÄN</t>
        </is>
      </c>
      <c r="E12417" t="inlineStr">
        <is>
          <t>VIMMERBY</t>
        </is>
      </c>
      <c r="G12417" t="n">
        <v>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47703-2024</t>
        </is>
      </c>
      <c r="B12418" s="1" t="n">
        <v>45588</v>
      </c>
      <c r="C12418" s="1" t="n">
        <v>45715</v>
      </c>
      <c r="D12418" t="inlineStr">
        <is>
          <t>KALMAR LÄN</t>
        </is>
      </c>
      <c r="E12418" t="inlineStr">
        <is>
          <t>EMMABODA</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47797-2024</t>
        </is>
      </c>
      <c r="B12419" s="1" t="n">
        <v>45588</v>
      </c>
      <c r="C12419" s="1" t="n">
        <v>45715</v>
      </c>
      <c r="D12419" t="inlineStr">
        <is>
          <t>KALMAR LÄN</t>
        </is>
      </c>
      <c r="E12419" t="inlineStr">
        <is>
          <t>HÖGSBY</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47778-2024</t>
        </is>
      </c>
      <c r="B12420" s="1" t="n">
        <v>45588</v>
      </c>
      <c r="C12420" s="1" t="n">
        <v>45715</v>
      </c>
      <c r="D12420" t="inlineStr">
        <is>
          <t>KALMAR LÄN</t>
        </is>
      </c>
      <c r="E12420" t="inlineStr">
        <is>
          <t>HÖGSBY</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47779-2024</t>
        </is>
      </c>
      <c r="B12421" s="1" t="n">
        <v>45588</v>
      </c>
      <c r="C12421" s="1" t="n">
        <v>45715</v>
      </c>
      <c r="D12421" t="inlineStr">
        <is>
          <t>KALMAR LÄN</t>
        </is>
      </c>
      <c r="E12421" t="inlineStr">
        <is>
          <t>HÖGSBY</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47783-2024</t>
        </is>
      </c>
      <c r="B12422" s="1" t="n">
        <v>45588</v>
      </c>
      <c r="C12422" s="1" t="n">
        <v>45715</v>
      </c>
      <c r="D12422" t="inlineStr">
        <is>
          <t>KALMAR LÄN</t>
        </is>
      </c>
      <c r="E12422" t="inlineStr">
        <is>
          <t>HÖGSBY</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47842-2024</t>
        </is>
      </c>
      <c r="B12423" s="1" t="n">
        <v>45588</v>
      </c>
      <c r="C12423" s="1" t="n">
        <v>45715</v>
      </c>
      <c r="D12423" t="inlineStr">
        <is>
          <t>KALMAR LÄN</t>
        </is>
      </c>
      <c r="E12423" t="inlineStr">
        <is>
          <t>VIMMERBY</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47865-2024</t>
        </is>
      </c>
      <c r="B12424" s="1" t="n">
        <v>45588</v>
      </c>
      <c r="C12424" s="1" t="n">
        <v>45715</v>
      </c>
      <c r="D12424" t="inlineStr">
        <is>
          <t>KALMAR LÄN</t>
        </is>
      </c>
      <c r="E12424" t="inlineStr">
        <is>
          <t>KALMAR</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47864-2024</t>
        </is>
      </c>
      <c r="B12425" s="1" t="n">
        <v>45588</v>
      </c>
      <c r="C12425" s="1" t="n">
        <v>45715</v>
      </c>
      <c r="D12425" t="inlineStr">
        <is>
          <t>KALMAR LÄN</t>
        </is>
      </c>
      <c r="E12425" t="inlineStr">
        <is>
          <t>EMMABODA</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47851-2024</t>
        </is>
      </c>
      <c r="B12426" s="1" t="n">
        <v>45588</v>
      </c>
      <c r="C12426" s="1" t="n">
        <v>45715</v>
      </c>
      <c r="D12426" t="inlineStr">
        <is>
          <t>KALMAR LÄN</t>
        </is>
      </c>
      <c r="E12426" t="inlineStr">
        <is>
          <t>VIMMERBY</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47855-2024</t>
        </is>
      </c>
      <c r="B12427" s="1" t="n">
        <v>45588</v>
      </c>
      <c r="C12427" s="1" t="n">
        <v>45715</v>
      </c>
      <c r="D12427" t="inlineStr">
        <is>
          <t>KALMAR LÄN</t>
        </is>
      </c>
      <c r="E12427" t="inlineStr">
        <is>
          <t>VIMMERBY</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47859-2024</t>
        </is>
      </c>
      <c r="B12428" s="1" t="n">
        <v>45588</v>
      </c>
      <c r="C12428" s="1" t="n">
        <v>45715</v>
      </c>
      <c r="D12428" t="inlineStr">
        <is>
          <t>KALMAR LÄN</t>
        </is>
      </c>
      <c r="E12428" t="inlineStr">
        <is>
          <t>VIMMERBY</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48030-2024</t>
        </is>
      </c>
      <c r="B12429" s="1" t="n">
        <v>45589</v>
      </c>
      <c r="C12429" s="1" t="n">
        <v>45715</v>
      </c>
      <c r="D12429" t="inlineStr">
        <is>
          <t>KALMAR LÄN</t>
        </is>
      </c>
      <c r="E12429" t="inlineStr">
        <is>
          <t>HÖGSBY</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48046-2024</t>
        </is>
      </c>
      <c r="B12430" s="1" t="n">
        <v>45589</v>
      </c>
      <c r="C12430" s="1" t="n">
        <v>45715</v>
      </c>
      <c r="D12430" t="inlineStr">
        <is>
          <t>KALMAR LÄN</t>
        </is>
      </c>
      <c r="E12430" t="inlineStr">
        <is>
          <t>TORSÅS</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48123-2024</t>
        </is>
      </c>
      <c r="B12431" s="1" t="n">
        <v>45589</v>
      </c>
      <c r="C12431" s="1" t="n">
        <v>45715</v>
      </c>
      <c r="D12431" t="inlineStr">
        <is>
          <t>KALMAR LÄN</t>
        </is>
      </c>
      <c r="E12431" t="inlineStr">
        <is>
          <t>HULTSFRED</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48130-2024</t>
        </is>
      </c>
      <c r="B12432" s="1" t="n">
        <v>45589</v>
      </c>
      <c r="C12432" s="1" t="n">
        <v>45715</v>
      </c>
      <c r="D12432" t="inlineStr">
        <is>
          <t>KALMAR LÄN</t>
        </is>
      </c>
      <c r="E12432" t="inlineStr">
        <is>
          <t>HULTSFRED</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47914-2024</t>
        </is>
      </c>
      <c r="B12433" s="1" t="n">
        <v>45589</v>
      </c>
      <c r="C12433" s="1" t="n">
        <v>45715</v>
      </c>
      <c r="D12433" t="inlineStr">
        <is>
          <t>KALMAR LÄN</t>
        </is>
      </c>
      <c r="E12433" t="inlineStr">
        <is>
          <t>VIMMERBY</t>
        </is>
      </c>
      <c r="G12433" t="n">
        <v>9.6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48035-2024</t>
        </is>
      </c>
      <c r="B12434" s="1" t="n">
        <v>45589</v>
      </c>
      <c r="C12434" s="1" t="n">
        <v>45715</v>
      </c>
      <c r="D12434" t="inlineStr">
        <is>
          <t>KALMAR LÄN</t>
        </is>
      </c>
      <c r="E12434" t="inlineStr">
        <is>
          <t>VÄSTERVIK</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48079-2024</t>
        </is>
      </c>
      <c r="B12435" s="1" t="n">
        <v>45589</v>
      </c>
      <c r="C12435" s="1" t="n">
        <v>45715</v>
      </c>
      <c r="D12435" t="inlineStr">
        <is>
          <t>KALMAR LÄN</t>
        </is>
      </c>
      <c r="E12435" t="inlineStr">
        <is>
          <t>HULTSFRED</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48171-2024</t>
        </is>
      </c>
      <c r="B12436" s="1" t="n">
        <v>45589</v>
      </c>
      <c r="C12436" s="1" t="n">
        <v>45715</v>
      </c>
      <c r="D12436" t="inlineStr">
        <is>
          <t>KALMAR LÄN</t>
        </is>
      </c>
      <c r="E12436" t="inlineStr">
        <is>
          <t>MÖNSTERÅS</t>
        </is>
      </c>
      <c r="G12436" t="n">
        <v>6.3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48000-2024</t>
        </is>
      </c>
      <c r="B12437" s="1" t="n">
        <v>45589</v>
      </c>
      <c r="C12437" s="1" t="n">
        <v>45715</v>
      </c>
      <c r="D12437" t="inlineStr">
        <is>
          <t>KALMAR LÄN</t>
        </is>
      </c>
      <c r="E12437" t="inlineStr">
        <is>
          <t>OSKARSHAMN</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48312-2024</t>
        </is>
      </c>
      <c r="B12438" s="1" t="n">
        <v>45590</v>
      </c>
      <c r="C12438" s="1" t="n">
        <v>45715</v>
      </c>
      <c r="D12438" t="inlineStr">
        <is>
          <t>KALMAR LÄN</t>
        </is>
      </c>
      <c r="E12438" t="inlineStr">
        <is>
          <t>NYBRO</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48359-2024</t>
        </is>
      </c>
      <c r="B12439" s="1" t="n">
        <v>45590</v>
      </c>
      <c r="C12439" s="1" t="n">
        <v>45715</v>
      </c>
      <c r="D12439" t="inlineStr">
        <is>
          <t>KALMAR LÄN</t>
        </is>
      </c>
      <c r="E12439" t="inlineStr">
        <is>
          <t>HÖGSBY</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48446-2024</t>
        </is>
      </c>
      <c r="B12440" s="1" t="n">
        <v>45590</v>
      </c>
      <c r="C12440" s="1" t="n">
        <v>45715</v>
      </c>
      <c r="D12440" t="inlineStr">
        <is>
          <t>KALMAR LÄN</t>
        </is>
      </c>
      <c r="E12440" t="inlineStr">
        <is>
          <t>VÄSTERVIK</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48352-2024</t>
        </is>
      </c>
      <c r="B12441" s="1" t="n">
        <v>45590</v>
      </c>
      <c r="C12441" s="1" t="n">
        <v>45715</v>
      </c>
      <c r="D12441" t="inlineStr">
        <is>
          <t>KALMAR LÄN</t>
        </is>
      </c>
      <c r="E12441" t="inlineStr">
        <is>
          <t>EMMABODA</t>
        </is>
      </c>
      <c r="G12441" t="n">
        <v>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48445-2024</t>
        </is>
      </c>
      <c r="B12442" s="1" t="n">
        <v>45590</v>
      </c>
      <c r="C12442" s="1" t="n">
        <v>45715</v>
      </c>
      <c r="D12442" t="inlineStr">
        <is>
          <t>KALMAR LÄN</t>
        </is>
      </c>
      <c r="E12442" t="inlineStr">
        <is>
          <t>VÄSTERVIK</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48277-2024</t>
        </is>
      </c>
      <c r="B12443" s="1" t="n">
        <v>45590</v>
      </c>
      <c r="C12443" s="1" t="n">
        <v>45715</v>
      </c>
      <c r="D12443" t="inlineStr">
        <is>
          <t>KALMAR LÄN</t>
        </is>
      </c>
      <c r="E12443" t="inlineStr">
        <is>
          <t>VIMMERBY</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48459-2024</t>
        </is>
      </c>
      <c r="B12444" s="1" t="n">
        <v>45590</v>
      </c>
      <c r="C12444" s="1" t="n">
        <v>45715</v>
      </c>
      <c r="D12444" t="inlineStr">
        <is>
          <t>KALMAR LÄN</t>
        </is>
      </c>
      <c r="E12444" t="inlineStr">
        <is>
          <t>VIMMERBY</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48261-2024</t>
        </is>
      </c>
      <c r="B12445" s="1" t="n">
        <v>45590</v>
      </c>
      <c r="C12445" s="1" t="n">
        <v>45715</v>
      </c>
      <c r="D12445" t="inlineStr">
        <is>
          <t>KALMAR LÄN</t>
        </is>
      </c>
      <c r="E12445" t="inlineStr">
        <is>
          <t>NYBRO</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48357-2024</t>
        </is>
      </c>
      <c r="B12446" s="1" t="n">
        <v>45590</v>
      </c>
      <c r="C12446" s="1" t="n">
        <v>45715</v>
      </c>
      <c r="D12446" t="inlineStr">
        <is>
          <t>KALMAR LÄN</t>
        </is>
      </c>
      <c r="E12446" t="inlineStr">
        <is>
          <t>HÖGSBY</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48353-2024</t>
        </is>
      </c>
      <c r="B12447" s="1" t="n">
        <v>45590</v>
      </c>
      <c r="C12447" s="1" t="n">
        <v>45715</v>
      </c>
      <c r="D12447" t="inlineStr">
        <is>
          <t>KALMAR LÄN</t>
        </is>
      </c>
      <c r="E12447" t="inlineStr">
        <is>
          <t>HÖGSBY</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48343-2024</t>
        </is>
      </c>
      <c r="B12448" s="1" t="n">
        <v>45590</v>
      </c>
      <c r="C12448" s="1" t="n">
        <v>45715</v>
      </c>
      <c r="D12448" t="inlineStr">
        <is>
          <t>KALMAR LÄN</t>
        </is>
      </c>
      <c r="E12448" t="inlineStr">
        <is>
          <t>EMMABODA</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48460-2024</t>
        </is>
      </c>
      <c r="B12449" s="1" t="n">
        <v>45590</v>
      </c>
      <c r="C12449" s="1" t="n">
        <v>45715</v>
      </c>
      <c r="D12449" t="inlineStr">
        <is>
          <t>KALMAR LÄN</t>
        </is>
      </c>
      <c r="E12449" t="inlineStr">
        <is>
          <t>VIMMERBY</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48467-2024</t>
        </is>
      </c>
      <c r="B12450" s="1" t="n">
        <v>45591</v>
      </c>
      <c r="C12450" s="1" t="n">
        <v>45715</v>
      </c>
      <c r="D12450" t="inlineStr">
        <is>
          <t>KALMAR LÄN</t>
        </is>
      </c>
      <c r="E12450" t="inlineStr">
        <is>
          <t>NYBRO</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48584-2024</t>
        </is>
      </c>
      <c r="B12451" s="1" t="n">
        <v>45593</v>
      </c>
      <c r="C12451" s="1" t="n">
        <v>45715</v>
      </c>
      <c r="D12451" t="inlineStr">
        <is>
          <t>KALMAR LÄN</t>
        </is>
      </c>
      <c r="E12451" t="inlineStr">
        <is>
          <t>OSKARSHAMN</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48723-2024</t>
        </is>
      </c>
      <c r="B12452" s="1" t="n">
        <v>45593</v>
      </c>
      <c r="C12452" s="1" t="n">
        <v>45715</v>
      </c>
      <c r="D12452" t="inlineStr">
        <is>
          <t>KALMAR LÄN</t>
        </is>
      </c>
      <c r="E12452" t="inlineStr">
        <is>
          <t>HULTSFRED</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48735-2024</t>
        </is>
      </c>
      <c r="B12453" s="1" t="n">
        <v>45593</v>
      </c>
      <c r="C12453" s="1" t="n">
        <v>45715</v>
      </c>
      <c r="D12453" t="inlineStr">
        <is>
          <t>KALMAR LÄN</t>
        </is>
      </c>
      <c r="E12453" t="inlineStr">
        <is>
          <t>VÄSTERVIK</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48657-2024</t>
        </is>
      </c>
      <c r="B12454" s="1" t="n">
        <v>45593</v>
      </c>
      <c r="C12454" s="1" t="n">
        <v>45715</v>
      </c>
      <c r="D12454" t="inlineStr">
        <is>
          <t>KALMAR LÄN</t>
        </is>
      </c>
      <c r="E12454" t="inlineStr">
        <is>
          <t>HÖGSBY</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48825-2024</t>
        </is>
      </c>
      <c r="B12455" s="1" t="n">
        <v>45593</v>
      </c>
      <c r="C12455" s="1" t="n">
        <v>45715</v>
      </c>
      <c r="D12455" t="inlineStr">
        <is>
          <t>KALMAR LÄN</t>
        </is>
      </c>
      <c r="E12455" t="inlineStr">
        <is>
          <t>VIMMERBY</t>
        </is>
      </c>
      <c r="G12455" t="n">
        <v>6.2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48829-2024</t>
        </is>
      </c>
      <c r="B12456" s="1" t="n">
        <v>45593</v>
      </c>
      <c r="C12456" s="1" t="n">
        <v>45715</v>
      </c>
      <c r="D12456" t="inlineStr">
        <is>
          <t>KALMAR LÄN</t>
        </is>
      </c>
      <c r="E12456" t="inlineStr">
        <is>
          <t>OSKARSHAMN</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48557-2024</t>
        </is>
      </c>
      <c r="B12457" s="1" t="n">
        <v>45593</v>
      </c>
      <c r="C12457" s="1" t="n">
        <v>45715</v>
      </c>
      <c r="D12457" t="inlineStr">
        <is>
          <t>KALMAR LÄN</t>
        </is>
      </c>
      <c r="E12457" t="inlineStr">
        <is>
          <t>HULTSFRED</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48854-2024</t>
        </is>
      </c>
      <c r="B12458" s="1" t="n">
        <v>45593</v>
      </c>
      <c r="C12458" s="1" t="n">
        <v>45715</v>
      </c>
      <c r="D12458" t="inlineStr">
        <is>
          <t>KALMAR LÄN</t>
        </is>
      </c>
      <c r="E12458" t="inlineStr">
        <is>
          <t>TORSÅS</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48559-2024</t>
        </is>
      </c>
      <c r="B12459" s="1" t="n">
        <v>45593</v>
      </c>
      <c r="C12459" s="1" t="n">
        <v>45715</v>
      </c>
      <c r="D12459" t="inlineStr">
        <is>
          <t>KALMAR LÄN</t>
        </is>
      </c>
      <c r="E12459" t="inlineStr">
        <is>
          <t>NYBRO</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49011-2024</t>
        </is>
      </c>
      <c r="B12460" s="1" t="n">
        <v>45594</v>
      </c>
      <c r="C12460" s="1" t="n">
        <v>45715</v>
      </c>
      <c r="D12460" t="inlineStr">
        <is>
          <t>KALMAR LÄN</t>
        </is>
      </c>
      <c r="E12460" t="inlineStr">
        <is>
          <t>EMMABODA</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48876-2024</t>
        </is>
      </c>
      <c r="B12461" s="1" t="n">
        <v>45594</v>
      </c>
      <c r="C12461" s="1" t="n">
        <v>45715</v>
      </c>
      <c r="D12461" t="inlineStr">
        <is>
          <t>KALMAR LÄN</t>
        </is>
      </c>
      <c r="E12461" t="inlineStr">
        <is>
          <t>NYBRO</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48940-2024</t>
        </is>
      </c>
      <c r="B12462" s="1" t="n">
        <v>45594</v>
      </c>
      <c r="C12462" s="1" t="n">
        <v>45715</v>
      </c>
      <c r="D12462" t="inlineStr">
        <is>
          <t>KALMAR LÄN</t>
        </is>
      </c>
      <c r="E12462" t="inlineStr">
        <is>
          <t>HULTSFRED</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48956-2024</t>
        </is>
      </c>
      <c r="B12463" s="1" t="n">
        <v>45594</v>
      </c>
      <c r="C12463" s="1" t="n">
        <v>45715</v>
      </c>
      <c r="D12463" t="inlineStr">
        <is>
          <t>KALMAR LÄN</t>
        </is>
      </c>
      <c r="E12463" t="inlineStr">
        <is>
          <t>HULTSFRED</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49037-2024</t>
        </is>
      </c>
      <c r="B12464" s="1" t="n">
        <v>45594</v>
      </c>
      <c r="C12464" s="1" t="n">
        <v>45715</v>
      </c>
      <c r="D12464" t="inlineStr">
        <is>
          <t>KALMAR LÄN</t>
        </is>
      </c>
      <c r="E12464" t="inlineStr">
        <is>
          <t>HULTSFRED</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48929-2024</t>
        </is>
      </c>
      <c r="B12465" s="1" t="n">
        <v>45594</v>
      </c>
      <c r="C12465" s="1" t="n">
        <v>45715</v>
      </c>
      <c r="D12465" t="inlineStr">
        <is>
          <t>KALMAR LÄN</t>
        </is>
      </c>
      <c r="E12465" t="inlineStr">
        <is>
          <t>KALMAR</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49042-2024</t>
        </is>
      </c>
      <c r="B12466" s="1" t="n">
        <v>45594</v>
      </c>
      <c r="C12466" s="1" t="n">
        <v>45715</v>
      </c>
      <c r="D12466" t="inlineStr">
        <is>
          <t>KALMAR LÄN</t>
        </is>
      </c>
      <c r="E12466" t="inlineStr">
        <is>
          <t>NYBRO</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49284-2024</t>
        </is>
      </c>
      <c r="B12467" s="1" t="n">
        <v>45595</v>
      </c>
      <c r="C12467" s="1" t="n">
        <v>45715</v>
      </c>
      <c r="D12467" t="inlineStr">
        <is>
          <t>KALMAR LÄN</t>
        </is>
      </c>
      <c r="E12467" t="inlineStr">
        <is>
          <t>EMMABODA</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49378-2024</t>
        </is>
      </c>
      <c r="B12468" s="1" t="n">
        <v>45595</v>
      </c>
      <c r="C12468" s="1" t="n">
        <v>45715</v>
      </c>
      <c r="D12468" t="inlineStr">
        <is>
          <t>KALMAR LÄN</t>
        </is>
      </c>
      <c r="E12468" t="inlineStr">
        <is>
          <t>VÄSTERVIK</t>
        </is>
      </c>
      <c r="G12468" t="n">
        <v>4.1</v>
      </c>
      <c r="H12468" t="n">
        <v>0</v>
      </c>
      <c r="I12468" t="n">
        <v>0</v>
      </c>
      <c r="J12468" t="n">
        <v>0</v>
      </c>
      <c r="K12468" t="n">
        <v>0</v>
      </c>
      <c r="L12468" t="n">
        <v>0</v>
      </c>
      <c r="M12468" t="n">
        <v>0</v>
      </c>
      <c r="N12468" t="n">
        <v>0</v>
      </c>
      <c r="O12468" t="n">
        <v>0</v>
      </c>
      <c r="P12468" t="n">
        <v>0</v>
      </c>
      <c r="Q12468" t="n">
        <v>0</v>
      </c>
      <c r="R12468" s="2" t="inlineStr"/>
      <c r="U12468">
        <f>HYPERLINK("https://klasma.github.io/Logging_0883/knärot/A 49378-2024 karta knärot.png", "A 49378-2024")</f>
        <v/>
      </c>
      <c r="V12468">
        <f>HYPERLINK("https://klasma.github.io/Logging_0883/klagomål/A 49378-2024 FSC-klagomål.docx", "A 49378-2024")</f>
        <v/>
      </c>
      <c r="W12468">
        <f>HYPERLINK("https://klasma.github.io/Logging_0883/klagomålsmail/A 49378-2024 FSC-klagomål mail.docx", "A 49378-2024")</f>
        <v/>
      </c>
      <c r="X12468">
        <f>HYPERLINK("https://klasma.github.io/Logging_0883/tillsyn/A 49378-2024 tillsynsbegäran.docx", "A 49378-2024")</f>
        <v/>
      </c>
      <c r="Y12468">
        <f>HYPERLINK("https://klasma.github.io/Logging_0883/tillsynsmail/A 49378-2024 tillsynsbegäran mail.docx", "A 49378-2024")</f>
        <v/>
      </c>
    </row>
    <row r="12469" ht="15" customHeight="1">
      <c r="A12469" t="inlineStr">
        <is>
          <t>A 49415-2024</t>
        </is>
      </c>
      <c r="B12469" s="1" t="n">
        <v>45595</v>
      </c>
      <c r="C12469" s="1" t="n">
        <v>45715</v>
      </c>
      <c r="D12469" t="inlineStr">
        <is>
          <t>KALMAR LÄN</t>
        </is>
      </c>
      <c r="E12469" t="inlineStr">
        <is>
          <t>KALMAR</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49443-2024</t>
        </is>
      </c>
      <c r="B12470" s="1" t="n">
        <v>45595</v>
      </c>
      <c r="C12470" s="1" t="n">
        <v>45715</v>
      </c>
      <c r="D12470" t="inlineStr">
        <is>
          <t>KALMAR LÄN</t>
        </is>
      </c>
      <c r="E12470" t="inlineStr">
        <is>
          <t>NYBRO</t>
        </is>
      </c>
      <c r="G12470" t="n">
        <v>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49436-2024</t>
        </is>
      </c>
      <c r="B12471" s="1" t="n">
        <v>45595</v>
      </c>
      <c r="C12471" s="1" t="n">
        <v>45715</v>
      </c>
      <c r="D12471" t="inlineStr">
        <is>
          <t>KALMAR LÄN</t>
        </is>
      </c>
      <c r="E12471" t="inlineStr">
        <is>
          <t>TORSÅS</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49331-2024</t>
        </is>
      </c>
      <c r="B12472" s="1" t="n">
        <v>45595</v>
      </c>
      <c r="C12472" s="1" t="n">
        <v>45715</v>
      </c>
      <c r="D12472" t="inlineStr">
        <is>
          <t>KALMAR LÄN</t>
        </is>
      </c>
      <c r="E12472" t="inlineStr">
        <is>
          <t>HULTSFRED</t>
        </is>
      </c>
      <c r="G12472" t="n">
        <v>4.2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49672-2024</t>
        </is>
      </c>
      <c r="B12473" s="1" t="n">
        <v>45596</v>
      </c>
      <c r="C12473" s="1" t="n">
        <v>45715</v>
      </c>
      <c r="D12473" t="inlineStr">
        <is>
          <t>KALMAR LÄN</t>
        </is>
      </c>
      <c r="E12473" t="inlineStr">
        <is>
          <t>HULTSFRED</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49657-2024</t>
        </is>
      </c>
      <c r="B12474" s="1" t="n">
        <v>45596</v>
      </c>
      <c r="C12474" s="1" t="n">
        <v>45715</v>
      </c>
      <c r="D12474" t="inlineStr">
        <is>
          <t>KALMAR LÄN</t>
        </is>
      </c>
      <c r="E12474" t="inlineStr">
        <is>
          <t>MÖNSTERÅS</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49700-2024</t>
        </is>
      </c>
      <c r="B12475" s="1" t="n">
        <v>45596</v>
      </c>
      <c r="C12475" s="1" t="n">
        <v>45715</v>
      </c>
      <c r="D12475" t="inlineStr">
        <is>
          <t>KALMAR LÄN</t>
        </is>
      </c>
      <c r="E12475" t="inlineStr">
        <is>
          <t>VÄSTERVIK</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49708-2024</t>
        </is>
      </c>
      <c r="B12476" s="1" t="n">
        <v>45596</v>
      </c>
      <c r="C12476" s="1" t="n">
        <v>45715</v>
      </c>
      <c r="D12476" t="inlineStr">
        <is>
          <t>KALMAR LÄN</t>
        </is>
      </c>
      <c r="E12476" t="inlineStr">
        <is>
          <t>VÄSTERVIK</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49697-2024</t>
        </is>
      </c>
      <c r="B12477" s="1" t="n">
        <v>45596</v>
      </c>
      <c r="C12477" s="1" t="n">
        <v>45715</v>
      </c>
      <c r="D12477" t="inlineStr">
        <is>
          <t>KALMAR LÄN</t>
        </is>
      </c>
      <c r="E12477" t="inlineStr">
        <is>
          <t>KALMAR</t>
        </is>
      </c>
      <c r="G12477" t="n">
        <v>5.3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49658-2024</t>
        </is>
      </c>
      <c r="B12478" s="1" t="n">
        <v>45596</v>
      </c>
      <c r="C12478" s="1" t="n">
        <v>45715</v>
      </c>
      <c r="D12478" t="inlineStr">
        <is>
          <t>KALMAR LÄN</t>
        </is>
      </c>
      <c r="E12478" t="inlineStr">
        <is>
          <t>MÖNSTERÅS</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49706-2024</t>
        </is>
      </c>
      <c r="B12479" s="1" t="n">
        <v>45596</v>
      </c>
      <c r="C12479" s="1" t="n">
        <v>45715</v>
      </c>
      <c r="D12479" t="inlineStr">
        <is>
          <t>KALMAR LÄN</t>
        </is>
      </c>
      <c r="E12479" t="inlineStr">
        <is>
          <t>VÄSTERVIK</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49464-2024</t>
        </is>
      </c>
      <c r="B12480" s="1" t="n">
        <v>45596</v>
      </c>
      <c r="C12480" s="1" t="n">
        <v>45715</v>
      </c>
      <c r="D12480" t="inlineStr">
        <is>
          <t>KALMAR LÄN</t>
        </is>
      </c>
      <c r="E12480" t="inlineStr">
        <is>
          <t>VIMMERBY</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49508-2024</t>
        </is>
      </c>
      <c r="B12481" s="1" t="n">
        <v>45596</v>
      </c>
      <c r="C12481" s="1" t="n">
        <v>45715</v>
      </c>
      <c r="D12481" t="inlineStr">
        <is>
          <t>KALMAR LÄN</t>
        </is>
      </c>
      <c r="E12481" t="inlineStr">
        <is>
          <t>NYBRO</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49703-2024</t>
        </is>
      </c>
      <c r="B12482" s="1" t="n">
        <v>45596</v>
      </c>
      <c r="C12482" s="1" t="n">
        <v>45715</v>
      </c>
      <c r="D12482" t="inlineStr">
        <is>
          <t>KALMAR LÄN</t>
        </is>
      </c>
      <c r="E12482" t="inlineStr">
        <is>
          <t>VÄSTERVIK</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49599-2024</t>
        </is>
      </c>
      <c r="B12483" s="1" t="n">
        <v>45596</v>
      </c>
      <c r="C12483" s="1" t="n">
        <v>45715</v>
      </c>
      <c r="D12483" t="inlineStr">
        <is>
          <t>KALMAR LÄN</t>
        </is>
      </c>
      <c r="E12483" t="inlineStr">
        <is>
          <t>NYBRO</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49503-2024</t>
        </is>
      </c>
      <c r="B12484" s="1" t="n">
        <v>45596</v>
      </c>
      <c r="C12484" s="1" t="n">
        <v>45715</v>
      </c>
      <c r="D12484" t="inlineStr">
        <is>
          <t>KALMAR LÄN</t>
        </is>
      </c>
      <c r="E12484" t="inlineStr">
        <is>
          <t>VIMMERBY</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49724-2024</t>
        </is>
      </c>
      <c r="B12485" s="1" t="n">
        <v>45596</v>
      </c>
      <c r="C12485" s="1" t="n">
        <v>45715</v>
      </c>
      <c r="D12485" t="inlineStr">
        <is>
          <t>KALMAR LÄN</t>
        </is>
      </c>
      <c r="E12485" t="inlineStr">
        <is>
          <t>NYBRO</t>
        </is>
      </c>
      <c r="G12485" t="n">
        <v>6.1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49726-2024</t>
        </is>
      </c>
      <c r="B12486" s="1" t="n">
        <v>45596</v>
      </c>
      <c r="C12486" s="1" t="n">
        <v>45715</v>
      </c>
      <c r="D12486" t="inlineStr">
        <is>
          <t>KALMAR LÄN</t>
        </is>
      </c>
      <c r="E12486" t="inlineStr">
        <is>
          <t>EMMABODA</t>
        </is>
      </c>
      <c r="G12486" t="n">
        <v>5.9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49723-2024</t>
        </is>
      </c>
      <c r="B12487" s="1" t="n">
        <v>45596</v>
      </c>
      <c r="C12487" s="1" t="n">
        <v>45715</v>
      </c>
      <c r="D12487" t="inlineStr">
        <is>
          <t>KALMAR LÄN</t>
        </is>
      </c>
      <c r="E12487" t="inlineStr">
        <is>
          <t>NYBRO</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49607-2024</t>
        </is>
      </c>
      <c r="B12488" s="1" t="n">
        <v>45596</v>
      </c>
      <c r="C12488" s="1" t="n">
        <v>45715</v>
      </c>
      <c r="D12488" t="inlineStr">
        <is>
          <t>KALMAR LÄN</t>
        </is>
      </c>
      <c r="E12488" t="inlineStr">
        <is>
          <t>MÖNSTERÅS</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49891-2024</t>
        </is>
      </c>
      <c r="B12489" s="1" t="n">
        <v>45597</v>
      </c>
      <c r="C12489" s="1" t="n">
        <v>45715</v>
      </c>
      <c r="D12489" t="inlineStr">
        <is>
          <t>KALMAR LÄN</t>
        </is>
      </c>
      <c r="E12489" t="inlineStr">
        <is>
          <t>HULTSFRED</t>
        </is>
      </c>
      <c r="F12489" t="inlineStr">
        <is>
          <t>Sveaskog</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49892-2024</t>
        </is>
      </c>
      <c r="B12490" s="1" t="n">
        <v>45597</v>
      </c>
      <c r="C12490" s="1" t="n">
        <v>45715</v>
      </c>
      <c r="D12490" t="inlineStr">
        <is>
          <t>KALMAR LÄN</t>
        </is>
      </c>
      <c r="E12490" t="inlineStr">
        <is>
          <t>MÖNSTERÅS</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50027-2024</t>
        </is>
      </c>
      <c r="B12491" s="1" t="n">
        <v>45599</v>
      </c>
      <c r="C12491" s="1" t="n">
        <v>45715</v>
      </c>
      <c r="D12491" t="inlineStr">
        <is>
          <t>KALMAR LÄN</t>
        </is>
      </c>
      <c r="E12491" t="inlineStr">
        <is>
          <t>KALMAR</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50050-2024</t>
        </is>
      </c>
      <c r="B12492" s="1" t="n">
        <v>45600</v>
      </c>
      <c r="C12492" s="1" t="n">
        <v>45715</v>
      </c>
      <c r="D12492" t="inlineStr">
        <is>
          <t>KALMAR LÄN</t>
        </is>
      </c>
      <c r="E12492" t="inlineStr">
        <is>
          <t>TORSÅS</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50054-2024</t>
        </is>
      </c>
      <c r="B12493" s="1" t="n">
        <v>45600</v>
      </c>
      <c r="C12493" s="1" t="n">
        <v>45715</v>
      </c>
      <c r="D12493" t="inlineStr">
        <is>
          <t>KALMAR LÄN</t>
        </is>
      </c>
      <c r="E12493" t="inlineStr">
        <is>
          <t>KALMAR</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50309-2024</t>
        </is>
      </c>
      <c r="B12494" s="1" t="n">
        <v>45600</v>
      </c>
      <c r="C12494" s="1" t="n">
        <v>45715</v>
      </c>
      <c r="D12494" t="inlineStr">
        <is>
          <t>KALMAR LÄN</t>
        </is>
      </c>
      <c r="E12494" t="inlineStr">
        <is>
          <t>EMMABODA</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50426-2024</t>
        </is>
      </c>
      <c r="B12495" s="1" t="n">
        <v>45600</v>
      </c>
      <c r="C12495" s="1" t="n">
        <v>45715</v>
      </c>
      <c r="D12495" t="inlineStr">
        <is>
          <t>KALMAR LÄN</t>
        </is>
      </c>
      <c r="E12495" t="inlineStr">
        <is>
          <t>HÖGSBY</t>
        </is>
      </c>
      <c r="G12495" t="n">
        <v>4.2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50320-2024</t>
        </is>
      </c>
      <c r="B12496" s="1" t="n">
        <v>45600</v>
      </c>
      <c r="C12496" s="1" t="n">
        <v>45715</v>
      </c>
      <c r="D12496" t="inlineStr">
        <is>
          <t>KALMAR LÄN</t>
        </is>
      </c>
      <c r="E12496" t="inlineStr">
        <is>
          <t>VIMMERBY</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50390-2024</t>
        </is>
      </c>
      <c r="B12497" s="1" t="n">
        <v>45600</v>
      </c>
      <c r="C12497" s="1" t="n">
        <v>45715</v>
      </c>
      <c r="D12497" t="inlineStr">
        <is>
          <t>KALMAR LÄN</t>
        </is>
      </c>
      <c r="E12497" t="inlineStr">
        <is>
          <t>NYBRO</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50428-2024</t>
        </is>
      </c>
      <c r="B12498" s="1" t="n">
        <v>45600</v>
      </c>
      <c r="C12498" s="1" t="n">
        <v>45715</v>
      </c>
      <c r="D12498" t="inlineStr">
        <is>
          <t>KALMAR LÄN</t>
        </is>
      </c>
      <c r="E12498" t="inlineStr">
        <is>
          <t>HÖGSBY</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50257-2024</t>
        </is>
      </c>
      <c r="B12499" s="1" t="n">
        <v>45600</v>
      </c>
      <c r="C12499" s="1" t="n">
        <v>45715</v>
      </c>
      <c r="D12499" t="inlineStr">
        <is>
          <t>KALMAR LÄN</t>
        </is>
      </c>
      <c r="E12499" t="inlineStr">
        <is>
          <t>EMMABODA</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50270-2024</t>
        </is>
      </c>
      <c r="B12500" s="1" t="n">
        <v>45600</v>
      </c>
      <c r="C12500" s="1" t="n">
        <v>45715</v>
      </c>
      <c r="D12500" t="inlineStr">
        <is>
          <t>KALMAR LÄN</t>
        </is>
      </c>
      <c r="E12500" t="inlineStr">
        <is>
          <t>EMMABODA</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50282-2024</t>
        </is>
      </c>
      <c r="B12501" s="1" t="n">
        <v>45600</v>
      </c>
      <c r="C12501" s="1" t="n">
        <v>45715</v>
      </c>
      <c r="D12501" t="inlineStr">
        <is>
          <t>KALMAR LÄN</t>
        </is>
      </c>
      <c r="E12501" t="inlineStr">
        <is>
          <t>MÖNSTERÅS</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50414-2024</t>
        </is>
      </c>
      <c r="B12502" s="1" t="n">
        <v>45600</v>
      </c>
      <c r="C12502" s="1" t="n">
        <v>45715</v>
      </c>
      <c r="D12502" t="inlineStr">
        <is>
          <t>KALMAR LÄN</t>
        </is>
      </c>
      <c r="E12502" t="inlineStr">
        <is>
          <t>HÖGSBY</t>
        </is>
      </c>
      <c r="G12502" t="n">
        <v>4.5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50467-2024</t>
        </is>
      </c>
      <c r="B12503" s="1" t="n">
        <v>45601</v>
      </c>
      <c r="C12503" s="1" t="n">
        <v>45715</v>
      </c>
      <c r="D12503" t="inlineStr">
        <is>
          <t>KALMAR LÄN</t>
        </is>
      </c>
      <c r="E12503" t="inlineStr">
        <is>
          <t>EMMABODA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50460-2024</t>
        </is>
      </c>
      <c r="B12504" s="1" t="n">
        <v>45601</v>
      </c>
      <c r="C12504" s="1" t="n">
        <v>45715</v>
      </c>
      <c r="D12504" t="inlineStr">
        <is>
          <t>KALMAR LÄN</t>
        </is>
      </c>
      <c r="E12504" t="inlineStr">
        <is>
          <t>VIMMERBY</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50604-2024</t>
        </is>
      </c>
      <c r="B12505" s="1" t="n">
        <v>45601</v>
      </c>
      <c r="C12505" s="1" t="n">
        <v>45715</v>
      </c>
      <c r="D12505" t="inlineStr">
        <is>
          <t>KALMAR LÄN</t>
        </is>
      </c>
      <c r="E12505" t="inlineStr">
        <is>
          <t>OSKARSHAMN</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50592-2024</t>
        </is>
      </c>
      <c r="B12506" s="1" t="n">
        <v>45601</v>
      </c>
      <c r="C12506" s="1" t="n">
        <v>45715</v>
      </c>
      <c r="D12506" t="inlineStr">
        <is>
          <t>KALMAR LÄN</t>
        </is>
      </c>
      <c r="E12506" t="inlineStr">
        <is>
          <t>OSKARSHAMN</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50572-2024</t>
        </is>
      </c>
      <c r="B12507" s="1" t="n">
        <v>45601</v>
      </c>
      <c r="C12507" s="1" t="n">
        <v>45715</v>
      </c>
      <c r="D12507" t="inlineStr">
        <is>
          <t>KALMAR LÄN</t>
        </is>
      </c>
      <c r="E12507" t="inlineStr">
        <is>
          <t>OSKARSHAMN</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50452-2024</t>
        </is>
      </c>
      <c r="B12508" s="1" t="n">
        <v>45601</v>
      </c>
      <c r="C12508" s="1" t="n">
        <v>45715</v>
      </c>
      <c r="D12508" t="inlineStr">
        <is>
          <t>KALMAR LÄN</t>
        </is>
      </c>
      <c r="E12508" t="inlineStr">
        <is>
          <t>VÄSTERVIK</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50580-2024</t>
        </is>
      </c>
      <c r="B12509" s="1" t="n">
        <v>45601</v>
      </c>
      <c r="C12509" s="1" t="n">
        <v>45715</v>
      </c>
      <c r="D12509" t="inlineStr">
        <is>
          <t>KALMAR LÄN</t>
        </is>
      </c>
      <c r="E12509" t="inlineStr">
        <is>
          <t>OSKARSHAMN</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50586-2024</t>
        </is>
      </c>
      <c r="B12510" s="1" t="n">
        <v>45601</v>
      </c>
      <c r="C12510" s="1" t="n">
        <v>45715</v>
      </c>
      <c r="D12510" t="inlineStr">
        <is>
          <t>KALMAR LÄN</t>
        </is>
      </c>
      <c r="E12510" t="inlineStr">
        <is>
          <t>NYBRO</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50654-2024</t>
        </is>
      </c>
      <c r="B12511" s="1" t="n">
        <v>45601</v>
      </c>
      <c r="C12511" s="1" t="n">
        <v>45715</v>
      </c>
      <c r="D12511" t="inlineStr">
        <is>
          <t>KALMAR LÄN</t>
        </is>
      </c>
      <c r="E12511" t="inlineStr">
        <is>
          <t>KALMAR</t>
        </is>
      </c>
      <c r="G12511" t="n">
        <v>8.800000000000001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50675-2024</t>
        </is>
      </c>
      <c r="B12512" s="1" t="n">
        <v>45601</v>
      </c>
      <c r="C12512" s="1" t="n">
        <v>45715</v>
      </c>
      <c r="D12512" t="inlineStr">
        <is>
          <t>KALMAR LÄN</t>
        </is>
      </c>
      <c r="E12512" t="inlineStr">
        <is>
          <t>TORSÅS</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50495-2024</t>
        </is>
      </c>
      <c r="B12513" s="1" t="n">
        <v>45601</v>
      </c>
      <c r="C12513" s="1" t="n">
        <v>45715</v>
      </c>
      <c r="D12513" t="inlineStr">
        <is>
          <t>KALMAR LÄN</t>
        </is>
      </c>
      <c r="E12513" t="inlineStr">
        <is>
          <t>VÄSTERVIK</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50676-2024</t>
        </is>
      </c>
      <c r="B12514" s="1" t="n">
        <v>45601</v>
      </c>
      <c r="C12514" s="1" t="n">
        <v>45715</v>
      </c>
      <c r="D12514" t="inlineStr">
        <is>
          <t>KALMAR LÄN</t>
        </is>
      </c>
      <c r="E12514" t="inlineStr">
        <is>
          <t>TORSÅS</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50627-2024</t>
        </is>
      </c>
      <c r="B12515" s="1" t="n">
        <v>45601</v>
      </c>
      <c r="C12515" s="1" t="n">
        <v>45715</v>
      </c>
      <c r="D12515" t="inlineStr">
        <is>
          <t>KALMAR LÄN</t>
        </is>
      </c>
      <c r="E12515" t="inlineStr">
        <is>
          <t>OSKARSHAMN</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50474-2024</t>
        </is>
      </c>
      <c r="B12516" s="1" t="n">
        <v>45601</v>
      </c>
      <c r="C12516" s="1" t="n">
        <v>45715</v>
      </c>
      <c r="D12516" t="inlineStr">
        <is>
          <t>KALMAR LÄN</t>
        </is>
      </c>
      <c r="E12516" t="inlineStr">
        <is>
          <t>NYBRO</t>
        </is>
      </c>
      <c r="G12516" t="n">
        <v>5.4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50454-2024</t>
        </is>
      </c>
      <c r="B12517" s="1" t="n">
        <v>45601</v>
      </c>
      <c r="C12517" s="1" t="n">
        <v>45715</v>
      </c>
      <c r="D12517" t="inlineStr">
        <is>
          <t>KALMAR LÄN</t>
        </is>
      </c>
      <c r="E12517" t="inlineStr">
        <is>
          <t>VÄSTERVIK</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50453-2024</t>
        </is>
      </c>
      <c r="B12518" s="1" t="n">
        <v>45601</v>
      </c>
      <c r="C12518" s="1" t="n">
        <v>45715</v>
      </c>
      <c r="D12518" t="inlineStr">
        <is>
          <t>KALMAR LÄN</t>
        </is>
      </c>
      <c r="E12518" t="inlineStr">
        <is>
          <t>NYBRO</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50589-2024</t>
        </is>
      </c>
      <c r="B12519" s="1" t="n">
        <v>45601</v>
      </c>
      <c r="C12519" s="1" t="n">
        <v>45715</v>
      </c>
      <c r="D12519" t="inlineStr">
        <is>
          <t>KALMAR LÄN</t>
        </is>
      </c>
      <c r="E12519" t="inlineStr">
        <is>
          <t>NYBRO</t>
        </is>
      </c>
      <c r="G12519" t="n">
        <v>11.3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50573-2024</t>
        </is>
      </c>
      <c r="B12520" s="1" t="n">
        <v>45601</v>
      </c>
      <c r="C12520" s="1" t="n">
        <v>45715</v>
      </c>
      <c r="D12520" t="inlineStr">
        <is>
          <t>KALMAR LÄN</t>
        </is>
      </c>
      <c r="E12520" t="inlineStr">
        <is>
          <t>HULTSFRED</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50489-2024</t>
        </is>
      </c>
      <c r="B12521" s="1" t="n">
        <v>45601</v>
      </c>
      <c r="C12521" s="1" t="n">
        <v>45715</v>
      </c>
      <c r="D12521" t="inlineStr">
        <is>
          <t>KALMAR LÄN</t>
        </is>
      </c>
      <c r="E12521" t="inlineStr">
        <is>
          <t>NYBRO</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50907-2024</t>
        </is>
      </c>
      <c r="B12522" s="1" t="n">
        <v>45602</v>
      </c>
      <c r="C12522" s="1" t="n">
        <v>45715</v>
      </c>
      <c r="D12522" t="inlineStr">
        <is>
          <t>KALMAR LÄN</t>
        </is>
      </c>
      <c r="E12522" t="inlineStr">
        <is>
          <t>HULTSFRED</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50955-2024</t>
        </is>
      </c>
      <c r="B12523" s="1" t="n">
        <v>45602</v>
      </c>
      <c r="C12523" s="1" t="n">
        <v>45715</v>
      </c>
      <c r="D12523" t="inlineStr">
        <is>
          <t>KALMAR LÄN</t>
        </is>
      </c>
      <c r="E12523" t="inlineStr">
        <is>
          <t>NYBRO</t>
        </is>
      </c>
      <c r="G12523" t="n">
        <v>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50910-2024</t>
        </is>
      </c>
      <c r="B12524" s="1" t="n">
        <v>45602</v>
      </c>
      <c r="C12524" s="1" t="n">
        <v>45715</v>
      </c>
      <c r="D12524" t="inlineStr">
        <is>
          <t>KALMAR LÄN</t>
        </is>
      </c>
      <c r="E12524" t="inlineStr">
        <is>
          <t>NYBRO</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50746-2024</t>
        </is>
      </c>
      <c r="B12525" s="1" t="n">
        <v>45602</v>
      </c>
      <c r="C12525" s="1" t="n">
        <v>45715</v>
      </c>
      <c r="D12525" t="inlineStr">
        <is>
          <t>KALMAR LÄN</t>
        </is>
      </c>
      <c r="E12525" t="inlineStr">
        <is>
          <t>NYBRO</t>
        </is>
      </c>
      <c r="G12525" t="n">
        <v>3.5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50909-2024</t>
        </is>
      </c>
      <c r="B12526" s="1" t="n">
        <v>45602</v>
      </c>
      <c r="C12526" s="1" t="n">
        <v>45715</v>
      </c>
      <c r="D12526" t="inlineStr">
        <is>
          <t>KALMAR LÄN</t>
        </is>
      </c>
      <c r="E12526" t="inlineStr">
        <is>
          <t>NYBRO</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51142-2024</t>
        </is>
      </c>
      <c r="B12527" s="1" t="n">
        <v>45603</v>
      </c>
      <c r="C12527" s="1" t="n">
        <v>45715</v>
      </c>
      <c r="D12527" t="inlineStr">
        <is>
          <t>KALMAR LÄN</t>
        </is>
      </c>
      <c r="E12527" t="inlineStr">
        <is>
          <t>OSKARSHAMN</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51150-2024</t>
        </is>
      </c>
      <c r="B12528" s="1" t="n">
        <v>45603</v>
      </c>
      <c r="C12528" s="1" t="n">
        <v>45715</v>
      </c>
      <c r="D12528" t="inlineStr">
        <is>
          <t>KALMAR LÄN</t>
        </is>
      </c>
      <c r="E12528" t="inlineStr">
        <is>
          <t>NYBRO</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51076-2024</t>
        </is>
      </c>
      <c r="B12529" s="1" t="n">
        <v>45603</v>
      </c>
      <c r="C12529" s="1" t="n">
        <v>45715</v>
      </c>
      <c r="D12529" t="inlineStr">
        <is>
          <t>KALMAR LÄN</t>
        </is>
      </c>
      <c r="E12529" t="inlineStr">
        <is>
          <t>OSKARSHAMN</t>
        </is>
      </c>
      <c r="G12529" t="n">
        <v>3.9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51169-2024</t>
        </is>
      </c>
      <c r="B12530" s="1" t="n">
        <v>45603</v>
      </c>
      <c r="C12530" s="1" t="n">
        <v>45715</v>
      </c>
      <c r="D12530" t="inlineStr">
        <is>
          <t>KALMAR LÄN</t>
        </is>
      </c>
      <c r="E12530" t="inlineStr">
        <is>
          <t>VIMMERBY</t>
        </is>
      </c>
      <c r="F12530" t="inlineStr">
        <is>
          <t>Övriga Aktiebolag</t>
        </is>
      </c>
      <c r="G12530" t="n">
        <v>7.4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51448-2024</t>
        </is>
      </c>
      <c r="B12531" s="1" t="n">
        <v>45603</v>
      </c>
      <c r="C12531" s="1" t="n">
        <v>45715</v>
      </c>
      <c r="D12531" t="inlineStr">
        <is>
          <t>KALMAR LÄN</t>
        </is>
      </c>
      <c r="E12531" t="inlineStr">
        <is>
          <t>NYBRO</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51278-2024</t>
        </is>
      </c>
      <c r="B12532" s="1" t="n">
        <v>45603</v>
      </c>
      <c r="C12532" s="1" t="n">
        <v>45715</v>
      </c>
      <c r="D12532" t="inlineStr">
        <is>
          <t>KALMAR LÄN</t>
        </is>
      </c>
      <c r="E12532" t="inlineStr">
        <is>
          <t>VIMMERBY</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51305-2024</t>
        </is>
      </c>
      <c r="B12533" s="1" t="n">
        <v>45603</v>
      </c>
      <c r="C12533" s="1" t="n">
        <v>45715</v>
      </c>
      <c r="D12533" t="inlineStr">
        <is>
          <t>KALMAR LÄN</t>
        </is>
      </c>
      <c r="E12533" t="inlineStr">
        <is>
          <t>NYBRO</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51449-2024</t>
        </is>
      </c>
      <c r="B12534" s="1" t="n">
        <v>45603</v>
      </c>
      <c r="C12534" s="1" t="n">
        <v>45715</v>
      </c>
      <c r="D12534" t="inlineStr">
        <is>
          <t>KALMAR LÄN</t>
        </is>
      </c>
      <c r="E12534" t="inlineStr">
        <is>
          <t>NYBRO</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51182-2024</t>
        </is>
      </c>
      <c r="B12535" s="1" t="n">
        <v>45603</v>
      </c>
      <c r="C12535" s="1" t="n">
        <v>45715</v>
      </c>
      <c r="D12535" t="inlineStr">
        <is>
          <t>KALMAR LÄN</t>
        </is>
      </c>
      <c r="E12535" t="inlineStr">
        <is>
          <t>HÖGSBY</t>
        </is>
      </c>
      <c r="G12535" t="n">
        <v>5.6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51170-2024</t>
        </is>
      </c>
      <c r="B12536" s="1" t="n">
        <v>45603</v>
      </c>
      <c r="C12536" s="1" t="n">
        <v>45715</v>
      </c>
      <c r="D12536" t="inlineStr">
        <is>
          <t>KALMAR LÄN</t>
        </is>
      </c>
      <c r="E12536" t="inlineStr">
        <is>
          <t>OSKARSHAMN</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51141-2024</t>
        </is>
      </c>
      <c r="B12537" s="1" t="n">
        <v>45603</v>
      </c>
      <c r="C12537" s="1" t="n">
        <v>45715</v>
      </c>
      <c r="D12537" t="inlineStr">
        <is>
          <t>KALMAR LÄN</t>
        </is>
      </c>
      <c r="E12537" t="inlineStr">
        <is>
          <t>OSKARSHAMN</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51334-2024</t>
        </is>
      </c>
      <c r="B12538" s="1" t="n">
        <v>45604</v>
      </c>
      <c r="C12538" s="1" t="n">
        <v>45715</v>
      </c>
      <c r="D12538" t="inlineStr">
        <is>
          <t>KALMAR LÄN</t>
        </is>
      </c>
      <c r="E12538" t="inlineStr">
        <is>
          <t>VIMMERBY</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51361-2024</t>
        </is>
      </c>
      <c r="B12539" s="1" t="n">
        <v>45604</v>
      </c>
      <c r="C12539" s="1" t="n">
        <v>45715</v>
      </c>
      <c r="D12539" t="inlineStr">
        <is>
          <t>KALMAR LÄN</t>
        </is>
      </c>
      <c r="E12539" t="inlineStr">
        <is>
          <t>OSKARSHAMN</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51510-2024</t>
        </is>
      </c>
      <c r="B12540" s="1" t="n">
        <v>45604</v>
      </c>
      <c r="C12540" s="1" t="n">
        <v>45715</v>
      </c>
      <c r="D12540" t="inlineStr">
        <is>
          <t>KALMAR LÄN</t>
        </is>
      </c>
      <c r="E12540" t="inlineStr">
        <is>
          <t>VÄSTERVIK</t>
        </is>
      </c>
      <c r="F12540" t="inlineStr">
        <is>
          <t>Övriga Aktiebolag</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51496-2024</t>
        </is>
      </c>
      <c r="B12541" s="1" t="n">
        <v>45604</v>
      </c>
      <c r="C12541" s="1" t="n">
        <v>45715</v>
      </c>
      <c r="D12541" t="inlineStr">
        <is>
          <t>KALMAR LÄN</t>
        </is>
      </c>
      <c r="E12541" t="inlineStr">
        <is>
          <t>VÄSTERVIK</t>
        </is>
      </c>
      <c r="F12541" t="inlineStr">
        <is>
          <t>Övriga Aktiebolag</t>
        </is>
      </c>
      <c r="G12541" t="n">
        <v>4.6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51586-2024</t>
        </is>
      </c>
      <c r="B12542" s="1" t="n">
        <v>45604</v>
      </c>
      <c r="C12542" s="1" t="n">
        <v>45715</v>
      </c>
      <c r="D12542" t="inlineStr">
        <is>
          <t>KALMAR LÄN</t>
        </is>
      </c>
      <c r="E12542" t="inlineStr">
        <is>
          <t>HULTSFRED</t>
        </is>
      </c>
      <c r="G12542" t="n">
        <v>4.7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51584-2024</t>
        </is>
      </c>
      <c r="B12543" s="1" t="n">
        <v>45604</v>
      </c>
      <c r="C12543" s="1" t="n">
        <v>45715</v>
      </c>
      <c r="D12543" t="inlineStr">
        <is>
          <t>KALMAR LÄN</t>
        </is>
      </c>
      <c r="E12543" t="inlineStr">
        <is>
          <t>HULTSFRED</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51588-2024</t>
        </is>
      </c>
      <c r="B12544" s="1" t="n">
        <v>45604</v>
      </c>
      <c r="C12544" s="1" t="n">
        <v>45715</v>
      </c>
      <c r="D12544" t="inlineStr">
        <is>
          <t>KALMAR LÄN</t>
        </is>
      </c>
      <c r="E12544" t="inlineStr">
        <is>
          <t>HULTSFRED</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51671-2024</t>
        </is>
      </c>
      <c r="B12545" s="1" t="n">
        <v>45604</v>
      </c>
      <c r="C12545" s="1" t="n">
        <v>45715</v>
      </c>
      <c r="D12545" t="inlineStr">
        <is>
          <t>KALMAR LÄN</t>
        </is>
      </c>
      <c r="E12545" t="inlineStr">
        <is>
          <t>OSKARSHAMN</t>
        </is>
      </c>
      <c r="G12545" t="n">
        <v>4.3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51737-2024</t>
        </is>
      </c>
      <c r="B12546" s="1" t="n">
        <v>45604</v>
      </c>
      <c r="C12546" s="1" t="n">
        <v>45715</v>
      </c>
      <c r="D12546" t="inlineStr">
        <is>
          <t>KALMAR LÄN</t>
        </is>
      </c>
      <c r="E12546" t="inlineStr">
        <is>
          <t>OSKARSHAMN</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51802-2024</t>
        </is>
      </c>
      <c r="B12547" s="1" t="n">
        <v>45604</v>
      </c>
      <c r="C12547" s="1" t="n">
        <v>45715</v>
      </c>
      <c r="D12547" t="inlineStr">
        <is>
          <t>KALMAR LÄN</t>
        </is>
      </c>
      <c r="E12547" t="inlineStr">
        <is>
          <t>OSKARSHAMN</t>
        </is>
      </c>
      <c r="G12547" t="n">
        <v>5.6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51673-2024</t>
        </is>
      </c>
      <c r="B12548" s="1" t="n">
        <v>45604</v>
      </c>
      <c r="C12548" s="1" t="n">
        <v>45715</v>
      </c>
      <c r="D12548" t="inlineStr">
        <is>
          <t>KALMAR LÄN</t>
        </is>
      </c>
      <c r="E12548" t="inlineStr">
        <is>
          <t>OSKARSHAMN</t>
        </is>
      </c>
      <c r="G12548" t="n">
        <v>4.1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51721-2024</t>
        </is>
      </c>
      <c r="B12549" s="1" t="n">
        <v>45604</v>
      </c>
      <c r="C12549" s="1" t="n">
        <v>45715</v>
      </c>
      <c r="D12549" t="inlineStr">
        <is>
          <t>KALMAR LÄN</t>
        </is>
      </c>
      <c r="E12549" t="inlineStr">
        <is>
          <t>OSKARSHAMN</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51744-2024</t>
        </is>
      </c>
      <c r="B12550" s="1" t="n">
        <v>45604</v>
      </c>
      <c r="C12550" s="1" t="n">
        <v>45715</v>
      </c>
      <c r="D12550" t="inlineStr">
        <is>
          <t>KALMAR LÄN</t>
        </is>
      </c>
      <c r="E12550" t="inlineStr">
        <is>
          <t>OSKARSHAMN</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51812-2024</t>
        </is>
      </c>
      <c r="B12551" s="1" t="n">
        <v>45604</v>
      </c>
      <c r="C12551" s="1" t="n">
        <v>45715</v>
      </c>
      <c r="D12551" t="inlineStr">
        <is>
          <t>KALMAR LÄN</t>
        </is>
      </c>
      <c r="E12551" t="inlineStr">
        <is>
          <t>HÖGSBY</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51731-2024</t>
        </is>
      </c>
      <c r="B12552" s="1" t="n">
        <v>45604</v>
      </c>
      <c r="C12552" s="1" t="n">
        <v>45715</v>
      </c>
      <c r="D12552" t="inlineStr">
        <is>
          <t>KALMAR LÄN</t>
        </is>
      </c>
      <c r="E12552" t="inlineStr">
        <is>
          <t>OSKARSHAMN</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51795-2024</t>
        </is>
      </c>
      <c r="B12553" s="1" t="n">
        <v>45604</v>
      </c>
      <c r="C12553" s="1" t="n">
        <v>45715</v>
      </c>
      <c r="D12553" t="inlineStr">
        <is>
          <t>KALMAR LÄN</t>
        </is>
      </c>
      <c r="E12553" t="inlineStr">
        <is>
          <t>OSKARSHAMN</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51589-2024</t>
        </is>
      </c>
      <c r="B12554" s="1" t="n">
        <v>45604</v>
      </c>
      <c r="C12554" s="1" t="n">
        <v>45715</v>
      </c>
      <c r="D12554" t="inlineStr">
        <is>
          <t>KALMAR LÄN</t>
        </is>
      </c>
      <c r="E12554" t="inlineStr">
        <is>
          <t>VIMMERBY</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51766-2024</t>
        </is>
      </c>
      <c r="B12555" s="1" t="n">
        <v>45604</v>
      </c>
      <c r="C12555" s="1" t="n">
        <v>45715</v>
      </c>
      <c r="D12555" t="inlineStr">
        <is>
          <t>KALMAR LÄN</t>
        </is>
      </c>
      <c r="E12555" t="inlineStr">
        <is>
          <t>OSKARSHAMN</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51819-2024</t>
        </is>
      </c>
      <c r="B12556" s="1" t="n">
        <v>45604</v>
      </c>
      <c r="C12556" s="1" t="n">
        <v>45715</v>
      </c>
      <c r="D12556" t="inlineStr">
        <is>
          <t>KALMAR LÄN</t>
        </is>
      </c>
      <c r="E12556" t="inlineStr">
        <is>
          <t>HÖGSBY</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51653-2024</t>
        </is>
      </c>
      <c r="B12557" s="1" t="n">
        <v>45606</v>
      </c>
      <c r="C12557" s="1" t="n">
        <v>45715</v>
      </c>
      <c r="D12557" t="inlineStr">
        <is>
          <t>KALMAR LÄN</t>
        </is>
      </c>
      <c r="E12557" t="inlineStr">
        <is>
          <t>NYBRO</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51649-2024</t>
        </is>
      </c>
      <c r="B12558" s="1" t="n">
        <v>45606</v>
      </c>
      <c r="C12558" s="1" t="n">
        <v>45715</v>
      </c>
      <c r="D12558" t="inlineStr">
        <is>
          <t>KALMAR LÄN</t>
        </is>
      </c>
      <c r="E12558" t="inlineStr">
        <is>
          <t>EMMABODA</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51670-2024</t>
        </is>
      </c>
      <c r="B12559" s="1" t="n">
        <v>45606</v>
      </c>
      <c r="C12559" s="1" t="n">
        <v>45715</v>
      </c>
      <c r="D12559" t="inlineStr">
        <is>
          <t>KALMAR LÄN</t>
        </is>
      </c>
      <c r="E12559" t="inlineStr">
        <is>
          <t>HULTSFRED</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51650-2024</t>
        </is>
      </c>
      <c r="B12560" s="1" t="n">
        <v>45606</v>
      </c>
      <c r="C12560" s="1" t="n">
        <v>45715</v>
      </c>
      <c r="D12560" t="inlineStr">
        <is>
          <t>KALMAR LÄN</t>
        </is>
      </c>
      <c r="E12560" t="inlineStr">
        <is>
          <t>EMMABODA</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51651-2024</t>
        </is>
      </c>
      <c r="B12561" s="1" t="n">
        <v>45606</v>
      </c>
      <c r="C12561" s="1" t="n">
        <v>45715</v>
      </c>
      <c r="D12561" t="inlineStr">
        <is>
          <t>KALMAR LÄN</t>
        </is>
      </c>
      <c r="E12561" t="inlineStr">
        <is>
          <t>NYBRO</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51652-2024</t>
        </is>
      </c>
      <c r="B12562" s="1" t="n">
        <v>45606</v>
      </c>
      <c r="C12562" s="1" t="n">
        <v>45715</v>
      </c>
      <c r="D12562" t="inlineStr">
        <is>
          <t>KALMAR LÄN</t>
        </is>
      </c>
      <c r="E12562" t="inlineStr">
        <is>
          <t>NYBRO</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51944-2024</t>
        </is>
      </c>
      <c r="B12563" s="1" t="n">
        <v>45607</v>
      </c>
      <c r="C12563" s="1" t="n">
        <v>45715</v>
      </c>
      <c r="D12563" t="inlineStr">
        <is>
          <t>KALMAR LÄN</t>
        </is>
      </c>
      <c r="E12563" t="inlineStr">
        <is>
          <t>HÖGSBY</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51959-2024</t>
        </is>
      </c>
      <c r="B12564" s="1" t="n">
        <v>45607</v>
      </c>
      <c r="C12564" s="1" t="n">
        <v>45715</v>
      </c>
      <c r="D12564" t="inlineStr">
        <is>
          <t>KALMAR LÄN</t>
        </is>
      </c>
      <c r="E12564" t="inlineStr">
        <is>
          <t>KALMAR</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51780-2024</t>
        </is>
      </c>
      <c r="B12565" s="1" t="n">
        <v>45607</v>
      </c>
      <c r="C12565" s="1" t="n">
        <v>45715</v>
      </c>
      <c r="D12565" t="inlineStr">
        <is>
          <t>KALMAR LÄN</t>
        </is>
      </c>
      <c r="E12565" t="inlineStr">
        <is>
          <t>VIMMERBY</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51962-2024</t>
        </is>
      </c>
      <c r="B12566" s="1" t="n">
        <v>45607</v>
      </c>
      <c r="C12566" s="1" t="n">
        <v>45715</v>
      </c>
      <c r="D12566" t="inlineStr">
        <is>
          <t>KALMAR LÄN</t>
        </is>
      </c>
      <c r="E12566" t="inlineStr">
        <is>
          <t>KALMAR</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51974-2024</t>
        </is>
      </c>
      <c r="B12567" s="1" t="n">
        <v>45607</v>
      </c>
      <c r="C12567" s="1" t="n">
        <v>45715</v>
      </c>
      <c r="D12567" t="inlineStr">
        <is>
          <t>KALMAR LÄN</t>
        </is>
      </c>
      <c r="E12567" t="inlineStr">
        <is>
          <t>OSKARSHAMN</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52003-2024</t>
        </is>
      </c>
      <c r="B12568" s="1" t="n">
        <v>45607</v>
      </c>
      <c r="C12568" s="1" t="n">
        <v>45715</v>
      </c>
      <c r="D12568" t="inlineStr">
        <is>
          <t>KALMAR LÄN</t>
        </is>
      </c>
      <c r="E12568" t="inlineStr">
        <is>
          <t>MÖNSTERÅS</t>
        </is>
      </c>
      <c r="G12568" t="n">
        <v>2.7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52011-2024</t>
        </is>
      </c>
      <c r="B12569" s="1" t="n">
        <v>45607</v>
      </c>
      <c r="C12569" s="1" t="n">
        <v>45715</v>
      </c>
      <c r="D12569" t="inlineStr">
        <is>
          <t>KALMAR LÄN</t>
        </is>
      </c>
      <c r="E12569" t="inlineStr">
        <is>
          <t>VIMMERBY</t>
        </is>
      </c>
      <c r="G12569" t="n">
        <v>6.4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51676-2024</t>
        </is>
      </c>
      <c r="B12570" s="1" t="n">
        <v>45607</v>
      </c>
      <c r="C12570" s="1" t="n">
        <v>45715</v>
      </c>
      <c r="D12570" t="inlineStr">
        <is>
          <t>KALMAR LÄN</t>
        </is>
      </c>
      <c r="E12570" t="inlineStr">
        <is>
          <t>NYBRO</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51787-2024</t>
        </is>
      </c>
      <c r="B12571" s="1" t="n">
        <v>45607</v>
      </c>
      <c r="C12571" s="1" t="n">
        <v>45715</v>
      </c>
      <c r="D12571" t="inlineStr">
        <is>
          <t>KALMAR LÄN</t>
        </is>
      </c>
      <c r="E12571" t="inlineStr">
        <is>
          <t>OSKARSHAMN</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51797-2024</t>
        </is>
      </c>
      <c r="B12572" s="1" t="n">
        <v>45607</v>
      </c>
      <c r="C12572" s="1" t="n">
        <v>45715</v>
      </c>
      <c r="D12572" t="inlineStr">
        <is>
          <t>KALMAR LÄN</t>
        </is>
      </c>
      <c r="E12572" t="inlineStr">
        <is>
          <t>OSKARSHAMN</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51879-2024</t>
        </is>
      </c>
      <c r="B12573" s="1" t="n">
        <v>45607</v>
      </c>
      <c r="C12573" s="1" t="n">
        <v>45715</v>
      </c>
      <c r="D12573" t="inlineStr">
        <is>
          <t>KALMAR LÄN</t>
        </is>
      </c>
      <c r="E12573" t="inlineStr">
        <is>
          <t>OSKARSHAMN</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51884-2024</t>
        </is>
      </c>
      <c r="B12574" s="1" t="n">
        <v>45607</v>
      </c>
      <c r="C12574" s="1" t="n">
        <v>45715</v>
      </c>
      <c r="D12574" t="inlineStr">
        <is>
          <t>KALMAR LÄN</t>
        </is>
      </c>
      <c r="E12574" t="inlineStr">
        <is>
          <t>OSKARSHAMN</t>
        </is>
      </c>
      <c r="G12574" t="n">
        <v>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51881-2024</t>
        </is>
      </c>
      <c r="B12575" s="1" t="n">
        <v>45607</v>
      </c>
      <c r="C12575" s="1" t="n">
        <v>45715</v>
      </c>
      <c r="D12575" t="inlineStr">
        <is>
          <t>KALMAR LÄN</t>
        </is>
      </c>
      <c r="E12575" t="inlineStr">
        <is>
          <t>VIMMERBY</t>
        </is>
      </c>
      <c r="G12575" t="n">
        <v>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51843-2024</t>
        </is>
      </c>
      <c r="B12576" s="1" t="n">
        <v>45607</v>
      </c>
      <c r="C12576" s="1" t="n">
        <v>45715</v>
      </c>
      <c r="D12576" t="inlineStr">
        <is>
          <t>KALMAR LÄN</t>
        </is>
      </c>
      <c r="E12576" t="inlineStr">
        <is>
          <t>HULTSFRED</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51852-2024</t>
        </is>
      </c>
      <c r="B12577" s="1" t="n">
        <v>45607</v>
      </c>
      <c r="C12577" s="1" t="n">
        <v>45715</v>
      </c>
      <c r="D12577" t="inlineStr">
        <is>
          <t>KALMAR LÄN</t>
        </is>
      </c>
      <c r="E12577" t="inlineStr">
        <is>
          <t>TORSÅS</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51738-2024</t>
        </is>
      </c>
      <c r="B12578" s="1" t="n">
        <v>45607</v>
      </c>
      <c r="C12578" s="1" t="n">
        <v>45715</v>
      </c>
      <c r="D12578" t="inlineStr">
        <is>
          <t>KALMAR LÄN</t>
        </is>
      </c>
      <c r="E12578" t="inlineStr">
        <is>
          <t>OSKARSHAMN</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52186-2024</t>
        </is>
      </c>
      <c r="B12579" s="1" t="n">
        <v>45608</v>
      </c>
      <c r="C12579" s="1" t="n">
        <v>45715</v>
      </c>
      <c r="D12579" t="inlineStr">
        <is>
          <t>KALMAR LÄN</t>
        </is>
      </c>
      <c r="E12579" t="inlineStr">
        <is>
          <t>EMMABODA</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52265-2024</t>
        </is>
      </c>
      <c r="B12580" s="1" t="n">
        <v>45608</v>
      </c>
      <c r="C12580" s="1" t="n">
        <v>45715</v>
      </c>
      <c r="D12580" t="inlineStr">
        <is>
          <t>KALMAR LÄN</t>
        </is>
      </c>
      <c r="E12580" t="inlineStr">
        <is>
          <t>OSKARSHAMN</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52114-2024</t>
        </is>
      </c>
      <c r="B12581" s="1" t="n">
        <v>45608</v>
      </c>
      <c r="C12581" s="1" t="n">
        <v>45715</v>
      </c>
      <c r="D12581" t="inlineStr">
        <is>
          <t>KALMAR LÄN</t>
        </is>
      </c>
      <c r="E12581" t="inlineStr">
        <is>
          <t>HÖGSBY</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52121-2024</t>
        </is>
      </c>
      <c r="B12582" s="1" t="n">
        <v>45608</v>
      </c>
      <c r="C12582" s="1" t="n">
        <v>45715</v>
      </c>
      <c r="D12582" t="inlineStr">
        <is>
          <t>KALMAR LÄN</t>
        </is>
      </c>
      <c r="E12582" t="inlineStr">
        <is>
          <t>HULTSFRED</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52117-2024</t>
        </is>
      </c>
      <c r="B12583" s="1" t="n">
        <v>45608</v>
      </c>
      <c r="C12583" s="1" t="n">
        <v>45715</v>
      </c>
      <c r="D12583" t="inlineStr">
        <is>
          <t>KALMAR LÄN</t>
        </is>
      </c>
      <c r="E12583" t="inlineStr">
        <is>
          <t>HÖGSBY</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52113-2024</t>
        </is>
      </c>
      <c r="B12584" s="1" t="n">
        <v>45608</v>
      </c>
      <c r="C12584" s="1" t="n">
        <v>45715</v>
      </c>
      <c r="D12584" t="inlineStr">
        <is>
          <t>KALMAR LÄN</t>
        </is>
      </c>
      <c r="E12584" t="inlineStr">
        <is>
          <t>HÖGSBY</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52112-2024</t>
        </is>
      </c>
      <c r="B12585" s="1" t="n">
        <v>45608</v>
      </c>
      <c r="C12585" s="1" t="n">
        <v>45715</v>
      </c>
      <c r="D12585" t="inlineStr">
        <is>
          <t>KALMAR LÄN</t>
        </is>
      </c>
      <c r="E12585" t="inlineStr">
        <is>
          <t>HÖGSBY</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52116-2024</t>
        </is>
      </c>
      <c r="B12586" s="1" t="n">
        <v>45608</v>
      </c>
      <c r="C12586" s="1" t="n">
        <v>45715</v>
      </c>
      <c r="D12586" t="inlineStr">
        <is>
          <t>KALMAR LÄN</t>
        </is>
      </c>
      <c r="E12586" t="inlineStr">
        <is>
          <t>HÖGSBY</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52160-2024</t>
        </is>
      </c>
      <c r="B12587" s="1" t="n">
        <v>45608</v>
      </c>
      <c r="C12587" s="1" t="n">
        <v>45715</v>
      </c>
      <c r="D12587" t="inlineStr">
        <is>
          <t>KALMAR LÄN</t>
        </is>
      </c>
      <c r="E12587" t="inlineStr">
        <is>
          <t>NYBRO</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52205-2024</t>
        </is>
      </c>
      <c r="B12588" s="1" t="n">
        <v>45608</v>
      </c>
      <c r="C12588" s="1" t="n">
        <v>45715</v>
      </c>
      <c r="D12588" t="inlineStr">
        <is>
          <t>KALMAR LÄN</t>
        </is>
      </c>
      <c r="E12588" t="inlineStr">
        <is>
          <t>NYBRO</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52511-2024</t>
        </is>
      </c>
      <c r="B12589" s="1" t="n">
        <v>45609</v>
      </c>
      <c r="C12589" s="1" t="n">
        <v>45715</v>
      </c>
      <c r="D12589" t="inlineStr">
        <is>
          <t>KALMAR LÄN</t>
        </is>
      </c>
      <c r="E12589" t="inlineStr">
        <is>
          <t>NYBRO</t>
        </is>
      </c>
      <c r="G12589" t="n">
        <v>3.8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52458-2024</t>
        </is>
      </c>
      <c r="B12590" s="1" t="n">
        <v>45609</v>
      </c>
      <c r="C12590" s="1" t="n">
        <v>45715</v>
      </c>
      <c r="D12590" t="inlineStr">
        <is>
          <t>KALMAR LÄN</t>
        </is>
      </c>
      <c r="E12590" t="inlineStr">
        <is>
          <t>EMMABODA</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52462-2024</t>
        </is>
      </c>
      <c r="B12591" s="1" t="n">
        <v>45609</v>
      </c>
      <c r="C12591" s="1" t="n">
        <v>45715</v>
      </c>
      <c r="D12591" t="inlineStr">
        <is>
          <t>KALMAR LÄN</t>
        </is>
      </c>
      <c r="E12591" t="inlineStr">
        <is>
          <t>EMMABODA</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52543-2024</t>
        </is>
      </c>
      <c r="B12592" s="1" t="n">
        <v>45609</v>
      </c>
      <c r="C12592" s="1" t="n">
        <v>45715</v>
      </c>
      <c r="D12592" t="inlineStr">
        <is>
          <t>KALMAR LÄN</t>
        </is>
      </c>
      <c r="E12592" t="inlineStr">
        <is>
          <t>NYBRO</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52551-2024</t>
        </is>
      </c>
      <c r="B12593" s="1" t="n">
        <v>45609</v>
      </c>
      <c r="C12593" s="1" t="n">
        <v>45715</v>
      </c>
      <c r="D12593" t="inlineStr">
        <is>
          <t>KALMAR LÄN</t>
        </is>
      </c>
      <c r="E12593" t="inlineStr">
        <is>
          <t>NYBRO</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52701-2024</t>
        </is>
      </c>
      <c r="B12594" s="1" t="n">
        <v>45610</v>
      </c>
      <c r="C12594" s="1" t="n">
        <v>45715</v>
      </c>
      <c r="D12594" t="inlineStr">
        <is>
          <t>KALMAR LÄN</t>
        </is>
      </c>
      <c r="E12594" t="inlineStr">
        <is>
          <t>OSKARSHAMN</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52753-2024</t>
        </is>
      </c>
      <c r="B12595" s="1" t="n">
        <v>45610</v>
      </c>
      <c r="C12595" s="1" t="n">
        <v>45715</v>
      </c>
      <c r="D12595" t="inlineStr">
        <is>
          <t>KALMAR LÄN</t>
        </is>
      </c>
      <c r="E12595" t="inlineStr">
        <is>
          <t>EMMABODA</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52841-2024</t>
        </is>
      </c>
      <c r="B12596" s="1" t="n">
        <v>45610</v>
      </c>
      <c r="C12596" s="1" t="n">
        <v>45715</v>
      </c>
      <c r="D12596" t="inlineStr">
        <is>
          <t>KALMAR LÄN</t>
        </is>
      </c>
      <c r="E12596" t="inlineStr">
        <is>
          <t>VIMMERBY</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52889-2024</t>
        </is>
      </c>
      <c r="B12597" s="1" t="n">
        <v>45610</v>
      </c>
      <c r="C12597" s="1" t="n">
        <v>45715</v>
      </c>
      <c r="D12597" t="inlineStr">
        <is>
          <t>KALMAR LÄN</t>
        </is>
      </c>
      <c r="E12597" t="inlineStr">
        <is>
          <t>HULTSFRED</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52893-2024</t>
        </is>
      </c>
      <c r="B12598" s="1" t="n">
        <v>45610</v>
      </c>
      <c r="C12598" s="1" t="n">
        <v>45715</v>
      </c>
      <c r="D12598" t="inlineStr">
        <is>
          <t>KALMAR LÄN</t>
        </is>
      </c>
      <c r="E12598" t="inlineStr">
        <is>
          <t>HULTSFRED</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52897-2024</t>
        </is>
      </c>
      <c r="B12599" s="1" t="n">
        <v>45610</v>
      </c>
      <c r="C12599" s="1" t="n">
        <v>45715</v>
      </c>
      <c r="D12599" t="inlineStr">
        <is>
          <t>KALMAR LÄN</t>
        </is>
      </c>
      <c r="E12599" t="inlineStr">
        <is>
          <t>HULTSFRED</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52913-2024</t>
        </is>
      </c>
      <c r="B12600" s="1" t="n">
        <v>45610</v>
      </c>
      <c r="C12600" s="1" t="n">
        <v>45715</v>
      </c>
      <c r="D12600" t="inlineStr">
        <is>
          <t>KALMAR LÄN</t>
        </is>
      </c>
      <c r="E12600" t="inlineStr">
        <is>
          <t>EMMABODA</t>
        </is>
      </c>
      <c r="G12600" t="n">
        <v>6.6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52728-2024</t>
        </is>
      </c>
      <c r="B12601" s="1" t="n">
        <v>45610</v>
      </c>
      <c r="C12601" s="1" t="n">
        <v>45715</v>
      </c>
      <c r="D12601" t="inlineStr">
        <is>
          <t>KALMAR LÄN</t>
        </is>
      </c>
      <c r="E12601" t="inlineStr">
        <is>
          <t>OSKARSHAMN</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52752-2024</t>
        </is>
      </c>
      <c r="B12602" s="1" t="n">
        <v>45610</v>
      </c>
      <c r="C12602" s="1" t="n">
        <v>45715</v>
      </c>
      <c r="D12602" t="inlineStr">
        <is>
          <t>KALMAR LÄN</t>
        </is>
      </c>
      <c r="E12602" t="inlineStr">
        <is>
          <t>NYBRO</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52727-2024</t>
        </is>
      </c>
      <c r="B12603" s="1" t="n">
        <v>45610</v>
      </c>
      <c r="C12603" s="1" t="n">
        <v>45715</v>
      </c>
      <c r="D12603" t="inlineStr">
        <is>
          <t>KALMAR LÄN</t>
        </is>
      </c>
      <c r="E12603" t="inlineStr">
        <is>
          <t>OSKARSHAMN</t>
        </is>
      </c>
      <c r="G12603" t="n">
        <v>11.6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52731-2024</t>
        </is>
      </c>
      <c r="B12604" s="1" t="n">
        <v>45610</v>
      </c>
      <c r="C12604" s="1" t="n">
        <v>45715</v>
      </c>
      <c r="D12604" t="inlineStr">
        <is>
          <t>KALMAR LÄN</t>
        </is>
      </c>
      <c r="E12604" t="inlineStr">
        <is>
          <t>OSKARSHAMN</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52811-2024</t>
        </is>
      </c>
      <c r="B12605" s="1" t="n">
        <v>45610</v>
      </c>
      <c r="C12605" s="1" t="n">
        <v>45715</v>
      </c>
      <c r="D12605" t="inlineStr">
        <is>
          <t>KALMAR LÄN</t>
        </is>
      </c>
      <c r="E12605" t="inlineStr">
        <is>
          <t>VÄSTERVIK</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52823-2024</t>
        </is>
      </c>
      <c r="B12606" s="1" t="n">
        <v>45610</v>
      </c>
      <c r="C12606" s="1" t="n">
        <v>45715</v>
      </c>
      <c r="D12606" t="inlineStr">
        <is>
          <t>KALMAR LÄN</t>
        </is>
      </c>
      <c r="E12606" t="inlineStr">
        <is>
          <t>VIMMERBY</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52730-2024</t>
        </is>
      </c>
      <c r="B12607" s="1" t="n">
        <v>45610</v>
      </c>
      <c r="C12607" s="1" t="n">
        <v>45715</v>
      </c>
      <c r="D12607" t="inlineStr">
        <is>
          <t>KALMAR LÄN</t>
        </is>
      </c>
      <c r="E12607" t="inlineStr">
        <is>
          <t>OSKARSHAMN</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52734-2024</t>
        </is>
      </c>
      <c r="B12608" s="1" t="n">
        <v>45610</v>
      </c>
      <c r="C12608" s="1" t="n">
        <v>45715</v>
      </c>
      <c r="D12608" t="inlineStr">
        <is>
          <t>KALMAR LÄN</t>
        </is>
      </c>
      <c r="E12608" t="inlineStr">
        <is>
          <t>VÄSTERVIK</t>
        </is>
      </c>
      <c r="F12608" t="inlineStr">
        <is>
          <t>Holmen skog AB</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52738-2024</t>
        </is>
      </c>
      <c r="B12609" s="1" t="n">
        <v>45610</v>
      </c>
      <c r="C12609" s="1" t="n">
        <v>45715</v>
      </c>
      <c r="D12609" t="inlineStr">
        <is>
          <t>KALMAR LÄN</t>
        </is>
      </c>
      <c r="E12609" t="inlineStr">
        <is>
          <t>OSKARSHAMN</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52703-2024</t>
        </is>
      </c>
      <c r="B12610" s="1" t="n">
        <v>45610</v>
      </c>
      <c r="C12610" s="1" t="n">
        <v>45715</v>
      </c>
      <c r="D12610" t="inlineStr">
        <is>
          <t>KALMAR LÄN</t>
        </is>
      </c>
      <c r="E12610" t="inlineStr">
        <is>
          <t>OSKARSHAMN</t>
        </is>
      </c>
      <c r="G12610" t="n">
        <v>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52699-2024</t>
        </is>
      </c>
      <c r="B12611" s="1" t="n">
        <v>45610</v>
      </c>
      <c r="C12611" s="1" t="n">
        <v>45715</v>
      </c>
      <c r="D12611" t="inlineStr">
        <is>
          <t>KALMAR LÄN</t>
        </is>
      </c>
      <c r="E12611" t="inlineStr">
        <is>
          <t>OSKARSHAMN</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52659-2024</t>
        </is>
      </c>
      <c r="B12612" s="1" t="n">
        <v>45610</v>
      </c>
      <c r="C12612" s="1" t="n">
        <v>45715</v>
      </c>
      <c r="D12612" t="inlineStr">
        <is>
          <t>KALMAR LÄN</t>
        </is>
      </c>
      <c r="E12612" t="inlineStr">
        <is>
          <t>TORSÅS</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52839-2024</t>
        </is>
      </c>
      <c r="B12613" s="1" t="n">
        <v>45610</v>
      </c>
      <c r="C12613" s="1" t="n">
        <v>45715</v>
      </c>
      <c r="D12613" t="inlineStr">
        <is>
          <t>KALMAR LÄN</t>
        </is>
      </c>
      <c r="E12613" t="inlineStr">
        <is>
          <t>MÖNSTERÅS</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52880-2024</t>
        </is>
      </c>
      <c r="B12614" s="1" t="n">
        <v>45610</v>
      </c>
      <c r="C12614" s="1" t="n">
        <v>45715</v>
      </c>
      <c r="D12614" t="inlineStr">
        <is>
          <t>KALMAR LÄN</t>
        </is>
      </c>
      <c r="E12614" t="inlineStr">
        <is>
          <t>HULTSFRED</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52884-2024</t>
        </is>
      </c>
      <c r="B12615" s="1" t="n">
        <v>45610</v>
      </c>
      <c r="C12615" s="1" t="n">
        <v>45715</v>
      </c>
      <c r="D12615" t="inlineStr">
        <is>
          <t>KALMAR LÄN</t>
        </is>
      </c>
      <c r="E12615" t="inlineStr">
        <is>
          <t>HULTSFRED</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52774-2024</t>
        </is>
      </c>
      <c r="B12616" s="1" t="n">
        <v>45610</v>
      </c>
      <c r="C12616" s="1" t="n">
        <v>45715</v>
      </c>
      <c r="D12616" t="inlineStr">
        <is>
          <t>KALMAR LÄN</t>
        </is>
      </c>
      <c r="E12616" t="inlineStr">
        <is>
          <t>VÄSTERVIK</t>
        </is>
      </c>
      <c r="F12616" t="inlineStr">
        <is>
          <t>Holmen skog AB</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52818-2024</t>
        </is>
      </c>
      <c r="B12617" s="1" t="n">
        <v>45610</v>
      </c>
      <c r="C12617" s="1" t="n">
        <v>45715</v>
      </c>
      <c r="D12617" t="inlineStr">
        <is>
          <t>KALMAR LÄN</t>
        </is>
      </c>
      <c r="E12617" t="inlineStr">
        <is>
          <t>VÄSTERVIK</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52886-2024</t>
        </is>
      </c>
      <c r="B12618" s="1" t="n">
        <v>45610</v>
      </c>
      <c r="C12618" s="1" t="n">
        <v>45715</v>
      </c>
      <c r="D12618" t="inlineStr">
        <is>
          <t>KALMAR LÄN</t>
        </is>
      </c>
      <c r="E12618" t="inlineStr">
        <is>
          <t>HULTSFRED</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53077-2024</t>
        </is>
      </c>
      <c r="B12619" s="1" t="n">
        <v>45611</v>
      </c>
      <c r="C12619" s="1" t="n">
        <v>45715</v>
      </c>
      <c r="D12619" t="inlineStr">
        <is>
          <t>KALMAR LÄN</t>
        </is>
      </c>
      <c r="E12619" t="inlineStr">
        <is>
          <t>VÄSTERVIK</t>
        </is>
      </c>
      <c r="F12619" t="inlineStr">
        <is>
          <t>Holmen skog AB</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53072-2024</t>
        </is>
      </c>
      <c r="B12620" s="1" t="n">
        <v>45611</v>
      </c>
      <c r="C12620" s="1" t="n">
        <v>45715</v>
      </c>
      <c r="D12620" t="inlineStr">
        <is>
          <t>KALMAR LÄN</t>
        </is>
      </c>
      <c r="E12620" t="inlineStr">
        <is>
          <t>NYBRO</t>
        </is>
      </c>
      <c r="F12620" t="inlineStr">
        <is>
          <t>Sveaskog</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52987-2024</t>
        </is>
      </c>
      <c r="B12621" s="1" t="n">
        <v>45611</v>
      </c>
      <c r="C12621" s="1" t="n">
        <v>45715</v>
      </c>
      <c r="D12621" t="inlineStr">
        <is>
          <t>KALMAR LÄN</t>
        </is>
      </c>
      <c r="E12621" t="inlineStr">
        <is>
          <t>HÖGSBY</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52963-2024</t>
        </is>
      </c>
      <c r="B12622" s="1" t="n">
        <v>45611</v>
      </c>
      <c r="C12622" s="1" t="n">
        <v>45715</v>
      </c>
      <c r="D12622" t="inlineStr">
        <is>
          <t>KALMAR LÄN</t>
        </is>
      </c>
      <c r="E12622" t="inlineStr">
        <is>
          <t>MÖNSTERÅS</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52966-2024</t>
        </is>
      </c>
      <c r="B12623" s="1" t="n">
        <v>45611</v>
      </c>
      <c r="C12623" s="1" t="n">
        <v>45715</v>
      </c>
      <c r="D12623" t="inlineStr">
        <is>
          <t>KALMAR LÄN</t>
        </is>
      </c>
      <c r="E12623" t="inlineStr">
        <is>
          <t>MÖNSTERÅS</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53070-2024</t>
        </is>
      </c>
      <c r="B12624" s="1" t="n">
        <v>45611</v>
      </c>
      <c r="C12624" s="1" t="n">
        <v>45715</v>
      </c>
      <c r="D12624" t="inlineStr">
        <is>
          <t>KALMAR LÄN</t>
        </is>
      </c>
      <c r="E12624" t="inlineStr">
        <is>
          <t>NYBRO</t>
        </is>
      </c>
      <c r="F12624" t="inlineStr">
        <is>
          <t>Sveaskog</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53199-2024</t>
        </is>
      </c>
      <c r="B12625" s="1" t="n">
        <v>45612</v>
      </c>
      <c r="C12625" s="1" t="n">
        <v>45715</v>
      </c>
      <c r="D12625" t="inlineStr">
        <is>
          <t>KALMAR LÄN</t>
        </is>
      </c>
      <c r="E12625" t="inlineStr">
        <is>
          <t>MÖNSTERÅS</t>
        </is>
      </c>
      <c r="G12625" t="n">
        <v>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53488-2024</t>
        </is>
      </c>
      <c r="B12626" s="1" t="n">
        <v>45614</v>
      </c>
      <c r="C12626" s="1" t="n">
        <v>45715</v>
      </c>
      <c r="D12626" t="inlineStr">
        <is>
          <t>KALMAR LÄN</t>
        </is>
      </c>
      <c r="E12626" t="inlineStr">
        <is>
          <t>HULTSFRED</t>
        </is>
      </c>
      <c r="G12626" t="n">
        <v>6.3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53492-2024</t>
        </is>
      </c>
      <c r="B12627" s="1" t="n">
        <v>45614</v>
      </c>
      <c r="C12627" s="1" t="n">
        <v>45715</v>
      </c>
      <c r="D12627" t="inlineStr">
        <is>
          <t>KALMAR LÄN</t>
        </is>
      </c>
      <c r="E12627" t="inlineStr">
        <is>
          <t>HULTSFRED</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53265-2024</t>
        </is>
      </c>
      <c r="B12628" s="1" t="n">
        <v>45614</v>
      </c>
      <c r="C12628" s="1" t="n">
        <v>45715</v>
      </c>
      <c r="D12628" t="inlineStr">
        <is>
          <t>KALMAR LÄN</t>
        </is>
      </c>
      <c r="E12628" t="inlineStr">
        <is>
          <t>HULTSFRED</t>
        </is>
      </c>
      <c r="G12628" t="n">
        <v>6.4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53427-2024</t>
        </is>
      </c>
      <c r="B12629" s="1" t="n">
        <v>45614</v>
      </c>
      <c r="C12629" s="1" t="n">
        <v>45715</v>
      </c>
      <c r="D12629" t="inlineStr">
        <is>
          <t>KALMAR LÄN</t>
        </is>
      </c>
      <c r="E12629" t="inlineStr">
        <is>
          <t>HÖGSBY</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53642-2024</t>
        </is>
      </c>
      <c r="B12630" s="1" t="n">
        <v>45614</v>
      </c>
      <c r="C12630" s="1" t="n">
        <v>45715</v>
      </c>
      <c r="D12630" t="inlineStr">
        <is>
          <t>KALMAR LÄN</t>
        </is>
      </c>
      <c r="E12630" t="inlineStr">
        <is>
          <t>VIMMERBY</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53513-2024</t>
        </is>
      </c>
      <c r="B12631" s="1" t="n">
        <v>45614</v>
      </c>
      <c r="C12631" s="1" t="n">
        <v>45715</v>
      </c>
      <c r="D12631" t="inlineStr">
        <is>
          <t>KALMAR LÄN</t>
        </is>
      </c>
      <c r="E12631" t="inlineStr">
        <is>
          <t>MÖNSTERÅS</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53501-2024</t>
        </is>
      </c>
      <c r="B12632" s="1" t="n">
        <v>45614</v>
      </c>
      <c r="C12632" s="1" t="n">
        <v>45715</v>
      </c>
      <c r="D12632" t="inlineStr">
        <is>
          <t>KALMAR LÄN</t>
        </is>
      </c>
      <c r="E12632" t="inlineStr">
        <is>
          <t>HÖGSBY</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53497-2024</t>
        </is>
      </c>
      <c r="B12633" s="1" t="n">
        <v>45614</v>
      </c>
      <c r="C12633" s="1" t="n">
        <v>45715</v>
      </c>
      <c r="D12633" t="inlineStr">
        <is>
          <t>KALMAR LÄN</t>
        </is>
      </c>
      <c r="E12633" t="inlineStr">
        <is>
          <t>HULTSFRED</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53352-2024</t>
        </is>
      </c>
      <c r="B12634" s="1" t="n">
        <v>45614</v>
      </c>
      <c r="C12634" s="1" t="n">
        <v>45715</v>
      </c>
      <c r="D12634" t="inlineStr">
        <is>
          <t>KALMAR LÄN</t>
        </is>
      </c>
      <c r="E12634" t="inlineStr">
        <is>
          <t>MÖNSTERÅS</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53503-2024</t>
        </is>
      </c>
      <c r="B12635" s="1" t="n">
        <v>45614</v>
      </c>
      <c r="C12635" s="1" t="n">
        <v>45715</v>
      </c>
      <c r="D12635" t="inlineStr">
        <is>
          <t>KALMAR LÄN</t>
        </is>
      </c>
      <c r="E12635" t="inlineStr">
        <is>
          <t>HÖGSBY</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53447-2024</t>
        </is>
      </c>
      <c r="B12636" s="1" t="n">
        <v>45614</v>
      </c>
      <c r="C12636" s="1" t="n">
        <v>45715</v>
      </c>
      <c r="D12636" t="inlineStr">
        <is>
          <t>KALMAR LÄN</t>
        </is>
      </c>
      <c r="E12636" t="inlineStr">
        <is>
          <t>EMMABODA</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53641-2024</t>
        </is>
      </c>
      <c r="B12637" s="1" t="n">
        <v>45614</v>
      </c>
      <c r="C12637" s="1" t="n">
        <v>45715</v>
      </c>
      <c r="D12637" t="inlineStr">
        <is>
          <t>KALMAR LÄN</t>
        </is>
      </c>
      <c r="E12637" t="inlineStr">
        <is>
          <t>VIMMERBY</t>
        </is>
      </c>
      <c r="G12637" t="n">
        <v>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53402-2024</t>
        </is>
      </c>
      <c r="B12638" s="1" t="n">
        <v>45614</v>
      </c>
      <c r="C12638" s="1" t="n">
        <v>45715</v>
      </c>
      <c r="D12638" t="inlineStr">
        <is>
          <t>KALMAR LÄN</t>
        </is>
      </c>
      <c r="E12638" t="inlineStr">
        <is>
          <t>EMMABODA</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53518-2024</t>
        </is>
      </c>
      <c r="B12639" s="1" t="n">
        <v>45614</v>
      </c>
      <c r="C12639" s="1" t="n">
        <v>45715</v>
      </c>
      <c r="D12639" t="inlineStr">
        <is>
          <t>KALMAR LÄN</t>
        </is>
      </c>
      <c r="E12639" t="inlineStr">
        <is>
          <t>MÖNSTERÅS</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53413-2024</t>
        </is>
      </c>
      <c r="B12640" s="1" t="n">
        <v>45614</v>
      </c>
      <c r="C12640" s="1" t="n">
        <v>45715</v>
      </c>
      <c r="D12640" t="inlineStr">
        <is>
          <t>KALMAR LÄN</t>
        </is>
      </c>
      <c r="E12640" t="inlineStr">
        <is>
          <t>HÖGSBY</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53338-2024</t>
        </is>
      </c>
      <c r="B12641" s="1" t="n">
        <v>45614</v>
      </c>
      <c r="C12641" s="1" t="n">
        <v>45715</v>
      </c>
      <c r="D12641" t="inlineStr">
        <is>
          <t>KALMAR LÄN</t>
        </is>
      </c>
      <c r="E12641" t="inlineStr">
        <is>
          <t>TORSÅS</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53371-2024</t>
        </is>
      </c>
      <c r="B12642" s="1" t="n">
        <v>45614</v>
      </c>
      <c r="C12642" s="1" t="n">
        <v>45715</v>
      </c>
      <c r="D12642" t="inlineStr">
        <is>
          <t>KALMAR LÄN</t>
        </is>
      </c>
      <c r="E12642" t="inlineStr">
        <is>
          <t>MÖNSTERÅS</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53337-2024</t>
        </is>
      </c>
      <c r="B12643" s="1" t="n">
        <v>45614</v>
      </c>
      <c r="C12643" s="1" t="n">
        <v>45715</v>
      </c>
      <c r="D12643" t="inlineStr">
        <is>
          <t>KALMAR LÄN</t>
        </is>
      </c>
      <c r="E12643" t="inlineStr">
        <is>
          <t>TORSÅS</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53309-2024</t>
        </is>
      </c>
      <c r="B12644" s="1" t="n">
        <v>45614</v>
      </c>
      <c r="C12644" s="1" t="n">
        <v>45715</v>
      </c>
      <c r="D12644" t="inlineStr">
        <is>
          <t>KALMAR LÄN</t>
        </is>
      </c>
      <c r="E12644" t="inlineStr">
        <is>
          <t>OSKARSHAMN</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53752-2024</t>
        </is>
      </c>
      <c r="B12645" s="1" t="n">
        <v>45615</v>
      </c>
      <c r="C12645" s="1" t="n">
        <v>45715</v>
      </c>
      <c r="D12645" t="inlineStr">
        <is>
          <t>KALMAR LÄN</t>
        </is>
      </c>
      <c r="E12645" t="inlineStr">
        <is>
          <t>VIMMERBY</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53816-2024</t>
        </is>
      </c>
      <c r="B12646" s="1" t="n">
        <v>45615</v>
      </c>
      <c r="C12646" s="1" t="n">
        <v>45715</v>
      </c>
      <c r="D12646" t="inlineStr">
        <is>
          <t>KALMAR LÄN</t>
        </is>
      </c>
      <c r="E12646" t="inlineStr">
        <is>
          <t>HÖGSBY</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53843-2024</t>
        </is>
      </c>
      <c r="B12647" s="1" t="n">
        <v>45615</v>
      </c>
      <c r="C12647" s="1" t="n">
        <v>45715</v>
      </c>
      <c r="D12647" t="inlineStr">
        <is>
          <t>KALMAR LÄN</t>
        </is>
      </c>
      <c r="E12647" t="inlineStr">
        <is>
          <t>HULTSFRED</t>
        </is>
      </c>
      <c r="G12647" t="n">
        <v>16.5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53835-2024</t>
        </is>
      </c>
      <c r="B12648" s="1" t="n">
        <v>45615</v>
      </c>
      <c r="C12648" s="1" t="n">
        <v>45715</v>
      </c>
      <c r="D12648" t="inlineStr">
        <is>
          <t>KALMAR LÄN</t>
        </is>
      </c>
      <c r="E12648" t="inlineStr">
        <is>
          <t>HULTSFRED</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53849-2024</t>
        </is>
      </c>
      <c r="B12649" s="1" t="n">
        <v>45615</v>
      </c>
      <c r="C12649" s="1" t="n">
        <v>45715</v>
      </c>
      <c r="D12649" t="inlineStr">
        <is>
          <t>KALMAR LÄN</t>
        </is>
      </c>
      <c r="E12649" t="inlineStr">
        <is>
          <t>EMMABODA</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53876-2024</t>
        </is>
      </c>
      <c r="B12650" s="1" t="n">
        <v>45615</v>
      </c>
      <c r="C12650" s="1" t="n">
        <v>45715</v>
      </c>
      <c r="D12650" t="inlineStr">
        <is>
          <t>KALMAR LÄN</t>
        </is>
      </c>
      <c r="E12650" t="inlineStr">
        <is>
          <t>EMMABODA</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53881-2024</t>
        </is>
      </c>
      <c r="B12651" s="1" t="n">
        <v>45615</v>
      </c>
      <c r="C12651" s="1" t="n">
        <v>45715</v>
      </c>
      <c r="D12651" t="inlineStr">
        <is>
          <t>KALMAR LÄN</t>
        </is>
      </c>
      <c r="E12651" t="inlineStr">
        <is>
          <t>EMMABODA</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53987-2024</t>
        </is>
      </c>
      <c r="B12652" s="1" t="n">
        <v>45615</v>
      </c>
      <c r="C12652" s="1" t="n">
        <v>45715</v>
      </c>
      <c r="D12652" t="inlineStr">
        <is>
          <t>KALMAR LÄN</t>
        </is>
      </c>
      <c r="E12652" t="inlineStr">
        <is>
          <t>NYBRO</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53810-2024</t>
        </is>
      </c>
      <c r="B12653" s="1" t="n">
        <v>45615</v>
      </c>
      <c r="C12653" s="1" t="n">
        <v>45715</v>
      </c>
      <c r="D12653" t="inlineStr">
        <is>
          <t>KALMAR LÄN</t>
        </is>
      </c>
      <c r="E12653" t="inlineStr">
        <is>
          <t>HULTSFRED</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53756-2024</t>
        </is>
      </c>
      <c r="B12654" s="1" t="n">
        <v>45615</v>
      </c>
      <c r="C12654" s="1" t="n">
        <v>45715</v>
      </c>
      <c r="D12654" t="inlineStr">
        <is>
          <t>KALMAR LÄN</t>
        </is>
      </c>
      <c r="E12654" t="inlineStr">
        <is>
          <t>NYBRO</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54074-2024</t>
        </is>
      </c>
      <c r="B12655" s="1" t="n">
        <v>45615</v>
      </c>
      <c r="C12655" s="1" t="n">
        <v>45715</v>
      </c>
      <c r="D12655" t="inlineStr">
        <is>
          <t>KALMAR LÄN</t>
        </is>
      </c>
      <c r="E12655" t="inlineStr">
        <is>
          <t>EMMABODA</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54056-2024</t>
        </is>
      </c>
      <c r="B12656" s="1" t="n">
        <v>45615</v>
      </c>
      <c r="C12656" s="1" t="n">
        <v>45715</v>
      </c>
      <c r="D12656" t="inlineStr">
        <is>
          <t>KALMAR LÄN</t>
        </is>
      </c>
      <c r="E12656" t="inlineStr">
        <is>
          <t>EMMABODA</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54078-2024</t>
        </is>
      </c>
      <c r="B12657" s="1" t="n">
        <v>45615</v>
      </c>
      <c r="C12657" s="1" t="n">
        <v>45715</v>
      </c>
      <c r="D12657" t="inlineStr">
        <is>
          <t>KALMAR LÄN</t>
        </is>
      </c>
      <c r="E12657" t="inlineStr">
        <is>
          <t>EMMABODA</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54085-2024</t>
        </is>
      </c>
      <c r="B12658" s="1" t="n">
        <v>45615</v>
      </c>
      <c r="C12658" s="1" t="n">
        <v>45715</v>
      </c>
      <c r="D12658" t="inlineStr">
        <is>
          <t>KALMAR LÄN</t>
        </is>
      </c>
      <c r="E12658" t="inlineStr">
        <is>
          <t>EMMABODA</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54147-2024</t>
        </is>
      </c>
      <c r="B12659" s="1" t="n">
        <v>45616</v>
      </c>
      <c r="C12659" s="1" t="n">
        <v>45715</v>
      </c>
      <c r="D12659" t="inlineStr">
        <is>
          <t>KALMAR LÄN</t>
        </is>
      </c>
      <c r="E12659" t="inlineStr">
        <is>
          <t>EMMABODA</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54165-2024</t>
        </is>
      </c>
      <c r="B12660" s="1" t="n">
        <v>45616</v>
      </c>
      <c r="C12660" s="1" t="n">
        <v>45715</v>
      </c>
      <c r="D12660" t="inlineStr">
        <is>
          <t>KALMAR LÄN</t>
        </is>
      </c>
      <c r="E12660" t="inlineStr">
        <is>
          <t>KALMAR</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54249-2024</t>
        </is>
      </c>
      <c r="B12661" s="1" t="n">
        <v>45616</v>
      </c>
      <c r="C12661" s="1" t="n">
        <v>45715</v>
      </c>
      <c r="D12661" t="inlineStr">
        <is>
          <t>KALMAR LÄN</t>
        </is>
      </c>
      <c r="E12661" t="inlineStr">
        <is>
          <t>NYBRO</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54255-2024</t>
        </is>
      </c>
      <c r="B12662" s="1" t="n">
        <v>45616</v>
      </c>
      <c r="C12662" s="1" t="n">
        <v>45715</v>
      </c>
      <c r="D12662" t="inlineStr">
        <is>
          <t>KALMAR LÄN</t>
        </is>
      </c>
      <c r="E12662" t="inlineStr">
        <is>
          <t>NYBRO</t>
        </is>
      </c>
      <c r="G12662" t="n">
        <v>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54053-2024</t>
        </is>
      </c>
      <c r="B12663" s="1" t="n">
        <v>45616</v>
      </c>
      <c r="C12663" s="1" t="n">
        <v>45715</v>
      </c>
      <c r="D12663" t="inlineStr">
        <is>
          <t>KALMAR LÄN</t>
        </is>
      </c>
      <c r="E12663" t="inlineStr">
        <is>
          <t>HULTSFRED</t>
        </is>
      </c>
      <c r="F12663" t="inlineStr">
        <is>
          <t>Kyrkan</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54050-2024</t>
        </is>
      </c>
      <c r="B12664" s="1" t="n">
        <v>45616</v>
      </c>
      <c r="C12664" s="1" t="n">
        <v>45715</v>
      </c>
      <c r="D12664" t="inlineStr">
        <is>
          <t>KALMAR LÄN</t>
        </is>
      </c>
      <c r="E12664" t="inlineStr">
        <is>
          <t>HULTSFRED</t>
        </is>
      </c>
      <c r="F12664" t="inlineStr">
        <is>
          <t>Kyrkan</t>
        </is>
      </c>
      <c r="G12664" t="n">
        <v>2.5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54058-2024</t>
        </is>
      </c>
      <c r="B12665" s="1" t="n">
        <v>45616</v>
      </c>
      <c r="C12665" s="1" t="n">
        <v>45715</v>
      </c>
      <c r="D12665" t="inlineStr">
        <is>
          <t>KALMAR LÄN</t>
        </is>
      </c>
      <c r="E12665" t="inlineStr">
        <is>
          <t>HULTSFRED</t>
        </is>
      </c>
      <c r="F12665" t="inlineStr">
        <is>
          <t>Kyrkan</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54164-2024</t>
        </is>
      </c>
      <c r="B12666" s="1" t="n">
        <v>45616</v>
      </c>
      <c r="C12666" s="1" t="n">
        <v>45715</v>
      </c>
      <c r="D12666" t="inlineStr">
        <is>
          <t>KALMAR LÄN</t>
        </is>
      </c>
      <c r="E12666" t="inlineStr">
        <is>
          <t>KALMAR</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54245-2024</t>
        </is>
      </c>
      <c r="B12667" s="1" t="n">
        <v>45616</v>
      </c>
      <c r="C12667" s="1" t="n">
        <v>45715</v>
      </c>
      <c r="D12667" t="inlineStr">
        <is>
          <t>KALMAR LÄN</t>
        </is>
      </c>
      <c r="E12667" t="inlineStr">
        <is>
          <t>NYBRO</t>
        </is>
      </c>
      <c r="G12667" t="n">
        <v>10.1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54216-2024</t>
        </is>
      </c>
      <c r="B12668" s="1" t="n">
        <v>45616</v>
      </c>
      <c r="C12668" s="1" t="n">
        <v>45715</v>
      </c>
      <c r="D12668" t="inlineStr">
        <is>
          <t>KALMAR LÄN</t>
        </is>
      </c>
      <c r="E12668" t="inlineStr">
        <is>
          <t>NYBRO</t>
        </is>
      </c>
      <c r="G12668" t="n">
        <v>4.4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54252-2024</t>
        </is>
      </c>
      <c r="B12669" s="1" t="n">
        <v>45616</v>
      </c>
      <c r="C12669" s="1" t="n">
        <v>45715</v>
      </c>
      <c r="D12669" t="inlineStr">
        <is>
          <t>KALMAR LÄN</t>
        </is>
      </c>
      <c r="E12669" t="inlineStr">
        <is>
          <t>NYBRO</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53991-2024</t>
        </is>
      </c>
      <c r="B12670" s="1" t="n">
        <v>45616</v>
      </c>
      <c r="C12670" s="1" t="n">
        <v>45715</v>
      </c>
      <c r="D12670" t="inlineStr">
        <is>
          <t>KALMAR LÄN</t>
        </is>
      </c>
      <c r="E12670" t="inlineStr">
        <is>
          <t>VIMMERBY</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54349-2024</t>
        </is>
      </c>
      <c r="B12671" s="1" t="n">
        <v>45617</v>
      </c>
      <c r="C12671" s="1" t="n">
        <v>45715</v>
      </c>
      <c r="D12671" t="inlineStr">
        <is>
          <t>KALMAR LÄN</t>
        </is>
      </c>
      <c r="E12671" t="inlineStr">
        <is>
          <t>VIMMERBY</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54417-2024</t>
        </is>
      </c>
      <c r="B12672" s="1" t="n">
        <v>45617</v>
      </c>
      <c r="C12672" s="1" t="n">
        <v>45715</v>
      </c>
      <c r="D12672" t="inlineStr">
        <is>
          <t>KALMAR LÄN</t>
        </is>
      </c>
      <c r="E12672" t="inlineStr">
        <is>
          <t>EMMABODA</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54462-2024</t>
        </is>
      </c>
      <c r="B12673" s="1" t="n">
        <v>45617</v>
      </c>
      <c r="C12673" s="1" t="n">
        <v>45715</v>
      </c>
      <c r="D12673" t="inlineStr">
        <is>
          <t>KALMAR LÄN</t>
        </is>
      </c>
      <c r="E12673" t="inlineStr">
        <is>
          <t>TORSÅS</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54342-2024</t>
        </is>
      </c>
      <c r="B12674" s="1" t="n">
        <v>45617</v>
      </c>
      <c r="C12674" s="1" t="n">
        <v>45715</v>
      </c>
      <c r="D12674" t="inlineStr">
        <is>
          <t>KALMAR LÄN</t>
        </is>
      </c>
      <c r="E12674" t="inlineStr">
        <is>
          <t>VÄSTERVIK</t>
        </is>
      </c>
      <c r="F12674" t="inlineStr">
        <is>
          <t>Kyrkan</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54409-2024</t>
        </is>
      </c>
      <c r="B12675" s="1" t="n">
        <v>45617</v>
      </c>
      <c r="C12675" s="1" t="n">
        <v>45715</v>
      </c>
      <c r="D12675" t="inlineStr">
        <is>
          <t>KALMAR LÄN</t>
        </is>
      </c>
      <c r="E12675" t="inlineStr">
        <is>
          <t>VIMMERBY</t>
        </is>
      </c>
      <c r="G12675" t="n">
        <v>4.3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54447-2024</t>
        </is>
      </c>
      <c r="B12676" s="1" t="n">
        <v>45617</v>
      </c>
      <c r="C12676" s="1" t="n">
        <v>45715</v>
      </c>
      <c r="D12676" t="inlineStr">
        <is>
          <t>KALMAR LÄN</t>
        </is>
      </c>
      <c r="E12676" t="inlineStr">
        <is>
          <t>KALMAR</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54631-2024</t>
        </is>
      </c>
      <c r="B12677" s="1" t="n">
        <v>45617</v>
      </c>
      <c r="C12677" s="1" t="n">
        <v>45715</v>
      </c>
      <c r="D12677" t="inlineStr">
        <is>
          <t>KALMAR LÄN</t>
        </is>
      </c>
      <c r="E12677" t="inlineStr">
        <is>
          <t>VÄSTERVIK</t>
        </is>
      </c>
      <c r="F12677" t="inlineStr">
        <is>
          <t>Sveaskog</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54635-2024</t>
        </is>
      </c>
      <c r="B12678" s="1" t="n">
        <v>45617</v>
      </c>
      <c r="C12678" s="1" t="n">
        <v>45715</v>
      </c>
      <c r="D12678" t="inlineStr">
        <is>
          <t>KALMAR LÄN</t>
        </is>
      </c>
      <c r="E12678" t="inlineStr">
        <is>
          <t>OSKARSHAMN</t>
        </is>
      </c>
      <c r="F12678" t="inlineStr">
        <is>
          <t>Sveaskog</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54630-2024</t>
        </is>
      </c>
      <c r="B12679" s="1" t="n">
        <v>45617</v>
      </c>
      <c r="C12679" s="1" t="n">
        <v>45715</v>
      </c>
      <c r="D12679" t="inlineStr">
        <is>
          <t>KALMAR LÄN</t>
        </is>
      </c>
      <c r="E12679" t="inlineStr">
        <is>
          <t>VÄSTERVIK</t>
        </is>
      </c>
      <c r="F12679" t="inlineStr">
        <is>
          <t>Sveaskog</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54634-2024</t>
        </is>
      </c>
      <c r="B12680" s="1" t="n">
        <v>45617</v>
      </c>
      <c r="C12680" s="1" t="n">
        <v>45715</v>
      </c>
      <c r="D12680" t="inlineStr">
        <is>
          <t>KALMAR LÄN</t>
        </is>
      </c>
      <c r="E12680" t="inlineStr">
        <is>
          <t>OSKARSHAMN</t>
        </is>
      </c>
      <c r="F12680" t="inlineStr">
        <is>
          <t>Sveaskog</t>
        </is>
      </c>
      <c r="G12680" t="n">
        <v>5.9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54638-2024</t>
        </is>
      </c>
      <c r="B12681" s="1" t="n">
        <v>45617</v>
      </c>
      <c r="C12681" s="1" t="n">
        <v>45715</v>
      </c>
      <c r="D12681" t="inlineStr">
        <is>
          <t>KALMAR LÄN</t>
        </is>
      </c>
      <c r="E12681" t="inlineStr">
        <is>
          <t>VÄSTERVIK</t>
        </is>
      </c>
      <c r="F12681" t="inlineStr">
        <is>
          <t>Sveaskog</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54568-2024</t>
        </is>
      </c>
      <c r="B12682" s="1" t="n">
        <v>45617</v>
      </c>
      <c r="C12682" s="1" t="n">
        <v>45715</v>
      </c>
      <c r="D12682" t="inlineStr">
        <is>
          <t>KALMAR LÄN</t>
        </is>
      </c>
      <c r="E12682" t="inlineStr">
        <is>
          <t>MÖNSTERÅS</t>
        </is>
      </c>
      <c r="G12682" t="n">
        <v>3.3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54632-2024</t>
        </is>
      </c>
      <c r="B12683" s="1" t="n">
        <v>45617</v>
      </c>
      <c r="C12683" s="1" t="n">
        <v>45715</v>
      </c>
      <c r="D12683" t="inlineStr">
        <is>
          <t>KALMAR LÄN</t>
        </is>
      </c>
      <c r="E12683" t="inlineStr">
        <is>
          <t>VÄSTERVIK</t>
        </is>
      </c>
      <c r="F12683" t="inlineStr">
        <is>
          <t>Sveaskog</t>
        </is>
      </c>
      <c r="G12683" t="n">
        <v>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54629-2024</t>
        </is>
      </c>
      <c r="B12684" s="1" t="n">
        <v>45617</v>
      </c>
      <c r="C12684" s="1" t="n">
        <v>45715</v>
      </c>
      <c r="D12684" t="inlineStr">
        <is>
          <t>KALMAR LÄN</t>
        </is>
      </c>
      <c r="E12684" t="inlineStr">
        <is>
          <t>VÄSTERVIK</t>
        </is>
      </c>
      <c r="F12684" t="inlineStr">
        <is>
          <t>Sveaskog</t>
        </is>
      </c>
      <c r="G12684" t="n">
        <v>6.7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54633-2024</t>
        </is>
      </c>
      <c r="B12685" s="1" t="n">
        <v>45617</v>
      </c>
      <c r="C12685" s="1" t="n">
        <v>45715</v>
      </c>
      <c r="D12685" t="inlineStr">
        <is>
          <t>KALMAR LÄN</t>
        </is>
      </c>
      <c r="E12685" t="inlineStr">
        <is>
          <t>OSKARSHAMN</t>
        </is>
      </c>
      <c r="F12685" t="inlineStr">
        <is>
          <t>Sveaskog</t>
        </is>
      </c>
      <c r="G12685" t="n">
        <v>6.6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54637-2024</t>
        </is>
      </c>
      <c r="B12686" s="1" t="n">
        <v>45617</v>
      </c>
      <c r="C12686" s="1" t="n">
        <v>45715</v>
      </c>
      <c r="D12686" t="inlineStr">
        <is>
          <t>KALMAR LÄN</t>
        </is>
      </c>
      <c r="E12686" t="inlineStr">
        <is>
          <t>VÄSTERVIK</t>
        </is>
      </c>
      <c r="F12686" t="inlineStr">
        <is>
          <t>Sveaskog</t>
        </is>
      </c>
      <c r="G12686" t="n">
        <v>4.2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54717-2024</t>
        </is>
      </c>
      <c r="B12687" s="1" t="n">
        <v>45618</v>
      </c>
      <c r="C12687" s="1" t="n">
        <v>45715</v>
      </c>
      <c r="D12687" t="inlineStr">
        <is>
          <t>KALMAR LÄN</t>
        </is>
      </c>
      <c r="E12687" t="inlineStr">
        <is>
          <t>TORSÅS</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54745-2024</t>
        </is>
      </c>
      <c r="B12688" s="1" t="n">
        <v>45618</v>
      </c>
      <c r="C12688" s="1" t="n">
        <v>45715</v>
      </c>
      <c r="D12688" t="inlineStr">
        <is>
          <t>KALMAR LÄN</t>
        </is>
      </c>
      <c r="E12688" t="inlineStr">
        <is>
          <t>KALMAR</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54936-2024</t>
        </is>
      </c>
      <c r="B12689" s="1" t="n">
        <v>45618</v>
      </c>
      <c r="C12689" s="1" t="n">
        <v>45715</v>
      </c>
      <c r="D12689" t="inlineStr">
        <is>
          <t>KALMAR LÄN</t>
        </is>
      </c>
      <c r="E12689" t="inlineStr">
        <is>
          <t>KALMAR</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55129-2024</t>
        </is>
      </c>
      <c r="B12690" s="1" t="n">
        <v>45618</v>
      </c>
      <c r="C12690" s="1" t="n">
        <v>45715</v>
      </c>
      <c r="D12690" t="inlineStr">
        <is>
          <t>KALMAR LÄN</t>
        </is>
      </c>
      <c r="E12690" t="inlineStr">
        <is>
          <t>HULTSFRED</t>
        </is>
      </c>
      <c r="G12690" t="n">
        <v>4.2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54767-2024</t>
        </is>
      </c>
      <c r="B12691" s="1" t="n">
        <v>45618</v>
      </c>
      <c r="C12691" s="1" t="n">
        <v>45715</v>
      </c>
      <c r="D12691" t="inlineStr">
        <is>
          <t>KALMAR LÄN</t>
        </is>
      </c>
      <c r="E12691" t="inlineStr">
        <is>
          <t>HULTSFRED</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55131-2024</t>
        </is>
      </c>
      <c r="B12692" s="1" t="n">
        <v>45618</v>
      </c>
      <c r="C12692" s="1" t="n">
        <v>45715</v>
      </c>
      <c r="D12692" t="inlineStr">
        <is>
          <t>KALMAR LÄN</t>
        </is>
      </c>
      <c r="E12692" t="inlineStr">
        <is>
          <t>HULTSFRED</t>
        </is>
      </c>
      <c r="G12692" t="n">
        <v>6.6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54747-2024</t>
        </is>
      </c>
      <c r="B12693" s="1" t="n">
        <v>45618</v>
      </c>
      <c r="C12693" s="1" t="n">
        <v>45715</v>
      </c>
      <c r="D12693" t="inlineStr">
        <is>
          <t>KALMAR LÄN</t>
        </is>
      </c>
      <c r="E12693" t="inlineStr">
        <is>
          <t>KALMAR</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54838-2024</t>
        </is>
      </c>
      <c r="B12694" s="1" t="n">
        <v>45618</v>
      </c>
      <c r="C12694" s="1" t="n">
        <v>45715</v>
      </c>
      <c r="D12694" t="inlineStr">
        <is>
          <t>KALMAR LÄN</t>
        </is>
      </c>
      <c r="E12694" t="inlineStr">
        <is>
          <t>VIMMERBY</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54748-2024</t>
        </is>
      </c>
      <c r="B12695" s="1" t="n">
        <v>45618</v>
      </c>
      <c r="C12695" s="1" t="n">
        <v>45715</v>
      </c>
      <c r="D12695" t="inlineStr">
        <is>
          <t>KALMAR LÄN</t>
        </is>
      </c>
      <c r="E12695" t="inlineStr">
        <is>
          <t>KALMAR</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54736-2024</t>
        </is>
      </c>
      <c r="B12696" s="1" t="n">
        <v>45618</v>
      </c>
      <c r="C12696" s="1" t="n">
        <v>45715</v>
      </c>
      <c r="D12696" t="inlineStr">
        <is>
          <t>KALMAR LÄN</t>
        </is>
      </c>
      <c r="E12696" t="inlineStr">
        <is>
          <t>KALMAR</t>
        </is>
      </c>
      <c r="G12696" t="n">
        <v>6.1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54716-2024</t>
        </is>
      </c>
      <c r="B12697" s="1" t="n">
        <v>45618</v>
      </c>
      <c r="C12697" s="1" t="n">
        <v>45715</v>
      </c>
      <c r="D12697" t="inlineStr">
        <is>
          <t>KALMAR LÄN</t>
        </is>
      </c>
      <c r="E12697" t="inlineStr">
        <is>
          <t>TORSÅS</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54704-2024</t>
        </is>
      </c>
      <c r="B12698" s="1" t="n">
        <v>45618</v>
      </c>
      <c r="C12698" s="1" t="n">
        <v>45715</v>
      </c>
      <c r="D12698" t="inlineStr">
        <is>
          <t>KALMAR LÄN</t>
        </is>
      </c>
      <c r="E12698" t="inlineStr">
        <is>
          <t>NYBRO</t>
        </is>
      </c>
      <c r="F12698" t="inlineStr">
        <is>
          <t>Sveaskog</t>
        </is>
      </c>
      <c r="G12698" t="n">
        <v>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55265-2024</t>
        </is>
      </c>
      <c r="B12699" s="1" t="n">
        <v>45621</v>
      </c>
      <c r="C12699" s="1" t="n">
        <v>45715</v>
      </c>
      <c r="D12699" t="inlineStr">
        <is>
          <t>KALMAR LÄN</t>
        </is>
      </c>
      <c r="E12699" t="inlineStr">
        <is>
          <t>HÖGSBY</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55123-2024</t>
        </is>
      </c>
      <c r="B12700" s="1" t="n">
        <v>45621</v>
      </c>
      <c r="C12700" s="1" t="n">
        <v>45715</v>
      </c>
      <c r="D12700" t="inlineStr">
        <is>
          <t>KALMAR LÄN</t>
        </is>
      </c>
      <c r="E12700" t="inlineStr">
        <is>
          <t>VIMMERBY</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55257-2024</t>
        </is>
      </c>
      <c r="B12701" s="1" t="n">
        <v>45621</v>
      </c>
      <c r="C12701" s="1" t="n">
        <v>45715</v>
      </c>
      <c r="D12701" t="inlineStr">
        <is>
          <t>KALMAR LÄN</t>
        </is>
      </c>
      <c r="E12701" t="inlineStr">
        <is>
          <t>HÖGSBY</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54997-2024</t>
        </is>
      </c>
      <c r="B12702" s="1" t="n">
        <v>45621</v>
      </c>
      <c r="C12702" s="1" t="n">
        <v>45715</v>
      </c>
      <c r="D12702" t="inlineStr">
        <is>
          <t>KALMAR LÄN</t>
        </is>
      </c>
      <c r="E12702" t="inlineStr">
        <is>
          <t>VIMMERBY</t>
        </is>
      </c>
      <c r="G12702" t="n">
        <v>6.4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55023-2024</t>
        </is>
      </c>
      <c r="B12703" s="1" t="n">
        <v>45621</v>
      </c>
      <c r="C12703" s="1" t="n">
        <v>45715</v>
      </c>
      <c r="D12703" t="inlineStr">
        <is>
          <t>KALMAR LÄN</t>
        </is>
      </c>
      <c r="E12703" t="inlineStr">
        <is>
          <t>VÄSTERVIK</t>
        </is>
      </c>
      <c r="F12703" t="inlineStr">
        <is>
          <t>Sveaskog</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55047-2024</t>
        </is>
      </c>
      <c r="B12704" s="1" t="n">
        <v>45621</v>
      </c>
      <c r="C12704" s="1" t="n">
        <v>45715</v>
      </c>
      <c r="D12704" t="inlineStr">
        <is>
          <t>KALMAR LÄN</t>
        </is>
      </c>
      <c r="E12704" t="inlineStr">
        <is>
          <t>VÄSTERVIK</t>
        </is>
      </c>
      <c r="F12704" t="inlineStr">
        <is>
          <t>Sveaskog</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55042-2024</t>
        </is>
      </c>
      <c r="B12705" s="1" t="n">
        <v>45621</v>
      </c>
      <c r="C12705" s="1" t="n">
        <v>45715</v>
      </c>
      <c r="D12705" t="inlineStr">
        <is>
          <t>KALMAR LÄN</t>
        </is>
      </c>
      <c r="E12705" t="inlineStr">
        <is>
          <t>VÄSTERVIK</t>
        </is>
      </c>
      <c r="F12705" t="inlineStr">
        <is>
          <t>Sveaskog</t>
        </is>
      </c>
      <c r="G12705" t="n">
        <v>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55290-2024</t>
        </is>
      </c>
      <c r="B12706" s="1" t="n">
        <v>45621</v>
      </c>
      <c r="C12706" s="1" t="n">
        <v>45715</v>
      </c>
      <c r="D12706" t="inlineStr">
        <is>
          <t>KALMAR LÄN</t>
        </is>
      </c>
      <c r="E12706" t="inlineStr">
        <is>
          <t>NYBRO</t>
        </is>
      </c>
      <c r="F12706" t="inlineStr">
        <is>
          <t>Sveaskog</t>
        </is>
      </c>
      <c r="G12706" t="n">
        <v>5.9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55279-2024</t>
        </is>
      </c>
      <c r="B12707" s="1" t="n">
        <v>45621</v>
      </c>
      <c r="C12707" s="1" t="n">
        <v>45715</v>
      </c>
      <c r="D12707" t="inlineStr">
        <is>
          <t>KALMAR LÄN</t>
        </is>
      </c>
      <c r="E12707" t="inlineStr">
        <is>
          <t>TORSÅS</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55358-2024</t>
        </is>
      </c>
      <c r="B12708" s="1" t="n">
        <v>45621</v>
      </c>
      <c r="C12708" s="1" t="n">
        <v>45715</v>
      </c>
      <c r="D12708" t="inlineStr">
        <is>
          <t>KALMAR LÄN</t>
        </is>
      </c>
      <c r="E12708" t="inlineStr">
        <is>
          <t>VÄSTERVIK</t>
        </is>
      </c>
      <c r="F12708" t="inlineStr">
        <is>
          <t>Sveaskog</t>
        </is>
      </c>
      <c r="G12708" t="n">
        <v>8.300000000000001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55359-2024</t>
        </is>
      </c>
      <c r="B12709" s="1" t="n">
        <v>45621</v>
      </c>
      <c r="C12709" s="1" t="n">
        <v>45715</v>
      </c>
      <c r="D12709" t="inlineStr">
        <is>
          <t>KALMAR LÄN</t>
        </is>
      </c>
      <c r="E12709" t="inlineStr">
        <is>
          <t>VÄSTERVIK</t>
        </is>
      </c>
      <c r="F12709" t="inlineStr">
        <is>
          <t>Sveaskog</t>
        </is>
      </c>
      <c r="G12709" t="n">
        <v>6.8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55362-2024</t>
        </is>
      </c>
      <c r="B12710" s="1" t="n">
        <v>45621</v>
      </c>
      <c r="C12710" s="1" t="n">
        <v>45715</v>
      </c>
      <c r="D12710" t="inlineStr">
        <is>
          <t>KALMAR LÄN</t>
        </is>
      </c>
      <c r="E12710" t="inlineStr">
        <is>
          <t>VÄSTERVIK</t>
        </is>
      </c>
      <c r="F12710" t="inlineStr">
        <is>
          <t>Sveaskog</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55032-2024</t>
        </is>
      </c>
      <c r="B12711" s="1" t="n">
        <v>45621</v>
      </c>
      <c r="C12711" s="1" t="n">
        <v>45715</v>
      </c>
      <c r="D12711" t="inlineStr">
        <is>
          <t>KALMAR LÄN</t>
        </is>
      </c>
      <c r="E12711" t="inlineStr">
        <is>
          <t>VÄSTERVIK</t>
        </is>
      </c>
      <c r="F12711" t="inlineStr">
        <is>
          <t>Sveaskog</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55053-2024</t>
        </is>
      </c>
      <c r="B12712" s="1" t="n">
        <v>45621</v>
      </c>
      <c r="C12712" s="1" t="n">
        <v>45715</v>
      </c>
      <c r="D12712" t="inlineStr">
        <is>
          <t>KALMAR LÄN</t>
        </is>
      </c>
      <c r="E12712" t="inlineStr">
        <is>
          <t>VÄSTERVIK</t>
        </is>
      </c>
      <c r="F12712" t="inlineStr">
        <is>
          <t>Sveaskog</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55108-2024</t>
        </is>
      </c>
      <c r="B12713" s="1" t="n">
        <v>45621</v>
      </c>
      <c r="C12713" s="1" t="n">
        <v>45715</v>
      </c>
      <c r="D12713" t="inlineStr">
        <is>
          <t>KALMAR LÄN</t>
        </is>
      </c>
      <c r="E12713" t="inlineStr">
        <is>
          <t>HULTSFRED</t>
        </is>
      </c>
      <c r="G12713" t="n">
        <v>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55363-2024</t>
        </is>
      </c>
      <c r="B12714" s="1" t="n">
        <v>45621</v>
      </c>
      <c r="C12714" s="1" t="n">
        <v>45715</v>
      </c>
      <c r="D12714" t="inlineStr">
        <is>
          <t>KALMAR LÄN</t>
        </is>
      </c>
      <c r="E12714" t="inlineStr">
        <is>
          <t>BORGHOLM</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55367-2024</t>
        </is>
      </c>
      <c r="B12715" s="1" t="n">
        <v>45621</v>
      </c>
      <c r="C12715" s="1" t="n">
        <v>45715</v>
      </c>
      <c r="D12715" t="inlineStr">
        <is>
          <t>KALMAR LÄN</t>
        </is>
      </c>
      <c r="E12715" t="inlineStr">
        <is>
          <t>BORGHOLM</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55569-2024</t>
        </is>
      </c>
      <c r="B12716" s="1" t="n">
        <v>45621</v>
      </c>
      <c r="C12716" s="1" t="n">
        <v>45715</v>
      </c>
      <c r="D12716" t="inlineStr">
        <is>
          <t>KALMAR LÄN</t>
        </is>
      </c>
      <c r="E12716" t="inlineStr">
        <is>
          <t>OSKARSHAMN</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55361-2024</t>
        </is>
      </c>
      <c r="B12717" s="1" t="n">
        <v>45621</v>
      </c>
      <c r="C12717" s="1" t="n">
        <v>45715</v>
      </c>
      <c r="D12717" t="inlineStr">
        <is>
          <t>KALMAR LÄN</t>
        </is>
      </c>
      <c r="E12717" t="inlineStr">
        <is>
          <t>VÄSTERVIK</t>
        </is>
      </c>
      <c r="F12717" t="inlineStr">
        <is>
          <t>Sveaskog</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55184-2024</t>
        </is>
      </c>
      <c r="B12718" s="1" t="n">
        <v>45621</v>
      </c>
      <c r="C12718" s="1" t="n">
        <v>45715</v>
      </c>
      <c r="D12718" t="inlineStr">
        <is>
          <t>KALMAR LÄN</t>
        </is>
      </c>
      <c r="E12718" t="inlineStr">
        <is>
          <t>HULTSFRED</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55050-2024</t>
        </is>
      </c>
      <c r="B12719" s="1" t="n">
        <v>45621</v>
      </c>
      <c r="C12719" s="1" t="n">
        <v>45715</v>
      </c>
      <c r="D12719" t="inlineStr">
        <is>
          <t>KALMAR LÄN</t>
        </is>
      </c>
      <c r="E12719" t="inlineStr">
        <is>
          <t>VÄSTERVIK</t>
        </is>
      </c>
      <c r="F12719" t="inlineStr">
        <is>
          <t>Sveaskog</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55037-2024</t>
        </is>
      </c>
      <c r="B12720" s="1" t="n">
        <v>45621</v>
      </c>
      <c r="C12720" s="1" t="n">
        <v>45715</v>
      </c>
      <c r="D12720" t="inlineStr">
        <is>
          <t>KALMAR LÄN</t>
        </is>
      </c>
      <c r="E12720" t="inlineStr">
        <is>
          <t>VÄSTERVIK</t>
        </is>
      </c>
      <c r="F12720" t="inlineStr">
        <is>
          <t>Sveaskog</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55020-2024</t>
        </is>
      </c>
      <c r="B12721" s="1" t="n">
        <v>45621</v>
      </c>
      <c r="C12721" s="1" t="n">
        <v>45715</v>
      </c>
      <c r="D12721" t="inlineStr">
        <is>
          <t>KALMAR LÄN</t>
        </is>
      </c>
      <c r="E12721" t="inlineStr">
        <is>
          <t>VÄSTERVIK</t>
        </is>
      </c>
      <c r="F12721" t="inlineStr">
        <is>
          <t>Sveaskog</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55016-2024</t>
        </is>
      </c>
      <c r="B12722" s="1" t="n">
        <v>45621</v>
      </c>
      <c r="C12722" s="1" t="n">
        <v>45715</v>
      </c>
      <c r="D12722" t="inlineStr">
        <is>
          <t>KALMAR LÄN</t>
        </is>
      </c>
      <c r="E12722" t="inlineStr">
        <is>
          <t>VÄSTERVIK</t>
        </is>
      </c>
      <c r="F12722" t="inlineStr">
        <is>
          <t>Sveaskog</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55217-2024</t>
        </is>
      </c>
      <c r="B12723" s="1" t="n">
        <v>45621</v>
      </c>
      <c r="C12723" s="1" t="n">
        <v>45715</v>
      </c>
      <c r="D12723" t="inlineStr">
        <is>
          <t>KALMAR LÄN</t>
        </is>
      </c>
      <c r="E12723" t="inlineStr">
        <is>
          <t>OSKARSHAMN</t>
        </is>
      </c>
      <c r="G12723" t="n">
        <v>5.5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55604-2024</t>
        </is>
      </c>
      <c r="B12724" s="1" t="n">
        <v>45621</v>
      </c>
      <c r="C12724" s="1" t="n">
        <v>45715</v>
      </c>
      <c r="D12724" t="inlineStr">
        <is>
          <t>KALMAR LÄN</t>
        </is>
      </c>
      <c r="E12724" t="inlineStr">
        <is>
          <t>EMMABODA</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55590-2024</t>
        </is>
      </c>
      <c r="B12725" s="1" t="n">
        <v>45622</v>
      </c>
      <c r="C12725" s="1" t="n">
        <v>45715</v>
      </c>
      <c r="D12725" t="inlineStr">
        <is>
          <t>KALMAR LÄN</t>
        </is>
      </c>
      <c r="E12725" t="inlineStr">
        <is>
          <t>EMMABODA</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55458-2024</t>
        </is>
      </c>
      <c r="B12726" s="1" t="n">
        <v>45622</v>
      </c>
      <c r="C12726" s="1" t="n">
        <v>45715</v>
      </c>
      <c r="D12726" t="inlineStr">
        <is>
          <t>KALMAR LÄN</t>
        </is>
      </c>
      <c r="E12726" t="inlineStr">
        <is>
          <t>MÖNSTERÅS</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55406-2024</t>
        </is>
      </c>
      <c r="B12727" s="1" t="n">
        <v>45622</v>
      </c>
      <c r="C12727" s="1" t="n">
        <v>45715</v>
      </c>
      <c r="D12727" t="inlineStr">
        <is>
          <t>KALMAR LÄN</t>
        </is>
      </c>
      <c r="E12727" t="inlineStr">
        <is>
          <t>HULTSFRED</t>
        </is>
      </c>
      <c r="F12727" t="inlineStr">
        <is>
          <t>Sveaskog</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55410-2024</t>
        </is>
      </c>
      <c r="B12728" s="1" t="n">
        <v>45622</v>
      </c>
      <c r="C12728" s="1" t="n">
        <v>45715</v>
      </c>
      <c r="D12728" t="inlineStr">
        <is>
          <t>KALMAR LÄN</t>
        </is>
      </c>
      <c r="E12728" t="inlineStr">
        <is>
          <t>TORSÅS</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55448-2024</t>
        </is>
      </c>
      <c r="B12729" s="1" t="n">
        <v>45622</v>
      </c>
      <c r="C12729" s="1" t="n">
        <v>45715</v>
      </c>
      <c r="D12729" t="inlineStr">
        <is>
          <t>KALMAR LÄN</t>
        </is>
      </c>
      <c r="E12729" t="inlineStr">
        <is>
          <t>MÖNSTERÅS</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55605-2024</t>
        </is>
      </c>
      <c r="B12730" s="1" t="n">
        <v>45622</v>
      </c>
      <c r="C12730" s="1" t="n">
        <v>45715</v>
      </c>
      <c r="D12730" t="inlineStr">
        <is>
          <t>KALMAR LÄN</t>
        </is>
      </c>
      <c r="E12730" t="inlineStr">
        <is>
          <t>VIMMERBY</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55609-2024</t>
        </is>
      </c>
      <c r="B12731" s="1" t="n">
        <v>45622</v>
      </c>
      <c r="C12731" s="1" t="n">
        <v>45715</v>
      </c>
      <c r="D12731" t="inlineStr">
        <is>
          <t>KALMAR LÄN</t>
        </is>
      </c>
      <c r="E12731" t="inlineStr">
        <is>
          <t>VÄSTERVIK</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55647-2024</t>
        </is>
      </c>
      <c r="B12732" s="1" t="n">
        <v>45622</v>
      </c>
      <c r="C12732" s="1" t="n">
        <v>45715</v>
      </c>
      <c r="D12732" t="inlineStr">
        <is>
          <t>KALMAR LÄN</t>
        </is>
      </c>
      <c r="E12732" t="inlineStr">
        <is>
          <t>VÄSTERVIK</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55565-2024</t>
        </is>
      </c>
      <c r="B12733" s="1" t="n">
        <v>45622</v>
      </c>
      <c r="C12733" s="1" t="n">
        <v>45715</v>
      </c>
      <c r="D12733" t="inlineStr">
        <is>
          <t>KALMAR LÄN</t>
        </is>
      </c>
      <c r="E12733" t="inlineStr">
        <is>
          <t>VÄSTERVIK</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55721-2024</t>
        </is>
      </c>
      <c r="B12734" s="1" t="n">
        <v>45622</v>
      </c>
      <c r="C12734" s="1" t="n">
        <v>45715</v>
      </c>
      <c r="D12734" t="inlineStr">
        <is>
          <t>KALMAR LÄN</t>
        </is>
      </c>
      <c r="E12734" t="inlineStr">
        <is>
          <t>NYBRO</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55902-2024</t>
        </is>
      </c>
      <c r="B12735" s="1" t="n">
        <v>45622</v>
      </c>
      <c r="C12735" s="1" t="n">
        <v>45715</v>
      </c>
      <c r="D12735" t="inlineStr">
        <is>
          <t>KALMAR LÄN</t>
        </is>
      </c>
      <c r="E12735" t="inlineStr">
        <is>
          <t>HÖGSBY</t>
        </is>
      </c>
      <c r="G12735" t="n">
        <v>8.9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55762-2024</t>
        </is>
      </c>
      <c r="B12736" s="1" t="n">
        <v>45623</v>
      </c>
      <c r="C12736" s="1" t="n">
        <v>45715</v>
      </c>
      <c r="D12736" t="inlineStr">
        <is>
          <t>KALMAR LÄN</t>
        </is>
      </c>
      <c r="E12736" t="inlineStr">
        <is>
          <t>HULTSFRED</t>
        </is>
      </c>
      <c r="G12736" t="n">
        <v>6.4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55781-2024</t>
        </is>
      </c>
      <c r="B12737" s="1" t="n">
        <v>45623</v>
      </c>
      <c r="C12737" s="1" t="n">
        <v>45715</v>
      </c>
      <c r="D12737" t="inlineStr">
        <is>
          <t>KALMAR LÄN</t>
        </is>
      </c>
      <c r="E12737" t="inlineStr">
        <is>
          <t>OSKARSHAMN</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55794-2024</t>
        </is>
      </c>
      <c r="B12738" s="1" t="n">
        <v>45623</v>
      </c>
      <c r="C12738" s="1" t="n">
        <v>45715</v>
      </c>
      <c r="D12738" t="inlineStr">
        <is>
          <t>KALMAR LÄN</t>
        </is>
      </c>
      <c r="E12738" t="inlineStr">
        <is>
          <t>KALMAR</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55815-2024</t>
        </is>
      </c>
      <c r="B12739" s="1" t="n">
        <v>45623</v>
      </c>
      <c r="C12739" s="1" t="n">
        <v>45715</v>
      </c>
      <c r="D12739" t="inlineStr">
        <is>
          <t>KALMAR LÄN</t>
        </is>
      </c>
      <c r="E12739" t="inlineStr">
        <is>
          <t>OSKARSHAMN</t>
        </is>
      </c>
      <c r="G12739" t="n">
        <v>4.7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55877-2024</t>
        </is>
      </c>
      <c r="B12740" s="1" t="n">
        <v>45623</v>
      </c>
      <c r="C12740" s="1" t="n">
        <v>45715</v>
      </c>
      <c r="D12740" t="inlineStr">
        <is>
          <t>KALMAR LÄN</t>
        </is>
      </c>
      <c r="E12740" t="inlineStr">
        <is>
          <t>MÖNSTERÅS</t>
        </is>
      </c>
      <c r="G12740" t="n">
        <v>3.6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55890-2024</t>
        </is>
      </c>
      <c r="B12741" s="1" t="n">
        <v>45623</v>
      </c>
      <c r="C12741" s="1" t="n">
        <v>45715</v>
      </c>
      <c r="D12741" t="inlineStr">
        <is>
          <t>KALMAR LÄN</t>
        </is>
      </c>
      <c r="E12741" t="inlineStr">
        <is>
          <t>VIMMERBY</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55939-2024</t>
        </is>
      </c>
      <c r="B12742" s="1" t="n">
        <v>45623</v>
      </c>
      <c r="C12742" s="1" t="n">
        <v>45715</v>
      </c>
      <c r="D12742" t="inlineStr">
        <is>
          <t>KALMAR LÄN</t>
        </is>
      </c>
      <c r="E12742" t="inlineStr">
        <is>
          <t>VIMMERBY</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55959-2024</t>
        </is>
      </c>
      <c r="B12743" s="1" t="n">
        <v>45623</v>
      </c>
      <c r="C12743" s="1" t="n">
        <v>45715</v>
      </c>
      <c r="D12743" t="inlineStr">
        <is>
          <t>KALMAR LÄN</t>
        </is>
      </c>
      <c r="E12743" t="inlineStr">
        <is>
          <t>KALMAR</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55970-2024</t>
        </is>
      </c>
      <c r="B12744" s="1" t="n">
        <v>45623</v>
      </c>
      <c r="C12744" s="1" t="n">
        <v>45715</v>
      </c>
      <c r="D12744" t="inlineStr">
        <is>
          <t>KALMAR LÄN</t>
        </is>
      </c>
      <c r="E12744" t="inlineStr">
        <is>
          <t>KALMAR</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55990-2024</t>
        </is>
      </c>
      <c r="B12745" s="1" t="n">
        <v>45623</v>
      </c>
      <c r="C12745" s="1" t="n">
        <v>45715</v>
      </c>
      <c r="D12745" t="inlineStr">
        <is>
          <t>KALMAR LÄN</t>
        </is>
      </c>
      <c r="E12745" t="inlineStr">
        <is>
          <t>KALMAR</t>
        </is>
      </c>
      <c r="G12745" t="n">
        <v>4.1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55993-2024</t>
        </is>
      </c>
      <c r="B12746" s="1" t="n">
        <v>45623</v>
      </c>
      <c r="C12746" s="1" t="n">
        <v>45715</v>
      </c>
      <c r="D12746" t="inlineStr">
        <is>
          <t>KALMAR LÄN</t>
        </is>
      </c>
      <c r="E12746" t="inlineStr">
        <is>
          <t>KALMAR</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56022-2024</t>
        </is>
      </c>
      <c r="B12747" s="1" t="n">
        <v>45624</v>
      </c>
      <c r="C12747" s="1" t="n">
        <v>45715</v>
      </c>
      <c r="D12747" t="inlineStr">
        <is>
          <t>KALMAR LÄN</t>
        </is>
      </c>
      <c r="E12747" t="inlineStr">
        <is>
          <t>VIMMERBY</t>
        </is>
      </c>
      <c r="G12747" t="n">
        <v>0.3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56019-2024</t>
        </is>
      </c>
      <c r="B12748" s="1" t="n">
        <v>45623</v>
      </c>
      <c r="C12748" s="1" t="n">
        <v>45715</v>
      </c>
      <c r="D12748" t="inlineStr">
        <is>
          <t>KALMAR LÄN</t>
        </is>
      </c>
      <c r="E12748" t="inlineStr">
        <is>
          <t>VIMMERBY</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56020-2024</t>
        </is>
      </c>
      <c r="B12749" s="1" t="n">
        <v>45623</v>
      </c>
      <c r="C12749" s="1" t="n">
        <v>45715</v>
      </c>
      <c r="D12749" t="inlineStr">
        <is>
          <t>KALMAR LÄN</t>
        </is>
      </c>
      <c r="E12749" t="inlineStr">
        <is>
          <t>VIMMERBY</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55992-2024</t>
        </is>
      </c>
      <c r="B12750" s="1" t="n">
        <v>45623</v>
      </c>
      <c r="C12750" s="1" t="n">
        <v>45715</v>
      </c>
      <c r="D12750" t="inlineStr">
        <is>
          <t>KALMAR LÄN</t>
        </is>
      </c>
      <c r="E12750" t="inlineStr">
        <is>
          <t>KALMAR</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56021-2024</t>
        </is>
      </c>
      <c r="B12751" s="1" t="n">
        <v>45623</v>
      </c>
      <c r="C12751" s="1" t="n">
        <v>45715</v>
      </c>
      <c r="D12751" t="inlineStr">
        <is>
          <t>KALMAR LÄN</t>
        </is>
      </c>
      <c r="E12751" t="inlineStr">
        <is>
          <t>VIMMERBY</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56100-2024</t>
        </is>
      </c>
      <c r="B12752" s="1" t="n">
        <v>45624</v>
      </c>
      <c r="C12752" s="1" t="n">
        <v>45715</v>
      </c>
      <c r="D12752" t="inlineStr">
        <is>
          <t>KALMAR LÄN</t>
        </is>
      </c>
      <c r="E12752" t="inlineStr">
        <is>
          <t>HULTSFRED</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56121-2024</t>
        </is>
      </c>
      <c r="B12753" s="1" t="n">
        <v>45624</v>
      </c>
      <c r="C12753" s="1" t="n">
        <v>45715</v>
      </c>
      <c r="D12753" t="inlineStr">
        <is>
          <t>KALMAR LÄN</t>
        </is>
      </c>
      <c r="E12753" t="inlineStr">
        <is>
          <t>KALMAR</t>
        </is>
      </c>
      <c r="F12753" t="inlineStr">
        <is>
          <t>Sveaskog</t>
        </is>
      </c>
      <c r="G12753" t="n">
        <v>4.4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56125-2024</t>
        </is>
      </c>
      <c r="B12754" s="1" t="n">
        <v>45624</v>
      </c>
      <c r="C12754" s="1" t="n">
        <v>45715</v>
      </c>
      <c r="D12754" t="inlineStr">
        <is>
          <t>KALMAR LÄN</t>
        </is>
      </c>
      <c r="E12754" t="inlineStr">
        <is>
          <t>KALMAR</t>
        </is>
      </c>
      <c r="F12754" t="inlineStr">
        <is>
          <t>Sveaskog</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56293-2024</t>
        </is>
      </c>
      <c r="B12755" s="1" t="n">
        <v>45624</v>
      </c>
      <c r="C12755" s="1" t="n">
        <v>45715</v>
      </c>
      <c r="D12755" t="inlineStr">
        <is>
          <t>KALMAR LÄN</t>
        </is>
      </c>
      <c r="E12755" t="inlineStr">
        <is>
          <t>KALMAR</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56296-2024</t>
        </is>
      </c>
      <c r="B12756" s="1" t="n">
        <v>45624</v>
      </c>
      <c r="C12756" s="1" t="n">
        <v>45715</v>
      </c>
      <c r="D12756" t="inlineStr">
        <is>
          <t>KALMAR LÄN</t>
        </is>
      </c>
      <c r="E12756" t="inlineStr">
        <is>
          <t>KALMAR</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56317-2024</t>
        </is>
      </c>
      <c r="B12757" s="1" t="n">
        <v>45624</v>
      </c>
      <c r="C12757" s="1" t="n">
        <v>45715</v>
      </c>
      <c r="D12757" t="inlineStr">
        <is>
          <t>KALMAR LÄN</t>
        </is>
      </c>
      <c r="E12757" t="inlineStr">
        <is>
          <t>TORSÅS</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56321-2024</t>
        </is>
      </c>
      <c r="B12758" s="1" t="n">
        <v>45624</v>
      </c>
      <c r="C12758" s="1" t="n">
        <v>45715</v>
      </c>
      <c r="D12758" t="inlineStr">
        <is>
          <t>KALMAR LÄN</t>
        </is>
      </c>
      <c r="E12758" t="inlineStr">
        <is>
          <t>TORSÅS</t>
        </is>
      </c>
      <c r="G12758" t="n">
        <v>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56077-2024</t>
        </is>
      </c>
      <c r="B12759" s="1" t="n">
        <v>45624</v>
      </c>
      <c r="C12759" s="1" t="n">
        <v>45715</v>
      </c>
      <c r="D12759" t="inlineStr">
        <is>
          <t>KALMAR LÄN</t>
        </is>
      </c>
      <c r="E12759" t="inlineStr">
        <is>
          <t>VÄSTERVIK</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56254-2024</t>
        </is>
      </c>
      <c r="B12760" s="1" t="n">
        <v>45624</v>
      </c>
      <c r="C12760" s="1" t="n">
        <v>45715</v>
      </c>
      <c r="D12760" t="inlineStr">
        <is>
          <t>KALMAR LÄN</t>
        </is>
      </c>
      <c r="E12760" t="inlineStr">
        <is>
          <t>EMMABODA</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56311-2024</t>
        </is>
      </c>
      <c r="B12761" s="1" t="n">
        <v>45624</v>
      </c>
      <c r="C12761" s="1" t="n">
        <v>45715</v>
      </c>
      <c r="D12761" t="inlineStr">
        <is>
          <t>KALMAR LÄN</t>
        </is>
      </c>
      <c r="E12761" t="inlineStr">
        <is>
          <t>TORSÅS</t>
        </is>
      </c>
      <c r="G12761" t="n">
        <v>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56102-2024</t>
        </is>
      </c>
      <c r="B12762" s="1" t="n">
        <v>45624</v>
      </c>
      <c r="C12762" s="1" t="n">
        <v>45715</v>
      </c>
      <c r="D12762" t="inlineStr">
        <is>
          <t>KALMAR LÄN</t>
        </is>
      </c>
      <c r="E12762" t="inlineStr">
        <is>
          <t>HULTSFRED</t>
        </is>
      </c>
      <c r="G12762" t="n">
        <v>4.1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56119-2024</t>
        </is>
      </c>
      <c r="B12763" s="1" t="n">
        <v>45624</v>
      </c>
      <c r="C12763" s="1" t="n">
        <v>45715</v>
      </c>
      <c r="D12763" t="inlineStr">
        <is>
          <t>KALMAR LÄN</t>
        </is>
      </c>
      <c r="E12763" t="inlineStr">
        <is>
          <t>KALMAR</t>
        </is>
      </c>
      <c r="F12763" t="inlineStr">
        <is>
          <t>Sveaskog</t>
        </is>
      </c>
      <c r="G12763" t="n">
        <v>4.8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56213-2024</t>
        </is>
      </c>
      <c r="B12764" s="1" t="n">
        <v>45624</v>
      </c>
      <c r="C12764" s="1" t="n">
        <v>45715</v>
      </c>
      <c r="D12764" t="inlineStr">
        <is>
          <t>KALMAR LÄN</t>
        </is>
      </c>
      <c r="E12764" t="inlineStr">
        <is>
          <t>VIMMERBY</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56318-2024</t>
        </is>
      </c>
      <c r="B12765" s="1" t="n">
        <v>45624</v>
      </c>
      <c r="C12765" s="1" t="n">
        <v>45715</v>
      </c>
      <c r="D12765" t="inlineStr">
        <is>
          <t>KALMAR LÄN</t>
        </is>
      </c>
      <c r="E12765" t="inlineStr">
        <is>
          <t>TORSÅS</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56320-2024</t>
        </is>
      </c>
      <c r="B12766" s="1" t="n">
        <v>45624</v>
      </c>
      <c r="C12766" s="1" t="n">
        <v>45715</v>
      </c>
      <c r="D12766" t="inlineStr">
        <is>
          <t>KALMAR LÄN</t>
        </is>
      </c>
      <c r="E12766" t="inlineStr">
        <is>
          <t>TORSÅS</t>
        </is>
      </c>
      <c r="G12766" t="n">
        <v>4.6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56332-2024</t>
        </is>
      </c>
      <c r="B12767" s="1" t="n">
        <v>45624</v>
      </c>
      <c r="C12767" s="1" t="n">
        <v>45715</v>
      </c>
      <c r="D12767" t="inlineStr">
        <is>
          <t>KALMAR LÄN</t>
        </is>
      </c>
      <c r="E12767" t="inlineStr">
        <is>
          <t>HÖGSBY</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56339-2024</t>
        </is>
      </c>
      <c r="B12768" s="1" t="n">
        <v>45624</v>
      </c>
      <c r="C12768" s="1" t="n">
        <v>45715</v>
      </c>
      <c r="D12768" t="inlineStr">
        <is>
          <t>KALMAR LÄN</t>
        </is>
      </c>
      <c r="E12768" t="inlineStr">
        <is>
          <t>HÖGSBY</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56358-2024</t>
        </is>
      </c>
      <c r="B12769" s="1" t="n">
        <v>45625</v>
      </c>
      <c r="C12769" s="1" t="n">
        <v>45715</v>
      </c>
      <c r="D12769" t="inlineStr">
        <is>
          <t>KALMAR LÄN</t>
        </is>
      </c>
      <c r="E12769" t="inlineStr">
        <is>
          <t>HULTSFRED</t>
        </is>
      </c>
      <c r="G12769" t="n">
        <v>5.1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56374-2024</t>
        </is>
      </c>
      <c r="B12770" s="1" t="n">
        <v>45625</v>
      </c>
      <c r="C12770" s="1" t="n">
        <v>45715</v>
      </c>
      <c r="D12770" t="inlineStr">
        <is>
          <t>KALMAR LÄN</t>
        </is>
      </c>
      <c r="E12770" t="inlineStr">
        <is>
          <t>VÄSTERVIK</t>
        </is>
      </c>
      <c r="F12770" t="inlineStr">
        <is>
          <t>Sveaskog</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56379-2024</t>
        </is>
      </c>
      <c r="B12771" s="1" t="n">
        <v>45625</v>
      </c>
      <c r="C12771" s="1" t="n">
        <v>45715</v>
      </c>
      <c r="D12771" t="inlineStr">
        <is>
          <t>KALMAR LÄN</t>
        </is>
      </c>
      <c r="E12771" t="inlineStr">
        <is>
          <t>VÄSTERVIK</t>
        </is>
      </c>
      <c r="F12771" t="inlineStr">
        <is>
          <t>Sveaskog</t>
        </is>
      </c>
      <c r="G12771" t="n">
        <v>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56371-2024</t>
        </is>
      </c>
      <c r="B12772" s="1" t="n">
        <v>45625</v>
      </c>
      <c r="C12772" s="1" t="n">
        <v>45715</v>
      </c>
      <c r="D12772" t="inlineStr">
        <is>
          <t>KALMAR LÄN</t>
        </is>
      </c>
      <c r="E12772" t="inlineStr">
        <is>
          <t>VÄSTERVIK</t>
        </is>
      </c>
      <c r="F12772" t="inlineStr">
        <is>
          <t>Sveaskog</t>
        </is>
      </c>
      <c r="G12772" t="n">
        <v>7.2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56384-2024</t>
        </is>
      </c>
      <c r="B12773" s="1" t="n">
        <v>45625</v>
      </c>
      <c r="C12773" s="1" t="n">
        <v>45715</v>
      </c>
      <c r="D12773" t="inlineStr">
        <is>
          <t>KALMAR LÄN</t>
        </is>
      </c>
      <c r="E12773" t="inlineStr">
        <is>
          <t>VÄSTERVIK</t>
        </is>
      </c>
      <c r="F12773" t="inlineStr">
        <is>
          <t>Sveaskog</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56377-2024</t>
        </is>
      </c>
      <c r="B12774" s="1" t="n">
        <v>45625</v>
      </c>
      <c r="C12774" s="1" t="n">
        <v>45715</v>
      </c>
      <c r="D12774" t="inlineStr">
        <is>
          <t>KALMAR LÄN</t>
        </is>
      </c>
      <c r="E12774" t="inlineStr">
        <is>
          <t>VÄSTERVIK</t>
        </is>
      </c>
      <c r="F12774" t="inlineStr">
        <is>
          <t>Sveaskog</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56486-2024</t>
        </is>
      </c>
      <c r="B12775" s="1" t="n">
        <v>45625</v>
      </c>
      <c r="C12775" s="1" t="n">
        <v>45715</v>
      </c>
      <c r="D12775" t="inlineStr">
        <is>
          <t>KALMAR LÄN</t>
        </is>
      </c>
      <c r="E12775" t="inlineStr">
        <is>
          <t>OSKARSHAMN</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56553-2024</t>
        </is>
      </c>
      <c r="B12776" s="1" t="n">
        <v>45625</v>
      </c>
      <c r="C12776" s="1" t="n">
        <v>45715</v>
      </c>
      <c r="D12776" t="inlineStr">
        <is>
          <t>KALMAR LÄN</t>
        </is>
      </c>
      <c r="E12776" t="inlineStr">
        <is>
          <t>HULTSFRED</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56659-2024</t>
        </is>
      </c>
      <c r="B12777" s="1" t="n">
        <v>45625</v>
      </c>
      <c r="C12777" s="1" t="n">
        <v>45715</v>
      </c>
      <c r="D12777" t="inlineStr">
        <is>
          <t>KALMAR LÄN</t>
        </is>
      </c>
      <c r="E12777" t="inlineStr">
        <is>
          <t>TORSÅS</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56378-2024</t>
        </is>
      </c>
      <c r="B12778" s="1" t="n">
        <v>45625</v>
      </c>
      <c r="C12778" s="1" t="n">
        <v>45715</v>
      </c>
      <c r="D12778" t="inlineStr">
        <is>
          <t>KALMAR LÄN</t>
        </is>
      </c>
      <c r="E12778" t="inlineStr">
        <is>
          <t>VÄSTERVIK</t>
        </is>
      </c>
      <c r="F12778" t="inlineStr">
        <is>
          <t>Sveaskog</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56382-2024</t>
        </is>
      </c>
      <c r="B12779" s="1" t="n">
        <v>45625</v>
      </c>
      <c r="C12779" s="1" t="n">
        <v>45715</v>
      </c>
      <c r="D12779" t="inlineStr">
        <is>
          <t>KALMAR LÄN</t>
        </is>
      </c>
      <c r="E12779" t="inlineStr">
        <is>
          <t>VÄSTERVIK</t>
        </is>
      </c>
      <c r="F12779" t="inlineStr">
        <is>
          <t>Sveaskog</t>
        </is>
      </c>
      <c r="G12779" t="n">
        <v>4.9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56440-2024</t>
        </is>
      </c>
      <c r="B12780" s="1" t="n">
        <v>45625</v>
      </c>
      <c r="C12780" s="1" t="n">
        <v>45715</v>
      </c>
      <c r="D12780" t="inlineStr">
        <is>
          <t>KALMAR LÄN</t>
        </is>
      </c>
      <c r="E12780" t="inlineStr">
        <is>
          <t>VÄSTERVIK</t>
        </is>
      </c>
      <c r="F12780" t="inlineStr">
        <is>
          <t>Övriga Aktiebolag</t>
        </is>
      </c>
      <c r="G12780" t="n">
        <v>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56962-2024</t>
        </is>
      </c>
      <c r="B12781" s="1" t="n">
        <v>45625</v>
      </c>
      <c r="C12781" s="1" t="n">
        <v>45715</v>
      </c>
      <c r="D12781" t="inlineStr">
        <is>
          <t>KALMAR LÄN</t>
        </is>
      </c>
      <c r="E12781" t="inlineStr">
        <is>
          <t>EMMABODA</t>
        </is>
      </c>
      <c r="F12781" t="inlineStr">
        <is>
          <t>Kyrkan</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56576-2024</t>
        </is>
      </c>
      <c r="B12782" s="1" t="n">
        <v>45625</v>
      </c>
      <c r="C12782" s="1" t="n">
        <v>45715</v>
      </c>
      <c r="D12782" t="inlineStr">
        <is>
          <t>KALMAR LÄN</t>
        </is>
      </c>
      <c r="E12782" t="inlineStr">
        <is>
          <t>OSKARSHAMN</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56588-2024</t>
        </is>
      </c>
      <c r="B12783" s="1" t="n">
        <v>45625</v>
      </c>
      <c r="C12783" s="1" t="n">
        <v>45715</v>
      </c>
      <c r="D12783" t="inlineStr">
        <is>
          <t>KALMAR LÄN</t>
        </is>
      </c>
      <c r="E12783" t="inlineStr">
        <is>
          <t>KALMAR</t>
        </is>
      </c>
      <c r="G12783" t="n">
        <v>5.8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56592-2024</t>
        </is>
      </c>
      <c r="B12784" s="1" t="n">
        <v>45625</v>
      </c>
      <c r="C12784" s="1" t="n">
        <v>45715</v>
      </c>
      <c r="D12784" t="inlineStr">
        <is>
          <t>KALMAR LÄN</t>
        </is>
      </c>
      <c r="E12784" t="inlineStr">
        <is>
          <t>KALMAR</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56579-2024</t>
        </is>
      </c>
      <c r="B12785" s="1" t="n">
        <v>45625</v>
      </c>
      <c r="C12785" s="1" t="n">
        <v>45715</v>
      </c>
      <c r="D12785" t="inlineStr">
        <is>
          <t>KALMAR LÄN</t>
        </is>
      </c>
      <c r="E12785" t="inlineStr">
        <is>
          <t>OSKARSHAMN</t>
        </is>
      </c>
      <c r="G12785" t="n">
        <v>7.5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56657-2024</t>
        </is>
      </c>
      <c r="B12786" s="1" t="n">
        <v>45625</v>
      </c>
      <c r="C12786" s="1" t="n">
        <v>45715</v>
      </c>
      <c r="D12786" t="inlineStr">
        <is>
          <t>KALMAR LÄN</t>
        </is>
      </c>
      <c r="E12786" t="inlineStr">
        <is>
          <t>KALMAR</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56972-2024</t>
        </is>
      </c>
      <c r="B12787" s="1" t="n">
        <v>45625</v>
      </c>
      <c r="C12787" s="1" t="n">
        <v>45715</v>
      </c>
      <c r="D12787" t="inlineStr">
        <is>
          <t>KALMAR LÄN</t>
        </is>
      </c>
      <c r="E12787" t="inlineStr">
        <is>
          <t>NYBRO</t>
        </is>
      </c>
      <c r="G12787" t="n">
        <v>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56658-2024</t>
        </is>
      </c>
      <c r="B12788" s="1" t="n">
        <v>45625</v>
      </c>
      <c r="C12788" s="1" t="n">
        <v>45715</v>
      </c>
      <c r="D12788" t="inlineStr">
        <is>
          <t>KALMAR LÄN</t>
        </is>
      </c>
      <c r="E12788" t="inlineStr">
        <is>
          <t>TORSÅS</t>
        </is>
      </c>
      <c r="G12788" t="n">
        <v>2.5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56949-2024</t>
        </is>
      </c>
      <c r="B12789" s="1" t="n">
        <v>45625</v>
      </c>
      <c r="C12789" s="1" t="n">
        <v>45715</v>
      </c>
      <c r="D12789" t="inlineStr">
        <is>
          <t>KALMAR LÄN</t>
        </is>
      </c>
      <c r="E12789" t="inlineStr">
        <is>
          <t>EMMABODA</t>
        </is>
      </c>
      <c r="F12789" t="inlineStr">
        <is>
          <t>Kyrkan</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57000-2024</t>
        </is>
      </c>
      <c r="B12790" s="1" t="n">
        <v>45626</v>
      </c>
      <c r="C12790" s="1" t="n">
        <v>45715</v>
      </c>
      <c r="D12790" t="inlineStr">
        <is>
          <t>KALMAR LÄN</t>
        </is>
      </c>
      <c r="E12790" t="inlineStr">
        <is>
          <t>HÖGSBY</t>
        </is>
      </c>
      <c r="G12790" t="n">
        <v>5.1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57006-2024</t>
        </is>
      </c>
      <c r="B12791" s="1" t="n">
        <v>45626</v>
      </c>
      <c r="C12791" s="1" t="n">
        <v>45715</v>
      </c>
      <c r="D12791" t="inlineStr">
        <is>
          <t>KALMAR LÄN</t>
        </is>
      </c>
      <c r="E12791" t="inlineStr">
        <is>
          <t>HÖGSBY</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57009-2024</t>
        </is>
      </c>
      <c r="B12792" s="1" t="n">
        <v>45626</v>
      </c>
      <c r="C12792" s="1" t="n">
        <v>45715</v>
      </c>
      <c r="D12792" t="inlineStr">
        <is>
          <t>KALMAR LÄN</t>
        </is>
      </c>
      <c r="E12792" t="inlineStr">
        <is>
          <t>HÖGSBY</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56667-2024</t>
        </is>
      </c>
      <c r="B12793" s="1" t="n">
        <v>45626</v>
      </c>
      <c r="C12793" s="1" t="n">
        <v>45715</v>
      </c>
      <c r="D12793" t="inlineStr">
        <is>
          <t>KALMAR LÄN</t>
        </is>
      </c>
      <c r="E12793" t="inlineStr">
        <is>
          <t>KALMAR</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56692-2024</t>
        </is>
      </c>
      <c r="B12794" s="1" t="n">
        <v>45627</v>
      </c>
      <c r="C12794" s="1" t="n">
        <v>45715</v>
      </c>
      <c r="D12794" t="inlineStr">
        <is>
          <t>KALMAR LÄN</t>
        </is>
      </c>
      <c r="E12794" t="inlineStr">
        <is>
          <t>KALMAR</t>
        </is>
      </c>
      <c r="G12794" t="n">
        <v>3.2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56691-2024</t>
        </is>
      </c>
      <c r="B12795" s="1" t="n">
        <v>45627</v>
      </c>
      <c r="C12795" s="1" t="n">
        <v>45715</v>
      </c>
      <c r="D12795" t="inlineStr">
        <is>
          <t>KALMAR LÄN</t>
        </is>
      </c>
      <c r="E12795" t="inlineStr">
        <is>
          <t>KALMAR</t>
        </is>
      </c>
      <c r="G12795" t="n">
        <v>4.9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56722-2024</t>
        </is>
      </c>
      <c r="B12796" s="1" t="n">
        <v>45628</v>
      </c>
      <c r="C12796" s="1" t="n">
        <v>45715</v>
      </c>
      <c r="D12796" t="inlineStr">
        <is>
          <t>KALMAR LÄN</t>
        </is>
      </c>
      <c r="E12796" t="inlineStr">
        <is>
          <t>VIMMERBY</t>
        </is>
      </c>
      <c r="G12796" t="n">
        <v>8.5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56833-2024</t>
        </is>
      </c>
      <c r="B12797" s="1" t="n">
        <v>45628</v>
      </c>
      <c r="C12797" s="1" t="n">
        <v>45715</v>
      </c>
      <c r="D12797" t="inlineStr">
        <is>
          <t>KALMAR LÄN</t>
        </is>
      </c>
      <c r="E12797" t="inlineStr">
        <is>
          <t>HÖGSBY</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56895-2024</t>
        </is>
      </c>
      <c r="B12798" s="1" t="n">
        <v>45628</v>
      </c>
      <c r="C12798" s="1" t="n">
        <v>45715</v>
      </c>
      <c r="D12798" t="inlineStr">
        <is>
          <t>KALMAR LÄN</t>
        </is>
      </c>
      <c r="E12798" t="inlineStr">
        <is>
          <t>NYBRO</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56899-2024</t>
        </is>
      </c>
      <c r="B12799" s="1" t="n">
        <v>45628</v>
      </c>
      <c r="C12799" s="1" t="n">
        <v>45715</v>
      </c>
      <c r="D12799" t="inlineStr">
        <is>
          <t>KALMAR LÄN</t>
        </is>
      </c>
      <c r="E12799" t="inlineStr">
        <is>
          <t>NYBRO</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56836-2024</t>
        </is>
      </c>
      <c r="B12800" s="1" t="n">
        <v>45628</v>
      </c>
      <c r="C12800" s="1" t="n">
        <v>45715</v>
      </c>
      <c r="D12800" t="inlineStr">
        <is>
          <t>KALMAR LÄN</t>
        </is>
      </c>
      <c r="E12800" t="inlineStr">
        <is>
          <t>TORSÅS</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56844-2024</t>
        </is>
      </c>
      <c r="B12801" s="1" t="n">
        <v>45628</v>
      </c>
      <c r="C12801" s="1" t="n">
        <v>45715</v>
      </c>
      <c r="D12801" t="inlineStr">
        <is>
          <t>KALMAR LÄN</t>
        </is>
      </c>
      <c r="E12801" t="inlineStr">
        <is>
          <t>MÖNSTERÅS</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56905-2024</t>
        </is>
      </c>
      <c r="B12802" s="1" t="n">
        <v>45628</v>
      </c>
      <c r="C12802" s="1" t="n">
        <v>45715</v>
      </c>
      <c r="D12802" t="inlineStr">
        <is>
          <t>KALMAR LÄN</t>
        </is>
      </c>
      <c r="E12802" t="inlineStr">
        <is>
          <t>KALMAR</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56839-2024</t>
        </is>
      </c>
      <c r="B12803" s="1" t="n">
        <v>45628</v>
      </c>
      <c r="C12803" s="1" t="n">
        <v>45715</v>
      </c>
      <c r="D12803" t="inlineStr">
        <is>
          <t>KALMAR LÄN</t>
        </is>
      </c>
      <c r="E12803" t="inlineStr">
        <is>
          <t>MÖNSTERÅS</t>
        </is>
      </c>
      <c r="G12803" t="n">
        <v>5.8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57004-2024</t>
        </is>
      </c>
      <c r="B12804" s="1" t="n">
        <v>45628</v>
      </c>
      <c r="C12804" s="1" t="n">
        <v>45715</v>
      </c>
      <c r="D12804" t="inlineStr">
        <is>
          <t>KALMAR LÄN</t>
        </is>
      </c>
      <c r="E12804" t="inlineStr">
        <is>
          <t>HULTSFRED</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56921-2024</t>
        </is>
      </c>
      <c r="B12805" s="1" t="n">
        <v>45628</v>
      </c>
      <c r="C12805" s="1" t="n">
        <v>45715</v>
      </c>
      <c r="D12805" t="inlineStr">
        <is>
          <t>KALMAR LÄN</t>
        </is>
      </c>
      <c r="E12805" t="inlineStr">
        <is>
          <t>KALMAR</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57001-2024</t>
        </is>
      </c>
      <c r="B12806" s="1" t="n">
        <v>45628</v>
      </c>
      <c r="C12806" s="1" t="n">
        <v>45715</v>
      </c>
      <c r="D12806" t="inlineStr">
        <is>
          <t>KALMAR LÄN</t>
        </is>
      </c>
      <c r="E12806" t="inlineStr">
        <is>
          <t>HULTSFRED</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57024-2024</t>
        </is>
      </c>
      <c r="B12807" s="1" t="n">
        <v>45628</v>
      </c>
      <c r="C12807" s="1" t="n">
        <v>45715</v>
      </c>
      <c r="D12807" t="inlineStr">
        <is>
          <t>KALMAR LÄN</t>
        </is>
      </c>
      <c r="E12807" t="inlineStr">
        <is>
          <t>VIMMERBY</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57037-2024</t>
        </is>
      </c>
      <c r="B12808" s="1" t="n">
        <v>45629</v>
      </c>
      <c r="C12808" s="1" t="n">
        <v>45715</v>
      </c>
      <c r="D12808" t="inlineStr">
        <is>
          <t>KALMAR LÄN</t>
        </is>
      </c>
      <c r="E12808" t="inlineStr">
        <is>
          <t>HULTSFRED</t>
        </is>
      </c>
      <c r="F12808" t="inlineStr">
        <is>
          <t>Sveaskog</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57173-2024</t>
        </is>
      </c>
      <c r="B12809" s="1" t="n">
        <v>45629</v>
      </c>
      <c r="C12809" s="1" t="n">
        <v>45715</v>
      </c>
      <c r="D12809" t="inlineStr">
        <is>
          <t>KALMAR LÄN</t>
        </is>
      </c>
      <c r="E12809" t="inlineStr">
        <is>
          <t>HULTSFRED</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57177-2024</t>
        </is>
      </c>
      <c r="B12810" s="1" t="n">
        <v>45629</v>
      </c>
      <c r="C12810" s="1" t="n">
        <v>45715</v>
      </c>
      <c r="D12810" t="inlineStr">
        <is>
          <t>KALMAR LÄN</t>
        </is>
      </c>
      <c r="E12810" t="inlineStr">
        <is>
          <t>HÖGSBY</t>
        </is>
      </c>
      <c r="G12810" t="n">
        <v>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57056-2024</t>
        </is>
      </c>
      <c r="B12811" s="1" t="n">
        <v>45629</v>
      </c>
      <c r="C12811" s="1" t="n">
        <v>45715</v>
      </c>
      <c r="D12811" t="inlineStr">
        <is>
          <t>KALMAR LÄN</t>
        </is>
      </c>
      <c r="E12811" t="inlineStr">
        <is>
          <t>HULTSFRED</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57122-2024</t>
        </is>
      </c>
      <c r="B12812" s="1" t="n">
        <v>45629</v>
      </c>
      <c r="C12812" s="1" t="n">
        <v>45715</v>
      </c>
      <c r="D12812" t="inlineStr">
        <is>
          <t>KALMAR LÄN</t>
        </is>
      </c>
      <c r="E12812" t="inlineStr">
        <is>
          <t>VIMMERBY</t>
        </is>
      </c>
      <c r="G12812" t="n">
        <v>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57183-2024</t>
        </is>
      </c>
      <c r="B12813" s="1" t="n">
        <v>45629</v>
      </c>
      <c r="C12813" s="1" t="n">
        <v>45715</v>
      </c>
      <c r="D12813" t="inlineStr">
        <is>
          <t>KALMAR LÄN</t>
        </is>
      </c>
      <c r="E12813" t="inlineStr">
        <is>
          <t>EMMABODA</t>
        </is>
      </c>
      <c r="G12813" t="n">
        <v>4.6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57133-2024</t>
        </is>
      </c>
      <c r="B12814" s="1" t="n">
        <v>45629</v>
      </c>
      <c r="C12814" s="1" t="n">
        <v>45715</v>
      </c>
      <c r="D12814" t="inlineStr">
        <is>
          <t>KALMAR LÄN</t>
        </is>
      </c>
      <c r="E12814" t="inlineStr">
        <is>
          <t>HULTSFRED</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57178-2024</t>
        </is>
      </c>
      <c r="B12815" s="1" t="n">
        <v>45629</v>
      </c>
      <c r="C12815" s="1" t="n">
        <v>45715</v>
      </c>
      <c r="D12815" t="inlineStr">
        <is>
          <t>KALMAR LÄN</t>
        </is>
      </c>
      <c r="E12815" t="inlineStr">
        <is>
          <t>VÄSTERVIK</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57224-2024</t>
        </is>
      </c>
      <c r="B12816" s="1" t="n">
        <v>45629</v>
      </c>
      <c r="C12816" s="1" t="n">
        <v>45715</v>
      </c>
      <c r="D12816" t="inlineStr">
        <is>
          <t>KALMAR LÄN</t>
        </is>
      </c>
      <c r="E12816" t="inlineStr">
        <is>
          <t>NYBRO</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57227-2024</t>
        </is>
      </c>
      <c r="B12817" s="1" t="n">
        <v>45629</v>
      </c>
      <c r="C12817" s="1" t="n">
        <v>45715</v>
      </c>
      <c r="D12817" t="inlineStr">
        <is>
          <t>KALMAR LÄN</t>
        </is>
      </c>
      <c r="E12817" t="inlineStr">
        <is>
          <t>VIMMERBY</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57292-2024</t>
        </is>
      </c>
      <c r="B12818" s="1" t="n">
        <v>45629</v>
      </c>
      <c r="C12818" s="1" t="n">
        <v>45715</v>
      </c>
      <c r="D12818" t="inlineStr">
        <is>
          <t>KALMAR LÄN</t>
        </is>
      </c>
      <c r="E12818" t="inlineStr">
        <is>
          <t>EMMABODA</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57359-2024</t>
        </is>
      </c>
      <c r="B12819" s="1" t="n">
        <v>45629</v>
      </c>
      <c r="C12819" s="1" t="n">
        <v>45715</v>
      </c>
      <c r="D12819" t="inlineStr">
        <is>
          <t>KALMAR LÄN</t>
        </is>
      </c>
      <c r="E12819" t="inlineStr">
        <is>
          <t>OSKARSHAMN</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57180-2024</t>
        </is>
      </c>
      <c r="B12820" s="1" t="n">
        <v>45629</v>
      </c>
      <c r="C12820" s="1" t="n">
        <v>45715</v>
      </c>
      <c r="D12820" t="inlineStr">
        <is>
          <t>KALMAR LÄN</t>
        </is>
      </c>
      <c r="E12820" t="inlineStr">
        <is>
          <t>HULTSFRED</t>
        </is>
      </c>
      <c r="G12820" t="n">
        <v>3.7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57417-2024</t>
        </is>
      </c>
      <c r="B12821" s="1" t="n">
        <v>45629</v>
      </c>
      <c r="C12821" s="1" t="n">
        <v>45715</v>
      </c>
      <c r="D12821" t="inlineStr">
        <is>
          <t>KALMAR LÄN</t>
        </is>
      </c>
      <c r="E12821" t="inlineStr">
        <is>
          <t>KALMAR</t>
        </is>
      </c>
      <c r="G12821" t="n">
        <v>13.5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57483-2024</t>
        </is>
      </c>
      <c r="B12822" s="1" t="n">
        <v>45630</v>
      </c>
      <c r="C12822" s="1" t="n">
        <v>45715</v>
      </c>
      <c r="D12822" t="inlineStr">
        <is>
          <t>KALMAR LÄN</t>
        </is>
      </c>
      <c r="E12822" t="inlineStr">
        <is>
          <t>HULTSFRED</t>
        </is>
      </c>
      <c r="F12822" t="inlineStr">
        <is>
          <t>Sveaskog</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57486-2024</t>
        </is>
      </c>
      <c r="B12823" s="1" t="n">
        <v>45630</v>
      </c>
      <c r="C12823" s="1" t="n">
        <v>45715</v>
      </c>
      <c r="D12823" t="inlineStr">
        <is>
          <t>KALMAR LÄN</t>
        </is>
      </c>
      <c r="E12823" t="inlineStr">
        <is>
          <t>VIMMERBY</t>
        </is>
      </c>
      <c r="G12823" t="n">
        <v>0.4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57480-2024</t>
        </is>
      </c>
      <c r="B12824" s="1" t="n">
        <v>45630</v>
      </c>
      <c r="C12824" s="1" t="n">
        <v>45715</v>
      </c>
      <c r="D12824" t="inlineStr">
        <is>
          <t>KALMAR LÄN</t>
        </is>
      </c>
      <c r="E12824" t="inlineStr">
        <is>
          <t>HULTSFRED</t>
        </is>
      </c>
      <c r="F12824" t="inlineStr">
        <is>
          <t>Sveaskog</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57489-2024</t>
        </is>
      </c>
      <c r="B12825" s="1" t="n">
        <v>45630</v>
      </c>
      <c r="C12825" s="1" t="n">
        <v>45715</v>
      </c>
      <c r="D12825" t="inlineStr">
        <is>
          <t>KALMAR LÄN</t>
        </is>
      </c>
      <c r="E12825" t="inlineStr">
        <is>
          <t>KALMAR</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57524-2024</t>
        </is>
      </c>
      <c r="B12826" s="1" t="n">
        <v>45630</v>
      </c>
      <c r="C12826" s="1" t="n">
        <v>45715</v>
      </c>
      <c r="D12826" t="inlineStr">
        <is>
          <t>KALMAR LÄN</t>
        </is>
      </c>
      <c r="E12826" t="inlineStr">
        <is>
          <t>HULTSFRED</t>
        </is>
      </c>
      <c r="F12826" t="inlineStr">
        <is>
          <t>Sveaskog</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57688-2024</t>
        </is>
      </c>
      <c r="B12827" s="1" t="n">
        <v>45630</v>
      </c>
      <c r="C12827" s="1" t="n">
        <v>45715</v>
      </c>
      <c r="D12827" t="inlineStr">
        <is>
          <t>KALMAR LÄN</t>
        </is>
      </c>
      <c r="E12827" t="inlineStr">
        <is>
          <t>VÄSTERVIK</t>
        </is>
      </c>
      <c r="G12827" t="n">
        <v>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57466-2024</t>
        </is>
      </c>
      <c r="B12828" s="1" t="n">
        <v>45630</v>
      </c>
      <c r="C12828" s="1" t="n">
        <v>45715</v>
      </c>
      <c r="D12828" t="inlineStr">
        <is>
          <t>KALMAR LÄN</t>
        </is>
      </c>
      <c r="E12828" t="inlineStr">
        <is>
          <t>KALMAR</t>
        </is>
      </c>
      <c r="G12828" t="n">
        <v>3.8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57550-2024</t>
        </is>
      </c>
      <c r="B12829" s="1" t="n">
        <v>45630</v>
      </c>
      <c r="C12829" s="1" t="n">
        <v>45715</v>
      </c>
      <c r="D12829" t="inlineStr">
        <is>
          <t>KALMAR LÄN</t>
        </is>
      </c>
      <c r="E12829" t="inlineStr">
        <is>
          <t>VIMMERBY</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57558-2024</t>
        </is>
      </c>
      <c r="B12830" s="1" t="n">
        <v>45630</v>
      </c>
      <c r="C12830" s="1" t="n">
        <v>45715</v>
      </c>
      <c r="D12830" t="inlineStr">
        <is>
          <t>KALMAR LÄN</t>
        </is>
      </c>
      <c r="E12830" t="inlineStr">
        <is>
          <t>VIMMERBY</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57578-2024</t>
        </is>
      </c>
      <c r="B12831" s="1" t="n">
        <v>45630</v>
      </c>
      <c r="C12831" s="1" t="n">
        <v>45715</v>
      </c>
      <c r="D12831" t="inlineStr">
        <is>
          <t>KALMAR LÄN</t>
        </is>
      </c>
      <c r="E12831" t="inlineStr">
        <is>
          <t>VIMMERBY</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57542-2024</t>
        </is>
      </c>
      <c r="B12832" s="1" t="n">
        <v>45630</v>
      </c>
      <c r="C12832" s="1" t="n">
        <v>45715</v>
      </c>
      <c r="D12832" t="inlineStr">
        <is>
          <t>KALMAR LÄN</t>
        </is>
      </c>
      <c r="E12832" t="inlineStr">
        <is>
          <t>VIMMERBY</t>
        </is>
      </c>
      <c r="G12832" t="n">
        <v>7.6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57555-2024</t>
        </is>
      </c>
      <c r="B12833" s="1" t="n">
        <v>45630</v>
      </c>
      <c r="C12833" s="1" t="n">
        <v>45715</v>
      </c>
      <c r="D12833" t="inlineStr">
        <is>
          <t>KALMAR LÄN</t>
        </is>
      </c>
      <c r="E12833" t="inlineStr">
        <is>
          <t>VIMMERBY</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57583-2024</t>
        </is>
      </c>
      <c r="B12834" s="1" t="n">
        <v>45630</v>
      </c>
      <c r="C12834" s="1" t="n">
        <v>45715</v>
      </c>
      <c r="D12834" t="inlineStr">
        <is>
          <t>KALMAR LÄN</t>
        </is>
      </c>
      <c r="E12834" t="inlineStr">
        <is>
          <t>EMMABODA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57793-2024</t>
        </is>
      </c>
      <c r="B12835" s="1" t="n">
        <v>45631</v>
      </c>
      <c r="C12835" s="1" t="n">
        <v>45715</v>
      </c>
      <c r="D12835" t="inlineStr">
        <is>
          <t>KALMAR LÄN</t>
        </is>
      </c>
      <c r="E12835" t="inlineStr">
        <is>
          <t>VÄSTERVIK</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57792-2024</t>
        </is>
      </c>
      <c r="B12836" s="1" t="n">
        <v>45631</v>
      </c>
      <c r="C12836" s="1" t="n">
        <v>45715</v>
      </c>
      <c r="D12836" t="inlineStr">
        <is>
          <t>KALMAR LÄN</t>
        </is>
      </c>
      <c r="E12836" t="inlineStr">
        <is>
          <t>VÄSTERVIK</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57802-2024</t>
        </is>
      </c>
      <c r="B12837" s="1" t="n">
        <v>45631</v>
      </c>
      <c r="C12837" s="1" t="n">
        <v>45715</v>
      </c>
      <c r="D12837" t="inlineStr">
        <is>
          <t>KALMAR LÄN</t>
        </is>
      </c>
      <c r="E12837" t="inlineStr">
        <is>
          <t>VÄSTERVIK</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57795-2024</t>
        </is>
      </c>
      <c r="B12838" s="1" t="n">
        <v>45631</v>
      </c>
      <c r="C12838" s="1" t="n">
        <v>45715</v>
      </c>
      <c r="D12838" t="inlineStr">
        <is>
          <t>KALMAR LÄN</t>
        </is>
      </c>
      <c r="E12838" t="inlineStr">
        <is>
          <t>VÄSTERVIK</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58013-2024</t>
        </is>
      </c>
      <c r="B12839" s="1" t="n">
        <v>45631</v>
      </c>
      <c r="C12839" s="1" t="n">
        <v>45715</v>
      </c>
      <c r="D12839" t="inlineStr">
        <is>
          <t>KALMAR LÄN</t>
        </is>
      </c>
      <c r="E12839" t="inlineStr">
        <is>
          <t>HULTSFRED</t>
        </is>
      </c>
      <c r="G12839" t="n">
        <v>6.4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57887-2024</t>
        </is>
      </c>
      <c r="B12840" s="1" t="n">
        <v>45631</v>
      </c>
      <c r="C12840" s="1" t="n">
        <v>45715</v>
      </c>
      <c r="D12840" t="inlineStr">
        <is>
          <t>KALMAR LÄN</t>
        </is>
      </c>
      <c r="E12840" t="inlineStr">
        <is>
          <t>VIMMERBY</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57924-2024</t>
        </is>
      </c>
      <c r="B12841" s="1" t="n">
        <v>45631</v>
      </c>
      <c r="C12841" s="1" t="n">
        <v>45715</v>
      </c>
      <c r="D12841" t="inlineStr">
        <is>
          <t>KALMAR LÄN</t>
        </is>
      </c>
      <c r="E12841" t="inlineStr">
        <is>
          <t>VÄSTERVIK</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57964-2024</t>
        </is>
      </c>
      <c r="B12842" s="1" t="n">
        <v>45631</v>
      </c>
      <c r="C12842" s="1" t="n">
        <v>45715</v>
      </c>
      <c r="D12842" t="inlineStr">
        <is>
          <t>KALMAR LÄN</t>
        </is>
      </c>
      <c r="E12842" t="inlineStr">
        <is>
          <t>MÖNSTERÅS</t>
        </is>
      </c>
      <c r="F12842" t="inlineStr">
        <is>
          <t>Övriga Aktiebolag</t>
        </is>
      </c>
      <c r="G12842" t="n">
        <v>4.3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57845-2024</t>
        </is>
      </c>
      <c r="B12843" s="1" t="n">
        <v>45631</v>
      </c>
      <c r="C12843" s="1" t="n">
        <v>45715</v>
      </c>
      <c r="D12843" t="inlineStr">
        <is>
          <t>KALMAR LÄN</t>
        </is>
      </c>
      <c r="E12843" t="inlineStr">
        <is>
          <t>NYBRO</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58343-2024</t>
        </is>
      </c>
      <c r="B12844" s="1" t="n">
        <v>45631</v>
      </c>
      <c r="C12844" s="1" t="n">
        <v>45715</v>
      </c>
      <c r="D12844" t="inlineStr">
        <is>
          <t>KALMAR LÄN</t>
        </is>
      </c>
      <c r="E12844" t="inlineStr">
        <is>
          <t>KALMAR</t>
        </is>
      </c>
      <c r="F12844" t="inlineStr">
        <is>
          <t>Kyrkan</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58333-2024</t>
        </is>
      </c>
      <c r="B12845" s="1" t="n">
        <v>45631</v>
      </c>
      <c r="C12845" s="1" t="n">
        <v>45715</v>
      </c>
      <c r="D12845" t="inlineStr">
        <is>
          <t>KALMAR LÄN</t>
        </is>
      </c>
      <c r="E12845" t="inlineStr">
        <is>
          <t>KALMAR</t>
        </is>
      </c>
      <c r="F12845" t="inlineStr">
        <is>
          <t>Kyrkan</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58351-2024</t>
        </is>
      </c>
      <c r="B12846" s="1" t="n">
        <v>45631</v>
      </c>
      <c r="C12846" s="1" t="n">
        <v>45715</v>
      </c>
      <c r="D12846" t="inlineStr">
        <is>
          <t>KALMAR LÄN</t>
        </is>
      </c>
      <c r="E12846" t="inlineStr">
        <is>
          <t>NYBRO</t>
        </is>
      </c>
      <c r="F12846" t="inlineStr">
        <is>
          <t>Kyrkan</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58349-2024</t>
        </is>
      </c>
      <c r="B12847" s="1" t="n">
        <v>45631</v>
      </c>
      <c r="C12847" s="1" t="n">
        <v>45715</v>
      </c>
      <c r="D12847" t="inlineStr">
        <is>
          <t>KALMAR LÄN</t>
        </is>
      </c>
      <c r="E12847" t="inlineStr">
        <is>
          <t>KALMAR</t>
        </is>
      </c>
      <c r="F12847" t="inlineStr">
        <is>
          <t>Kyrkan</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58298-2024</t>
        </is>
      </c>
      <c r="B12848" s="1" t="n">
        <v>45632</v>
      </c>
      <c r="C12848" s="1" t="n">
        <v>45715</v>
      </c>
      <c r="D12848" t="inlineStr">
        <is>
          <t>KALMAR LÄN</t>
        </is>
      </c>
      <c r="E12848" t="inlineStr">
        <is>
          <t>HÖGSBY</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58375-2024</t>
        </is>
      </c>
      <c r="B12849" s="1" t="n">
        <v>45632</v>
      </c>
      <c r="C12849" s="1" t="n">
        <v>45715</v>
      </c>
      <c r="D12849" t="inlineStr">
        <is>
          <t>KALMAR LÄN</t>
        </is>
      </c>
      <c r="E12849" t="inlineStr">
        <is>
          <t>OSKARSHAMN</t>
        </is>
      </c>
      <c r="G12849" t="n">
        <v>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58159-2024</t>
        </is>
      </c>
      <c r="B12850" s="1" t="n">
        <v>45632</v>
      </c>
      <c r="C12850" s="1" t="n">
        <v>45715</v>
      </c>
      <c r="D12850" t="inlineStr">
        <is>
          <t>KALMAR LÄN</t>
        </is>
      </c>
      <c r="E12850" t="inlineStr">
        <is>
          <t>VIMMERBY</t>
        </is>
      </c>
      <c r="G12850" t="n">
        <v>7.5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58295-2024</t>
        </is>
      </c>
      <c r="B12851" s="1" t="n">
        <v>45632</v>
      </c>
      <c r="C12851" s="1" t="n">
        <v>45715</v>
      </c>
      <c r="D12851" t="inlineStr">
        <is>
          <t>KALMAR LÄN</t>
        </is>
      </c>
      <c r="E12851" t="inlineStr">
        <is>
          <t>HÖGSBY</t>
        </is>
      </c>
      <c r="G12851" t="n">
        <v>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58376-2024</t>
        </is>
      </c>
      <c r="B12852" s="1" t="n">
        <v>45632</v>
      </c>
      <c r="C12852" s="1" t="n">
        <v>45715</v>
      </c>
      <c r="D12852" t="inlineStr">
        <is>
          <t>KALMAR LÄN</t>
        </is>
      </c>
      <c r="E12852" t="inlineStr">
        <is>
          <t>OSKARSHAMN</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58100-2024</t>
        </is>
      </c>
      <c r="B12853" s="1" t="n">
        <v>45632</v>
      </c>
      <c r="C12853" s="1" t="n">
        <v>45715</v>
      </c>
      <c r="D12853" t="inlineStr">
        <is>
          <t>KALMAR LÄN</t>
        </is>
      </c>
      <c r="E12853" t="inlineStr">
        <is>
          <t>VIMMERBY</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58104-2024</t>
        </is>
      </c>
      <c r="B12854" s="1" t="n">
        <v>45632</v>
      </c>
      <c r="C12854" s="1" t="n">
        <v>45715</v>
      </c>
      <c r="D12854" t="inlineStr">
        <is>
          <t>KALMAR LÄN</t>
        </is>
      </c>
      <c r="E12854" t="inlineStr">
        <is>
          <t>VIMMERBY</t>
        </is>
      </c>
      <c r="G12854" t="n">
        <v>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58374-2024</t>
        </is>
      </c>
      <c r="B12855" s="1" t="n">
        <v>45632</v>
      </c>
      <c r="C12855" s="1" t="n">
        <v>45715</v>
      </c>
      <c r="D12855" t="inlineStr">
        <is>
          <t>KALMAR LÄN</t>
        </is>
      </c>
      <c r="E12855" t="inlineStr">
        <is>
          <t>VIMMERBY</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58640-2024</t>
        </is>
      </c>
      <c r="B12856" s="1" t="n">
        <v>45632</v>
      </c>
      <c r="C12856" s="1" t="n">
        <v>45715</v>
      </c>
      <c r="D12856" t="inlineStr">
        <is>
          <t>KALMAR LÄN</t>
        </is>
      </c>
      <c r="E12856" t="inlineStr">
        <is>
          <t>EMMABODA</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58429-2024</t>
        </is>
      </c>
      <c r="B12857" s="1" t="n">
        <v>45634</v>
      </c>
      <c r="C12857" s="1" t="n">
        <v>45715</v>
      </c>
      <c r="D12857" t="inlineStr">
        <is>
          <t>KALMAR LÄN</t>
        </is>
      </c>
      <c r="E12857" t="inlineStr">
        <is>
          <t>VÄSTERVIK</t>
        </is>
      </c>
      <c r="F12857" t="inlineStr">
        <is>
          <t>Sveaskog</t>
        </is>
      </c>
      <c r="G12857" t="n">
        <v>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58439-2024</t>
        </is>
      </c>
      <c r="B12858" s="1" t="n">
        <v>45635</v>
      </c>
      <c r="C12858" s="1" t="n">
        <v>45715</v>
      </c>
      <c r="D12858" t="inlineStr">
        <is>
          <t>KALMAR LÄN</t>
        </is>
      </c>
      <c r="E12858" t="inlineStr">
        <is>
          <t>EMMABODA</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58476-2024</t>
        </is>
      </c>
      <c r="B12859" s="1" t="n">
        <v>45635</v>
      </c>
      <c r="C12859" s="1" t="n">
        <v>45715</v>
      </c>
      <c r="D12859" t="inlineStr">
        <is>
          <t>KALMAR LÄN</t>
        </is>
      </c>
      <c r="E12859" t="inlineStr">
        <is>
          <t>HULTSFRED</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58510-2024</t>
        </is>
      </c>
      <c r="B12860" s="1" t="n">
        <v>45635</v>
      </c>
      <c r="C12860" s="1" t="n">
        <v>45715</v>
      </c>
      <c r="D12860" t="inlineStr">
        <is>
          <t>KALMAR LÄN</t>
        </is>
      </c>
      <c r="E12860" t="inlineStr">
        <is>
          <t>HULTSFRED</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58551-2024</t>
        </is>
      </c>
      <c r="B12861" s="1" t="n">
        <v>45635</v>
      </c>
      <c r="C12861" s="1" t="n">
        <v>45715</v>
      </c>
      <c r="D12861" t="inlineStr">
        <is>
          <t>KALMAR LÄN</t>
        </is>
      </c>
      <c r="E12861" t="inlineStr">
        <is>
          <t>NYBRO</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58726-2024</t>
        </is>
      </c>
      <c r="B12862" s="1" t="n">
        <v>45635</v>
      </c>
      <c r="C12862" s="1" t="n">
        <v>45715</v>
      </c>
      <c r="D12862" t="inlineStr">
        <is>
          <t>KALMAR LÄN</t>
        </is>
      </c>
      <c r="E12862" t="inlineStr">
        <is>
          <t>VIMMERBY</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58731-2024</t>
        </is>
      </c>
      <c r="B12863" s="1" t="n">
        <v>45635</v>
      </c>
      <c r="C12863" s="1" t="n">
        <v>45715</v>
      </c>
      <c r="D12863" t="inlineStr">
        <is>
          <t>KALMAR LÄN</t>
        </is>
      </c>
      <c r="E12863" t="inlineStr">
        <is>
          <t>VÄSTERVIK</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58589-2024</t>
        </is>
      </c>
      <c r="B12864" s="1" t="n">
        <v>45635</v>
      </c>
      <c r="C12864" s="1" t="n">
        <v>45715</v>
      </c>
      <c r="D12864" t="inlineStr">
        <is>
          <t>KALMAR LÄN</t>
        </is>
      </c>
      <c r="E12864" t="inlineStr">
        <is>
          <t>VIMMERBY</t>
        </is>
      </c>
      <c r="G12864" t="n">
        <v>3.5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58442-2024</t>
        </is>
      </c>
      <c r="B12865" s="1" t="n">
        <v>45635</v>
      </c>
      <c r="C12865" s="1" t="n">
        <v>45715</v>
      </c>
      <c r="D12865" t="inlineStr">
        <is>
          <t>KALMAR LÄN</t>
        </is>
      </c>
      <c r="E12865" t="inlineStr">
        <is>
          <t>EMMABODA</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58577-2024</t>
        </is>
      </c>
      <c r="B12866" s="1" t="n">
        <v>45635</v>
      </c>
      <c r="C12866" s="1" t="n">
        <v>45715</v>
      </c>
      <c r="D12866" t="inlineStr">
        <is>
          <t>KALMAR LÄN</t>
        </is>
      </c>
      <c r="E12866" t="inlineStr">
        <is>
          <t>VIMMERBY</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58764-2024</t>
        </is>
      </c>
      <c r="B12867" s="1" t="n">
        <v>45635</v>
      </c>
      <c r="C12867" s="1" t="n">
        <v>45715</v>
      </c>
      <c r="D12867" t="inlineStr">
        <is>
          <t>KALMAR LÄN</t>
        </is>
      </c>
      <c r="E12867" t="inlineStr">
        <is>
          <t>VÄSTERVIK</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58724-2024</t>
        </is>
      </c>
      <c r="B12868" s="1" t="n">
        <v>45635</v>
      </c>
      <c r="C12868" s="1" t="n">
        <v>45715</v>
      </c>
      <c r="D12868" t="inlineStr">
        <is>
          <t>KALMAR LÄN</t>
        </is>
      </c>
      <c r="E12868" t="inlineStr">
        <is>
          <t>VIMMERBY</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58728-2024</t>
        </is>
      </c>
      <c r="B12869" s="1" t="n">
        <v>45635</v>
      </c>
      <c r="C12869" s="1" t="n">
        <v>45715</v>
      </c>
      <c r="D12869" t="inlineStr">
        <is>
          <t>KALMAR LÄN</t>
        </is>
      </c>
      <c r="E12869" t="inlineStr">
        <is>
          <t>VIMMERBY</t>
        </is>
      </c>
      <c r="G12869" t="n">
        <v>0.4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58742-2024</t>
        </is>
      </c>
      <c r="B12870" s="1" t="n">
        <v>45635</v>
      </c>
      <c r="C12870" s="1" t="n">
        <v>45715</v>
      </c>
      <c r="D12870" t="inlineStr">
        <is>
          <t>KALMAR LÄN</t>
        </is>
      </c>
      <c r="E12870" t="inlineStr">
        <is>
          <t>NYBRO</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58917-2024</t>
        </is>
      </c>
      <c r="B12871" s="1" t="n">
        <v>45636</v>
      </c>
      <c r="C12871" s="1" t="n">
        <v>45715</v>
      </c>
      <c r="D12871" t="inlineStr">
        <is>
          <t>KALMAR LÄN</t>
        </is>
      </c>
      <c r="E12871" t="inlineStr">
        <is>
          <t>TORSÅS</t>
        </is>
      </c>
      <c r="G12871" t="n">
        <v>4.4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59023-2024</t>
        </is>
      </c>
      <c r="B12872" s="1" t="n">
        <v>45636</v>
      </c>
      <c r="C12872" s="1" t="n">
        <v>45715</v>
      </c>
      <c r="D12872" t="inlineStr">
        <is>
          <t>KALMAR LÄN</t>
        </is>
      </c>
      <c r="E12872" t="inlineStr">
        <is>
          <t>NYBRO</t>
        </is>
      </c>
      <c r="G12872" t="n">
        <v>5.2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58990-2024</t>
        </is>
      </c>
      <c r="B12873" s="1" t="n">
        <v>45636</v>
      </c>
      <c r="C12873" s="1" t="n">
        <v>45715</v>
      </c>
      <c r="D12873" t="inlineStr">
        <is>
          <t>KALMAR LÄN</t>
        </is>
      </c>
      <c r="E12873" t="inlineStr">
        <is>
          <t>EMMABODA</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58800-2024</t>
        </is>
      </c>
      <c r="B12874" s="1" t="n">
        <v>45636</v>
      </c>
      <c r="C12874" s="1" t="n">
        <v>45715</v>
      </c>
      <c r="D12874" t="inlineStr">
        <is>
          <t>KALMAR LÄN</t>
        </is>
      </c>
      <c r="E12874" t="inlineStr">
        <is>
          <t>KALMAR</t>
        </is>
      </c>
      <c r="G12874" t="n">
        <v>6.3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59219-2024</t>
        </is>
      </c>
      <c r="B12875" s="1" t="n">
        <v>45636</v>
      </c>
      <c r="C12875" s="1" t="n">
        <v>45715</v>
      </c>
      <c r="D12875" t="inlineStr">
        <is>
          <t>KALMAR LÄN</t>
        </is>
      </c>
      <c r="E12875" t="inlineStr">
        <is>
          <t>EMMABODA</t>
        </is>
      </c>
      <c r="G12875" t="n">
        <v>5.3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58837-2024</t>
        </is>
      </c>
      <c r="B12876" s="1" t="n">
        <v>45636</v>
      </c>
      <c r="C12876" s="1" t="n">
        <v>45715</v>
      </c>
      <c r="D12876" t="inlineStr">
        <is>
          <t>KALMAR LÄN</t>
        </is>
      </c>
      <c r="E12876" t="inlineStr">
        <is>
          <t>HULTSFRED</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58996-2024</t>
        </is>
      </c>
      <c r="B12877" s="1" t="n">
        <v>45636</v>
      </c>
      <c r="C12877" s="1" t="n">
        <v>45715</v>
      </c>
      <c r="D12877" t="inlineStr">
        <is>
          <t>KALMAR LÄN</t>
        </is>
      </c>
      <c r="E12877" t="inlineStr">
        <is>
          <t>EMMABODA</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59037-2024</t>
        </is>
      </c>
      <c r="B12878" s="1" t="n">
        <v>45636</v>
      </c>
      <c r="C12878" s="1" t="n">
        <v>45715</v>
      </c>
      <c r="D12878" t="inlineStr">
        <is>
          <t>KALMAR LÄN</t>
        </is>
      </c>
      <c r="E12878" t="inlineStr">
        <is>
          <t>EMMABODA</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59238-2024</t>
        </is>
      </c>
      <c r="B12879" s="1" t="n">
        <v>45636</v>
      </c>
      <c r="C12879" s="1" t="n">
        <v>45715</v>
      </c>
      <c r="D12879" t="inlineStr">
        <is>
          <t>KALMAR LÄN</t>
        </is>
      </c>
      <c r="E12879" t="inlineStr">
        <is>
          <t>HÖGSBY</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59213-2024</t>
        </is>
      </c>
      <c r="B12880" s="1" t="n">
        <v>45637</v>
      </c>
      <c r="C12880" s="1" t="n">
        <v>45715</v>
      </c>
      <c r="D12880" t="inlineStr">
        <is>
          <t>KALMAR LÄN</t>
        </is>
      </c>
      <c r="E12880" t="inlineStr">
        <is>
          <t>EMMABODA</t>
        </is>
      </c>
      <c r="G12880" t="n">
        <v>4.7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59273-2024</t>
        </is>
      </c>
      <c r="B12881" s="1" t="n">
        <v>45637</v>
      </c>
      <c r="C12881" s="1" t="n">
        <v>45715</v>
      </c>
      <c r="D12881" t="inlineStr">
        <is>
          <t>KALMAR LÄN</t>
        </is>
      </c>
      <c r="E12881" t="inlineStr">
        <is>
          <t>MÖNSTERÅS</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59077-2024</t>
        </is>
      </c>
      <c r="B12882" s="1" t="n">
        <v>45637</v>
      </c>
      <c r="C12882" s="1" t="n">
        <v>45715</v>
      </c>
      <c r="D12882" t="inlineStr">
        <is>
          <t>KALMAR LÄN</t>
        </is>
      </c>
      <c r="E12882" t="inlineStr">
        <is>
          <t>HÖGSBY</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59207-2024</t>
        </is>
      </c>
      <c r="B12883" s="1" t="n">
        <v>45637</v>
      </c>
      <c r="C12883" s="1" t="n">
        <v>45715</v>
      </c>
      <c r="D12883" t="inlineStr">
        <is>
          <t>KALMAR LÄN</t>
        </is>
      </c>
      <c r="E12883" t="inlineStr">
        <is>
          <t>NYBRO</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59226-2024</t>
        </is>
      </c>
      <c r="B12884" s="1" t="n">
        <v>45637</v>
      </c>
      <c r="C12884" s="1" t="n">
        <v>45715</v>
      </c>
      <c r="D12884" t="inlineStr">
        <is>
          <t>KALMAR LÄN</t>
        </is>
      </c>
      <c r="E12884" t="inlineStr">
        <is>
          <t>HULTSFRED</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59235-2024</t>
        </is>
      </c>
      <c r="B12885" s="1" t="n">
        <v>45637</v>
      </c>
      <c r="C12885" s="1" t="n">
        <v>45715</v>
      </c>
      <c r="D12885" t="inlineStr">
        <is>
          <t>KALMAR LÄN</t>
        </is>
      </c>
      <c r="E12885" t="inlineStr">
        <is>
          <t>HULTSFRED</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59087-2024</t>
        </is>
      </c>
      <c r="B12886" s="1" t="n">
        <v>45637</v>
      </c>
      <c r="C12886" s="1" t="n">
        <v>45715</v>
      </c>
      <c r="D12886" t="inlineStr">
        <is>
          <t>KALMAR LÄN</t>
        </is>
      </c>
      <c r="E12886" t="inlineStr">
        <is>
          <t>HÖGSBY</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59078-2024</t>
        </is>
      </c>
      <c r="B12887" s="1" t="n">
        <v>45637</v>
      </c>
      <c r="C12887" s="1" t="n">
        <v>45715</v>
      </c>
      <c r="D12887" t="inlineStr">
        <is>
          <t>KALMAR LÄN</t>
        </is>
      </c>
      <c r="E12887" t="inlineStr">
        <is>
          <t>MÖNSTERÅS</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59191-2024</t>
        </is>
      </c>
      <c r="B12888" s="1" t="n">
        <v>45637</v>
      </c>
      <c r="C12888" s="1" t="n">
        <v>45715</v>
      </c>
      <c r="D12888" t="inlineStr">
        <is>
          <t>KALMAR LÄN</t>
        </is>
      </c>
      <c r="E12888" t="inlineStr">
        <is>
          <t>NYBRO</t>
        </is>
      </c>
      <c r="G12888" t="n">
        <v>7.5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59196-2024</t>
        </is>
      </c>
      <c r="B12889" s="1" t="n">
        <v>45637</v>
      </c>
      <c r="C12889" s="1" t="n">
        <v>45715</v>
      </c>
      <c r="D12889" t="inlineStr">
        <is>
          <t>KALMAR LÄN</t>
        </is>
      </c>
      <c r="E12889" t="inlineStr">
        <is>
          <t>VÄSTERVIK</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59210-2024</t>
        </is>
      </c>
      <c r="B12890" s="1" t="n">
        <v>45637</v>
      </c>
      <c r="C12890" s="1" t="n">
        <v>45715</v>
      </c>
      <c r="D12890" t="inlineStr">
        <is>
          <t>KALMAR LÄN</t>
        </is>
      </c>
      <c r="E12890" t="inlineStr">
        <is>
          <t>NYBRO</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59216-2024</t>
        </is>
      </c>
      <c r="B12891" s="1" t="n">
        <v>45637</v>
      </c>
      <c r="C12891" s="1" t="n">
        <v>45715</v>
      </c>
      <c r="D12891" t="inlineStr">
        <is>
          <t>KALMAR LÄN</t>
        </is>
      </c>
      <c r="E12891" t="inlineStr">
        <is>
          <t>EMMABODA</t>
        </is>
      </c>
      <c r="G12891" t="n">
        <v>4.9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59083-2024</t>
        </is>
      </c>
      <c r="B12892" s="1" t="n">
        <v>45637</v>
      </c>
      <c r="C12892" s="1" t="n">
        <v>45715</v>
      </c>
      <c r="D12892" t="inlineStr">
        <is>
          <t>KALMAR LÄN</t>
        </is>
      </c>
      <c r="E12892" t="inlineStr">
        <is>
          <t>HÖGSBY</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59239-2024</t>
        </is>
      </c>
      <c r="B12893" s="1" t="n">
        <v>45637</v>
      </c>
      <c r="C12893" s="1" t="n">
        <v>45715</v>
      </c>
      <c r="D12893" t="inlineStr">
        <is>
          <t>KALMAR LÄN</t>
        </is>
      </c>
      <c r="E12893" t="inlineStr">
        <is>
          <t>HULTSFRED</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59264-2024</t>
        </is>
      </c>
      <c r="B12894" s="1" t="n">
        <v>45637</v>
      </c>
      <c r="C12894" s="1" t="n">
        <v>45715</v>
      </c>
      <c r="D12894" t="inlineStr">
        <is>
          <t>KALMAR LÄN</t>
        </is>
      </c>
      <c r="E12894" t="inlineStr">
        <is>
          <t>MÖNSTERÅS</t>
        </is>
      </c>
      <c r="G12894" t="n">
        <v>3.4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59302-2024</t>
        </is>
      </c>
      <c r="B12895" s="1" t="n">
        <v>45637</v>
      </c>
      <c r="C12895" s="1" t="n">
        <v>45715</v>
      </c>
      <c r="D12895" t="inlineStr">
        <is>
          <t>KALMAR LÄN</t>
        </is>
      </c>
      <c r="E12895" t="inlineStr">
        <is>
          <t>VIMMERBY</t>
        </is>
      </c>
      <c r="G12895" t="n">
        <v>8.199999999999999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59299-2024</t>
        </is>
      </c>
      <c r="B12896" s="1" t="n">
        <v>45637</v>
      </c>
      <c r="C12896" s="1" t="n">
        <v>45715</v>
      </c>
      <c r="D12896" t="inlineStr">
        <is>
          <t>KALMAR LÄN</t>
        </is>
      </c>
      <c r="E12896" t="inlineStr">
        <is>
          <t>NYBRO</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59227-2024</t>
        </is>
      </c>
      <c r="B12897" s="1" t="n">
        <v>45637</v>
      </c>
      <c r="C12897" s="1" t="n">
        <v>45715</v>
      </c>
      <c r="D12897" t="inlineStr">
        <is>
          <t>KALMAR LÄN</t>
        </is>
      </c>
      <c r="E12897" t="inlineStr">
        <is>
          <t>EMMABODA</t>
        </is>
      </c>
      <c r="G12897" t="n">
        <v>3.7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59256-2024</t>
        </is>
      </c>
      <c r="B12898" s="1" t="n">
        <v>45637</v>
      </c>
      <c r="C12898" s="1" t="n">
        <v>45715</v>
      </c>
      <c r="D12898" t="inlineStr">
        <is>
          <t>KALMAR LÄN</t>
        </is>
      </c>
      <c r="E12898" t="inlineStr">
        <is>
          <t>MÖNSTERÅS</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59300-2024</t>
        </is>
      </c>
      <c r="B12899" s="1" t="n">
        <v>45637</v>
      </c>
      <c r="C12899" s="1" t="n">
        <v>45715</v>
      </c>
      <c r="D12899" t="inlineStr">
        <is>
          <t>KALMAR LÄN</t>
        </is>
      </c>
      <c r="E12899" t="inlineStr">
        <is>
          <t>VIMMERBY</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59548-2024</t>
        </is>
      </c>
      <c r="B12900" s="1" t="n">
        <v>45637</v>
      </c>
      <c r="C12900" s="1" t="n">
        <v>45715</v>
      </c>
      <c r="D12900" t="inlineStr">
        <is>
          <t>KALMAR LÄN</t>
        </is>
      </c>
      <c r="E12900" t="inlineStr">
        <is>
          <t>HULTSFRED</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59224-2024</t>
        </is>
      </c>
      <c r="B12901" s="1" t="n">
        <v>45637</v>
      </c>
      <c r="C12901" s="1" t="n">
        <v>45715</v>
      </c>
      <c r="D12901" t="inlineStr">
        <is>
          <t>KALMAR LÄN</t>
        </is>
      </c>
      <c r="E12901" t="inlineStr">
        <is>
          <t>EMMABODA</t>
        </is>
      </c>
      <c r="G12901" t="n">
        <v>4.1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59201-2024</t>
        </is>
      </c>
      <c r="B12902" s="1" t="n">
        <v>45637</v>
      </c>
      <c r="C12902" s="1" t="n">
        <v>45715</v>
      </c>
      <c r="D12902" t="inlineStr">
        <is>
          <t>KALMAR LÄN</t>
        </is>
      </c>
      <c r="E12902" t="inlineStr">
        <is>
          <t>HULTSFRED</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59341-2024</t>
        </is>
      </c>
      <c r="B12903" s="1" t="n">
        <v>45637</v>
      </c>
      <c r="C12903" s="1" t="n">
        <v>45715</v>
      </c>
      <c r="D12903" t="inlineStr">
        <is>
          <t>KALMAR LÄN</t>
        </is>
      </c>
      <c r="E12903" t="inlineStr">
        <is>
          <t>VIMMERBY</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59540-2024</t>
        </is>
      </c>
      <c r="B12904" s="1" t="n">
        <v>45638</v>
      </c>
      <c r="C12904" s="1" t="n">
        <v>45715</v>
      </c>
      <c r="D12904" t="inlineStr">
        <is>
          <t>KALMAR LÄN</t>
        </is>
      </c>
      <c r="E12904" t="inlineStr">
        <is>
          <t>MÖNSTERÅS</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59546-2024</t>
        </is>
      </c>
      <c r="B12905" s="1" t="n">
        <v>45638</v>
      </c>
      <c r="C12905" s="1" t="n">
        <v>45715</v>
      </c>
      <c r="D12905" t="inlineStr">
        <is>
          <t>KALMAR LÄN</t>
        </is>
      </c>
      <c r="E12905" t="inlineStr">
        <is>
          <t>OSKARSHAMN</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59542-2024</t>
        </is>
      </c>
      <c r="B12906" s="1" t="n">
        <v>45638</v>
      </c>
      <c r="C12906" s="1" t="n">
        <v>45715</v>
      </c>
      <c r="D12906" t="inlineStr">
        <is>
          <t>KALMAR LÄN</t>
        </is>
      </c>
      <c r="E12906" t="inlineStr">
        <is>
          <t>MÖNSTERÅS</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59467-2024</t>
        </is>
      </c>
      <c r="B12907" s="1" t="n">
        <v>45638</v>
      </c>
      <c r="C12907" s="1" t="n">
        <v>45715</v>
      </c>
      <c r="D12907" t="inlineStr">
        <is>
          <t>KALMAR LÄN</t>
        </is>
      </c>
      <c r="E12907" t="inlineStr">
        <is>
          <t>HULTSFRED</t>
        </is>
      </c>
      <c r="F12907" t="inlineStr">
        <is>
          <t>Sveaskog</t>
        </is>
      </c>
      <c r="G12907" t="n">
        <v>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59694-2024</t>
        </is>
      </c>
      <c r="B12908" s="1" t="n">
        <v>45638</v>
      </c>
      <c r="C12908" s="1" t="n">
        <v>45715</v>
      </c>
      <c r="D12908" t="inlineStr">
        <is>
          <t>KALMAR LÄN</t>
        </is>
      </c>
      <c r="E12908" t="inlineStr">
        <is>
          <t>HÖGSBY</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59581-2024</t>
        </is>
      </c>
      <c r="B12909" s="1" t="n">
        <v>45638</v>
      </c>
      <c r="C12909" s="1" t="n">
        <v>45715</v>
      </c>
      <c r="D12909" t="inlineStr">
        <is>
          <t>KALMAR LÄN</t>
        </is>
      </c>
      <c r="E12909" t="inlineStr">
        <is>
          <t>HÖGSBY</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59684-2024</t>
        </is>
      </c>
      <c r="B12910" s="1" t="n">
        <v>45638</v>
      </c>
      <c r="C12910" s="1" t="n">
        <v>45715</v>
      </c>
      <c r="D12910" t="inlineStr">
        <is>
          <t>KALMAR LÄN</t>
        </is>
      </c>
      <c r="E12910" t="inlineStr">
        <is>
          <t>HÖGSBY</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59464-2024</t>
        </is>
      </c>
      <c r="B12911" s="1" t="n">
        <v>45638</v>
      </c>
      <c r="C12911" s="1" t="n">
        <v>45715</v>
      </c>
      <c r="D12911" t="inlineStr">
        <is>
          <t>KALMAR LÄN</t>
        </is>
      </c>
      <c r="E12911" t="inlineStr">
        <is>
          <t>HULTSFRED</t>
        </is>
      </c>
      <c r="F12911" t="inlineStr">
        <is>
          <t>Sveaskog</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59764-2024</t>
        </is>
      </c>
      <c r="B12912" s="1" t="n">
        <v>45638</v>
      </c>
      <c r="C12912" s="1" t="n">
        <v>45715</v>
      </c>
      <c r="D12912" t="inlineStr">
        <is>
          <t>KALMAR LÄN</t>
        </is>
      </c>
      <c r="E12912" t="inlineStr">
        <is>
          <t>HULTSFRED</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59720-2024</t>
        </is>
      </c>
      <c r="B12913" s="1" t="n">
        <v>45638</v>
      </c>
      <c r="C12913" s="1" t="n">
        <v>45715</v>
      </c>
      <c r="D12913" t="inlineStr">
        <is>
          <t>KALMAR LÄN</t>
        </is>
      </c>
      <c r="E12913" t="inlineStr">
        <is>
          <t>HÖGSBY</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59350-2024</t>
        </is>
      </c>
      <c r="B12914" s="1" t="n">
        <v>45638</v>
      </c>
      <c r="C12914" s="1" t="n">
        <v>45715</v>
      </c>
      <c r="D12914" t="inlineStr">
        <is>
          <t>KALMAR LÄN</t>
        </is>
      </c>
      <c r="E12914" t="inlineStr">
        <is>
          <t>VÄSTERVIK</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59397-2024</t>
        </is>
      </c>
      <c r="B12915" s="1" t="n">
        <v>45638</v>
      </c>
      <c r="C12915" s="1" t="n">
        <v>45715</v>
      </c>
      <c r="D12915" t="inlineStr">
        <is>
          <t>KALMAR LÄN</t>
        </is>
      </c>
      <c r="E12915" t="inlineStr">
        <is>
          <t>EMMABODA</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59768-2024</t>
        </is>
      </c>
      <c r="B12916" s="1" t="n">
        <v>45639</v>
      </c>
      <c r="C12916" s="1" t="n">
        <v>45715</v>
      </c>
      <c r="D12916" t="inlineStr">
        <is>
          <t>KALMAR LÄN</t>
        </is>
      </c>
      <c r="E12916" t="inlineStr">
        <is>
          <t>VIMMERBY</t>
        </is>
      </c>
      <c r="G12916" t="n">
        <v>5.9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59801-2024</t>
        </is>
      </c>
      <c r="B12917" s="1" t="n">
        <v>45639</v>
      </c>
      <c r="C12917" s="1" t="n">
        <v>45715</v>
      </c>
      <c r="D12917" t="inlineStr">
        <is>
          <t>KALMAR LÄN</t>
        </is>
      </c>
      <c r="E12917" t="inlineStr">
        <is>
          <t>MÖNSTERÅS</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59802-2024</t>
        </is>
      </c>
      <c r="B12918" s="1" t="n">
        <v>45639</v>
      </c>
      <c r="C12918" s="1" t="n">
        <v>45715</v>
      </c>
      <c r="D12918" t="inlineStr">
        <is>
          <t>KALMAR LÄN</t>
        </is>
      </c>
      <c r="E12918" t="inlineStr">
        <is>
          <t>MÖNSTERÅS</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59733-2024</t>
        </is>
      </c>
      <c r="B12919" s="1" t="n">
        <v>45639</v>
      </c>
      <c r="C12919" s="1" t="n">
        <v>45715</v>
      </c>
      <c r="D12919" t="inlineStr">
        <is>
          <t>KALMAR LÄN</t>
        </is>
      </c>
      <c r="E12919" t="inlineStr">
        <is>
          <t>VIMMERBY</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60087-2024</t>
        </is>
      </c>
      <c r="B12920" s="1" t="n">
        <v>45639</v>
      </c>
      <c r="C12920" s="1" t="n">
        <v>45715</v>
      </c>
      <c r="D12920" t="inlineStr">
        <is>
          <t>KALMAR LÄN</t>
        </is>
      </c>
      <c r="E12920" t="inlineStr">
        <is>
          <t>HULTSFRED</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59880-2024</t>
        </is>
      </c>
      <c r="B12921" s="1" t="n">
        <v>45640</v>
      </c>
      <c r="C12921" s="1" t="n">
        <v>45715</v>
      </c>
      <c r="D12921" t="inlineStr">
        <is>
          <t>KALMAR LÄN</t>
        </is>
      </c>
      <c r="E12921" t="inlineStr">
        <is>
          <t>VÄSTERVIK</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60073-2024</t>
        </is>
      </c>
      <c r="B12922" s="1" t="n">
        <v>45640</v>
      </c>
      <c r="C12922" s="1" t="n">
        <v>45715</v>
      </c>
      <c r="D12922" t="inlineStr">
        <is>
          <t>KALMAR LÄN</t>
        </is>
      </c>
      <c r="E12922" t="inlineStr">
        <is>
          <t>HÖGSBY</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59914-2024</t>
        </is>
      </c>
      <c r="B12923" s="1" t="n">
        <v>45641</v>
      </c>
      <c r="C12923" s="1" t="n">
        <v>45715</v>
      </c>
      <c r="D12923" t="inlineStr">
        <is>
          <t>KALMAR LÄN</t>
        </is>
      </c>
      <c r="E12923" t="inlineStr">
        <is>
          <t>EMMABODA</t>
        </is>
      </c>
      <c r="G12923" t="n">
        <v>0.3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59913-2024</t>
        </is>
      </c>
      <c r="B12924" s="1" t="n">
        <v>45641</v>
      </c>
      <c r="C12924" s="1" t="n">
        <v>45715</v>
      </c>
      <c r="D12924" t="inlineStr">
        <is>
          <t>KALMAR LÄN</t>
        </is>
      </c>
      <c r="E12924" t="inlineStr">
        <is>
          <t>EMMABODA</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60147-2024</t>
        </is>
      </c>
      <c r="B12925" s="1" t="n">
        <v>45642</v>
      </c>
      <c r="C12925" s="1" t="n">
        <v>45715</v>
      </c>
      <c r="D12925" t="inlineStr">
        <is>
          <t>KALMAR LÄN</t>
        </is>
      </c>
      <c r="E12925" t="inlineStr">
        <is>
          <t>VÄSTERVIK</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60101-2024</t>
        </is>
      </c>
      <c r="B12926" s="1" t="n">
        <v>45642</v>
      </c>
      <c r="C12926" s="1" t="n">
        <v>45715</v>
      </c>
      <c r="D12926" t="inlineStr">
        <is>
          <t>KALMAR LÄN</t>
        </is>
      </c>
      <c r="E12926" t="inlineStr">
        <is>
          <t>HULTSFRED</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60072-2024</t>
        </is>
      </c>
      <c r="B12927" s="1" t="n">
        <v>45642</v>
      </c>
      <c r="C12927" s="1" t="n">
        <v>45715</v>
      </c>
      <c r="D12927" t="inlineStr">
        <is>
          <t>KALMAR LÄN</t>
        </is>
      </c>
      <c r="E12927" t="inlineStr">
        <is>
          <t>EMMABODA</t>
        </is>
      </c>
      <c r="G12927" t="n">
        <v>3.7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60051-2024</t>
        </is>
      </c>
      <c r="B12928" s="1" t="n">
        <v>45642</v>
      </c>
      <c r="C12928" s="1" t="n">
        <v>45715</v>
      </c>
      <c r="D12928" t="inlineStr">
        <is>
          <t>KALMAR LÄN</t>
        </is>
      </c>
      <c r="E12928" t="inlineStr">
        <is>
          <t>VIMMERBY</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60007-2024</t>
        </is>
      </c>
      <c r="B12929" s="1" t="n">
        <v>45642</v>
      </c>
      <c r="C12929" s="1" t="n">
        <v>45715</v>
      </c>
      <c r="D12929" t="inlineStr">
        <is>
          <t>KALMAR LÄN</t>
        </is>
      </c>
      <c r="E12929" t="inlineStr">
        <is>
          <t>NYBRO</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60140-2024</t>
        </is>
      </c>
      <c r="B12930" s="1" t="n">
        <v>45642</v>
      </c>
      <c r="C12930" s="1" t="n">
        <v>45715</v>
      </c>
      <c r="D12930" t="inlineStr">
        <is>
          <t>KALMAR LÄN</t>
        </is>
      </c>
      <c r="E12930" t="inlineStr">
        <is>
          <t>VÄSTERVIK</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60090-2024</t>
        </is>
      </c>
      <c r="B12931" s="1" t="n">
        <v>45642</v>
      </c>
      <c r="C12931" s="1" t="n">
        <v>45715</v>
      </c>
      <c r="D12931" t="inlineStr">
        <is>
          <t>KALMAR LÄN</t>
        </is>
      </c>
      <c r="E12931" t="inlineStr">
        <is>
          <t>HULTSFRED</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60074-2024</t>
        </is>
      </c>
      <c r="B12932" s="1" t="n">
        <v>45642</v>
      </c>
      <c r="C12932" s="1" t="n">
        <v>45715</v>
      </c>
      <c r="D12932" t="inlineStr">
        <is>
          <t>KALMAR LÄN</t>
        </is>
      </c>
      <c r="E12932" t="inlineStr">
        <is>
          <t>HULTSFRED</t>
        </is>
      </c>
      <c r="G12932" t="n">
        <v>6.5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60021-2024</t>
        </is>
      </c>
      <c r="B12933" s="1" t="n">
        <v>45642</v>
      </c>
      <c r="C12933" s="1" t="n">
        <v>45715</v>
      </c>
      <c r="D12933" t="inlineStr">
        <is>
          <t>KALMAR LÄN</t>
        </is>
      </c>
      <c r="E12933" t="inlineStr">
        <is>
          <t>KALMAR</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60397-2024</t>
        </is>
      </c>
      <c r="B12934" s="1" t="n">
        <v>45643</v>
      </c>
      <c r="C12934" s="1" t="n">
        <v>45715</v>
      </c>
      <c r="D12934" t="inlineStr">
        <is>
          <t>KALMAR LÄN</t>
        </is>
      </c>
      <c r="E12934" t="inlineStr">
        <is>
          <t>HÖGSBY</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60401-2024</t>
        </is>
      </c>
      <c r="B12935" s="1" t="n">
        <v>45643</v>
      </c>
      <c r="C12935" s="1" t="n">
        <v>45715</v>
      </c>
      <c r="D12935" t="inlineStr">
        <is>
          <t>KALMAR LÄN</t>
        </is>
      </c>
      <c r="E12935" t="inlineStr">
        <is>
          <t>OSKARSHAMN</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60478-2024</t>
        </is>
      </c>
      <c r="B12936" s="1" t="n">
        <v>45643</v>
      </c>
      <c r="C12936" s="1" t="n">
        <v>45715</v>
      </c>
      <c r="D12936" t="inlineStr">
        <is>
          <t>KALMAR LÄN</t>
        </is>
      </c>
      <c r="E12936" t="inlineStr">
        <is>
          <t>VÄSTERVIK</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60302-2024</t>
        </is>
      </c>
      <c r="B12937" s="1" t="n">
        <v>45643</v>
      </c>
      <c r="C12937" s="1" t="n">
        <v>45715</v>
      </c>
      <c r="D12937" t="inlineStr">
        <is>
          <t>KALMAR LÄN</t>
        </is>
      </c>
      <c r="E12937" t="inlineStr">
        <is>
          <t>HULTSFRED</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60461-2024</t>
        </is>
      </c>
      <c r="B12938" s="1" t="n">
        <v>45643</v>
      </c>
      <c r="C12938" s="1" t="n">
        <v>45715</v>
      </c>
      <c r="D12938" t="inlineStr">
        <is>
          <t>KALMAR LÄN</t>
        </is>
      </c>
      <c r="E12938" t="inlineStr">
        <is>
          <t>KALMAR</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60334-2024</t>
        </is>
      </c>
      <c r="B12939" s="1" t="n">
        <v>45643</v>
      </c>
      <c r="C12939" s="1" t="n">
        <v>45715</v>
      </c>
      <c r="D12939" t="inlineStr">
        <is>
          <t>KALMAR LÄN</t>
        </is>
      </c>
      <c r="E12939" t="inlineStr">
        <is>
          <t>VIMMERBY</t>
        </is>
      </c>
      <c r="G12939" t="n">
        <v>4.8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60362-2024</t>
        </is>
      </c>
      <c r="B12940" s="1" t="n">
        <v>45643</v>
      </c>
      <c r="C12940" s="1" t="n">
        <v>45715</v>
      </c>
      <c r="D12940" t="inlineStr">
        <is>
          <t>KALMAR LÄN</t>
        </is>
      </c>
      <c r="E12940" t="inlineStr">
        <is>
          <t>OSKARSHAMN</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60430-2024</t>
        </is>
      </c>
      <c r="B12941" s="1" t="n">
        <v>45643</v>
      </c>
      <c r="C12941" s="1" t="n">
        <v>45715</v>
      </c>
      <c r="D12941" t="inlineStr">
        <is>
          <t>KALMAR LÄN</t>
        </is>
      </c>
      <c r="E12941" t="inlineStr">
        <is>
          <t>VIMMERBY</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60483-2024</t>
        </is>
      </c>
      <c r="B12942" s="1" t="n">
        <v>45643</v>
      </c>
      <c r="C12942" s="1" t="n">
        <v>45715</v>
      </c>
      <c r="D12942" t="inlineStr">
        <is>
          <t>KALMAR LÄN</t>
        </is>
      </c>
      <c r="E12942" t="inlineStr">
        <is>
          <t>VÄSTERVIK</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60706-2024</t>
        </is>
      </c>
      <c r="B12943" s="1" t="n">
        <v>45644</v>
      </c>
      <c r="C12943" s="1" t="n">
        <v>45715</v>
      </c>
      <c r="D12943" t="inlineStr">
        <is>
          <t>KALMAR LÄN</t>
        </is>
      </c>
      <c r="E12943" t="inlineStr">
        <is>
          <t>NYBRO</t>
        </is>
      </c>
      <c r="G12943" t="n">
        <v>6.5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60778-2024</t>
        </is>
      </c>
      <c r="B12944" s="1" t="n">
        <v>45644</v>
      </c>
      <c r="C12944" s="1" t="n">
        <v>45715</v>
      </c>
      <c r="D12944" t="inlineStr">
        <is>
          <t>KALMAR LÄN</t>
        </is>
      </c>
      <c r="E12944" t="inlineStr">
        <is>
          <t>HULTSFRED</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60674-2024</t>
        </is>
      </c>
      <c r="B12945" s="1" t="n">
        <v>45644</v>
      </c>
      <c r="C12945" s="1" t="n">
        <v>45715</v>
      </c>
      <c r="D12945" t="inlineStr">
        <is>
          <t>KALMAR LÄN</t>
        </is>
      </c>
      <c r="E12945" t="inlineStr">
        <is>
          <t>EMMABODA</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60703-2024</t>
        </is>
      </c>
      <c r="B12946" s="1" t="n">
        <v>45644</v>
      </c>
      <c r="C12946" s="1" t="n">
        <v>45715</v>
      </c>
      <c r="D12946" t="inlineStr">
        <is>
          <t>KALMAR LÄN</t>
        </is>
      </c>
      <c r="E12946" t="inlineStr">
        <is>
          <t>OSKARSHAMN</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60685-2024</t>
        </is>
      </c>
      <c r="B12947" s="1" t="n">
        <v>45644</v>
      </c>
      <c r="C12947" s="1" t="n">
        <v>45715</v>
      </c>
      <c r="D12947" t="inlineStr">
        <is>
          <t>KALMAR LÄN</t>
        </is>
      </c>
      <c r="E12947" t="inlineStr">
        <is>
          <t>VÄSTERVIK</t>
        </is>
      </c>
      <c r="F12947" t="inlineStr">
        <is>
          <t>Holmen skog AB</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60718-2024</t>
        </is>
      </c>
      <c r="B12948" s="1" t="n">
        <v>45644</v>
      </c>
      <c r="C12948" s="1" t="n">
        <v>45715</v>
      </c>
      <c r="D12948" t="inlineStr">
        <is>
          <t>KALMAR LÄN</t>
        </is>
      </c>
      <c r="E12948" t="inlineStr">
        <is>
          <t>TORSÅS</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60716-2024</t>
        </is>
      </c>
      <c r="B12949" s="1" t="n">
        <v>45644</v>
      </c>
      <c r="C12949" s="1" t="n">
        <v>45715</v>
      </c>
      <c r="D12949" t="inlineStr">
        <is>
          <t>KALMAR LÄN</t>
        </is>
      </c>
      <c r="E12949" t="inlineStr">
        <is>
          <t>TORSÅS</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60717-2024</t>
        </is>
      </c>
      <c r="B12950" s="1" t="n">
        <v>45644</v>
      </c>
      <c r="C12950" s="1" t="n">
        <v>45715</v>
      </c>
      <c r="D12950" t="inlineStr">
        <is>
          <t>KALMAR LÄN</t>
        </is>
      </c>
      <c r="E12950" t="inlineStr">
        <is>
          <t>OSKARSHAMN</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61139-2024</t>
        </is>
      </c>
      <c r="B12951" s="1" t="n">
        <v>45645</v>
      </c>
      <c r="C12951" s="1" t="n">
        <v>45715</v>
      </c>
      <c r="D12951" t="inlineStr">
        <is>
          <t>KALMAR LÄN</t>
        </is>
      </c>
      <c r="E12951" t="inlineStr">
        <is>
          <t>EMMABODA</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61111-2024</t>
        </is>
      </c>
      <c r="B12952" s="1" t="n">
        <v>45645</v>
      </c>
      <c r="C12952" s="1" t="n">
        <v>45715</v>
      </c>
      <c r="D12952" t="inlineStr">
        <is>
          <t>KALMAR LÄN</t>
        </is>
      </c>
      <c r="E12952" t="inlineStr">
        <is>
          <t>OSKARSHAMN</t>
        </is>
      </c>
      <c r="G12952" t="n">
        <v>7.5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61268-2024</t>
        </is>
      </c>
      <c r="B12953" s="1" t="n">
        <v>45645</v>
      </c>
      <c r="C12953" s="1" t="n">
        <v>45715</v>
      </c>
      <c r="D12953" t="inlineStr">
        <is>
          <t>KALMAR LÄN</t>
        </is>
      </c>
      <c r="E12953" t="inlineStr">
        <is>
          <t>TORSÅS</t>
        </is>
      </c>
      <c r="G12953" t="n">
        <v>4.9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61009-2024</t>
        </is>
      </c>
      <c r="B12954" s="1" t="n">
        <v>45645</v>
      </c>
      <c r="C12954" s="1" t="n">
        <v>45715</v>
      </c>
      <c r="D12954" t="inlineStr">
        <is>
          <t>KALMAR LÄN</t>
        </is>
      </c>
      <c r="E12954" t="inlineStr">
        <is>
          <t>MÖNSTERÅS</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61143-2024</t>
        </is>
      </c>
      <c r="B12955" s="1" t="n">
        <v>45645</v>
      </c>
      <c r="C12955" s="1" t="n">
        <v>45715</v>
      </c>
      <c r="D12955" t="inlineStr">
        <is>
          <t>KALMAR LÄN</t>
        </is>
      </c>
      <c r="E12955" t="inlineStr">
        <is>
          <t>EMMABODA</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61144-2024</t>
        </is>
      </c>
      <c r="B12956" s="1" t="n">
        <v>45645</v>
      </c>
      <c r="C12956" s="1" t="n">
        <v>45715</v>
      </c>
      <c r="D12956" t="inlineStr">
        <is>
          <t>KALMAR LÄN</t>
        </is>
      </c>
      <c r="E12956" t="inlineStr">
        <is>
          <t>TORSÅS</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61105-2024</t>
        </is>
      </c>
      <c r="B12957" s="1" t="n">
        <v>45645</v>
      </c>
      <c r="C12957" s="1" t="n">
        <v>45715</v>
      </c>
      <c r="D12957" t="inlineStr">
        <is>
          <t>KALMAR LÄN</t>
        </is>
      </c>
      <c r="E12957" t="inlineStr">
        <is>
          <t>TORSÅS</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61028-2024</t>
        </is>
      </c>
      <c r="B12958" s="1" t="n">
        <v>45645</v>
      </c>
      <c r="C12958" s="1" t="n">
        <v>45715</v>
      </c>
      <c r="D12958" t="inlineStr">
        <is>
          <t>KALMAR LÄN</t>
        </is>
      </c>
      <c r="E12958" t="inlineStr">
        <is>
          <t>OSKARSHAMN</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61260-2024</t>
        </is>
      </c>
      <c r="B12959" s="1" t="n">
        <v>45645</v>
      </c>
      <c r="C12959" s="1" t="n">
        <v>45715</v>
      </c>
      <c r="D12959" t="inlineStr">
        <is>
          <t>KALMAR LÄN</t>
        </is>
      </c>
      <c r="E12959" t="inlineStr">
        <is>
          <t>TORSÅS</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61263-2024</t>
        </is>
      </c>
      <c r="B12960" s="1" t="n">
        <v>45645</v>
      </c>
      <c r="C12960" s="1" t="n">
        <v>45715</v>
      </c>
      <c r="D12960" t="inlineStr">
        <is>
          <t>KALMAR LÄN</t>
        </is>
      </c>
      <c r="E12960" t="inlineStr">
        <is>
          <t>TORSÅS</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61334-2024</t>
        </is>
      </c>
      <c r="B12961" s="1" t="n">
        <v>45646</v>
      </c>
      <c r="C12961" s="1" t="n">
        <v>45715</v>
      </c>
      <c r="D12961" t="inlineStr">
        <is>
          <t>KALMAR LÄN</t>
        </is>
      </c>
      <c r="E12961" t="inlineStr">
        <is>
          <t>OSKARSHAMN</t>
        </is>
      </c>
      <c r="G12961" t="n">
        <v>4.7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61345-2024</t>
        </is>
      </c>
      <c r="B12962" s="1" t="n">
        <v>45646</v>
      </c>
      <c r="C12962" s="1" t="n">
        <v>45715</v>
      </c>
      <c r="D12962" t="inlineStr">
        <is>
          <t>KALMAR LÄN</t>
        </is>
      </c>
      <c r="E12962" t="inlineStr">
        <is>
          <t>OSKARSHAMN</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61509-2024</t>
        </is>
      </c>
      <c r="B12963" s="1" t="n">
        <v>45646</v>
      </c>
      <c r="C12963" s="1" t="n">
        <v>45715</v>
      </c>
      <c r="D12963" t="inlineStr">
        <is>
          <t>KALMAR LÄN</t>
        </is>
      </c>
      <c r="E12963" t="inlineStr">
        <is>
          <t>HULTSFRED</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61552-2024</t>
        </is>
      </c>
      <c r="B12964" s="1" t="n">
        <v>45646</v>
      </c>
      <c r="C12964" s="1" t="n">
        <v>45715</v>
      </c>
      <c r="D12964" t="inlineStr">
        <is>
          <t>KALMAR LÄN</t>
        </is>
      </c>
      <c r="E12964" t="inlineStr">
        <is>
          <t>MÖNSTERÅS</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61355-2024</t>
        </is>
      </c>
      <c r="B12965" s="1" t="n">
        <v>45646</v>
      </c>
      <c r="C12965" s="1" t="n">
        <v>45715</v>
      </c>
      <c r="D12965" t="inlineStr">
        <is>
          <t>KALMAR LÄN</t>
        </is>
      </c>
      <c r="E12965" t="inlineStr">
        <is>
          <t>VIMMERBY</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61556-2024</t>
        </is>
      </c>
      <c r="B12966" s="1" t="n">
        <v>45646</v>
      </c>
      <c r="C12966" s="1" t="n">
        <v>45715</v>
      </c>
      <c r="D12966" t="inlineStr">
        <is>
          <t>KALMAR LÄN</t>
        </is>
      </c>
      <c r="E12966" t="inlineStr">
        <is>
          <t>MÖNSTERÅS</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61352-2024</t>
        </is>
      </c>
      <c r="B12967" s="1" t="n">
        <v>45646</v>
      </c>
      <c r="C12967" s="1" t="n">
        <v>45715</v>
      </c>
      <c r="D12967" t="inlineStr">
        <is>
          <t>KALMAR LÄN</t>
        </is>
      </c>
      <c r="E12967" t="inlineStr">
        <is>
          <t>OSKARSHAMN</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61495-2024</t>
        </is>
      </c>
      <c r="B12968" s="1" t="n">
        <v>45646</v>
      </c>
      <c r="C12968" s="1" t="n">
        <v>45715</v>
      </c>
      <c r="D12968" t="inlineStr">
        <is>
          <t>KALMAR LÄN</t>
        </is>
      </c>
      <c r="E12968" t="inlineStr">
        <is>
          <t>MÖNSTERÅS</t>
        </is>
      </c>
      <c r="F12968" t="inlineStr">
        <is>
          <t>Kommuner</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61409-2024</t>
        </is>
      </c>
      <c r="B12969" s="1" t="n">
        <v>45646</v>
      </c>
      <c r="C12969" s="1" t="n">
        <v>45715</v>
      </c>
      <c r="D12969" t="inlineStr">
        <is>
          <t>KALMAR LÄN</t>
        </is>
      </c>
      <c r="E12969" t="inlineStr">
        <is>
          <t>KALMAR</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61624-2024</t>
        </is>
      </c>
      <c r="B12970" s="1" t="n">
        <v>45646</v>
      </c>
      <c r="C12970" s="1" t="n">
        <v>45715</v>
      </c>
      <c r="D12970" t="inlineStr">
        <is>
          <t>KALMAR LÄN</t>
        </is>
      </c>
      <c r="E12970" t="inlineStr">
        <is>
          <t>VIMMERBY</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48-2025</t>
        </is>
      </c>
      <c r="B12971" s="1" t="n">
        <v>45648</v>
      </c>
      <c r="C12971" s="1" t="n">
        <v>45715</v>
      </c>
      <c r="D12971" t="inlineStr">
        <is>
          <t>KALMAR LÄN</t>
        </is>
      </c>
      <c r="E12971" t="inlineStr">
        <is>
          <t>NYBRO</t>
        </is>
      </c>
      <c r="G12971" t="n">
        <v>6.6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61751-2024</t>
        </is>
      </c>
      <c r="B12972" s="1" t="n">
        <v>45649</v>
      </c>
      <c r="C12972" s="1" t="n">
        <v>45715</v>
      </c>
      <c r="D12972" t="inlineStr">
        <is>
          <t>KALMAR LÄN</t>
        </is>
      </c>
      <c r="E12972" t="inlineStr">
        <is>
          <t>MÖNSTERÅS</t>
        </is>
      </c>
      <c r="F12972" t="inlineStr">
        <is>
          <t>Övriga Aktiebolag</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61775-2024</t>
        </is>
      </c>
      <c r="B12973" s="1" t="n">
        <v>45649</v>
      </c>
      <c r="C12973" s="1" t="n">
        <v>45715</v>
      </c>
      <c r="D12973" t="inlineStr">
        <is>
          <t>KALMAR LÄN</t>
        </is>
      </c>
      <c r="E12973" t="inlineStr">
        <is>
          <t>VIMMERBY</t>
        </is>
      </c>
      <c r="G12973" t="n">
        <v>6.3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61802-2024</t>
        </is>
      </c>
      <c r="B12974" s="1" t="n">
        <v>45649</v>
      </c>
      <c r="C12974" s="1" t="n">
        <v>45715</v>
      </c>
      <c r="D12974" t="inlineStr">
        <is>
          <t>KALMAR LÄN</t>
        </is>
      </c>
      <c r="E12974" t="inlineStr">
        <is>
          <t>HULTSFRED</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61807-2024</t>
        </is>
      </c>
      <c r="B12975" s="1" t="n">
        <v>45649</v>
      </c>
      <c r="C12975" s="1" t="n">
        <v>45715</v>
      </c>
      <c r="D12975" t="inlineStr">
        <is>
          <t>KALMAR LÄN</t>
        </is>
      </c>
      <c r="E12975" t="inlineStr">
        <is>
          <t>NYBRO</t>
        </is>
      </c>
      <c r="G12975" t="n">
        <v>14.2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61835-2024</t>
        </is>
      </c>
      <c r="B12976" s="1" t="n">
        <v>45649</v>
      </c>
      <c r="C12976" s="1" t="n">
        <v>45715</v>
      </c>
      <c r="D12976" t="inlineStr">
        <is>
          <t>KALMAR LÄN</t>
        </is>
      </c>
      <c r="E12976" t="inlineStr">
        <is>
          <t>NYBRO</t>
        </is>
      </c>
      <c r="G12976" t="n">
        <v>5.7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61839-2024</t>
        </is>
      </c>
      <c r="B12977" s="1" t="n">
        <v>45649</v>
      </c>
      <c r="C12977" s="1" t="n">
        <v>45715</v>
      </c>
      <c r="D12977" t="inlineStr">
        <is>
          <t>KALMAR LÄN</t>
        </is>
      </c>
      <c r="E12977" t="inlineStr">
        <is>
          <t>NYBRO</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61803-2024</t>
        </is>
      </c>
      <c r="B12978" s="1" t="n">
        <v>45649</v>
      </c>
      <c r="C12978" s="1" t="n">
        <v>45715</v>
      </c>
      <c r="D12978" t="inlineStr">
        <is>
          <t>KALMAR LÄN</t>
        </is>
      </c>
      <c r="E12978" t="inlineStr">
        <is>
          <t>NYBRO</t>
        </is>
      </c>
      <c r="G12978" t="n">
        <v>4.1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61789-2024</t>
        </is>
      </c>
      <c r="B12979" s="1" t="n">
        <v>45649</v>
      </c>
      <c r="C12979" s="1" t="n">
        <v>45715</v>
      </c>
      <c r="D12979" t="inlineStr">
        <is>
          <t>KALMAR LÄN</t>
        </is>
      </c>
      <c r="E12979" t="inlineStr">
        <is>
          <t>TORSÅS</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61841-2024</t>
        </is>
      </c>
      <c r="B12980" s="1" t="n">
        <v>45649</v>
      </c>
      <c r="C12980" s="1" t="n">
        <v>45715</v>
      </c>
      <c r="D12980" t="inlineStr">
        <is>
          <t>KALMAR LÄN</t>
        </is>
      </c>
      <c r="E12980" t="inlineStr">
        <is>
          <t>NYBRO</t>
        </is>
      </c>
      <c r="G12980" t="n">
        <v>16.6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61829-2024</t>
        </is>
      </c>
      <c r="B12981" s="1" t="n">
        <v>45649</v>
      </c>
      <c r="C12981" s="1" t="n">
        <v>45715</v>
      </c>
      <c r="D12981" t="inlineStr">
        <is>
          <t>KALMAR LÄN</t>
        </is>
      </c>
      <c r="E12981" t="inlineStr">
        <is>
          <t>HÖGSBY</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61825-2024</t>
        </is>
      </c>
      <c r="B12982" s="1" t="n">
        <v>45649</v>
      </c>
      <c r="C12982" s="1" t="n">
        <v>45715</v>
      </c>
      <c r="D12982" t="inlineStr">
        <is>
          <t>KALMAR LÄN</t>
        </is>
      </c>
      <c r="E12982" t="inlineStr">
        <is>
          <t>HÖGSBY</t>
        </is>
      </c>
      <c r="G12982" t="n">
        <v>5.2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61809-2024</t>
        </is>
      </c>
      <c r="B12983" s="1" t="n">
        <v>45649</v>
      </c>
      <c r="C12983" s="1" t="n">
        <v>45715</v>
      </c>
      <c r="D12983" t="inlineStr">
        <is>
          <t>KALMAR LÄN</t>
        </is>
      </c>
      <c r="E12983" t="inlineStr">
        <is>
          <t>NYBRO</t>
        </is>
      </c>
      <c r="G12983" t="n">
        <v>15.8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61800-2024</t>
        </is>
      </c>
      <c r="B12984" s="1" t="n">
        <v>45649</v>
      </c>
      <c r="C12984" s="1" t="n">
        <v>45715</v>
      </c>
      <c r="D12984" t="inlineStr">
        <is>
          <t>KALMAR LÄN</t>
        </is>
      </c>
      <c r="E12984" t="inlineStr">
        <is>
          <t>NYBRO</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61816-2024</t>
        </is>
      </c>
      <c r="B12985" s="1" t="n">
        <v>45649</v>
      </c>
      <c r="C12985" s="1" t="n">
        <v>45715</v>
      </c>
      <c r="D12985" t="inlineStr">
        <is>
          <t>KALMAR LÄN</t>
        </is>
      </c>
      <c r="E12985" t="inlineStr">
        <is>
          <t>NYBRO</t>
        </is>
      </c>
      <c r="G12985" t="n">
        <v>6.3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61796-2024</t>
        </is>
      </c>
      <c r="B12986" s="1" t="n">
        <v>45649</v>
      </c>
      <c r="C12986" s="1" t="n">
        <v>45715</v>
      </c>
      <c r="D12986" t="inlineStr">
        <is>
          <t>KALMAR LÄN</t>
        </is>
      </c>
      <c r="E12986" t="inlineStr">
        <is>
          <t>NYBRO</t>
        </is>
      </c>
      <c r="G12986" t="n">
        <v>4.8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61777-2024</t>
        </is>
      </c>
      <c r="B12987" s="1" t="n">
        <v>45649</v>
      </c>
      <c r="C12987" s="1" t="n">
        <v>45715</v>
      </c>
      <c r="D12987" t="inlineStr">
        <is>
          <t>KALMAR LÄN</t>
        </is>
      </c>
      <c r="E12987" t="inlineStr">
        <is>
          <t>VIMMERBY</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61749-2024</t>
        </is>
      </c>
      <c r="B12988" s="1" t="n">
        <v>45649</v>
      </c>
      <c r="C12988" s="1" t="n">
        <v>45715</v>
      </c>
      <c r="D12988" t="inlineStr">
        <is>
          <t>KALMAR LÄN</t>
        </is>
      </c>
      <c r="E12988" t="inlineStr">
        <is>
          <t>MÖNSTERÅS</t>
        </is>
      </c>
      <c r="F12988" t="inlineStr">
        <is>
          <t>Övriga Aktiebolag</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61861-2024</t>
        </is>
      </c>
      <c r="B12989" s="1" t="n">
        <v>45650</v>
      </c>
      <c r="C12989" s="1" t="n">
        <v>45715</v>
      </c>
      <c r="D12989" t="inlineStr">
        <is>
          <t>KALMAR LÄN</t>
        </is>
      </c>
      <c r="E12989" t="inlineStr">
        <is>
          <t>VIMMERBY</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61987-2024</t>
        </is>
      </c>
      <c r="B12990" s="1" t="n">
        <v>45653</v>
      </c>
      <c r="C12990" s="1" t="n">
        <v>45715</v>
      </c>
      <c r="D12990" t="inlineStr">
        <is>
          <t>KALMAR LÄN</t>
        </is>
      </c>
      <c r="E12990" t="inlineStr">
        <is>
          <t>NYBRO</t>
        </is>
      </c>
      <c r="G12990" t="n">
        <v>6.2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321-2025</t>
        </is>
      </c>
      <c r="B12991" s="1" t="n">
        <v>45653</v>
      </c>
      <c r="C12991" s="1" t="n">
        <v>45715</v>
      </c>
      <c r="D12991" t="inlineStr">
        <is>
          <t>KALMAR LÄN</t>
        </is>
      </c>
      <c r="E12991" t="inlineStr">
        <is>
          <t>NYBRO</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61982-2024</t>
        </is>
      </c>
      <c r="B12992" s="1" t="n">
        <v>45653</v>
      </c>
      <c r="C12992" s="1" t="n">
        <v>45715</v>
      </c>
      <c r="D12992" t="inlineStr">
        <is>
          <t>KALMAR LÄN</t>
        </is>
      </c>
      <c r="E12992" t="inlineStr">
        <is>
          <t>NYBRO</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320-2025</t>
        </is>
      </c>
      <c r="B12993" s="1" t="n">
        <v>45653</v>
      </c>
      <c r="C12993" s="1" t="n">
        <v>45715</v>
      </c>
      <c r="D12993" t="inlineStr">
        <is>
          <t>KALMAR LÄN</t>
        </is>
      </c>
      <c r="E12993" t="inlineStr">
        <is>
          <t>NYBRO</t>
        </is>
      </c>
      <c r="G12993" t="n">
        <v>5.7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62099-2024</t>
        </is>
      </c>
      <c r="B12994" s="1" t="n">
        <v>45656</v>
      </c>
      <c r="C12994" s="1" t="n">
        <v>45715</v>
      </c>
      <c r="D12994" t="inlineStr">
        <is>
          <t>KALMAR LÄN</t>
        </is>
      </c>
      <c r="E12994" t="inlineStr">
        <is>
          <t>EMMABODA</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62070-2024</t>
        </is>
      </c>
      <c r="B12995" s="1" t="n">
        <v>45656</v>
      </c>
      <c r="C12995" s="1" t="n">
        <v>45715</v>
      </c>
      <c r="D12995" t="inlineStr">
        <is>
          <t>KALMAR LÄN</t>
        </is>
      </c>
      <c r="E12995" t="inlineStr">
        <is>
          <t>HULTSFRED</t>
        </is>
      </c>
      <c r="F12995" t="inlineStr">
        <is>
          <t>Sveaskog</t>
        </is>
      </c>
      <c r="G12995" t="n">
        <v>9.5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23-2025</t>
        </is>
      </c>
      <c r="B12996" s="1" t="n">
        <v>45658</v>
      </c>
      <c r="C12996" s="1" t="n">
        <v>45715</v>
      </c>
      <c r="D12996" t="inlineStr">
        <is>
          <t>KALMAR LÄN</t>
        </is>
      </c>
      <c r="E12996" t="inlineStr">
        <is>
          <t>VIMMERBY</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20-2025</t>
        </is>
      </c>
      <c r="B12997" s="1" t="n">
        <v>45658</v>
      </c>
      <c r="C12997" s="1" t="n">
        <v>45715</v>
      </c>
      <c r="D12997" t="inlineStr">
        <is>
          <t>KALMAR LÄN</t>
        </is>
      </c>
      <c r="E12997" t="inlineStr">
        <is>
          <t>VIMMERBY</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16-2025</t>
        </is>
      </c>
      <c r="B12998" s="1" t="n">
        <v>45658</v>
      </c>
      <c r="C12998" s="1" t="n">
        <v>45715</v>
      </c>
      <c r="D12998" t="inlineStr">
        <is>
          <t>KALMAR LÄN</t>
        </is>
      </c>
      <c r="E12998" t="inlineStr">
        <is>
          <t>VIMMERBY</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17-2025</t>
        </is>
      </c>
      <c r="B12999" s="1" t="n">
        <v>45658</v>
      </c>
      <c r="C12999" s="1" t="n">
        <v>45715</v>
      </c>
      <c r="D12999" t="inlineStr">
        <is>
          <t>KALMAR LÄN</t>
        </is>
      </c>
      <c r="E12999" t="inlineStr">
        <is>
          <t>VIMMERBY</t>
        </is>
      </c>
      <c r="G12999" t="n">
        <v>4.4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76-2025</t>
        </is>
      </c>
      <c r="B13000" s="1" t="n">
        <v>45659</v>
      </c>
      <c r="C13000" s="1" t="n">
        <v>45715</v>
      </c>
      <c r="D13000" t="inlineStr">
        <is>
          <t>KALMAR LÄN</t>
        </is>
      </c>
      <c r="E13000" t="inlineStr">
        <is>
          <t>HULTSFRED</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297-2025</t>
        </is>
      </c>
      <c r="B13001" s="1" t="n">
        <v>45660</v>
      </c>
      <c r="C13001" s="1" t="n">
        <v>45715</v>
      </c>
      <c r="D13001" t="inlineStr">
        <is>
          <t>KALMAR LÄN</t>
        </is>
      </c>
      <c r="E13001" t="inlineStr">
        <is>
          <t>HULTSFRED</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585-2025</t>
        </is>
      </c>
      <c r="B13002" s="1" t="n">
        <v>45660</v>
      </c>
      <c r="C13002" s="1" t="n">
        <v>45715</v>
      </c>
      <c r="D13002" t="inlineStr">
        <is>
          <t>KALMAR LÄN</t>
        </is>
      </c>
      <c r="E13002" t="inlineStr">
        <is>
          <t>HULTSFRED</t>
        </is>
      </c>
      <c r="G13002" t="n">
        <v>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598-2025</t>
        </is>
      </c>
      <c r="B13003" s="1" t="n">
        <v>45660</v>
      </c>
      <c r="C13003" s="1" t="n">
        <v>45715</v>
      </c>
      <c r="D13003" t="inlineStr">
        <is>
          <t>KALMAR LÄN</t>
        </is>
      </c>
      <c r="E13003" t="inlineStr">
        <is>
          <t>VIMMERBY</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340-2025</t>
        </is>
      </c>
      <c r="B13004" s="1" t="n">
        <v>45660</v>
      </c>
      <c r="C13004" s="1" t="n">
        <v>45715</v>
      </c>
      <c r="D13004" t="inlineStr">
        <is>
          <t>KALMAR LÄN</t>
        </is>
      </c>
      <c r="E13004" t="inlineStr">
        <is>
          <t>HULTSFRED</t>
        </is>
      </c>
      <c r="G13004" t="n">
        <v>12.2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590-2025</t>
        </is>
      </c>
      <c r="B13005" s="1" t="n">
        <v>45660</v>
      </c>
      <c r="C13005" s="1" t="n">
        <v>45715</v>
      </c>
      <c r="D13005" t="inlineStr">
        <is>
          <t>KALMAR LÄN</t>
        </is>
      </c>
      <c r="E13005" t="inlineStr">
        <is>
          <t>HULTSFRED</t>
        </is>
      </c>
      <c r="G13005" t="n">
        <v>4.7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367-2025</t>
        </is>
      </c>
      <c r="B13006" s="1" t="n">
        <v>45661</v>
      </c>
      <c r="C13006" s="1" t="n">
        <v>45715</v>
      </c>
      <c r="D13006" t="inlineStr">
        <is>
          <t>KALMAR LÄN</t>
        </is>
      </c>
      <c r="E13006" t="inlineStr">
        <is>
          <t>VIMMERBY</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365-2025</t>
        </is>
      </c>
      <c r="B13007" s="1" t="n">
        <v>45661</v>
      </c>
      <c r="C13007" s="1" t="n">
        <v>45715</v>
      </c>
      <c r="D13007" t="inlineStr">
        <is>
          <t>KALMAR LÄN</t>
        </is>
      </c>
      <c r="E13007" t="inlineStr">
        <is>
          <t>VIMMERBY</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415-2025</t>
        </is>
      </c>
      <c r="B13008" s="1" t="n">
        <v>45663</v>
      </c>
      <c r="C13008" s="1" t="n">
        <v>45715</v>
      </c>
      <c r="D13008" t="inlineStr">
        <is>
          <t>KALMAR LÄN</t>
        </is>
      </c>
      <c r="E13008" t="inlineStr">
        <is>
          <t>KALMAR</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414-2025</t>
        </is>
      </c>
      <c r="B13009" s="1" t="n">
        <v>45663</v>
      </c>
      <c r="C13009" s="1" t="n">
        <v>45715</v>
      </c>
      <c r="D13009" t="inlineStr">
        <is>
          <t>KALMAR LÄN</t>
        </is>
      </c>
      <c r="E13009" t="inlineStr">
        <is>
          <t>KALMAR</t>
        </is>
      </c>
      <c r="G13009" t="n">
        <v>3.8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417-2025</t>
        </is>
      </c>
      <c r="B13010" s="1" t="n">
        <v>45663</v>
      </c>
      <c r="C13010" s="1" t="n">
        <v>45715</v>
      </c>
      <c r="D13010" t="inlineStr">
        <is>
          <t>KALMAR LÄN</t>
        </is>
      </c>
      <c r="E13010" t="inlineStr">
        <is>
          <t>OSKARSHAMN</t>
        </is>
      </c>
      <c r="G13010" t="n">
        <v>5.4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459-2025</t>
        </is>
      </c>
      <c r="B13011" s="1" t="n">
        <v>45664</v>
      </c>
      <c r="C13011" s="1" t="n">
        <v>45715</v>
      </c>
      <c r="D13011" t="inlineStr">
        <is>
          <t>KALMAR LÄN</t>
        </is>
      </c>
      <c r="E13011" t="inlineStr">
        <is>
          <t>KALMAR</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524-2025</t>
        </is>
      </c>
      <c r="B13012" s="1" t="n">
        <v>45664</v>
      </c>
      <c r="C13012" s="1" t="n">
        <v>45715</v>
      </c>
      <c r="D13012" t="inlineStr">
        <is>
          <t>KALMAR LÄN</t>
        </is>
      </c>
      <c r="E13012" t="inlineStr">
        <is>
          <t>HULTSFRED</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611-2025</t>
        </is>
      </c>
      <c r="B13013" s="1" t="n">
        <v>45664</v>
      </c>
      <c r="C13013" s="1" t="n">
        <v>45715</v>
      </c>
      <c r="D13013" t="inlineStr">
        <is>
          <t>KALMAR LÄN</t>
        </is>
      </c>
      <c r="E13013" t="inlineStr">
        <is>
          <t>HÖGSBY</t>
        </is>
      </c>
      <c r="G13013" t="n">
        <v>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431-2025</t>
        </is>
      </c>
      <c r="B13014" s="1" t="n">
        <v>45664</v>
      </c>
      <c r="C13014" s="1" t="n">
        <v>45715</v>
      </c>
      <c r="D13014" t="inlineStr">
        <is>
          <t>KALMAR LÄN</t>
        </is>
      </c>
      <c r="E13014" t="inlineStr">
        <is>
          <t>TORSÅS</t>
        </is>
      </c>
      <c r="G13014" t="n">
        <v>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464-2025</t>
        </is>
      </c>
      <c r="B13015" s="1" t="n">
        <v>45664</v>
      </c>
      <c r="C13015" s="1" t="n">
        <v>45715</v>
      </c>
      <c r="D13015" t="inlineStr">
        <is>
          <t>KALMAR LÄN</t>
        </is>
      </c>
      <c r="E13015" t="inlineStr">
        <is>
          <t>HÖGSBY</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522-2025</t>
        </is>
      </c>
      <c r="B13016" s="1" t="n">
        <v>45664</v>
      </c>
      <c r="C13016" s="1" t="n">
        <v>45715</v>
      </c>
      <c r="D13016" t="inlineStr">
        <is>
          <t>KALMAR LÄN</t>
        </is>
      </c>
      <c r="E13016" t="inlineStr">
        <is>
          <t>HÖGSBY</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655-2025</t>
        </is>
      </c>
      <c r="B13017" s="1" t="n">
        <v>45664</v>
      </c>
      <c r="C13017" s="1" t="n">
        <v>45715</v>
      </c>
      <c r="D13017" t="inlineStr">
        <is>
          <t>KALMAR LÄN</t>
        </is>
      </c>
      <c r="E13017" t="inlineStr">
        <is>
          <t>NYBRO</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592-2025</t>
        </is>
      </c>
      <c r="B13018" s="1" t="n">
        <v>45664</v>
      </c>
      <c r="C13018" s="1" t="n">
        <v>45715</v>
      </c>
      <c r="D13018" t="inlineStr">
        <is>
          <t>KALMAR LÄN</t>
        </is>
      </c>
      <c r="E13018" t="inlineStr">
        <is>
          <t>KALMAR</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682-2025</t>
        </is>
      </c>
      <c r="B13019" s="1" t="n">
        <v>45664</v>
      </c>
      <c r="C13019" s="1" t="n">
        <v>45715</v>
      </c>
      <c r="D13019" t="inlineStr">
        <is>
          <t>KALMAR LÄN</t>
        </is>
      </c>
      <c r="E13019" t="inlineStr">
        <is>
          <t>NYBRO</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681-2025</t>
        </is>
      </c>
      <c r="B13020" s="1" t="n">
        <v>45664</v>
      </c>
      <c r="C13020" s="1" t="n">
        <v>45715</v>
      </c>
      <c r="D13020" t="inlineStr">
        <is>
          <t>KALMAR LÄN</t>
        </is>
      </c>
      <c r="E13020" t="inlineStr">
        <is>
          <t>NYBRO</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677-2025</t>
        </is>
      </c>
      <c r="B13021" s="1" t="n">
        <v>45664</v>
      </c>
      <c r="C13021" s="1" t="n">
        <v>45715</v>
      </c>
      <c r="D13021" t="inlineStr">
        <is>
          <t>KALMAR LÄN</t>
        </is>
      </c>
      <c r="E13021" t="inlineStr">
        <is>
          <t>VIMMERBY</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665-2025</t>
        </is>
      </c>
      <c r="B13022" s="1" t="n">
        <v>45664</v>
      </c>
      <c r="C13022" s="1" t="n">
        <v>45715</v>
      </c>
      <c r="D13022" t="inlineStr">
        <is>
          <t>KALMAR LÄN</t>
        </is>
      </c>
      <c r="E13022" t="inlineStr">
        <is>
          <t>VIMMERBY</t>
        </is>
      </c>
      <c r="G13022" t="n">
        <v>6.3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756-2025</t>
        </is>
      </c>
      <c r="B13023" s="1" t="n">
        <v>45665</v>
      </c>
      <c r="C13023" s="1" t="n">
        <v>45715</v>
      </c>
      <c r="D13023" t="inlineStr">
        <is>
          <t>KALMAR LÄN</t>
        </is>
      </c>
      <c r="E13023" t="inlineStr">
        <is>
          <t>EMMABODA</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768-2025</t>
        </is>
      </c>
      <c r="B13024" s="1" t="n">
        <v>45665</v>
      </c>
      <c r="C13024" s="1" t="n">
        <v>45715</v>
      </c>
      <c r="D13024" t="inlineStr">
        <is>
          <t>KALMAR LÄN</t>
        </is>
      </c>
      <c r="E13024" t="inlineStr">
        <is>
          <t>EMMABODA</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784-2025</t>
        </is>
      </c>
      <c r="B13025" s="1" t="n">
        <v>45665</v>
      </c>
      <c r="C13025" s="1" t="n">
        <v>45715</v>
      </c>
      <c r="D13025" t="inlineStr">
        <is>
          <t>KALMAR LÄN</t>
        </is>
      </c>
      <c r="E13025" t="inlineStr">
        <is>
          <t>TORSÅS</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841-2025</t>
        </is>
      </c>
      <c r="B13026" s="1" t="n">
        <v>45665</v>
      </c>
      <c r="C13026" s="1" t="n">
        <v>45715</v>
      </c>
      <c r="D13026" t="inlineStr">
        <is>
          <t>KALMAR LÄN</t>
        </is>
      </c>
      <c r="E13026" t="inlineStr">
        <is>
          <t>EMMABODA</t>
        </is>
      </c>
      <c r="F13026" t="inlineStr">
        <is>
          <t>Sveaskog</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765-2025</t>
        </is>
      </c>
      <c r="B13027" s="1" t="n">
        <v>45665</v>
      </c>
      <c r="C13027" s="1" t="n">
        <v>45715</v>
      </c>
      <c r="D13027" t="inlineStr">
        <is>
          <t>KALMAR LÄN</t>
        </is>
      </c>
      <c r="E13027" t="inlineStr">
        <is>
          <t>EMMABODA</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761-2025</t>
        </is>
      </c>
      <c r="B13028" s="1" t="n">
        <v>45665</v>
      </c>
      <c r="C13028" s="1" t="n">
        <v>45715</v>
      </c>
      <c r="D13028" t="inlineStr">
        <is>
          <t>KALMAR LÄN</t>
        </is>
      </c>
      <c r="E13028" t="inlineStr">
        <is>
          <t>EMMABODA</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786-2025</t>
        </is>
      </c>
      <c r="B13029" s="1" t="n">
        <v>45665</v>
      </c>
      <c r="C13029" s="1" t="n">
        <v>45715</v>
      </c>
      <c r="D13029" t="inlineStr">
        <is>
          <t>KALMAR LÄN</t>
        </is>
      </c>
      <c r="E13029" t="inlineStr">
        <is>
          <t>TORSÅS</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686-2025</t>
        </is>
      </c>
      <c r="B13030" s="1" t="n">
        <v>45665</v>
      </c>
      <c r="C13030" s="1" t="n">
        <v>45715</v>
      </c>
      <c r="D13030" t="inlineStr">
        <is>
          <t>KALMAR LÄN</t>
        </is>
      </c>
      <c r="E13030" t="inlineStr">
        <is>
          <t>NYBRO</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1146-2025</t>
        </is>
      </c>
      <c r="B13031" s="1" t="n">
        <v>45666</v>
      </c>
      <c r="C13031" s="1" t="n">
        <v>45715</v>
      </c>
      <c r="D13031" t="inlineStr">
        <is>
          <t>KALMAR LÄN</t>
        </is>
      </c>
      <c r="E13031" t="inlineStr">
        <is>
          <t>VIMMERBY</t>
        </is>
      </c>
      <c r="G13031" t="n">
        <v>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1108-2025</t>
        </is>
      </c>
      <c r="B13032" s="1" t="n">
        <v>45666</v>
      </c>
      <c r="C13032" s="1" t="n">
        <v>45715</v>
      </c>
      <c r="D13032" t="inlineStr">
        <is>
          <t>KALMAR LÄN</t>
        </is>
      </c>
      <c r="E13032" t="inlineStr">
        <is>
          <t>VÄSTERVIK</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1115-2025</t>
        </is>
      </c>
      <c r="B13033" s="1" t="n">
        <v>45666</v>
      </c>
      <c r="C13033" s="1" t="n">
        <v>45715</v>
      </c>
      <c r="D13033" t="inlineStr">
        <is>
          <t>KALMAR LÄN</t>
        </is>
      </c>
      <c r="E13033" t="inlineStr">
        <is>
          <t>VÄSTERVIK</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971-2025</t>
        </is>
      </c>
      <c r="B13034" s="1" t="n">
        <v>45666</v>
      </c>
      <c r="C13034" s="1" t="n">
        <v>45715</v>
      </c>
      <c r="D13034" t="inlineStr">
        <is>
          <t>KALMAR LÄN</t>
        </is>
      </c>
      <c r="E13034" t="inlineStr">
        <is>
          <t>VIMMERBY</t>
        </is>
      </c>
      <c r="G13034" t="n">
        <v>10.1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957-2025</t>
        </is>
      </c>
      <c r="B13035" s="1" t="n">
        <v>45666</v>
      </c>
      <c r="C13035" s="1" t="n">
        <v>45715</v>
      </c>
      <c r="D13035" t="inlineStr">
        <is>
          <t>KALMAR LÄN</t>
        </is>
      </c>
      <c r="E13035" t="inlineStr">
        <is>
          <t>VÄSTERVIK</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1027-2025</t>
        </is>
      </c>
      <c r="B13036" s="1" t="n">
        <v>45666</v>
      </c>
      <c r="C13036" s="1" t="n">
        <v>45715</v>
      </c>
      <c r="D13036" t="inlineStr">
        <is>
          <t>KALMAR LÄN</t>
        </is>
      </c>
      <c r="E13036" t="inlineStr">
        <is>
          <t>HULTSFRED</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980-2025</t>
        </is>
      </c>
      <c r="B13037" s="1" t="n">
        <v>45666</v>
      </c>
      <c r="C13037" s="1" t="n">
        <v>45715</v>
      </c>
      <c r="D13037" t="inlineStr">
        <is>
          <t>KALMAR LÄN</t>
        </is>
      </c>
      <c r="E13037" t="inlineStr">
        <is>
          <t>NYBRO</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1237-2025</t>
        </is>
      </c>
      <c r="B13038" s="1" t="n">
        <v>45667</v>
      </c>
      <c r="C13038" s="1" t="n">
        <v>45715</v>
      </c>
      <c r="D13038" t="inlineStr">
        <is>
          <t>KALMAR LÄN</t>
        </is>
      </c>
      <c r="E13038" t="inlineStr">
        <is>
          <t>HULTSFRED</t>
        </is>
      </c>
      <c r="G13038" t="n">
        <v>4.2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1219-2025</t>
        </is>
      </c>
      <c r="B13039" s="1" t="n">
        <v>45667</v>
      </c>
      <c r="C13039" s="1" t="n">
        <v>45715</v>
      </c>
      <c r="D13039" t="inlineStr">
        <is>
          <t>KALMAR LÄN</t>
        </is>
      </c>
      <c r="E13039" t="inlineStr">
        <is>
          <t>HULTSFRED</t>
        </is>
      </c>
      <c r="G13039" t="n">
        <v>6.2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1206-2025</t>
        </is>
      </c>
      <c r="B13040" s="1" t="n">
        <v>45667</v>
      </c>
      <c r="C13040" s="1" t="n">
        <v>45715</v>
      </c>
      <c r="D13040" t="inlineStr">
        <is>
          <t>KALMAR LÄN</t>
        </is>
      </c>
      <c r="E13040" t="inlineStr">
        <is>
          <t>VIMMERBY</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1234-2025</t>
        </is>
      </c>
      <c r="B13041" s="1" t="n">
        <v>45667</v>
      </c>
      <c r="C13041" s="1" t="n">
        <v>45715</v>
      </c>
      <c r="D13041" t="inlineStr">
        <is>
          <t>KALMAR LÄN</t>
        </is>
      </c>
      <c r="E13041" t="inlineStr">
        <is>
          <t>HULTSFRED</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1419-2025</t>
        </is>
      </c>
      <c r="B13042" s="1" t="n">
        <v>45668</v>
      </c>
      <c r="C13042" s="1" t="n">
        <v>45715</v>
      </c>
      <c r="D13042" t="inlineStr">
        <is>
          <t>KALMAR LÄN</t>
        </is>
      </c>
      <c r="E13042" t="inlineStr">
        <is>
          <t>NYBRO</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1417-2025</t>
        </is>
      </c>
      <c r="B13043" s="1" t="n">
        <v>45668</v>
      </c>
      <c r="C13043" s="1" t="n">
        <v>45715</v>
      </c>
      <c r="D13043" t="inlineStr">
        <is>
          <t>KALMAR LÄN</t>
        </is>
      </c>
      <c r="E13043" t="inlineStr">
        <is>
          <t>EMMABODA</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1420-2025</t>
        </is>
      </c>
      <c r="B13044" s="1" t="n">
        <v>45668</v>
      </c>
      <c r="C13044" s="1" t="n">
        <v>45715</v>
      </c>
      <c r="D13044" t="inlineStr">
        <is>
          <t>KALMAR LÄN</t>
        </is>
      </c>
      <c r="E13044" t="inlineStr">
        <is>
          <t>NYBRO</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1428-2025</t>
        </is>
      </c>
      <c r="B13045" s="1" t="n">
        <v>45668</v>
      </c>
      <c r="C13045" s="1" t="n">
        <v>45715</v>
      </c>
      <c r="D13045" t="inlineStr">
        <is>
          <t>KALMAR LÄN</t>
        </is>
      </c>
      <c r="E13045" t="inlineStr">
        <is>
          <t>VIMMERBY</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1422-2025</t>
        </is>
      </c>
      <c r="B13046" s="1" t="n">
        <v>45668</v>
      </c>
      <c r="C13046" s="1" t="n">
        <v>45715</v>
      </c>
      <c r="D13046" t="inlineStr">
        <is>
          <t>KALMAR LÄN</t>
        </is>
      </c>
      <c r="E13046" t="inlineStr">
        <is>
          <t>NYBRO</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1441-2025</t>
        </is>
      </c>
      <c r="B13047" s="1" t="n">
        <v>45669</v>
      </c>
      <c r="C13047" s="1" t="n">
        <v>45715</v>
      </c>
      <c r="D13047" t="inlineStr">
        <is>
          <t>KALMAR LÄN</t>
        </is>
      </c>
      <c r="E13047" t="inlineStr">
        <is>
          <t>KALMAR</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1537-2025</t>
        </is>
      </c>
      <c r="B13048" s="1" t="n">
        <v>45670</v>
      </c>
      <c r="C13048" s="1" t="n">
        <v>45715</v>
      </c>
      <c r="D13048" t="inlineStr">
        <is>
          <t>KALMAR LÄN</t>
        </is>
      </c>
      <c r="E13048" t="inlineStr">
        <is>
          <t>NYBRO</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1646-2025</t>
        </is>
      </c>
      <c r="B13049" s="1" t="n">
        <v>45670</v>
      </c>
      <c r="C13049" s="1" t="n">
        <v>45715</v>
      </c>
      <c r="D13049" t="inlineStr">
        <is>
          <t>KALMAR LÄN</t>
        </is>
      </c>
      <c r="E13049" t="inlineStr">
        <is>
          <t>KALMAR</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1653-2025</t>
        </is>
      </c>
      <c r="B13050" s="1" t="n">
        <v>45670</v>
      </c>
      <c r="C13050" s="1" t="n">
        <v>45715</v>
      </c>
      <c r="D13050" t="inlineStr">
        <is>
          <t>KALMAR LÄN</t>
        </is>
      </c>
      <c r="E13050" t="inlineStr">
        <is>
          <t>MÖNSTERÅS</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1613-2025</t>
        </is>
      </c>
      <c r="B13051" s="1" t="n">
        <v>45670</v>
      </c>
      <c r="C13051" s="1" t="n">
        <v>45715</v>
      </c>
      <c r="D13051" t="inlineStr">
        <is>
          <t>KALMAR LÄN</t>
        </is>
      </c>
      <c r="E13051" t="inlineStr">
        <is>
          <t>MÖNSTERÅS</t>
        </is>
      </c>
      <c r="G13051" t="n">
        <v>7.9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1677-2025</t>
        </is>
      </c>
      <c r="B13052" s="1" t="n">
        <v>45670</v>
      </c>
      <c r="C13052" s="1" t="n">
        <v>45715</v>
      </c>
      <c r="D13052" t="inlineStr">
        <is>
          <t>KALMAR LÄN</t>
        </is>
      </c>
      <c r="E13052" t="inlineStr">
        <is>
          <t>OSKARSHAMN</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1483-2025</t>
        </is>
      </c>
      <c r="B13053" s="1" t="n">
        <v>45670</v>
      </c>
      <c r="C13053" s="1" t="n">
        <v>45715</v>
      </c>
      <c r="D13053" t="inlineStr">
        <is>
          <t>KALMAR LÄN</t>
        </is>
      </c>
      <c r="E13053" t="inlineStr">
        <is>
          <t>OSKARSHAMN</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1485-2025</t>
        </is>
      </c>
      <c r="B13054" s="1" t="n">
        <v>45670</v>
      </c>
      <c r="C13054" s="1" t="n">
        <v>45715</v>
      </c>
      <c r="D13054" t="inlineStr">
        <is>
          <t>KALMAR LÄN</t>
        </is>
      </c>
      <c r="E13054" t="inlineStr">
        <is>
          <t>OSKARSHAMN</t>
        </is>
      </c>
      <c r="G13054" t="n">
        <v>7.3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1614-2025</t>
        </is>
      </c>
      <c r="B13055" s="1" t="n">
        <v>45670</v>
      </c>
      <c r="C13055" s="1" t="n">
        <v>45715</v>
      </c>
      <c r="D13055" t="inlineStr">
        <is>
          <t>KALMAR LÄN</t>
        </is>
      </c>
      <c r="E13055" t="inlineStr">
        <is>
          <t>BORGHOLM</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1535-2025</t>
        </is>
      </c>
      <c r="B13056" s="1" t="n">
        <v>45670</v>
      </c>
      <c r="C13056" s="1" t="n">
        <v>45715</v>
      </c>
      <c r="D13056" t="inlineStr">
        <is>
          <t>KALMAR LÄN</t>
        </is>
      </c>
      <c r="E13056" t="inlineStr">
        <is>
          <t>NYBRO</t>
        </is>
      </c>
      <c r="F13056" t="inlineStr">
        <is>
          <t>Sveaskog</t>
        </is>
      </c>
      <c r="G13056" t="n">
        <v>6.6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1486-2025</t>
        </is>
      </c>
      <c r="B13057" s="1" t="n">
        <v>45670</v>
      </c>
      <c r="C13057" s="1" t="n">
        <v>45715</v>
      </c>
      <c r="D13057" t="inlineStr">
        <is>
          <t>KALMAR LÄN</t>
        </is>
      </c>
      <c r="E13057" t="inlineStr">
        <is>
          <t>OSKARSHAMN</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1744-2025</t>
        </is>
      </c>
      <c r="B13058" s="1" t="n">
        <v>45671</v>
      </c>
      <c r="C13058" s="1" t="n">
        <v>45715</v>
      </c>
      <c r="D13058" t="inlineStr">
        <is>
          <t>KALMAR LÄN</t>
        </is>
      </c>
      <c r="E13058" t="inlineStr">
        <is>
          <t>VÄSTERVIK</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1741-2025</t>
        </is>
      </c>
      <c r="B13059" s="1" t="n">
        <v>45671</v>
      </c>
      <c r="C13059" s="1" t="n">
        <v>45715</v>
      </c>
      <c r="D13059" t="inlineStr">
        <is>
          <t>KALMAR LÄN</t>
        </is>
      </c>
      <c r="E13059" t="inlineStr">
        <is>
          <t>VÄSTERVIK</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1743-2025</t>
        </is>
      </c>
      <c r="B13060" s="1" t="n">
        <v>45671</v>
      </c>
      <c r="C13060" s="1" t="n">
        <v>45715</v>
      </c>
      <c r="D13060" t="inlineStr">
        <is>
          <t>KALMAR LÄN</t>
        </is>
      </c>
      <c r="E13060" t="inlineStr">
        <is>
          <t>VÄSTERVIK</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1751-2025</t>
        </is>
      </c>
      <c r="B13061" s="1" t="n">
        <v>45671</v>
      </c>
      <c r="C13061" s="1" t="n">
        <v>45715</v>
      </c>
      <c r="D13061" t="inlineStr">
        <is>
          <t>KALMAR LÄN</t>
        </is>
      </c>
      <c r="E13061" t="inlineStr">
        <is>
          <t>VÄSTERVIK</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1874-2025</t>
        </is>
      </c>
      <c r="B13062" s="1" t="n">
        <v>45671</v>
      </c>
      <c r="C13062" s="1" t="n">
        <v>45715</v>
      </c>
      <c r="D13062" t="inlineStr">
        <is>
          <t>KALMAR LÄN</t>
        </is>
      </c>
      <c r="E13062" t="inlineStr">
        <is>
          <t>VÄSTERVIK</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1788-2025</t>
        </is>
      </c>
      <c r="B13063" s="1" t="n">
        <v>45671</v>
      </c>
      <c r="C13063" s="1" t="n">
        <v>45715</v>
      </c>
      <c r="D13063" t="inlineStr">
        <is>
          <t>KALMAR LÄN</t>
        </is>
      </c>
      <c r="E13063" t="inlineStr">
        <is>
          <t>VÄSTERVIK</t>
        </is>
      </c>
      <c r="F13063" t="inlineStr">
        <is>
          <t>Sveaskog</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1757-2025</t>
        </is>
      </c>
      <c r="B13064" s="1" t="n">
        <v>45671</v>
      </c>
      <c r="C13064" s="1" t="n">
        <v>45715</v>
      </c>
      <c r="D13064" t="inlineStr">
        <is>
          <t>KALMAR LÄN</t>
        </is>
      </c>
      <c r="E13064" t="inlineStr">
        <is>
          <t>BORGHOLM</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1923-2025</t>
        </is>
      </c>
      <c r="B13065" s="1" t="n">
        <v>45671</v>
      </c>
      <c r="C13065" s="1" t="n">
        <v>45715</v>
      </c>
      <c r="D13065" t="inlineStr">
        <is>
          <t>KALMAR LÄN</t>
        </is>
      </c>
      <c r="E13065" t="inlineStr">
        <is>
          <t>HÖGSBY</t>
        </is>
      </c>
      <c r="G13065" t="n">
        <v>4.8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1799-2025</t>
        </is>
      </c>
      <c r="B13066" s="1" t="n">
        <v>45671</v>
      </c>
      <c r="C13066" s="1" t="n">
        <v>45715</v>
      </c>
      <c r="D13066" t="inlineStr">
        <is>
          <t>KALMAR LÄN</t>
        </is>
      </c>
      <c r="E13066" t="inlineStr">
        <is>
          <t>VIMMERBY</t>
        </is>
      </c>
      <c r="G13066" t="n">
        <v>3.3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1787-2025</t>
        </is>
      </c>
      <c r="B13067" s="1" t="n">
        <v>45671</v>
      </c>
      <c r="C13067" s="1" t="n">
        <v>45715</v>
      </c>
      <c r="D13067" t="inlineStr">
        <is>
          <t>KALMAR LÄN</t>
        </is>
      </c>
      <c r="E13067" t="inlineStr">
        <is>
          <t>VÄSTERVIK</t>
        </is>
      </c>
      <c r="F13067" t="inlineStr">
        <is>
          <t>Sveaskog</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1807-2025</t>
        </is>
      </c>
      <c r="B13068" s="1" t="n">
        <v>45671</v>
      </c>
      <c r="C13068" s="1" t="n">
        <v>45715</v>
      </c>
      <c r="D13068" t="inlineStr">
        <is>
          <t>KALMAR LÄN</t>
        </is>
      </c>
      <c r="E13068" t="inlineStr">
        <is>
          <t>HÖGSBY</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1785-2025</t>
        </is>
      </c>
      <c r="B13069" s="1" t="n">
        <v>45671</v>
      </c>
      <c r="C13069" s="1" t="n">
        <v>45715</v>
      </c>
      <c r="D13069" t="inlineStr">
        <is>
          <t>KALMAR LÄN</t>
        </is>
      </c>
      <c r="E13069" t="inlineStr">
        <is>
          <t>VÄSTERVIK</t>
        </is>
      </c>
      <c r="F13069" t="inlineStr">
        <is>
          <t>Sveaskog</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1806-2025</t>
        </is>
      </c>
      <c r="B13070" s="1" t="n">
        <v>45671</v>
      </c>
      <c r="C13070" s="1" t="n">
        <v>45715</v>
      </c>
      <c r="D13070" t="inlineStr">
        <is>
          <t>KALMAR LÄN</t>
        </is>
      </c>
      <c r="E13070" t="inlineStr">
        <is>
          <t>HÖGSBY</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1877-2025</t>
        </is>
      </c>
      <c r="B13071" s="1" t="n">
        <v>45671</v>
      </c>
      <c r="C13071" s="1" t="n">
        <v>45715</v>
      </c>
      <c r="D13071" t="inlineStr">
        <is>
          <t>KALMAR LÄN</t>
        </is>
      </c>
      <c r="E13071" t="inlineStr">
        <is>
          <t>VÄSTERVIK</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1867-2025</t>
        </is>
      </c>
      <c r="B13072" s="1" t="n">
        <v>45671</v>
      </c>
      <c r="C13072" s="1" t="n">
        <v>45715</v>
      </c>
      <c r="D13072" t="inlineStr">
        <is>
          <t>KALMAR LÄN</t>
        </is>
      </c>
      <c r="E13072" t="inlineStr">
        <is>
          <t>VÄSTERVIK</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1965-2025</t>
        </is>
      </c>
      <c r="B13073" s="1" t="n">
        <v>45672</v>
      </c>
      <c r="C13073" s="1" t="n">
        <v>45715</v>
      </c>
      <c r="D13073" t="inlineStr">
        <is>
          <t>KALMAR LÄN</t>
        </is>
      </c>
      <c r="E13073" t="inlineStr">
        <is>
          <t>OSKARSHAMN</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1970-2025</t>
        </is>
      </c>
      <c r="B13074" s="1" t="n">
        <v>45672</v>
      </c>
      <c r="C13074" s="1" t="n">
        <v>45715</v>
      </c>
      <c r="D13074" t="inlineStr">
        <is>
          <t>KALMAR LÄN</t>
        </is>
      </c>
      <c r="E13074" t="inlineStr">
        <is>
          <t>NYBRO</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2132-2025</t>
        </is>
      </c>
      <c r="B13075" s="1" t="n">
        <v>45672</v>
      </c>
      <c r="C13075" s="1" t="n">
        <v>45715</v>
      </c>
      <c r="D13075" t="inlineStr">
        <is>
          <t>KALMAR LÄN</t>
        </is>
      </c>
      <c r="E13075" t="inlineStr">
        <is>
          <t>TORSÅS</t>
        </is>
      </c>
      <c r="G13075" t="n">
        <v>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2136-2025</t>
        </is>
      </c>
      <c r="B13076" s="1" t="n">
        <v>45672</v>
      </c>
      <c r="C13076" s="1" t="n">
        <v>45715</v>
      </c>
      <c r="D13076" t="inlineStr">
        <is>
          <t>KALMAR LÄN</t>
        </is>
      </c>
      <c r="E13076" t="inlineStr">
        <is>
          <t>TORSÅS</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1972-2025</t>
        </is>
      </c>
      <c r="B13077" s="1" t="n">
        <v>45672</v>
      </c>
      <c r="C13077" s="1" t="n">
        <v>45715</v>
      </c>
      <c r="D13077" t="inlineStr">
        <is>
          <t>KALMAR LÄN</t>
        </is>
      </c>
      <c r="E13077" t="inlineStr">
        <is>
          <t>NYBRO</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1971-2025</t>
        </is>
      </c>
      <c r="B13078" s="1" t="n">
        <v>45672</v>
      </c>
      <c r="C13078" s="1" t="n">
        <v>45715</v>
      </c>
      <c r="D13078" t="inlineStr">
        <is>
          <t>KALMAR LÄN</t>
        </is>
      </c>
      <c r="E13078" t="inlineStr">
        <is>
          <t>NYBRO</t>
        </is>
      </c>
      <c r="G13078" t="n">
        <v>4.8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1956-2025</t>
        </is>
      </c>
      <c r="B13079" s="1" t="n">
        <v>45672</v>
      </c>
      <c r="C13079" s="1" t="n">
        <v>45715</v>
      </c>
      <c r="D13079" t="inlineStr">
        <is>
          <t>KALMAR LÄN</t>
        </is>
      </c>
      <c r="E13079" t="inlineStr">
        <is>
          <t>NYBRO</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2184-2025</t>
        </is>
      </c>
      <c r="B13080" s="1" t="n">
        <v>45673</v>
      </c>
      <c r="C13080" s="1" t="n">
        <v>45715</v>
      </c>
      <c r="D13080" t="inlineStr">
        <is>
          <t>KALMAR LÄN</t>
        </is>
      </c>
      <c r="E13080" t="inlineStr">
        <is>
          <t>NYBRO</t>
        </is>
      </c>
      <c r="G13080" t="n">
        <v>4.4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2227-2025</t>
        </is>
      </c>
      <c r="B13081" s="1" t="n">
        <v>45673</v>
      </c>
      <c r="C13081" s="1" t="n">
        <v>45715</v>
      </c>
      <c r="D13081" t="inlineStr">
        <is>
          <t>KALMAR LÄN</t>
        </is>
      </c>
      <c r="E13081" t="inlineStr">
        <is>
          <t>TORSÅS</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2343-2025</t>
        </is>
      </c>
      <c r="B13082" s="1" t="n">
        <v>45673</v>
      </c>
      <c r="C13082" s="1" t="n">
        <v>45715</v>
      </c>
      <c r="D13082" t="inlineStr">
        <is>
          <t>KALMAR LÄN</t>
        </is>
      </c>
      <c r="E13082" t="inlineStr">
        <is>
          <t>EMMABODA</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2357-2025</t>
        </is>
      </c>
      <c r="B13083" s="1" t="n">
        <v>45673</v>
      </c>
      <c r="C13083" s="1" t="n">
        <v>45715</v>
      </c>
      <c r="D13083" t="inlineStr">
        <is>
          <t>KALMAR LÄN</t>
        </is>
      </c>
      <c r="E13083" t="inlineStr">
        <is>
          <t>VÄSTERVIK</t>
        </is>
      </c>
      <c r="G13083" t="n">
        <v>2.6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2329-2025</t>
        </is>
      </c>
      <c r="B13084" s="1" t="n">
        <v>45673</v>
      </c>
      <c r="C13084" s="1" t="n">
        <v>45715</v>
      </c>
      <c r="D13084" t="inlineStr">
        <is>
          <t>KALMAR LÄN</t>
        </is>
      </c>
      <c r="E13084" t="inlineStr">
        <is>
          <t>VÄSTERVIK</t>
        </is>
      </c>
      <c r="F13084" t="inlineStr">
        <is>
          <t>Sveaskog</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2360-2025</t>
        </is>
      </c>
      <c r="B13085" s="1" t="n">
        <v>45673</v>
      </c>
      <c r="C13085" s="1" t="n">
        <v>45715</v>
      </c>
      <c r="D13085" t="inlineStr">
        <is>
          <t>KALMAR LÄN</t>
        </is>
      </c>
      <c r="E13085" t="inlineStr">
        <is>
          <t>VÄSTERVIK</t>
        </is>
      </c>
      <c r="G13085" t="n">
        <v>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2359-2025</t>
        </is>
      </c>
      <c r="B13086" s="1" t="n">
        <v>45673</v>
      </c>
      <c r="C13086" s="1" t="n">
        <v>45715</v>
      </c>
      <c r="D13086" t="inlineStr">
        <is>
          <t>KALMAR LÄN</t>
        </is>
      </c>
      <c r="E13086" t="inlineStr">
        <is>
          <t>VÄSTERVIK</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2361-2025</t>
        </is>
      </c>
      <c r="B13087" s="1" t="n">
        <v>45673</v>
      </c>
      <c r="C13087" s="1" t="n">
        <v>45715</v>
      </c>
      <c r="D13087" t="inlineStr">
        <is>
          <t>KALMAR LÄN</t>
        </is>
      </c>
      <c r="E13087" t="inlineStr">
        <is>
          <t>VÄSTERVIK</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2569-2025</t>
        </is>
      </c>
      <c r="B13088" s="1" t="n">
        <v>45674</v>
      </c>
      <c r="C13088" s="1" t="n">
        <v>45715</v>
      </c>
      <c r="D13088" t="inlineStr">
        <is>
          <t>KALMAR LÄN</t>
        </is>
      </c>
      <c r="E13088" t="inlineStr">
        <is>
          <t>MÖNSTERÅS</t>
        </is>
      </c>
      <c r="G13088" t="n">
        <v>4.3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2571-2025</t>
        </is>
      </c>
      <c r="B13089" s="1" t="n">
        <v>45674</v>
      </c>
      <c r="C13089" s="1" t="n">
        <v>45715</v>
      </c>
      <c r="D13089" t="inlineStr">
        <is>
          <t>KALMAR LÄN</t>
        </is>
      </c>
      <c r="E13089" t="inlineStr">
        <is>
          <t>MÖNSTERÅS</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2604-2025</t>
        </is>
      </c>
      <c r="B13090" s="1" t="n">
        <v>45674</v>
      </c>
      <c r="C13090" s="1" t="n">
        <v>45715</v>
      </c>
      <c r="D13090" t="inlineStr">
        <is>
          <t>KALMAR LÄN</t>
        </is>
      </c>
      <c r="E13090" t="inlineStr">
        <is>
          <t>VIMMERBY</t>
        </is>
      </c>
      <c r="G13090" t="n">
        <v>7.6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2596-2025</t>
        </is>
      </c>
      <c r="B13091" s="1" t="n">
        <v>45674</v>
      </c>
      <c r="C13091" s="1" t="n">
        <v>45715</v>
      </c>
      <c r="D13091" t="inlineStr">
        <is>
          <t>KALMAR LÄN</t>
        </is>
      </c>
      <c r="E13091" t="inlineStr">
        <is>
          <t>VIMMERBY</t>
        </is>
      </c>
      <c r="G13091" t="n">
        <v>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2681-2025</t>
        </is>
      </c>
      <c r="B13092" s="1" t="n">
        <v>45674</v>
      </c>
      <c r="C13092" s="1" t="n">
        <v>45715</v>
      </c>
      <c r="D13092" t="inlineStr">
        <is>
          <t>KALMAR LÄN</t>
        </is>
      </c>
      <c r="E13092" t="inlineStr">
        <is>
          <t>HÖGSBY</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2776-2025</t>
        </is>
      </c>
      <c r="B13093" s="1" t="n">
        <v>45677</v>
      </c>
      <c r="C13093" s="1" t="n">
        <v>45715</v>
      </c>
      <c r="D13093" t="inlineStr">
        <is>
          <t>KALMAR LÄN</t>
        </is>
      </c>
      <c r="E13093" t="inlineStr">
        <is>
          <t>HULTSFRED</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2862-2025</t>
        </is>
      </c>
      <c r="B13094" s="1" t="n">
        <v>45677</v>
      </c>
      <c r="C13094" s="1" t="n">
        <v>45715</v>
      </c>
      <c r="D13094" t="inlineStr">
        <is>
          <t>KALMAR LÄN</t>
        </is>
      </c>
      <c r="E13094" t="inlineStr">
        <is>
          <t>HULTSFRED</t>
        </is>
      </c>
      <c r="G13094" t="n">
        <v>6.5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2866-2025</t>
        </is>
      </c>
      <c r="B13095" s="1" t="n">
        <v>45677</v>
      </c>
      <c r="C13095" s="1" t="n">
        <v>45715</v>
      </c>
      <c r="D13095" t="inlineStr">
        <is>
          <t>KALMAR LÄN</t>
        </is>
      </c>
      <c r="E13095" t="inlineStr">
        <is>
          <t>VÄSTERVIK</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2870-2025</t>
        </is>
      </c>
      <c r="B13096" s="1" t="n">
        <v>45677</v>
      </c>
      <c r="C13096" s="1" t="n">
        <v>45715</v>
      </c>
      <c r="D13096" t="inlineStr">
        <is>
          <t>KALMAR LÄN</t>
        </is>
      </c>
      <c r="E13096" t="inlineStr">
        <is>
          <t>VÄSTERVIK</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2874-2025</t>
        </is>
      </c>
      <c r="B13097" s="1" t="n">
        <v>45677</v>
      </c>
      <c r="C13097" s="1" t="n">
        <v>45715</v>
      </c>
      <c r="D13097" t="inlineStr">
        <is>
          <t>KALMAR LÄN</t>
        </is>
      </c>
      <c r="E13097" t="inlineStr">
        <is>
          <t>TORSÅS</t>
        </is>
      </c>
      <c r="G13097" t="n">
        <v>5.5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2827-2025</t>
        </is>
      </c>
      <c r="B13098" s="1" t="n">
        <v>45677</v>
      </c>
      <c r="C13098" s="1" t="n">
        <v>45715</v>
      </c>
      <c r="D13098" t="inlineStr">
        <is>
          <t>KALMAR LÄN</t>
        </is>
      </c>
      <c r="E13098" t="inlineStr">
        <is>
          <t>KALMAR</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2848-2025</t>
        </is>
      </c>
      <c r="B13099" s="1" t="n">
        <v>45677</v>
      </c>
      <c r="C13099" s="1" t="n">
        <v>45715</v>
      </c>
      <c r="D13099" t="inlineStr">
        <is>
          <t>KALMAR LÄN</t>
        </is>
      </c>
      <c r="E13099" t="inlineStr">
        <is>
          <t>EMMABODA</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2865-2025</t>
        </is>
      </c>
      <c r="B13100" s="1" t="n">
        <v>45677</v>
      </c>
      <c r="C13100" s="1" t="n">
        <v>45715</v>
      </c>
      <c r="D13100" t="inlineStr">
        <is>
          <t>KALMAR LÄN</t>
        </is>
      </c>
      <c r="E13100" t="inlineStr">
        <is>
          <t>HULTSFRED</t>
        </is>
      </c>
      <c r="G13100" t="n">
        <v>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2830-2025</t>
        </is>
      </c>
      <c r="B13101" s="1" t="n">
        <v>45677</v>
      </c>
      <c r="C13101" s="1" t="n">
        <v>45715</v>
      </c>
      <c r="D13101" t="inlineStr">
        <is>
          <t>KALMAR LÄN</t>
        </is>
      </c>
      <c r="E13101" t="inlineStr">
        <is>
          <t>VÄSTERVIK</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2856-2025</t>
        </is>
      </c>
      <c r="B13102" s="1" t="n">
        <v>45677</v>
      </c>
      <c r="C13102" s="1" t="n">
        <v>45715</v>
      </c>
      <c r="D13102" t="inlineStr">
        <is>
          <t>KALMAR LÄN</t>
        </is>
      </c>
      <c r="E13102" t="inlineStr">
        <is>
          <t>KALMAR</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2860-2025</t>
        </is>
      </c>
      <c r="B13103" s="1" t="n">
        <v>45677</v>
      </c>
      <c r="C13103" s="1" t="n">
        <v>45715</v>
      </c>
      <c r="D13103" t="inlineStr">
        <is>
          <t>KALMAR LÄN</t>
        </is>
      </c>
      <c r="E13103" t="inlineStr">
        <is>
          <t>NYBRO</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2872-2025</t>
        </is>
      </c>
      <c r="B13104" s="1" t="n">
        <v>45677</v>
      </c>
      <c r="C13104" s="1" t="n">
        <v>45715</v>
      </c>
      <c r="D13104" t="inlineStr">
        <is>
          <t>KALMAR LÄN</t>
        </is>
      </c>
      <c r="E13104" t="inlineStr">
        <is>
          <t>VÄSTERVIK</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2859-2025</t>
        </is>
      </c>
      <c r="B13105" s="1" t="n">
        <v>45677</v>
      </c>
      <c r="C13105" s="1" t="n">
        <v>45715</v>
      </c>
      <c r="D13105" t="inlineStr">
        <is>
          <t>KALMAR LÄN</t>
        </is>
      </c>
      <c r="E13105" t="inlineStr">
        <is>
          <t>VÄSTERVIK</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2854-2025</t>
        </is>
      </c>
      <c r="B13106" s="1" t="n">
        <v>45677</v>
      </c>
      <c r="C13106" s="1" t="n">
        <v>45715</v>
      </c>
      <c r="D13106" t="inlineStr">
        <is>
          <t>KALMAR LÄN</t>
        </is>
      </c>
      <c r="E13106" t="inlineStr">
        <is>
          <t>KALMAR</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2775-2025</t>
        </is>
      </c>
      <c r="B13107" s="1" t="n">
        <v>45677</v>
      </c>
      <c r="C13107" s="1" t="n">
        <v>45715</v>
      </c>
      <c r="D13107" t="inlineStr">
        <is>
          <t>KALMAR LÄN</t>
        </is>
      </c>
      <c r="E13107" t="inlineStr">
        <is>
          <t>VIMMERBY</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2770-2025</t>
        </is>
      </c>
      <c r="B13108" s="1" t="n">
        <v>45677</v>
      </c>
      <c r="C13108" s="1" t="n">
        <v>45715</v>
      </c>
      <c r="D13108" t="inlineStr">
        <is>
          <t>KALMAR LÄN</t>
        </is>
      </c>
      <c r="E13108" t="inlineStr">
        <is>
          <t>KALMAR</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3093-2025</t>
        </is>
      </c>
      <c r="B13109" s="1" t="n">
        <v>45678</v>
      </c>
      <c r="C13109" s="1" t="n">
        <v>45715</v>
      </c>
      <c r="D13109" t="inlineStr">
        <is>
          <t>KALMAR LÄN</t>
        </is>
      </c>
      <c r="E13109" t="inlineStr">
        <is>
          <t>VÄSTERVIK</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3039-2025</t>
        </is>
      </c>
      <c r="B13110" s="1" t="n">
        <v>45678</v>
      </c>
      <c r="C13110" s="1" t="n">
        <v>45715</v>
      </c>
      <c r="D13110" t="inlineStr">
        <is>
          <t>KALMAR LÄN</t>
        </is>
      </c>
      <c r="E13110" t="inlineStr">
        <is>
          <t>NYBRO</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3045-2025</t>
        </is>
      </c>
      <c r="B13111" s="1" t="n">
        <v>45678</v>
      </c>
      <c r="C13111" s="1" t="n">
        <v>45715</v>
      </c>
      <c r="D13111" t="inlineStr">
        <is>
          <t>KALMAR LÄN</t>
        </is>
      </c>
      <c r="E13111" t="inlineStr">
        <is>
          <t>VIMMERBY</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3041-2025</t>
        </is>
      </c>
      <c r="B13112" s="1" t="n">
        <v>45678</v>
      </c>
      <c r="C13112" s="1" t="n">
        <v>45715</v>
      </c>
      <c r="D13112" t="inlineStr">
        <is>
          <t>KALMAR LÄN</t>
        </is>
      </c>
      <c r="E13112" t="inlineStr">
        <is>
          <t>VÄSTERVIK</t>
        </is>
      </c>
      <c r="G13112" t="n">
        <v>0.7</v>
      </c>
      <c r="H13112" t="n">
        <v>0</v>
      </c>
      <c r="I13112" t="n">
        <v>0</v>
      </c>
      <c r="J13112" t="n">
        <v>0</v>
      </c>
      <c r="K13112" t="n">
        <v>0</v>
      </c>
      <c r="L13112" t="n">
        <v>0</v>
      </c>
      <c r="M13112" t="n">
        <v>0</v>
      </c>
      <c r="N13112" t="n">
        <v>0</v>
      </c>
      <c r="O13112" t="n">
        <v>0</v>
      </c>
      <c r="P13112" t="n">
        <v>0</v>
      </c>
      <c r="Q13112" t="n">
        <v>0</v>
      </c>
      <c r="R13112" s="2" t="inlineStr"/>
      <c r="U13112">
        <f>HYPERLINK("https://klasma.github.io/Logging_0883/knärot/A 3041-2025 karta knärot.png", "A 3041-2025")</f>
        <v/>
      </c>
      <c r="V13112">
        <f>HYPERLINK("https://klasma.github.io/Logging_0883/klagomål/A 3041-2025 FSC-klagomål.docx", "A 3041-2025")</f>
        <v/>
      </c>
      <c r="W13112">
        <f>HYPERLINK("https://klasma.github.io/Logging_0883/klagomålsmail/A 3041-2025 FSC-klagomål mail.docx", "A 3041-2025")</f>
        <v/>
      </c>
      <c r="X13112">
        <f>HYPERLINK("https://klasma.github.io/Logging_0883/tillsyn/A 3041-2025 tillsynsbegäran.docx", "A 3041-2025")</f>
        <v/>
      </c>
      <c r="Y13112">
        <f>HYPERLINK("https://klasma.github.io/Logging_0883/tillsynsmail/A 3041-2025 tillsynsbegäran mail.docx", "A 3041-2025")</f>
        <v/>
      </c>
    </row>
    <row r="13113" ht="15" customHeight="1">
      <c r="A13113" t="inlineStr">
        <is>
          <t>A 2951-2025</t>
        </is>
      </c>
      <c r="B13113" s="1" t="n">
        <v>45678</v>
      </c>
      <c r="C13113" s="1" t="n">
        <v>45715</v>
      </c>
      <c r="D13113" t="inlineStr">
        <is>
          <t>KALMAR LÄN</t>
        </is>
      </c>
      <c r="E13113" t="inlineStr">
        <is>
          <t>VÄSTERVIK</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3343-2025</t>
        </is>
      </c>
      <c r="B13114" s="1" t="n">
        <v>45679</v>
      </c>
      <c r="C13114" s="1" t="n">
        <v>45715</v>
      </c>
      <c r="D13114" t="inlineStr">
        <is>
          <t>KALMAR LÄN</t>
        </is>
      </c>
      <c r="E13114" t="inlineStr">
        <is>
          <t>NYBRO</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3342-2025</t>
        </is>
      </c>
      <c r="B13115" s="1" t="n">
        <v>45679</v>
      </c>
      <c r="C13115" s="1" t="n">
        <v>45715</v>
      </c>
      <c r="D13115" t="inlineStr">
        <is>
          <t>KALMAR LÄN</t>
        </is>
      </c>
      <c r="E13115" t="inlineStr">
        <is>
          <t>NYBRO</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3346-2025</t>
        </is>
      </c>
      <c r="B13116" s="1" t="n">
        <v>45679</v>
      </c>
      <c r="C13116" s="1" t="n">
        <v>45715</v>
      </c>
      <c r="D13116" t="inlineStr">
        <is>
          <t>KALMAR LÄN</t>
        </is>
      </c>
      <c r="E13116" t="inlineStr">
        <is>
          <t>NYBRO</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3349-2025</t>
        </is>
      </c>
      <c r="B13117" s="1" t="n">
        <v>45679</v>
      </c>
      <c r="C13117" s="1" t="n">
        <v>45715</v>
      </c>
      <c r="D13117" t="inlineStr">
        <is>
          <t>KALMAR LÄN</t>
        </is>
      </c>
      <c r="E13117" t="inlineStr">
        <is>
          <t>NYBRO</t>
        </is>
      </c>
      <c r="G13117" t="n">
        <v>0.4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3308-2025</t>
        </is>
      </c>
      <c r="B13118" s="1" t="n">
        <v>45679</v>
      </c>
      <c r="C13118" s="1" t="n">
        <v>45715</v>
      </c>
      <c r="D13118" t="inlineStr">
        <is>
          <t>KALMAR LÄN</t>
        </is>
      </c>
      <c r="E13118" t="inlineStr">
        <is>
          <t>NYBRO</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3344-2025</t>
        </is>
      </c>
      <c r="B13119" s="1" t="n">
        <v>45679</v>
      </c>
      <c r="C13119" s="1" t="n">
        <v>45715</v>
      </c>
      <c r="D13119" t="inlineStr">
        <is>
          <t>KALMAR LÄN</t>
        </is>
      </c>
      <c r="E13119" t="inlineStr">
        <is>
          <t>NYBRO</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3539-2025</t>
        </is>
      </c>
      <c r="B13120" s="1" t="n">
        <v>45680</v>
      </c>
      <c r="C13120" s="1" t="n">
        <v>45715</v>
      </c>
      <c r="D13120" t="inlineStr">
        <is>
          <t>KALMAR LÄN</t>
        </is>
      </c>
      <c r="E13120" t="inlineStr">
        <is>
          <t>NYBRO</t>
        </is>
      </c>
      <c r="G13120" t="n">
        <v>3.2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3558-2025</t>
        </is>
      </c>
      <c r="B13121" s="1" t="n">
        <v>45680</v>
      </c>
      <c r="C13121" s="1" t="n">
        <v>45715</v>
      </c>
      <c r="D13121" t="inlineStr">
        <is>
          <t>KALMAR LÄN</t>
        </is>
      </c>
      <c r="E13121" t="inlineStr">
        <is>
          <t>MÖNSTERÅS</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3566-2025</t>
        </is>
      </c>
      <c r="B13122" s="1" t="n">
        <v>45680</v>
      </c>
      <c r="C13122" s="1" t="n">
        <v>45715</v>
      </c>
      <c r="D13122" t="inlineStr">
        <is>
          <t>KALMAR LÄN</t>
        </is>
      </c>
      <c r="E13122" t="inlineStr">
        <is>
          <t>KALMAR</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3540-2025</t>
        </is>
      </c>
      <c r="B13123" s="1" t="n">
        <v>45680</v>
      </c>
      <c r="C13123" s="1" t="n">
        <v>45715</v>
      </c>
      <c r="D13123" t="inlineStr">
        <is>
          <t>KALMAR LÄN</t>
        </is>
      </c>
      <c r="E13123" t="inlineStr">
        <is>
          <t>NYBRO</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3530-2025</t>
        </is>
      </c>
      <c r="B13124" s="1" t="n">
        <v>45680</v>
      </c>
      <c r="C13124" s="1" t="n">
        <v>45715</v>
      </c>
      <c r="D13124" t="inlineStr">
        <is>
          <t>KALMAR LÄN</t>
        </is>
      </c>
      <c r="E13124" t="inlineStr">
        <is>
          <t>HULTSFRED</t>
        </is>
      </c>
      <c r="F13124" t="inlineStr">
        <is>
          <t>Sveaskog</t>
        </is>
      </c>
      <c r="G13124" t="n">
        <v>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3505-2025</t>
        </is>
      </c>
      <c r="B13125" s="1" t="n">
        <v>45680</v>
      </c>
      <c r="C13125" s="1" t="n">
        <v>45715</v>
      </c>
      <c r="D13125" t="inlineStr">
        <is>
          <t>KALMAR LÄN</t>
        </is>
      </c>
      <c r="E13125" t="inlineStr">
        <is>
          <t>HÖGSBY</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3504-2025</t>
        </is>
      </c>
      <c r="B13126" s="1" t="n">
        <v>45680</v>
      </c>
      <c r="C13126" s="1" t="n">
        <v>45715</v>
      </c>
      <c r="D13126" t="inlineStr">
        <is>
          <t>KALMAR LÄN</t>
        </is>
      </c>
      <c r="E13126" t="inlineStr">
        <is>
          <t>HÖGSBY</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3467-2025</t>
        </is>
      </c>
      <c r="B13127" s="1" t="n">
        <v>45680</v>
      </c>
      <c r="C13127" s="1" t="n">
        <v>45715</v>
      </c>
      <c r="D13127" t="inlineStr">
        <is>
          <t>KALMAR LÄN</t>
        </is>
      </c>
      <c r="E13127" t="inlineStr">
        <is>
          <t>VÄSTERVIK</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3453-2025</t>
        </is>
      </c>
      <c r="B13128" s="1" t="n">
        <v>45680</v>
      </c>
      <c r="C13128" s="1" t="n">
        <v>45715</v>
      </c>
      <c r="D13128" t="inlineStr">
        <is>
          <t>KALMAR LÄN</t>
        </is>
      </c>
      <c r="E13128" t="inlineStr">
        <is>
          <t>VÄSTERVIK</t>
        </is>
      </c>
      <c r="F13128" t="inlineStr">
        <is>
          <t>Kommuner</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3781-2025</t>
        </is>
      </c>
      <c r="B13129" s="1" t="n">
        <v>45681</v>
      </c>
      <c r="C13129" s="1" t="n">
        <v>45715</v>
      </c>
      <c r="D13129" t="inlineStr">
        <is>
          <t>KALMAR LÄN</t>
        </is>
      </c>
      <c r="E13129" t="inlineStr">
        <is>
          <t>VÄSTERVIK</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3753-2025</t>
        </is>
      </c>
      <c r="B13130" s="1" t="n">
        <v>45681</v>
      </c>
      <c r="C13130" s="1" t="n">
        <v>45715</v>
      </c>
      <c r="D13130" t="inlineStr">
        <is>
          <t>KALMAR LÄN</t>
        </is>
      </c>
      <c r="E13130" t="inlineStr">
        <is>
          <t>HULTSFRED</t>
        </is>
      </c>
      <c r="G13130" t="n">
        <v>2.3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3629-2025</t>
        </is>
      </c>
      <c r="B13131" s="1" t="n">
        <v>45681</v>
      </c>
      <c r="C13131" s="1" t="n">
        <v>45715</v>
      </c>
      <c r="D13131" t="inlineStr">
        <is>
          <t>KALMAR LÄN</t>
        </is>
      </c>
      <c r="E13131" t="inlineStr">
        <is>
          <t>NYBRO</t>
        </is>
      </c>
      <c r="F13131" t="inlineStr">
        <is>
          <t>Kyrkan</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3679-2025</t>
        </is>
      </c>
      <c r="B13132" s="1" t="n">
        <v>45681</v>
      </c>
      <c r="C13132" s="1" t="n">
        <v>45715</v>
      </c>
      <c r="D13132" t="inlineStr">
        <is>
          <t>KALMAR LÄN</t>
        </is>
      </c>
      <c r="E13132" t="inlineStr">
        <is>
          <t>VÄSTERVIK</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3762-2025</t>
        </is>
      </c>
      <c r="B13133" s="1" t="n">
        <v>45681</v>
      </c>
      <c r="C13133" s="1" t="n">
        <v>45715</v>
      </c>
      <c r="D13133" t="inlineStr">
        <is>
          <t>KALMAR LÄN</t>
        </is>
      </c>
      <c r="E13133" t="inlineStr">
        <is>
          <t>HULTSFRED</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3800-2025</t>
        </is>
      </c>
      <c r="B13134" s="1" t="n">
        <v>45681</v>
      </c>
      <c r="C13134" s="1" t="n">
        <v>45715</v>
      </c>
      <c r="D13134" t="inlineStr">
        <is>
          <t>KALMAR LÄN</t>
        </is>
      </c>
      <c r="E13134" t="inlineStr">
        <is>
          <t>VÄSTERVIK</t>
        </is>
      </c>
      <c r="G13134" t="n">
        <v>2.8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3758-2025</t>
        </is>
      </c>
      <c r="B13135" s="1" t="n">
        <v>45681</v>
      </c>
      <c r="C13135" s="1" t="n">
        <v>45715</v>
      </c>
      <c r="D13135" t="inlineStr">
        <is>
          <t>KALMAR LÄN</t>
        </is>
      </c>
      <c r="E13135" t="inlineStr">
        <is>
          <t>HULTSFRED</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3754-2025</t>
        </is>
      </c>
      <c r="B13136" s="1" t="n">
        <v>45681</v>
      </c>
      <c r="C13136" s="1" t="n">
        <v>45715</v>
      </c>
      <c r="D13136" t="inlineStr">
        <is>
          <t>KALMAR LÄN</t>
        </is>
      </c>
      <c r="E13136" t="inlineStr">
        <is>
          <t>EMMABODA</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3676-2025</t>
        </is>
      </c>
      <c r="B13137" s="1" t="n">
        <v>45681</v>
      </c>
      <c r="C13137" s="1" t="n">
        <v>45715</v>
      </c>
      <c r="D13137" t="inlineStr">
        <is>
          <t>KALMAR LÄN</t>
        </is>
      </c>
      <c r="E13137" t="inlineStr">
        <is>
          <t>HULTSFRED</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3672-2025</t>
        </is>
      </c>
      <c r="B13138" s="1" t="n">
        <v>45681</v>
      </c>
      <c r="C13138" s="1" t="n">
        <v>45715</v>
      </c>
      <c r="D13138" t="inlineStr">
        <is>
          <t>KALMAR LÄN</t>
        </is>
      </c>
      <c r="E13138" t="inlineStr">
        <is>
          <t>HULTSFRED</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3632-2025</t>
        </is>
      </c>
      <c r="B13139" s="1" t="n">
        <v>45681</v>
      </c>
      <c r="C13139" s="1" t="n">
        <v>45715</v>
      </c>
      <c r="D13139" t="inlineStr">
        <is>
          <t>KALMAR LÄN</t>
        </is>
      </c>
      <c r="E13139" t="inlineStr">
        <is>
          <t>NYBRO</t>
        </is>
      </c>
      <c r="F13139" t="inlineStr">
        <is>
          <t>Kyrkan</t>
        </is>
      </c>
      <c r="G13139" t="n">
        <v>7.7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3916-2025</t>
        </is>
      </c>
      <c r="B13140" s="1" t="n">
        <v>45684</v>
      </c>
      <c r="C13140" s="1" t="n">
        <v>45715</v>
      </c>
      <c r="D13140" t="inlineStr">
        <is>
          <t>KALMAR LÄN</t>
        </is>
      </c>
      <c r="E13140" t="inlineStr">
        <is>
          <t>KALMAR</t>
        </is>
      </c>
      <c r="G13140" t="n">
        <v>19.7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4060-2025</t>
        </is>
      </c>
      <c r="B13141" s="1" t="n">
        <v>45684</v>
      </c>
      <c r="C13141" s="1" t="n">
        <v>45715</v>
      </c>
      <c r="D13141" t="inlineStr">
        <is>
          <t>KALMAR LÄN</t>
        </is>
      </c>
      <c r="E13141" t="inlineStr">
        <is>
          <t>VIMMERBY</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4089-2025</t>
        </is>
      </c>
      <c r="B13142" s="1" t="n">
        <v>45684</v>
      </c>
      <c r="C13142" s="1" t="n">
        <v>45715</v>
      </c>
      <c r="D13142" t="inlineStr">
        <is>
          <t>KALMAR LÄN</t>
        </is>
      </c>
      <c r="E13142" t="inlineStr">
        <is>
          <t>EMMABODA</t>
        </is>
      </c>
      <c r="G13142" t="n">
        <v>2.9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4166-2025</t>
        </is>
      </c>
      <c r="B13143" s="1" t="n">
        <v>45685</v>
      </c>
      <c r="C13143" s="1" t="n">
        <v>45715</v>
      </c>
      <c r="D13143" t="inlineStr">
        <is>
          <t>KALMAR LÄN</t>
        </is>
      </c>
      <c r="E13143" t="inlineStr">
        <is>
          <t>NYBRO</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4268-2025</t>
        </is>
      </c>
      <c r="B13144" s="1" t="n">
        <v>45685</v>
      </c>
      <c r="C13144" s="1" t="n">
        <v>45715</v>
      </c>
      <c r="D13144" t="inlineStr">
        <is>
          <t>KALMAR LÄN</t>
        </is>
      </c>
      <c r="E13144" t="inlineStr">
        <is>
          <t>MÖNSTERÅS</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4264-2025</t>
        </is>
      </c>
      <c r="B13145" s="1" t="n">
        <v>45685</v>
      </c>
      <c r="C13145" s="1" t="n">
        <v>45715</v>
      </c>
      <c r="D13145" t="inlineStr">
        <is>
          <t>KALMAR LÄN</t>
        </is>
      </c>
      <c r="E13145" t="inlineStr">
        <is>
          <t>MÖNSTERÅS</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4258-2025</t>
        </is>
      </c>
      <c r="B13146" s="1" t="n">
        <v>45685</v>
      </c>
      <c r="C13146" s="1" t="n">
        <v>45715</v>
      </c>
      <c r="D13146" t="inlineStr">
        <is>
          <t>KALMAR LÄN</t>
        </is>
      </c>
      <c r="E13146" t="inlineStr">
        <is>
          <t>MÖNSTERÅS</t>
        </is>
      </c>
      <c r="G13146" t="n">
        <v>7.6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4326-2025</t>
        </is>
      </c>
      <c r="B13147" s="1" t="n">
        <v>45685</v>
      </c>
      <c r="C13147" s="1" t="n">
        <v>45715</v>
      </c>
      <c r="D13147" t="inlineStr">
        <is>
          <t>KALMAR LÄN</t>
        </is>
      </c>
      <c r="E13147" t="inlineStr">
        <is>
          <t>NYBRO</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4223-2025</t>
        </is>
      </c>
      <c r="B13148" s="1" t="n">
        <v>45685</v>
      </c>
      <c r="C13148" s="1" t="n">
        <v>45715</v>
      </c>
      <c r="D13148" t="inlineStr">
        <is>
          <t>KALMAR LÄN</t>
        </is>
      </c>
      <c r="E13148" t="inlineStr">
        <is>
          <t>HULTSFRED</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4180-2025</t>
        </is>
      </c>
      <c r="B13149" s="1" t="n">
        <v>45685</v>
      </c>
      <c r="C13149" s="1" t="n">
        <v>45715</v>
      </c>
      <c r="D13149" t="inlineStr">
        <is>
          <t>KALMAR LÄN</t>
        </is>
      </c>
      <c r="E13149" t="inlineStr">
        <is>
          <t>NYBRO</t>
        </is>
      </c>
      <c r="G13149" t="n">
        <v>5.9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4241-2025</t>
        </is>
      </c>
      <c r="B13150" s="1" t="n">
        <v>45685</v>
      </c>
      <c r="C13150" s="1" t="n">
        <v>45715</v>
      </c>
      <c r="D13150" t="inlineStr">
        <is>
          <t>KALMAR LÄN</t>
        </is>
      </c>
      <c r="E13150" t="inlineStr">
        <is>
          <t>KALMAR</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4345-2025</t>
        </is>
      </c>
      <c r="B13151" s="1" t="n">
        <v>45685</v>
      </c>
      <c r="C13151" s="1" t="n">
        <v>45715</v>
      </c>
      <c r="D13151" t="inlineStr">
        <is>
          <t>KALMAR LÄN</t>
        </is>
      </c>
      <c r="E13151" t="inlineStr">
        <is>
          <t>VÄSTERVIK</t>
        </is>
      </c>
      <c r="F13151" t="inlineStr">
        <is>
          <t>Holmen skog AB</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4373-2025</t>
        </is>
      </c>
      <c r="B13152" s="1" t="n">
        <v>45686</v>
      </c>
      <c r="C13152" s="1" t="n">
        <v>45715</v>
      </c>
      <c r="D13152" t="inlineStr">
        <is>
          <t>KALMAR LÄN</t>
        </is>
      </c>
      <c r="E13152" t="inlineStr">
        <is>
          <t>EMMABODA</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4472-2025</t>
        </is>
      </c>
      <c r="B13153" s="1" t="n">
        <v>45686</v>
      </c>
      <c r="C13153" s="1" t="n">
        <v>45715</v>
      </c>
      <c r="D13153" t="inlineStr">
        <is>
          <t>KALMAR LÄN</t>
        </is>
      </c>
      <c r="E13153" t="inlineStr">
        <is>
          <t>MÖNSTERÅS</t>
        </is>
      </c>
      <c r="G13153" t="n">
        <v>4.2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4474-2025</t>
        </is>
      </c>
      <c r="B13154" s="1" t="n">
        <v>45686</v>
      </c>
      <c r="C13154" s="1" t="n">
        <v>45715</v>
      </c>
      <c r="D13154" t="inlineStr">
        <is>
          <t>KALMAR LÄN</t>
        </is>
      </c>
      <c r="E13154" t="inlineStr">
        <is>
          <t>MÖNSTERÅS</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4478-2025</t>
        </is>
      </c>
      <c r="B13155" s="1" t="n">
        <v>45686</v>
      </c>
      <c r="C13155" s="1" t="n">
        <v>45715</v>
      </c>
      <c r="D13155" t="inlineStr">
        <is>
          <t>KALMAR LÄN</t>
        </is>
      </c>
      <c r="E13155" t="inlineStr">
        <is>
          <t>HULTSFRED</t>
        </is>
      </c>
      <c r="G13155" t="n">
        <v>5.3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4490-2025</t>
        </is>
      </c>
      <c r="B13156" s="1" t="n">
        <v>45686</v>
      </c>
      <c r="C13156" s="1" t="n">
        <v>45715</v>
      </c>
      <c r="D13156" t="inlineStr">
        <is>
          <t>KALMAR LÄN</t>
        </is>
      </c>
      <c r="E13156" t="inlineStr">
        <is>
          <t>VÄSTERVIK</t>
        </is>
      </c>
      <c r="F13156" t="inlineStr">
        <is>
          <t>Holmen skog AB</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4374-2025</t>
        </is>
      </c>
      <c r="B13157" s="1" t="n">
        <v>45686</v>
      </c>
      <c r="C13157" s="1" t="n">
        <v>45715</v>
      </c>
      <c r="D13157" t="inlineStr">
        <is>
          <t>KALMAR LÄN</t>
        </is>
      </c>
      <c r="E13157" t="inlineStr">
        <is>
          <t>EMMABODA</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4461-2025</t>
        </is>
      </c>
      <c r="B13158" s="1" t="n">
        <v>45686</v>
      </c>
      <c r="C13158" s="1" t="n">
        <v>45715</v>
      </c>
      <c r="D13158" t="inlineStr">
        <is>
          <t>KALMAR LÄN</t>
        </is>
      </c>
      <c r="E13158" t="inlineStr">
        <is>
          <t>VÄSTERVIK</t>
        </is>
      </c>
      <c r="G13158" t="n">
        <v>0.8</v>
      </c>
      <c r="H13158" t="n">
        <v>0</v>
      </c>
      <c r="I13158" t="n">
        <v>0</v>
      </c>
      <c r="J13158" t="n">
        <v>0</v>
      </c>
      <c r="K13158" t="n">
        <v>0</v>
      </c>
      <c r="L13158" t="n">
        <v>0</v>
      </c>
      <c r="M13158" t="n">
        <v>0</v>
      </c>
      <c r="N13158" t="n">
        <v>0</v>
      </c>
      <c r="O13158" t="n">
        <v>0</v>
      </c>
      <c r="P13158" t="n">
        <v>0</v>
      </c>
      <c r="Q13158" t="n">
        <v>0</v>
      </c>
      <c r="R13158" s="2" t="inlineStr"/>
      <c r="U13158">
        <f>HYPERLINK("https://klasma.github.io/Logging_0883/knärot/A 4461-2025 karta knärot.png", "A 4461-2025")</f>
        <v/>
      </c>
      <c r="V13158">
        <f>HYPERLINK("https://klasma.github.io/Logging_0883/klagomål/A 4461-2025 FSC-klagomål.docx", "A 4461-2025")</f>
        <v/>
      </c>
      <c r="W13158">
        <f>HYPERLINK("https://klasma.github.io/Logging_0883/klagomålsmail/A 4461-2025 FSC-klagomål mail.docx", "A 4461-2025")</f>
        <v/>
      </c>
      <c r="X13158">
        <f>HYPERLINK("https://klasma.github.io/Logging_0883/tillsyn/A 4461-2025 tillsynsbegäran.docx", "A 4461-2025")</f>
        <v/>
      </c>
      <c r="Y13158">
        <f>HYPERLINK("https://klasma.github.io/Logging_0883/tillsynsmail/A 4461-2025 tillsynsbegäran mail.docx", "A 4461-2025")</f>
        <v/>
      </c>
    </row>
    <row r="13159" ht="15" customHeight="1">
      <c r="A13159" t="inlineStr">
        <is>
          <t>A 4651-2025</t>
        </is>
      </c>
      <c r="B13159" s="1" t="n">
        <v>45687</v>
      </c>
      <c r="C13159" s="1" t="n">
        <v>45715</v>
      </c>
      <c r="D13159" t="inlineStr">
        <is>
          <t>KALMAR LÄN</t>
        </is>
      </c>
      <c r="E13159" t="inlineStr">
        <is>
          <t>OSKARSHAMN</t>
        </is>
      </c>
      <c r="G13159" t="n">
        <v>3.7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4612-2025</t>
        </is>
      </c>
      <c r="B13160" s="1" t="n">
        <v>45687</v>
      </c>
      <c r="C13160" s="1" t="n">
        <v>45715</v>
      </c>
      <c r="D13160" t="inlineStr">
        <is>
          <t>KALMAR LÄN</t>
        </is>
      </c>
      <c r="E13160" t="inlineStr">
        <is>
          <t>NYBRO</t>
        </is>
      </c>
      <c r="G13160" t="n">
        <v>4.7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4656-2025</t>
        </is>
      </c>
      <c r="B13161" s="1" t="n">
        <v>45687</v>
      </c>
      <c r="C13161" s="1" t="n">
        <v>45715</v>
      </c>
      <c r="D13161" t="inlineStr">
        <is>
          <t>KALMAR LÄN</t>
        </is>
      </c>
      <c r="E13161" t="inlineStr">
        <is>
          <t>EMMABODA</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4769-2025</t>
        </is>
      </c>
      <c r="B13162" s="1" t="n">
        <v>45688</v>
      </c>
      <c r="C13162" s="1" t="n">
        <v>45715</v>
      </c>
      <c r="D13162" t="inlineStr">
        <is>
          <t>KALMAR LÄN</t>
        </is>
      </c>
      <c r="E13162" t="inlineStr">
        <is>
          <t>KALMAR</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4747-2025</t>
        </is>
      </c>
      <c r="B13163" s="1" t="n">
        <v>45688</v>
      </c>
      <c r="C13163" s="1" t="n">
        <v>45715</v>
      </c>
      <c r="D13163" t="inlineStr">
        <is>
          <t>KALMAR LÄN</t>
        </is>
      </c>
      <c r="E13163" t="inlineStr">
        <is>
          <t>EMMABODA</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4763-2025</t>
        </is>
      </c>
      <c r="B13164" s="1" t="n">
        <v>45688</v>
      </c>
      <c r="C13164" s="1" t="n">
        <v>45715</v>
      </c>
      <c r="D13164" t="inlineStr">
        <is>
          <t>KALMAR LÄN</t>
        </is>
      </c>
      <c r="E13164" t="inlineStr">
        <is>
          <t>HULTSFRED</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4817-2025</t>
        </is>
      </c>
      <c r="B13165" s="1" t="n">
        <v>45688</v>
      </c>
      <c r="C13165" s="1" t="n">
        <v>45715</v>
      </c>
      <c r="D13165" t="inlineStr">
        <is>
          <t>KALMAR LÄN</t>
        </is>
      </c>
      <c r="E13165" t="inlineStr">
        <is>
          <t>OSKARSHAMN</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4823-2025</t>
        </is>
      </c>
      <c r="B13166" s="1" t="n">
        <v>45688</v>
      </c>
      <c r="C13166" s="1" t="n">
        <v>45715</v>
      </c>
      <c r="D13166" t="inlineStr">
        <is>
          <t>KALMAR LÄN</t>
        </is>
      </c>
      <c r="E13166" t="inlineStr">
        <is>
          <t>OSKARSHAMN</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4688-2025</t>
        </is>
      </c>
      <c r="B13167" s="1" t="n">
        <v>45688</v>
      </c>
      <c r="C13167" s="1" t="n">
        <v>45715</v>
      </c>
      <c r="D13167" t="inlineStr">
        <is>
          <t>KALMAR LÄN</t>
        </is>
      </c>
      <c r="E13167" t="inlineStr">
        <is>
          <t>TORSÅS</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4818-2025</t>
        </is>
      </c>
      <c r="B13168" s="1" t="n">
        <v>45688</v>
      </c>
      <c r="C13168" s="1" t="n">
        <v>45715</v>
      </c>
      <c r="D13168" t="inlineStr">
        <is>
          <t>KALMAR LÄN</t>
        </is>
      </c>
      <c r="E13168" t="inlineStr">
        <is>
          <t>OSKARSHAMN</t>
        </is>
      </c>
      <c r="G13168" t="n">
        <v>5.2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4822-2025</t>
        </is>
      </c>
      <c r="B13169" s="1" t="n">
        <v>45688</v>
      </c>
      <c r="C13169" s="1" t="n">
        <v>45715</v>
      </c>
      <c r="D13169" t="inlineStr">
        <is>
          <t>KALMAR LÄN</t>
        </is>
      </c>
      <c r="E13169" t="inlineStr">
        <is>
          <t>OSKARSHAMN</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4762-2025</t>
        </is>
      </c>
      <c r="B13170" s="1" t="n">
        <v>45688</v>
      </c>
      <c r="C13170" s="1" t="n">
        <v>45715</v>
      </c>
      <c r="D13170" t="inlineStr">
        <is>
          <t>KALMAR LÄN</t>
        </is>
      </c>
      <c r="E13170" t="inlineStr">
        <is>
          <t>KALMAR</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4713-2025</t>
        </is>
      </c>
      <c r="B13171" s="1" t="n">
        <v>45688</v>
      </c>
      <c r="C13171" s="1" t="n">
        <v>45715</v>
      </c>
      <c r="D13171" t="inlineStr">
        <is>
          <t>KALMAR LÄN</t>
        </is>
      </c>
      <c r="E13171" t="inlineStr">
        <is>
          <t>TORSÅS</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5192-2025</t>
        </is>
      </c>
      <c r="B13172" s="1" t="n">
        <v>45688</v>
      </c>
      <c r="C13172" s="1" t="n">
        <v>45715</v>
      </c>
      <c r="D13172" t="inlineStr">
        <is>
          <t>KALMAR LÄN</t>
        </is>
      </c>
      <c r="E13172" t="inlineStr">
        <is>
          <t>EMMABODA</t>
        </is>
      </c>
      <c r="G13172" t="n">
        <v>3.6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4739-2025</t>
        </is>
      </c>
      <c r="B13173" s="1" t="n">
        <v>45688</v>
      </c>
      <c r="C13173" s="1" t="n">
        <v>45715</v>
      </c>
      <c r="D13173" t="inlineStr">
        <is>
          <t>KALMAR LÄN</t>
        </is>
      </c>
      <c r="E13173" t="inlineStr">
        <is>
          <t>HÖGSBY</t>
        </is>
      </c>
      <c r="G13173" t="n">
        <v>4.6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5202-2025</t>
        </is>
      </c>
      <c r="B13174" s="1" t="n">
        <v>45688</v>
      </c>
      <c r="C13174" s="1" t="n">
        <v>45715</v>
      </c>
      <c r="D13174" t="inlineStr">
        <is>
          <t>KALMAR LÄN</t>
        </is>
      </c>
      <c r="E13174" t="inlineStr">
        <is>
          <t>EMMABODA</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5200-2025</t>
        </is>
      </c>
      <c r="B13175" s="1" t="n">
        <v>45688</v>
      </c>
      <c r="C13175" s="1" t="n">
        <v>45715</v>
      </c>
      <c r="D13175" t="inlineStr">
        <is>
          <t>KALMAR LÄN</t>
        </is>
      </c>
      <c r="E13175" t="inlineStr">
        <is>
          <t>EMMABODA</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5181-2025</t>
        </is>
      </c>
      <c r="B13176" s="1" t="n">
        <v>45688</v>
      </c>
      <c r="C13176" s="1" t="n">
        <v>45715</v>
      </c>
      <c r="D13176" t="inlineStr">
        <is>
          <t>KALMAR LÄN</t>
        </is>
      </c>
      <c r="E13176" t="inlineStr">
        <is>
          <t>EMMABODA</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5212-2025</t>
        </is>
      </c>
      <c r="B13177" s="1" t="n">
        <v>45688</v>
      </c>
      <c r="C13177" s="1" t="n">
        <v>45715</v>
      </c>
      <c r="D13177" t="inlineStr">
        <is>
          <t>KALMAR LÄN</t>
        </is>
      </c>
      <c r="E13177" t="inlineStr">
        <is>
          <t>EMMABODA</t>
        </is>
      </c>
      <c r="G13177" t="n">
        <v>9.699999999999999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4965-2025</t>
        </is>
      </c>
      <c r="B13178" s="1" t="n">
        <v>45690</v>
      </c>
      <c r="C13178" s="1" t="n">
        <v>45715</v>
      </c>
      <c r="D13178" t="inlineStr">
        <is>
          <t>KALMAR LÄN</t>
        </is>
      </c>
      <c r="E13178" t="inlineStr">
        <is>
          <t>HULTSFRED</t>
        </is>
      </c>
      <c r="F13178" t="inlineStr">
        <is>
          <t>Sveaskog</t>
        </is>
      </c>
      <c r="G13178" t="n">
        <v>5.9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5016-2025</t>
        </is>
      </c>
      <c r="B13179" s="1" t="n">
        <v>45691</v>
      </c>
      <c r="C13179" s="1" t="n">
        <v>45715</v>
      </c>
      <c r="D13179" t="inlineStr">
        <is>
          <t>KALMAR LÄN</t>
        </is>
      </c>
      <c r="E13179" t="inlineStr">
        <is>
          <t>EMMABODA</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5020-2025</t>
        </is>
      </c>
      <c r="B13180" s="1" t="n">
        <v>45691</v>
      </c>
      <c r="C13180" s="1" t="n">
        <v>45715</v>
      </c>
      <c r="D13180" t="inlineStr">
        <is>
          <t>KALMAR LÄN</t>
        </is>
      </c>
      <c r="E13180" t="inlineStr">
        <is>
          <t>EMMABODA</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5000-2025</t>
        </is>
      </c>
      <c r="B13181" s="1" t="n">
        <v>45691</v>
      </c>
      <c r="C13181" s="1" t="n">
        <v>45715</v>
      </c>
      <c r="D13181" t="inlineStr">
        <is>
          <t>KALMAR LÄN</t>
        </is>
      </c>
      <c r="E13181" t="inlineStr">
        <is>
          <t>HULTSFRED</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5060-2025</t>
        </is>
      </c>
      <c r="B13182" s="1" t="n">
        <v>45691</v>
      </c>
      <c r="C13182" s="1" t="n">
        <v>45715</v>
      </c>
      <c r="D13182" t="inlineStr">
        <is>
          <t>KALMAR LÄN</t>
        </is>
      </c>
      <c r="E13182" t="inlineStr">
        <is>
          <t>VÄSTERVIK</t>
        </is>
      </c>
      <c r="F13182" t="inlineStr">
        <is>
          <t>Holmen skog AB</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5061-2025</t>
        </is>
      </c>
      <c r="B13183" s="1" t="n">
        <v>45691</v>
      </c>
      <c r="C13183" s="1" t="n">
        <v>45715</v>
      </c>
      <c r="D13183" t="inlineStr">
        <is>
          <t>KALMAR LÄN</t>
        </is>
      </c>
      <c r="E13183" t="inlineStr">
        <is>
          <t>HÖGSBY</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5065-2025</t>
        </is>
      </c>
      <c r="B13184" s="1" t="n">
        <v>45691</v>
      </c>
      <c r="C13184" s="1" t="n">
        <v>45715</v>
      </c>
      <c r="D13184" t="inlineStr">
        <is>
          <t>KALMAR LÄN</t>
        </is>
      </c>
      <c r="E13184" t="inlineStr">
        <is>
          <t>HÖGSBY</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5088-2025</t>
        </is>
      </c>
      <c r="B13185" s="1" t="n">
        <v>45691</v>
      </c>
      <c r="C13185" s="1" t="n">
        <v>45715</v>
      </c>
      <c r="D13185" t="inlineStr">
        <is>
          <t>KALMAR LÄN</t>
        </is>
      </c>
      <c r="E13185" t="inlineStr">
        <is>
          <t>HÖGSBY</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5002-2025</t>
        </is>
      </c>
      <c r="B13186" s="1" t="n">
        <v>45691</v>
      </c>
      <c r="C13186" s="1" t="n">
        <v>45715</v>
      </c>
      <c r="D13186" t="inlineStr">
        <is>
          <t>KALMAR LÄN</t>
        </is>
      </c>
      <c r="E13186" t="inlineStr">
        <is>
          <t>HULTSFRED</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5079-2025</t>
        </is>
      </c>
      <c r="B13187" s="1" t="n">
        <v>45691</v>
      </c>
      <c r="C13187" s="1" t="n">
        <v>45715</v>
      </c>
      <c r="D13187" t="inlineStr">
        <is>
          <t>KALMAR LÄN</t>
        </is>
      </c>
      <c r="E13187" t="inlineStr">
        <is>
          <t>VÄSTERVIK</t>
        </is>
      </c>
      <c r="F13187" t="inlineStr">
        <is>
          <t>Holmen skog AB</t>
        </is>
      </c>
      <c r="G13187" t="n">
        <v>3.3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5100-2025</t>
        </is>
      </c>
      <c r="B13188" s="1" t="n">
        <v>45691</v>
      </c>
      <c r="C13188" s="1" t="n">
        <v>45715</v>
      </c>
      <c r="D13188" t="inlineStr">
        <is>
          <t>KALMAR LÄN</t>
        </is>
      </c>
      <c r="E13188" t="inlineStr">
        <is>
          <t>OSKARSHAMN</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5104-2025</t>
        </is>
      </c>
      <c r="B13189" s="1" t="n">
        <v>45691</v>
      </c>
      <c r="C13189" s="1" t="n">
        <v>45715</v>
      </c>
      <c r="D13189" t="inlineStr">
        <is>
          <t>KALMAR LÄN</t>
        </is>
      </c>
      <c r="E13189" t="inlineStr">
        <is>
          <t>VIMMERBY</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5099-2025</t>
        </is>
      </c>
      <c r="B13190" s="1" t="n">
        <v>45691</v>
      </c>
      <c r="C13190" s="1" t="n">
        <v>45715</v>
      </c>
      <c r="D13190" t="inlineStr">
        <is>
          <t>KALMAR LÄN</t>
        </is>
      </c>
      <c r="E13190" t="inlineStr">
        <is>
          <t>OSKARSHAMN</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5103-2025</t>
        </is>
      </c>
      <c r="B13191" s="1" t="n">
        <v>45691</v>
      </c>
      <c r="C13191" s="1" t="n">
        <v>45715</v>
      </c>
      <c r="D13191" t="inlineStr">
        <is>
          <t>KALMAR LÄN</t>
        </is>
      </c>
      <c r="E13191" t="inlineStr">
        <is>
          <t>OSKARSHAMN</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5107-2025</t>
        </is>
      </c>
      <c r="B13192" s="1" t="n">
        <v>45691</v>
      </c>
      <c r="C13192" s="1" t="n">
        <v>45715</v>
      </c>
      <c r="D13192" t="inlineStr">
        <is>
          <t>KALMAR LÄN</t>
        </is>
      </c>
      <c r="E13192" t="inlineStr">
        <is>
          <t>TORSÅS</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5156-2025</t>
        </is>
      </c>
      <c r="B13193" s="1" t="n">
        <v>45691</v>
      </c>
      <c r="C13193" s="1" t="n">
        <v>45715</v>
      </c>
      <c r="D13193" t="inlineStr">
        <is>
          <t>KALMAR LÄN</t>
        </is>
      </c>
      <c r="E13193" t="inlineStr">
        <is>
          <t>VIMMERBY</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5139-2025</t>
        </is>
      </c>
      <c r="B13194" s="1" t="n">
        <v>45691</v>
      </c>
      <c r="C13194" s="1" t="n">
        <v>45715</v>
      </c>
      <c r="D13194" t="inlineStr">
        <is>
          <t>KALMAR LÄN</t>
        </is>
      </c>
      <c r="E13194" t="inlineStr">
        <is>
          <t>OSKARSHAMN</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5106-2025</t>
        </is>
      </c>
      <c r="B13195" s="1" t="n">
        <v>45691</v>
      </c>
      <c r="C13195" s="1" t="n">
        <v>45715</v>
      </c>
      <c r="D13195" t="inlineStr">
        <is>
          <t>KALMAR LÄN</t>
        </is>
      </c>
      <c r="E13195" t="inlineStr">
        <is>
          <t>OSKARSHAMN</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5118-2025</t>
        </is>
      </c>
      <c r="B13196" s="1" t="n">
        <v>45691</v>
      </c>
      <c r="C13196" s="1" t="n">
        <v>45715</v>
      </c>
      <c r="D13196" t="inlineStr">
        <is>
          <t>KALMAR LÄN</t>
        </is>
      </c>
      <c r="E13196" t="inlineStr">
        <is>
          <t>VÄSTERVIK</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5134-2025</t>
        </is>
      </c>
      <c r="B13197" s="1" t="n">
        <v>45691</v>
      </c>
      <c r="C13197" s="1" t="n">
        <v>45715</v>
      </c>
      <c r="D13197" t="inlineStr">
        <is>
          <t>KALMAR LÄN</t>
        </is>
      </c>
      <c r="E13197" t="inlineStr">
        <is>
          <t>OSKARSHAMN</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5201-2025</t>
        </is>
      </c>
      <c r="B13198" s="1" t="n">
        <v>45691</v>
      </c>
      <c r="C13198" s="1" t="n">
        <v>45715</v>
      </c>
      <c r="D13198" t="inlineStr">
        <is>
          <t>KALMAR LÄN</t>
        </is>
      </c>
      <c r="E13198" t="inlineStr">
        <is>
          <t>OSKARSHAMN</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5206-2025</t>
        </is>
      </c>
      <c r="B13199" s="1" t="n">
        <v>45691</v>
      </c>
      <c r="C13199" s="1" t="n">
        <v>45715</v>
      </c>
      <c r="D13199" t="inlineStr">
        <is>
          <t>KALMAR LÄN</t>
        </is>
      </c>
      <c r="E13199" t="inlineStr">
        <is>
          <t>HULTSFRED</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5145-2025</t>
        </is>
      </c>
      <c r="B13200" s="1" t="n">
        <v>45691</v>
      </c>
      <c r="C13200" s="1" t="n">
        <v>45715</v>
      </c>
      <c r="D13200" t="inlineStr">
        <is>
          <t>KALMAR LÄN</t>
        </is>
      </c>
      <c r="E13200" t="inlineStr">
        <is>
          <t>OSKARSHAMN</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5205-2025</t>
        </is>
      </c>
      <c r="B13201" s="1" t="n">
        <v>45691</v>
      </c>
      <c r="C13201" s="1" t="n">
        <v>45715</v>
      </c>
      <c r="D13201" t="inlineStr">
        <is>
          <t>KALMAR LÄN</t>
        </is>
      </c>
      <c r="E13201" t="inlineStr">
        <is>
          <t>HULTSFRED</t>
        </is>
      </c>
      <c r="G13201" t="n">
        <v>3.5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5234-2025</t>
        </is>
      </c>
      <c r="B13202" s="1" t="n">
        <v>45692</v>
      </c>
      <c r="C13202" s="1" t="n">
        <v>45715</v>
      </c>
      <c r="D13202" t="inlineStr">
        <is>
          <t>KALMAR LÄN</t>
        </is>
      </c>
      <c r="E13202" t="inlineStr">
        <is>
          <t>EMMABODA</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5388-2025</t>
        </is>
      </c>
      <c r="B13203" s="1" t="n">
        <v>45692</v>
      </c>
      <c r="C13203" s="1" t="n">
        <v>45715</v>
      </c>
      <c r="D13203" t="inlineStr">
        <is>
          <t>KALMAR LÄN</t>
        </is>
      </c>
      <c r="E13203" t="inlineStr">
        <is>
          <t>NYBRO</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5412-2025</t>
        </is>
      </c>
      <c r="B13204" s="1" t="n">
        <v>45692</v>
      </c>
      <c r="C13204" s="1" t="n">
        <v>45715</v>
      </c>
      <c r="D13204" t="inlineStr">
        <is>
          <t>KALMAR LÄN</t>
        </is>
      </c>
      <c r="E13204" t="inlineStr">
        <is>
          <t>OSKARSHAMN</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5410-2025</t>
        </is>
      </c>
      <c r="B13205" s="1" t="n">
        <v>45692</v>
      </c>
      <c r="C13205" s="1" t="n">
        <v>45715</v>
      </c>
      <c r="D13205" t="inlineStr">
        <is>
          <t>KALMAR LÄN</t>
        </is>
      </c>
      <c r="E13205" t="inlineStr">
        <is>
          <t>OSKARSHAMN</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5430-2025</t>
        </is>
      </c>
      <c r="B13206" s="1" t="n">
        <v>45692</v>
      </c>
      <c r="C13206" s="1" t="n">
        <v>45715</v>
      </c>
      <c r="D13206" t="inlineStr">
        <is>
          <t>KALMAR LÄN</t>
        </is>
      </c>
      <c r="E13206" t="inlineStr">
        <is>
          <t>HÖGSBY</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5413-2025</t>
        </is>
      </c>
      <c r="B13207" s="1" t="n">
        <v>45692</v>
      </c>
      <c r="C13207" s="1" t="n">
        <v>45715</v>
      </c>
      <c r="D13207" t="inlineStr">
        <is>
          <t>KALMAR LÄN</t>
        </is>
      </c>
      <c r="E13207" t="inlineStr">
        <is>
          <t>VIMMERBY</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5429-2025</t>
        </is>
      </c>
      <c r="B13208" s="1" t="n">
        <v>45692</v>
      </c>
      <c r="C13208" s="1" t="n">
        <v>45715</v>
      </c>
      <c r="D13208" t="inlineStr">
        <is>
          <t>KALMAR LÄN</t>
        </is>
      </c>
      <c r="E13208" t="inlineStr">
        <is>
          <t>HÖGSBY</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5503-2025</t>
        </is>
      </c>
      <c r="B13209" s="1" t="n">
        <v>45693</v>
      </c>
      <c r="C13209" s="1" t="n">
        <v>45715</v>
      </c>
      <c r="D13209" t="inlineStr">
        <is>
          <t>KALMAR LÄN</t>
        </is>
      </c>
      <c r="E13209" t="inlineStr">
        <is>
          <t>HULTSFRED</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5587-2025</t>
        </is>
      </c>
      <c r="B13210" s="1" t="n">
        <v>45693</v>
      </c>
      <c r="C13210" s="1" t="n">
        <v>45715</v>
      </c>
      <c r="D13210" t="inlineStr">
        <is>
          <t>KALMAR LÄN</t>
        </is>
      </c>
      <c r="E13210" t="inlineStr">
        <is>
          <t>HULTSFRED</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5589-2025</t>
        </is>
      </c>
      <c r="B13211" s="1" t="n">
        <v>45693</v>
      </c>
      <c r="C13211" s="1" t="n">
        <v>45715</v>
      </c>
      <c r="D13211" t="inlineStr">
        <is>
          <t>KALMAR LÄN</t>
        </is>
      </c>
      <c r="E13211" t="inlineStr">
        <is>
          <t>HULTSFRED</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5584-2025</t>
        </is>
      </c>
      <c r="B13212" s="1" t="n">
        <v>45693</v>
      </c>
      <c r="C13212" s="1" t="n">
        <v>45715</v>
      </c>
      <c r="D13212" t="inlineStr">
        <is>
          <t>KALMAR LÄN</t>
        </is>
      </c>
      <c r="E13212" t="inlineStr">
        <is>
          <t>HULTSFRED</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5691-2025</t>
        </is>
      </c>
      <c r="B13213" s="1" t="n">
        <v>45694</v>
      </c>
      <c r="C13213" s="1" t="n">
        <v>45715</v>
      </c>
      <c r="D13213" t="inlineStr">
        <is>
          <t>KALMAR LÄN</t>
        </is>
      </c>
      <c r="E13213" t="inlineStr">
        <is>
          <t>VÄSTERVIK</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5686-2025</t>
        </is>
      </c>
      <c r="B13214" s="1" t="n">
        <v>45694</v>
      </c>
      <c r="C13214" s="1" t="n">
        <v>45715</v>
      </c>
      <c r="D13214" t="inlineStr">
        <is>
          <t>KALMAR LÄN</t>
        </is>
      </c>
      <c r="E13214" t="inlineStr">
        <is>
          <t>NYBRO</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5771-2025</t>
        </is>
      </c>
      <c r="B13215" s="1" t="n">
        <v>45694</v>
      </c>
      <c r="C13215" s="1" t="n">
        <v>45715</v>
      </c>
      <c r="D13215" t="inlineStr">
        <is>
          <t>KALMAR LÄN</t>
        </is>
      </c>
      <c r="E13215" t="inlineStr">
        <is>
          <t>TORSÅS</t>
        </is>
      </c>
      <c r="G13215" t="n">
        <v>3.9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5900-2025</t>
        </is>
      </c>
      <c r="B13216" s="1" t="n">
        <v>45695</v>
      </c>
      <c r="C13216" s="1" t="n">
        <v>45715</v>
      </c>
      <c r="D13216" t="inlineStr">
        <is>
          <t>KALMAR LÄN</t>
        </is>
      </c>
      <c r="E13216" t="inlineStr">
        <is>
          <t>OSKARSHAMN</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5890-2025</t>
        </is>
      </c>
      <c r="B13217" s="1" t="n">
        <v>45695</v>
      </c>
      <c r="C13217" s="1" t="n">
        <v>45715</v>
      </c>
      <c r="D13217" t="inlineStr">
        <is>
          <t>KALMAR LÄN</t>
        </is>
      </c>
      <c r="E13217" t="inlineStr">
        <is>
          <t>HÖGSBY</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5898-2025</t>
        </is>
      </c>
      <c r="B13218" s="1" t="n">
        <v>45695</v>
      </c>
      <c r="C13218" s="1" t="n">
        <v>45715</v>
      </c>
      <c r="D13218" t="inlineStr">
        <is>
          <t>KALMAR LÄN</t>
        </is>
      </c>
      <c r="E13218" t="inlineStr">
        <is>
          <t>OSKARSHAMN</t>
        </is>
      </c>
      <c r="G13218" t="n">
        <v>11.2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5928-2025</t>
        </is>
      </c>
      <c r="B13219" s="1" t="n">
        <v>45695</v>
      </c>
      <c r="C13219" s="1" t="n">
        <v>45715</v>
      </c>
      <c r="D13219" t="inlineStr">
        <is>
          <t>KALMAR LÄN</t>
        </is>
      </c>
      <c r="E13219" t="inlineStr">
        <is>
          <t>NYBRO</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5960-2025</t>
        </is>
      </c>
      <c r="B13220" s="1" t="n">
        <v>45695</v>
      </c>
      <c r="C13220" s="1" t="n">
        <v>45715</v>
      </c>
      <c r="D13220" t="inlineStr">
        <is>
          <t>KALMAR LÄN</t>
        </is>
      </c>
      <c r="E13220" t="inlineStr">
        <is>
          <t>TORSÅS</t>
        </is>
      </c>
      <c r="G13220" t="n">
        <v>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5989-2025</t>
        </is>
      </c>
      <c r="B13221" s="1" t="n">
        <v>45695</v>
      </c>
      <c r="C13221" s="1" t="n">
        <v>45715</v>
      </c>
      <c r="D13221" t="inlineStr">
        <is>
          <t>KALMAR LÄN</t>
        </is>
      </c>
      <c r="E13221" t="inlineStr">
        <is>
          <t>HULTSFRED</t>
        </is>
      </c>
      <c r="F13221" t="inlineStr">
        <is>
          <t>Sveaskog</t>
        </is>
      </c>
      <c r="G13221" t="n">
        <v>5.9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5993-2025</t>
        </is>
      </c>
      <c r="B13222" s="1" t="n">
        <v>45695</v>
      </c>
      <c r="C13222" s="1" t="n">
        <v>45715</v>
      </c>
      <c r="D13222" t="inlineStr">
        <is>
          <t>KALMAR LÄN</t>
        </is>
      </c>
      <c r="E13222" t="inlineStr">
        <is>
          <t>HULTSFRED</t>
        </is>
      </c>
      <c r="F13222" t="inlineStr">
        <is>
          <t>Sveaskog</t>
        </is>
      </c>
      <c r="G13222" t="n">
        <v>3.1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6045-2025</t>
        </is>
      </c>
      <c r="B13223" s="1" t="n">
        <v>45695</v>
      </c>
      <c r="C13223" s="1" t="n">
        <v>45715</v>
      </c>
      <c r="D13223" t="inlineStr">
        <is>
          <t>KALMAR LÄN</t>
        </is>
      </c>
      <c r="E13223" t="inlineStr">
        <is>
          <t>KALMAR</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5950-2025</t>
        </is>
      </c>
      <c r="B13224" s="1" t="n">
        <v>45695</v>
      </c>
      <c r="C13224" s="1" t="n">
        <v>45715</v>
      </c>
      <c r="D13224" t="inlineStr">
        <is>
          <t>KALMAR LÄN</t>
        </is>
      </c>
      <c r="E13224" t="inlineStr">
        <is>
          <t>TORSÅS</t>
        </is>
      </c>
      <c r="G13224" t="n">
        <v>4.2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5958-2025</t>
        </is>
      </c>
      <c r="B13225" s="1" t="n">
        <v>45695</v>
      </c>
      <c r="C13225" s="1" t="n">
        <v>45715</v>
      </c>
      <c r="D13225" t="inlineStr">
        <is>
          <t>KALMAR LÄN</t>
        </is>
      </c>
      <c r="E13225" t="inlineStr">
        <is>
          <t>TORSÅS</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5974-2025</t>
        </is>
      </c>
      <c r="B13226" s="1" t="n">
        <v>45695</v>
      </c>
      <c r="C13226" s="1" t="n">
        <v>45715</v>
      </c>
      <c r="D13226" t="inlineStr">
        <is>
          <t>KALMAR LÄN</t>
        </is>
      </c>
      <c r="E13226" t="inlineStr">
        <is>
          <t>NYBRO</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6043-2025</t>
        </is>
      </c>
      <c r="B13227" s="1" t="n">
        <v>45695</v>
      </c>
      <c r="C13227" s="1" t="n">
        <v>45715</v>
      </c>
      <c r="D13227" t="inlineStr">
        <is>
          <t>KALMAR LÄN</t>
        </is>
      </c>
      <c r="E13227" t="inlineStr">
        <is>
          <t>KALMAR</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6056-2025</t>
        </is>
      </c>
      <c r="B13228" s="1" t="n">
        <v>45695</v>
      </c>
      <c r="C13228" s="1" t="n">
        <v>45715</v>
      </c>
      <c r="D13228" t="inlineStr">
        <is>
          <t>KALMAR LÄN</t>
        </is>
      </c>
      <c r="E13228" t="inlineStr">
        <is>
          <t>TORSÅS</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5899-2025</t>
        </is>
      </c>
      <c r="B13229" s="1" t="n">
        <v>45695</v>
      </c>
      <c r="C13229" s="1" t="n">
        <v>45715</v>
      </c>
      <c r="D13229" t="inlineStr">
        <is>
          <t>KALMAR LÄN</t>
        </is>
      </c>
      <c r="E13229" t="inlineStr">
        <is>
          <t>OSKARSHAMN</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5959-2025</t>
        </is>
      </c>
      <c r="B13230" s="1" t="n">
        <v>45695</v>
      </c>
      <c r="C13230" s="1" t="n">
        <v>45715</v>
      </c>
      <c r="D13230" t="inlineStr">
        <is>
          <t>KALMAR LÄN</t>
        </is>
      </c>
      <c r="E13230" t="inlineStr">
        <is>
          <t>TORSÅS</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5987-2025</t>
        </is>
      </c>
      <c r="B13231" s="1" t="n">
        <v>45695</v>
      </c>
      <c r="C13231" s="1" t="n">
        <v>45715</v>
      </c>
      <c r="D13231" t="inlineStr">
        <is>
          <t>KALMAR LÄN</t>
        </is>
      </c>
      <c r="E13231" t="inlineStr">
        <is>
          <t>HULTSFRED</t>
        </is>
      </c>
      <c r="F13231" t="inlineStr">
        <is>
          <t>Sveaskog</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6022-2025</t>
        </is>
      </c>
      <c r="B13232" s="1" t="n">
        <v>45695</v>
      </c>
      <c r="C13232" s="1" t="n">
        <v>45715</v>
      </c>
      <c r="D13232" t="inlineStr">
        <is>
          <t>KALMAR LÄN</t>
        </is>
      </c>
      <c r="E13232" t="inlineStr">
        <is>
          <t>EMMABODA</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5996-2025</t>
        </is>
      </c>
      <c r="B13233" s="1" t="n">
        <v>45695</v>
      </c>
      <c r="C13233" s="1" t="n">
        <v>45715</v>
      </c>
      <c r="D13233" t="inlineStr">
        <is>
          <t>KALMAR LÄN</t>
        </is>
      </c>
      <c r="E13233" t="inlineStr">
        <is>
          <t>HULTSFRED</t>
        </is>
      </c>
      <c r="F13233" t="inlineStr">
        <is>
          <t>Sveaskog</t>
        </is>
      </c>
      <c r="G13233" t="n">
        <v>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5988-2025</t>
        </is>
      </c>
      <c r="B13234" s="1" t="n">
        <v>45695</v>
      </c>
      <c r="C13234" s="1" t="n">
        <v>45715</v>
      </c>
      <c r="D13234" t="inlineStr">
        <is>
          <t>KALMAR LÄN</t>
        </is>
      </c>
      <c r="E13234" t="inlineStr">
        <is>
          <t>OSKARSHAMN</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6102-2025</t>
        </is>
      </c>
      <c r="B13235" s="1" t="n">
        <v>45697</v>
      </c>
      <c r="C13235" s="1" t="n">
        <v>45715</v>
      </c>
      <c r="D13235" t="inlineStr">
        <is>
          <t>KALMAR LÄN</t>
        </is>
      </c>
      <c r="E13235" t="inlineStr">
        <is>
          <t>OSKARSHAMN</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6103-2025</t>
        </is>
      </c>
      <c r="B13236" s="1" t="n">
        <v>45697</v>
      </c>
      <c r="C13236" s="1" t="n">
        <v>45715</v>
      </c>
      <c r="D13236" t="inlineStr">
        <is>
          <t>KALMAR LÄN</t>
        </is>
      </c>
      <c r="E13236" t="inlineStr">
        <is>
          <t>OSKARSHAMN</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6214-2025</t>
        </is>
      </c>
      <c r="B13237" s="1" t="n">
        <v>45698</v>
      </c>
      <c r="C13237" s="1" t="n">
        <v>45715</v>
      </c>
      <c r="D13237" t="inlineStr">
        <is>
          <t>KALMAR LÄN</t>
        </is>
      </c>
      <c r="E13237" t="inlineStr">
        <is>
          <t>VIMMERBY</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6303-2025</t>
        </is>
      </c>
      <c r="B13238" s="1" t="n">
        <v>45698</v>
      </c>
      <c r="C13238" s="1" t="n">
        <v>45715</v>
      </c>
      <c r="D13238" t="inlineStr">
        <is>
          <t>KALMAR LÄN</t>
        </is>
      </c>
      <c r="E13238" t="inlineStr">
        <is>
          <t>VIMMERBY</t>
        </is>
      </c>
      <c r="G13238" t="n">
        <v>3.9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6307-2025</t>
        </is>
      </c>
      <c r="B13239" s="1" t="n">
        <v>45698</v>
      </c>
      <c r="C13239" s="1" t="n">
        <v>45715</v>
      </c>
      <c r="D13239" t="inlineStr">
        <is>
          <t>KALMAR LÄN</t>
        </is>
      </c>
      <c r="E13239" t="inlineStr">
        <is>
          <t>VIMMERBY</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6182-2025</t>
        </is>
      </c>
      <c r="B13240" s="1" t="n">
        <v>45698</v>
      </c>
      <c r="C13240" s="1" t="n">
        <v>45715</v>
      </c>
      <c r="D13240" t="inlineStr">
        <is>
          <t>KALMAR LÄN</t>
        </is>
      </c>
      <c r="E13240" t="inlineStr">
        <is>
          <t>VÄSTERVIK</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6159-2025</t>
        </is>
      </c>
      <c r="B13241" s="1" t="n">
        <v>45698</v>
      </c>
      <c r="C13241" s="1" t="n">
        <v>45715</v>
      </c>
      <c r="D13241" t="inlineStr">
        <is>
          <t>KALMAR LÄN</t>
        </is>
      </c>
      <c r="E13241" t="inlineStr">
        <is>
          <t>OSKARSHAMN</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6163-2025</t>
        </is>
      </c>
      <c r="B13242" s="1" t="n">
        <v>45698</v>
      </c>
      <c r="C13242" s="1" t="n">
        <v>45715</v>
      </c>
      <c r="D13242" t="inlineStr">
        <is>
          <t>KALMAR LÄN</t>
        </is>
      </c>
      <c r="E13242" t="inlineStr">
        <is>
          <t>MÖNSTERÅS</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6195-2025</t>
        </is>
      </c>
      <c r="B13243" s="1" t="n">
        <v>45698</v>
      </c>
      <c r="C13243" s="1" t="n">
        <v>45715</v>
      </c>
      <c r="D13243" t="inlineStr">
        <is>
          <t>KALMAR LÄN</t>
        </is>
      </c>
      <c r="E13243" t="inlineStr">
        <is>
          <t>NYBRO</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6216-2025</t>
        </is>
      </c>
      <c r="B13244" s="1" t="n">
        <v>45698</v>
      </c>
      <c r="C13244" s="1" t="n">
        <v>45715</v>
      </c>
      <c r="D13244" t="inlineStr">
        <is>
          <t>KALMAR LÄN</t>
        </is>
      </c>
      <c r="E13244" t="inlineStr">
        <is>
          <t>VIMMERBY</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6218-2025</t>
        </is>
      </c>
      <c r="B13245" s="1" t="n">
        <v>45698</v>
      </c>
      <c r="C13245" s="1" t="n">
        <v>45715</v>
      </c>
      <c r="D13245" t="inlineStr">
        <is>
          <t>KALMAR LÄN</t>
        </is>
      </c>
      <c r="E13245" t="inlineStr">
        <is>
          <t>VIMMERBY</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6272-2025</t>
        </is>
      </c>
      <c r="B13246" s="1" t="n">
        <v>45698</v>
      </c>
      <c r="C13246" s="1" t="n">
        <v>45715</v>
      </c>
      <c r="D13246" t="inlineStr">
        <is>
          <t>KALMAR LÄN</t>
        </is>
      </c>
      <c r="E13246" t="inlineStr">
        <is>
          <t>HULTSFRED</t>
        </is>
      </c>
      <c r="G13246" t="n">
        <v>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6314-2025</t>
        </is>
      </c>
      <c r="B13247" s="1" t="n">
        <v>45698</v>
      </c>
      <c r="C13247" s="1" t="n">
        <v>45715</v>
      </c>
      <c r="D13247" t="inlineStr">
        <is>
          <t>KALMAR LÄN</t>
        </is>
      </c>
      <c r="E13247" t="inlineStr">
        <is>
          <t>VIMMERBY</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6220-2025</t>
        </is>
      </c>
      <c r="B13248" s="1" t="n">
        <v>45698</v>
      </c>
      <c r="C13248" s="1" t="n">
        <v>45715</v>
      </c>
      <c r="D13248" t="inlineStr">
        <is>
          <t>KALMAR LÄN</t>
        </is>
      </c>
      <c r="E13248" t="inlineStr">
        <is>
          <t>VIMMERBY</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6469-2025</t>
        </is>
      </c>
      <c r="B13249" s="1" t="n">
        <v>45699</v>
      </c>
      <c r="C13249" s="1" t="n">
        <v>45715</v>
      </c>
      <c r="D13249" t="inlineStr">
        <is>
          <t>KALMAR LÄN</t>
        </is>
      </c>
      <c r="E13249" t="inlineStr">
        <is>
          <t>VÄSTERVIK</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6483-2025</t>
        </is>
      </c>
      <c r="B13250" s="1" t="n">
        <v>45699</v>
      </c>
      <c r="C13250" s="1" t="n">
        <v>45715</v>
      </c>
      <c r="D13250" t="inlineStr">
        <is>
          <t>KALMAR LÄN</t>
        </is>
      </c>
      <c r="E13250" t="inlineStr">
        <is>
          <t>VIMMERBY</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6399-2025</t>
        </is>
      </c>
      <c r="B13251" s="1" t="n">
        <v>45699</v>
      </c>
      <c r="C13251" s="1" t="n">
        <v>45715</v>
      </c>
      <c r="D13251" t="inlineStr">
        <is>
          <t>KALMAR LÄN</t>
        </is>
      </c>
      <c r="E13251" t="inlineStr">
        <is>
          <t>VIMMERBY</t>
        </is>
      </c>
      <c r="G13251" t="n">
        <v>3.1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6451-2025</t>
        </is>
      </c>
      <c r="B13252" s="1" t="n">
        <v>45699</v>
      </c>
      <c r="C13252" s="1" t="n">
        <v>45715</v>
      </c>
      <c r="D13252" t="inlineStr">
        <is>
          <t>KALMAR LÄN</t>
        </is>
      </c>
      <c r="E13252" t="inlineStr">
        <is>
          <t>EMMABODA</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6472-2025</t>
        </is>
      </c>
      <c r="B13253" s="1" t="n">
        <v>45699</v>
      </c>
      <c r="C13253" s="1" t="n">
        <v>45715</v>
      </c>
      <c r="D13253" t="inlineStr">
        <is>
          <t>KALMAR LÄN</t>
        </is>
      </c>
      <c r="E13253" t="inlineStr">
        <is>
          <t>VÄSTERVIK</t>
        </is>
      </c>
      <c r="F13253" t="inlineStr">
        <is>
          <t>Holmen skog AB</t>
        </is>
      </c>
      <c r="G13253" t="n">
        <v>4.3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6547-2025</t>
        </is>
      </c>
      <c r="B13254" s="1" t="n">
        <v>45699</v>
      </c>
      <c r="C13254" s="1" t="n">
        <v>45715</v>
      </c>
      <c r="D13254" t="inlineStr">
        <is>
          <t>KALMAR LÄN</t>
        </is>
      </c>
      <c r="E13254" t="inlineStr">
        <is>
          <t>HULTSFRED</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6408-2025</t>
        </is>
      </c>
      <c r="B13255" s="1" t="n">
        <v>45699</v>
      </c>
      <c r="C13255" s="1" t="n">
        <v>45715</v>
      </c>
      <c r="D13255" t="inlineStr">
        <is>
          <t>KALMAR LÄN</t>
        </is>
      </c>
      <c r="E13255" t="inlineStr">
        <is>
          <t>VIMMERBY</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6393-2025</t>
        </is>
      </c>
      <c r="B13256" s="1" t="n">
        <v>45699</v>
      </c>
      <c r="C13256" s="1" t="n">
        <v>45715</v>
      </c>
      <c r="D13256" t="inlineStr">
        <is>
          <t>KALMAR LÄN</t>
        </is>
      </c>
      <c r="E13256" t="inlineStr">
        <is>
          <t>VÄSTERVIK</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6405-2025</t>
        </is>
      </c>
      <c r="B13257" s="1" t="n">
        <v>45699</v>
      </c>
      <c r="C13257" s="1" t="n">
        <v>45715</v>
      </c>
      <c r="D13257" t="inlineStr">
        <is>
          <t>KALMAR LÄN</t>
        </is>
      </c>
      <c r="E13257" t="inlineStr">
        <is>
          <t>VIMMERBY</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6425-2025</t>
        </is>
      </c>
      <c r="B13258" s="1" t="n">
        <v>45699</v>
      </c>
      <c r="C13258" s="1" t="n">
        <v>45715</v>
      </c>
      <c r="D13258" t="inlineStr">
        <is>
          <t>KALMAR LÄN</t>
        </is>
      </c>
      <c r="E13258" t="inlineStr">
        <is>
          <t>HÖGSBY</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6474-2025</t>
        </is>
      </c>
      <c r="B13259" s="1" t="n">
        <v>45699</v>
      </c>
      <c r="C13259" s="1" t="n">
        <v>45715</v>
      </c>
      <c r="D13259" t="inlineStr">
        <is>
          <t>KALMAR LÄN</t>
        </is>
      </c>
      <c r="E13259" t="inlineStr">
        <is>
          <t>VIMMERBY</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6802-2025</t>
        </is>
      </c>
      <c r="B13260" s="1" t="n">
        <v>45700</v>
      </c>
      <c r="C13260" s="1" t="n">
        <v>45715</v>
      </c>
      <c r="D13260" t="inlineStr">
        <is>
          <t>KALMAR LÄN</t>
        </is>
      </c>
      <c r="E13260" t="inlineStr">
        <is>
          <t>VIMMERBY</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6818-2025</t>
        </is>
      </c>
      <c r="B13261" s="1" t="n">
        <v>45700</v>
      </c>
      <c r="C13261" s="1" t="n">
        <v>45715</v>
      </c>
      <c r="D13261" t="inlineStr">
        <is>
          <t>KALMAR LÄN</t>
        </is>
      </c>
      <c r="E13261" t="inlineStr">
        <is>
          <t>OSKARSHAMN</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6846-2025</t>
        </is>
      </c>
      <c r="B13262" s="1" t="n">
        <v>45700</v>
      </c>
      <c r="C13262" s="1" t="n">
        <v>45715</v>
      </c>
      <c r="D13262" t="inlineStr">
        <is>
          <t>KALMAR LÄN</t>
        </is>
      </c>
      <c r="E13262" t="inlineStr">
        <is>
          <t>VÄSTERVIK</t>
        </is>
      </c>
      <c r="F13262" t="inlineStr">
        <is>
          <t>Sveaskog</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6657-2025</t>
        </is>
      </c>
      <c r="B13263" s="1" t="n">
        <v>45700</v>
      </c>
      <c r="C13263" s="1" t="n">
        <v>45715</v>
      </c>
      <c r="D13263" t="inlineStr">
        <is>
          <t>KALMAR LÄN</t>
        </is>
      </c>
      <c r="E13263" t="inlineStr">
        <is>
          <t>VÄSTERVIK</t>
        </is>
      </c>
      <c r="F13263" t="inlineStr">
        <is>
          <t>Holmen skog AB</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6690-2025</t>
        </is>
      </c>
      <c r="B13264" s="1" t="n">
        <v>45700</v>
      </c>
      <c r="C13264" s="1" t="n">
        <v>45715</v>
      </c>
      <c r="D13264" t="inlineStr">
        <is>
          <t>KALMAR LÄN</t>
        </is>
      </c>
      <c r="E13264" t="inlineStr">
        <is>
          <t>EMMABODA</t>
        </is>
      </c>
      <c r="G13264" t="n">
        <v>5.3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6850-2025</t>
        </is>
      </c>
      <c r="B13265" s="1" t="n">
        <v>45700</v>
      </c>
      <c r="C13265" s="1" t="n">
        <v>45715</v>
      </c>
      <c r="D13265" t="inlineStr">
        <is>
          <t>KALMAR LÄN</t>
        </is>
      </c>
      <c r="E13265" t="inlineStr">
        <is>
          <t>KALMAR</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6647-2025</t>
        </is>
      </c>
      <c r="B13266" s="1" t="n">
        <v>45700</v>
      </c>
      <c r="C13266" s="1" t="n">
        <v>45715</v>
      </c>
      <c r="D13266" t="inlineStr">
        <is>
          <t>KALMAR LÄN</t>
        </is>
      </c>
      <c r="E13266" t="inlineStr">
        <is>
          <t>EMMABODA</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6783-2025</t>
        </is>
      </c>
      <c r="B13267" s="1" t="n">
        <v>45700</v>
      </c>
      <c r="C13267" s="1" t="n">
        <v>45715</v>
      </c>
      <c r="D13267" t="inlineStr">
        <is>
          <t>KALMAR LÄN</t>
        </is>
      </c>
      <c r="E13267" t="inlineStr">
        <is>
          <t>OSKARSHAMN</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6824-2025</t>
        </is>
      </c>
      <c r="B13268" s="1" t="n">
        <v>45700</v>
      </c>
      <c r="C13268" s="1" t="n">
        <v>45715</v>
      </c>
      <c r="D13268" t="inlineStr">
        <is>
          <t>KALMAR LÄN</t>
        </is>
      </c>
      <c r="E13268" t="inlineStr">
        <is>
          <t>HÖGSBY</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6828-2025</t>
        </is>
      </c>
      <c r="B13269" s="1" t="n">
        <v>45700</v>
      </c>
      <c r="C13269" s="1" t="n">
        <v>45715</v>
      </c>
      <c r="D13269" t="inlineStr">
        <is>
          <t>KALMAR LÄN</t>
        </is>
      </c>
      <c r="E13269" t="inlineStr">
        <is>
          <t>HÖGSBY</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6844-2025</t>
        </is>
      </c>
      <c r="B13270" s="1" t="n">
        <v>45700</v>
      </c>
      <c r="C13270" s="1" t="n">
        <v>45715</v>
      </c>
      <c r="D13270" t="inlineStr">
        <is>
          <t>KALMAR LÄN</t>
        </is>
      </c>
      <c r="E13270" t="inlineStr">
        <is>
          <t>VÄSTERVIK</t>
        </is>
      </c>
      <c r="F13270" t="inlineStr">
        <is>
          <t>Sveaskog</t>
        </is>
      </c>
      <c r="G13270" t="n">
        <v>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6848-2025</t>
        </is>
      </c>
      <c r="B13271" s="1" t="n">
        <v>45700</v>
      </c>
      <c r="C13271" s="1" t="n">
        <v>45715</v>
      </c>
      <c r="D13271" t="inlineStr">
        <is>
          <t>KALMAR LÄN</t>
        </is>
      </c>
      <c r="E13271" t="inlineStr">
        <is>
          <t>VÄSTERVIK</t>
        </is>
      </c>
      <c r="F13271" t="inlineStr">
        <is>
          <t>Sveaskog</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6852-2025</t>
        </is>
      </c>
      <c r="B13272" s="1" t="n">
        <v>45700</v>
      </c>
      <c r="C13272" s="1" t="n">
        <v>45715</v>
      </c>
      <c r="D13272" t="inlineStr">
        <is>
          <t>KALMAR LÄN</t>
        </is>
      </c>
      <c r="E13272" t="inlineStr">
        <is>
          <t>KALMAR</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6750-2025</t>
        </is>
      </c>
      <c r="B13273" s="1" t="n">
        <v>45700</v>
      </c>
      <c r="C13273" s="1" t="n">
        <v>45715</v>
      </c>
      <c r="D13273" t="inlineStr">
        <is>
          <t>KALMAR LÄN</t>
        </is>
      </c>
      <c r="E13273" t="inlineStr">
        <is>
          <t>VIMMERBY</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6807-2025</t>
        </is>
      </c>
      <c r="B13274" s="1" t="n">
        <v>45700</v>
      </c>
      <c r="C13274" s="1" t="n">
        <v>45715</v>
      </c>
      <c r="D13274" t="inlineStr">
        <is>
          <t>KALMAR LÄN</t>
        </is>
      </c>
      <c r="E13274" t="inlineStr">
        <is>
          <t>VIMMERBY</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6815-2025</t>
        </is>
      </c>
      <c r="B13275" s="1" t="n">
        <v>45700</v>
      </c>
      <c r="C13275" s="1" t="n">
        <v>45715</v>
      </c>
      <c r="D13275" t="inlineStr">
        <is>
          <t>KALMAR LÄN</t>
        </is>
      </c>
      <c r="E13275" t="inlineStr">
        <is>
          <t>OSKARSHAMN</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6819-2025</t>
        </is>
      </c>
      <c r="B13276" s="1" t="n">
        <v>45700</v>
      </c>
      <c r="C13276" s="1" t="n">
        <v>45715</v>
      </c>
      <c r="D13276" t="inlineStr">
        <is>
          <t>KALMAR LÄN</t>
        </is>
      </c>
      <c r="E13276" t="inlineStr">
        <is>
          <t>HÖGSBY</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6823-2025</t>
        </is>
      </c>
      <c r="B13277" s="1" t="n">
        <v>45700</v>
      </c>
      <c r="C13277" s="1" t="n">
        <v>45715</v>
      </c>
      <c r="D13277" t="inlineStr">
        <is>
          <t>KALMAR LÄN</t>
        </is>
      </c>
      <c r="E13277" t="inlineStr">
        <is>
          <t>HÖGSBY</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6827-2025</t>
        </is>
      </c>
      <c r="B13278" s="1" t="n">
        <v>45700</v>
      </c>
      <c r="C13278" s="1" t="n">
        <v>45715</v>
      </c>
      <c r="D13278" t="inlineStr">
        <is>
          <t>KALMAR LÄN</t>
        </is>
      </c>
      <c r="E13278" t="inlineStr">
        <is>
          <t>HÖGSBY</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6847-2025</t>
        </is>
      </c>
      <c r="B13279" s="1" t="n">
        <v>45700</v>
      </c>
      <c r="C13279" s="1" t="n">
        <v>45715</v>
      </c>
      <c r="D13279" t="inlineStr">
        <is>
          <t>KALMAR LÄN</t>
        </is>
      </c>
      <c r="E13279" t="inlineStr">
        <is>
          <t>VÄSTERVIK</t>
        </is>
      </c>
      <c r="F13279" t="inlineStr">
        <is>
          <t>Sveaskog</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6851-2025</t>
        </is>
      </c>
      <c r="B13280" s="1" t="n">
        <v>45700</v>
      </c>
      <c r="C13280" s="1" t="n">
        <v>45715</v>
      </c>
      <c r="D13280" t="inlineStr">
        <is>
          <t>KALMAR LÄN</t>
        </is>
      </c>
      <c r="E13280" t="inlineStr">
        <is>
          <t>KALMAR</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6805-2025</t>
        </is>
      </c>
      <c r="B13281" s="1" t="n">
        <v>45700</v>
      </c>
      <c r="C13281" s="1" t="n">
        <v>45715</v>
      </c>
      <c r="D13281" t="inlineStr">
        <is>
          <t>KALMAR LÄN</t>
        </is>
      </c>
      <c r="E13281" t="inlineStr">
        <is>
          <t>HÖGSBY</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6845-2025</t>
        </is>
      </c>
      <c r="B13282" s="1" t="n">
        <v>45700</v>
      </c>
      <c r="C13282" s="1" t="n">
        <v>45715</v>
      </c>
      <c r="D13282" t="inlineStr">
        <is>
          <t>KALMAR LÄN</t>
        </is>
      </c>
      <c r="E13282" t="inlineStr">
        <is>
          <t>BORGHOLM</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6941-2025</t>
        </is>
      </c>
      <c r="B13283" s="1" t="n">
        <v>45701</v>
      </c>
      <c r="C13283" s="1" t="n">
        <v>45715</v>
      </c>
      <c r="D13283" t="inlineStr">
        <is>
          <t>KALMAR LÄN</t>
        </is>
      </c>
      <c r="E13283" t="inlineStr">
        <is>
          <t>VÄSTERVIK</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6934-2025</t>
        </is>
      </c>
      <c r="B13284" s="1" t="n">
        <v>45701</v>
      </c>
      <c r="C13284" s="1" t="n">
        <v>45715</v>
      </c>
      <c r="D13284" t="inlineStr">
        <is>
          <t>KALMAR LÄN</t>
        </is>
      </c>
      <c r="E13284" t="inlineStr">
        <is>
          <t>MÖNSTERÅS</t>
        </is>
      </c>
      <c r="G13284" t="n">
        <v>4.2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6938-2025</t>
        </is>
      </c>
      <c r="B13285" s="1" t="n">
        <v>45701</v>
      </c>
      <c r="C13285" s="1" t="n">
        <v>45715</v>
      </c>
      <c r="D13285" t="inlineStr">
        <is>
          <t>KALMAR LÄN</t>
        </is>
      </c>
      <c r="E13285" t="inlineStr">
        <is>
          <t>VÄSTERVIK</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6857-2025</t>
        </is>
      </c>
      <c r="B13286" s="1" t="n">
        <v>45701</v>
      </c>
      <c r="C13286" s="1" t="n">
        <v>45715</v>
      </c>
      <c r="D13286" t="inlineStr">
        <is>
          <t>KALMAR LÄN</t>
        </is>
      </c>
      <c r="E13286" t="inlineStr">
        <is>
          <t>NYBRO</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6892-2025</t>
        </is>
      </c>
      <c r="B13287" s="1" t="n">
        <v>45701</v>
      </c>
      <c r="C13287" s="1" t="n">
        <v>45715</v>
      </c>
      <c r="D13287" t="inlineStr">
        <is>
          <t>KALMAR LÄN</t>
        </is>
      </c>
      <c r="E13287" t="inlineStr">
        <is>
          <t>OSKARSHAMN</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6928-2025</t>
        </is>
      </c>
      <c r="B13288" s="1" t="n">
        <v>45701</v>
      </c>
      <c r="C13288" s="1" t="n">
        <v>45715</v>
      </c>
      <c r="D13288" t="inlineStr">
        <is>
          <t>KALMAR LÄN</t>
        </is>
      </c>
      <c r="E13288" t="inlineStr">
        <is>
          <t>NYBRO</t>
        </is>
      </c>
      <c r="G13288" t="n">
        <v>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6940-2025</t>
        </is>
      </c>
      <c r="B13289" s="1" t="n">
        <v>45701</v>
      </c>
      <c r="C13289" s="1" t="n">
        <v>45715</v>
      </c>
      <c r="D13289" t="inlineStr">
        <is>
          <t>KALMAR LÄN</t>
        </is>
      </c>
      <c r="E13289" t="inlineStr">
        <is>
          <t>VÄSTERVIK</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7130-2025</t>
        </is>
      </c>
      <c r="B13290" s="1" t="n">
        <v>45702</v>
      </c>
      <c r="C13290" s="1" t="n">
        <v>45715</v>
      </c>
      <c r="D13290" t="inlineStr">
        <is>
          <t>KALMAR LÄN</t>
        </is>
      </c>
      <c r="E13290" t="inlineStr">
        <is>
          <t>MÖNSTERÅS</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7165-2025</t>
        </is>
      </c>
      <c r="B13291" s="1" t="n">
        <v>45702</v>
      </c>
      <c r="C13291" s="1" t="n">
        <v>45715</v>
      </c>
      <c r="D13291" t="inlineStr">
        <is>
          <t>KALMAR LÄN</t>
        </is>
      </c>
      <c r="E13291" t="inlineStr">
        <is>
          <t>VÄSTERVIK</t>
        </is>
      </c>
      <c r="F13291" t="inlineStr">
        <is>
          <t>Sveaskog</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7210-2025</t>
        </is>
      </c>
      <c r="B13292" s="1" t="n">
        <v>45702</v>
      </c>
      <c r="C13292" s="1" t="n">
        <v>45715</v>
      </c>
      <c r="D13292" t="inlineStr">
        <is>
          <t>KALMAR LÄN</t>
        </is>
      </c>
      <c r="E13292" t="inlineStr">
        <is>
          <t>HULTSFRED</t>
        </is>
      </c>
      <c r="F13292" t="inlineStr">
        <is>
          <t>Sveaskog</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7164-2025</t>
        </is>
      </c>
      <c r="B13293" s="1" t="n">
        <v>45702</v>
      </c>
      <c r="C13293" s="1" t="n">
        <v>45715</v>
      </c>
      <c r="D13293" t="inlineStr">
        <is>
          <t>KALMAR LÄN</t>
        </is>
      </c>
      <c r="E13293" t="inlineStr">
        <is>
          <t>VÄSTERVIK</t>
        </is>
      </c>
      <c r="F13293" t="inlineStr">
        <is>
          <t>Sveaskog</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7176-2025</t>
        </is>
      </c>
      <c r="B13294" s="1" t="n">
        <v>45702</v>
      </c>
      <c r="C13294" s="1" t="n">
        <v>45715</v>
      </c>
      <c r="D13294" t="inlineStr">
        <is>
          <t>KALMAR LÄN</t>
        </is>
      </c>
      <c r="E13294" t="inlineStr">
        <is>
          <t>OSKARSHAMN</t>
        </is>
      </c>
      <c r="G13294" t="n">
        <v>4.2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7163-2025</t>
        </is>
      </c>
      <c r="B13295" s="1" t="n">
        <v>45702</v>
      </c>
      <c r="C13295" s="1" t="n">
        <v>45715</v>
      </c>
      <c r="D13295" t="inlineStr">
        <is>
          <t>KALMAR LÄN</t>
        </is>
      </c>
      <c r="E13295" t="inlineStr">
        <is>
          <t>VÄSTERVIK</t>
        </is>
      </c>
      <c r="F13295" t="inlineStr">
        <is>
          <t>Sveaskog</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7238-2025</t>
        </is>
      </c>
      <c r="B13296" s="1" t="n">
        <v>45702</v>
      </c>
      <c r="C13296" s="1" t="n">
        <v>45715</v>
      </c>
      <c r="D13296" t="inlineStr">
        <is>
          <t>KALMAR LÄN</t>
        </is>
      </c>
      <c r="E13296" t="inlineStr">
        <is>
          <t>NYBRO</t>
        </is>
      </c>
      <c r="G13296" t="n">
        <v>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7285-2025</t>
        </is>
      </c>
      <c r="B13297" s="1" t="n">
        <v>45702</v>
      </c>
      <c r="C13297" s="1" t="n">
        <v>45715</v>
      </c>
      <c r="D13297" t="inlineStr">
        <is>
          <t>KALMAR LÄN</t>
        </is>
      </c>
      <c r="E13297" t="inlineStr">
        <is>
          <t>NYBRO</t>
        </is>
      </c>
      <c r="F13297" t="inlineStr">
        <is>
          <t>Sveaskog</t>
        </is>
      </c>
      <c r="G13297" t="n">
        <v>4.4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7310-2025</t>
        </is>
      </c>
      <c r="B13298" s="1" t="n">
        <v>45702</v>
      </c>
      <c r="C13298" s="1" t="n">
        <v>45715</v>
      </c>
      <c r="D13298" t="inlineStr">
        <is>
          <t>KALMAR LÄN</t>
        </is>
      </c>
      <c r="E13298" t="inlineStr">
        <is>
          <t>EMMABODA</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7325-2025</t>
        </is>
      </c>
      <c r="B13299" s="1" t="n">
        <v>45702</v>
      </c>
      <c r="C13299" s="1" t="n">
        <v>45715</v>
      </c>
      <c r="D13299" t="inlineStr">
        <is>
          <t>KALMAR LÄN</t>
        </is>
      </c>
      <c r="E13299" t="inlineStr">
        <is>
          <t>HÖGSBY</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7280-2025</t>
        </is>
      </c>
      <c r="B13300" s="1" t="n">
        <v>45702</v>
      </c>
      <c r="C13300" s="1" t="n">
        <v>45715</v>
      </c>
      <c r="D13300" t="inlineStr">
        <is>
          <t>KALMAR LÄN</t>
        </is>
      </c>
      <c r="E13300" t="inlineStr">
        <is>
          <t>NYBRO</t>
        </is>
      </c>
      <c r="F13300" t="inlineStr">
        <is>
          <t>Sveaskog</t>
        </is>
      </c>
      <c r="G13300" t="n">
        <v>9.1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7288-2025</t>
        </is>
      </c>
      <c r="B13301" s="1" t="n">
        <v>45702</v>
      </c>
      <c r="C13301" s="1" t="n">
        <v>45715</v>
      </c>
      <c r="D13301" t="inlineStr">
        <is>
          <t>KALMAR LÄN</t>
        </is>
      </c>
      <c r="E13301" t="inlineStr">
        <is>
          <t>NYBRO</t>
        </is>
      </c>
      <c r="F13301" t="inlineStr">
        <is>
          <t>Sveaskog</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7345-2025</t>
        </is>
      </c>
      <c r="B13302" s="1" t="n">
        <v>45703</v>
      </c>
      <c r="C13302" s="1" t="n">
        <v>45715</v>
      </c>
      <c r="D13302" t="inlineStr">
        <is>
          <t>KALMAR LÄN</t>
        </is>
      </c>
      <c r="E13302" t="inlineStr">
        <is>
          <t>KALMAR</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7336-2025</t>
        </is>
      </c>
      <c r="B13303" s="1" t="n">
        <v>45703</v>
      </c>
      <c r="C13303" s="1" t="n">
        <v>45715</v>
      </c>
      <c r="D13303" t="inlineStr">
        <is>
          <t>KALMAR LÄN</t>
        </is>
      </c>
      <c r="E13303" t="inlineStr">
        <is>
          <t>HULTSFRED</t>
        </is>
      </c>
      <c r="F13303" t="inlineStr">
        <is>
          <t>Sveaskog</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7335-2025</t>
        </is>
      </c>
      <c r="B13304" s="1" t="n">
        <v>45703</v>
      </c>
      <c r="C13304" s="1" t="n">
        <v>45715</v>
      </c>
      <c r="D13304" t="inlineStr">
        <is>
          <t>KALMAR LÄN</t>
        </is>
      </c>
      <c r="E13304" t="inlineStr">
        <is>
          <t>HULTSFRED</t>
        </is>
      </c>
      <c r="F13304" t="inlineStr">
        <is>
          <t>Sveaskog</t>
        </is>
      </c>
      <c r="G13304" t="n">
        <v>4.4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7359-2025</t>
        </is>
      </c>
      <c r="B13305" s="1" t="n">
        <v>45704</v>
      </c>
      <c r="C13305" s="1" t="n">
        <v>45715</v>
      </c>
      <c r="D13305" t="inlineStr">
        <is>
          <t>KALMAR LÄN</t>
        </is>
      </c>
      <c r="E13305" t="inlineStr">
        <is>
          <t>KALMAR</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7369-2025</t>
        </is>
      </c>
      <c r="B13306" s="1" t="n">
        <v>45704</v>
      </c>
      <c r="C13306" s="1" t="n">
        <v>45715</v>
      </c>
      <c r="D13306" t="inlineStr">
        <is>
          <t>KALMAR LÄN</t>
        </is>
      </c>
      <c r="E13306" t="inlineStr">
        <is>
          <t>NYBRO</t>
        </is>
      </c>
      <c r="G13306" t="n">
        <v>8.1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7377-2025</t>
        </is>
      </c>
      <c r="B13307" s="1" t="n">
        <v>45705</v>
      </c>
      <c r="C13307" s="1" t="n">
        <v>45715</v>
      </c>
      <c r="D13307" t="inlineStr">
        <is>
          <t>KALMAR LÄN</t>
        </is>
      </c>
      <c r="E13307" t="inlineStr">
        <is>
          <t>VÄSTERVIK</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7381-2025</t>
        </is>
      </c>
      <c r="B13308" s="1" t="n">
        <v>45705</v>
      </c>
      <c r="C13308" s="1" t="n">
        <v>45715</v>
      </c>
      <c r="D13308" t="inlineStr">
        <is>
          <t>KALMAR LÄN</t>
        </is>
      </c>
      <c r="E13308" t="inlineStr">
        <is>
          <t>VÄSTERVIK</t>
        </is>
      </c>
      <c r="F13308" t="inlineStr">
        <is>
          <t>Kyrkan</t>
        </is>
      </c>
      <c r="G13308" t="n">
        <v>4.1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7415-2025</t>
        </is>
      </c>
      <c r="B13309" s="1" t="n">
        <v>45705</v>
      </c>
      <c r="C13309" s="1" t="n">
        <v>45715</v>
      </c>
      <c r="D13309" t="inlineStr">
        <is>
          <t>KALMAR LÄN</t>
        </is>
      </c>
      <c r="E13309" t="inlineStr">
        <is>
          <t>HULTSFRED</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7423-2025</t>
        </is>
      </c>
      <c r="B13310" s="1" t="n">
        <v>45705</v>
      </c>
      <c r="C13310" s="1" t="n">
        <v>45715</v>
      </c>
      <c r="D13310" t="inlineStr">
        <is>
          <t>KALMAR LÄN</t>
        </is>
      </c>
      <c r="E13310" t="inlineStr">
        <is>
          <t>NYBRO</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7456-2025</t>
        </is>
      </c>
      <c r="B13311" s="1" t="n">
        <v>45705</v>
      </c>
      <c r="C13311" s="1" t="n">
        <v>45715</v>
      </c>
      <c r="D13311" t="inlineStr">
        <is>
          <t>KALMAR LÄN</t>
        </is>
      </c>
      <c r="E13311" t="inlineStr">
        <is>
          <t>HÖGSBY</t>
        </is>
      </c>
      <c r="G13311" t="n">
        <v>4.8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7627-2025</t>
        </is>
      </c>
      <c r="B13312" s="1" t="n">
        <v>45705</v>
      </c>
      <c r="C13312" s="1" t="n">
        <v>45715</v>
      </c>
      <c r="D13312" t="inlineStr">
        <is>
          <t>KALMAR LÄN</t>
        </is>
      </c>
      <c r="E13312" t="inlineStr">
        <is>
          <t>VIMMERBY</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7606-2025</t>
        </is>
      </c>
      <c r="B13313" s="1" t="n">
        <v>45705</v>
      </c>
      <c r="C13313" s="1" t="n">
        <v>45715</v>
      </c>
      <c r="D13313" t="inlineStr">
        <is>
          <t>KALMAR LÄN</t>
        </is>
      </c>
      <c r="E13313" t="inlineStr">
        <is>
          <t>HULTSFRED</t>
        </is>
      </c>
      <c r="G13313" t="n">
        <v>4.2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7630-2025</t>
        </is>
      </c>
      <c r="B13314" s="1" t="n">
        <v>45705</v>
      </c>
      <c r="C13314" s="1" t="n">
        <v>45715</v>
      </c>
      <c r="D13314" t="inlineStr">
        <is>
          <t>KALMAR LÄN</t>
        </is>
      </c>
      <c r="E13314" t="inlineStr">
        <is>
          <t>VIMMERBY</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7613-2025</t>
        </is>
      </c>
      <c r="B13315" s="1" t="n">
        <v>45705</v>
      </c>
      <c r="C13315" s="1" t="n">
        <v>45715</v>
      </c>
      <c r="D13315" t="inlineStr">
        <is>
          <t>KALMAR LÄN</t>
        </is>
      </c>
      <c r="E13315" t="inlineStr">
        <is>
          <t>EMMABODA</t>
        </is>
      </c>
      <c r="G13315" t="n">
        <v>2.5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7604-2025</t>
        </is>
      </c>
      <c r="B13316" s="1" t="n">
        <v>45705</v>
      </c>
      <c r="C13316" s="1" t="n">
        <v>45715</v>
      </c>
      <c r="D13316" t="inlineStr">
        <is>
          <t>KALMAR LÄN</t>
        </is>
      </c>
      <c r="E13316" t="inlineStr">
        <is>
          <t>HULTSFRED</t>
        </is>
      </c>
      <c r="G13316" t="n">
        <v>3.3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7753-2025</t>
        </is>
      </c>
      <c r="B13317" s="1" t="n">
        <v>45706</v>
      </c>
      <c r="C13317" s="1" t="n">
        <v>45715</v>
      </c>
      <c r="D13317" t="inlineStr">
        <is>
          <t>KALMAR LÄN</t>
        </is>
      </c>
      <c r="E13317" t="inlineStr">
        <is>
          <t>HULTSFRED</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7658-2025</t>
        </is>
      </c>
      <c r="B13318" s="1" t="n">
        <v>45706</v>
      </c>
      <c r="C13318" s="1" t="n">
        <v>45715</v>
      </c>
      <c r="D13318" t="inlineStr">
        <is>
          <t>KALMAR LÄN</t>
        </is>
      </c>
      <c r="E13318" t="inlineStr">
        <is>
          <t>HULTSFRED</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7671-2025</t>
        </is>
      </c>
      <c r="B13319" s="1" t="n">
        <v>45706</v>
      </c>
      <c r="C13319" s="1" t="n">
        <v>45715</v>
      </c>
      <c r="D13319" t="inlineStr">
        <is>
          <t>KALMAR LÄN</t>
        </is>
      </c>
      <c r="E13319" t="inlineStr">
        <is>
          <t>HULTSFRED</t>
        </is>
      </c>
      <c r="G13319" t="n">
        <v>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7675-2025</t>
        </is>
      </c>
      <c r="B13320" s="1" t="n">
        <v>45706</v>
      </c>
      <c r="C13320" s="1" t="n">
        <v>45715</v>
      </c>
      <c r="D13320" t="inlineStr">
        <is>
          <t>KALMAR LÄN</t>
        </is>
      </c>
      <c r="E13320" t="inlineStr">
        <is>
          <t>KALMAR</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7719-2025</t>
        </is>
      </c>
      <c r="B13321" s="1" t="n">
        <v>45706</v>
      </c>
      <c r="C13321" s="1" t="n">
        <v>45715</v>
      </c>
      <c r="D13321" t="inlineStr">
        <is>
          <t>KALMAR LÄN</t>
        </is>
      </c>
      <c r="E13321" t="inlineStr">
        <is>
          <t>EMMABODA</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7752-2025</t>
        </is>
      </c>
      <c r="B13322" s="1" t="n">
        <v>45706</v>
      </c>
      <c r="C13322" s="1" t="n">
        <v>45715</v>
      </c>
      <c r="D13322" t="inlineStr">
        <is>
          <t>KALMAR LÄN</t>
        </is>
      </c>
      <c r="E13322" t="inlineStr">
        <is>
          <t>HULTSFRED</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7789-2025</t>
        </is>
      </c>
      <c r="B13323" s="1" t="n">
        <v>45706</v>
      </c>
      <c r="C13323" s="1" t="n">
        <v>45715</v>
      </c>
      <c r="D13323" t="inlineStr">
        <is>
          <t>KALMAR LÄN</t>
        </is>
      </c>
      <c r="E13323" t="inlineStr">
        <is>
          <t>NYBRO</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7751-2025</t>
        </is>
      </c>
      <c r="B13324" s="1" t="n">
        <v>45706</v>
      </c>
      <c r="C13324" s="1" t="n">
        <v>45715</v>
      </c>
      <c r="D13324" t="inlineStr">
        <is>
          <t>KALMAR LÄN</t>
        </is>
      </c>
      <c r="E13324" t="inlineStr">
        <is>
          <t>HULTSFRED</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7830-2025</t>
        </is>
      </c>
      <c r="B13325" s="1" t="n">
        <v>45706</v>
      </c>
      <c r="C13325" s="1" t="n">
        <v>45715</v>
      </c>
      <c r="D13325" t="inlineStr">
        <is>
          <t>KALMAR LÄN</t>
        </is>
      </c>
      <c r="E13325" t="inlineStr">
        <is>
          <t>NYBRO</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7843-2025</t>
        </is>
      </c>
      <c r="B13326" s="1" t="n">
        <v>45706</v>
      </c>
      <c r="C13326" s="1" t="n">
        <v>45715</v>
      </c>
      <c r="D13326" t="inlineStr">
        <is>
          <t>KALMAR LÄN</t>
        </is>
      </c>
      <c r="E13326" t="inlineStr">
        <is>
          <t>VÄSTERVIK</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7883-2025</t>
        </is>
      </c>
      <c r="B13327" s="1" t="n">
        <v>45706</v>
      </c>
      <c r="C13327" s="1" t="n">
        <v>45715</v>
      </c>
      <c r="D13327" t="inlineStr">
        <is>
          <t>KALMAR LÄN</t>
        </is>
      </c>
      <c r="E13327" t="inlineStr">
        <is>
          <t>VÄSTERVIK</t>
        </is>
      </c>
      <c r="G13327" t="n">
        <v>0.2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7856-2025</t>
        </is>
      </c>
      <c r="B13328" s="1" t="n">
        <v>45706</v>
      </c>
      <c r="C13328" s="1" t="n">
        <v>45715</v>
      </c>
      <c r="D13328" t="inlineStr">
        <is>
          <t>KALMAR LÄN</t>
        </is>
      </c>
      <c r="E13328" t="inlineStr">
        <is>
          <t>NYBRO</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7882-2025</t>
        </is>
      </c>
      <c r="B13329" s="1" t="n">
        <v>45706</v>
      </c>
      <c r="C13329" s="1" t="n">
        <v>45715</v>
      </c>
      <c r="D13329" t="inlineStr">
        <is>
          <t>KALMAR LÄN</t>
        </is>
      </c>
      <c r="E13329" t="inlineStr">
        <is>
          <t>VÄSTERVIK</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7691-2025</t>
        </is>
      </c>
      <c r="B13330" s="1" t="n">
        <v>45706</v>
      </c>
      <c r="C13330" s="1" t="n">
        <v>45715</v>
      </c>
      <c r="D13330" t="inlineStr">
        <is>
          <t>KALMAR LÄN</t>
        </is>
      </c>
      <c r="E13330" t="inlineStr">
        <is>
          <t>NYBRO</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7746-2025</t>
        </is>
      </c>
      <c r="B13331" s="1" t="n">
        <v>45706</v>
      </c>
      <c r="C13331" s="1" t="n">
        <v>45715</v>
      </c>
      <c r="D13331" t="inlineStr">
        <is>
          <t>KALMAR LÄN</t>
        </is>
      </c>
      <c r="E13331" t="inlineStr">
        <is>
          <t>HÖGSBY</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7824-2025</t>
        </is>
      </c>
      <c r="B13332" s="1" t="n">
        <v>45706</v>
      </c>
      <c r="C13332" s="1" t="n">
        <v>45715</v>
      </c>
      <c r="D13332" t="inlineStr">
        <is>
          <t>KALMAR LÄN</t>
        </is>
      </c>
      <c r="E13332" t="inlineStr">
        <is>
          <t>VIMMERBY</t>
        </is>
      </c>
      <c r="G13332" t="n">
        <v>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7828-2025</t>
        </is>
      </c>
      <c r="B13333" s="1" t="n">
        <v>45706</v>
      </c>
      <c r="C13333" s="1" t="n">
        <v>45715</v>
      </c>
      <c r="D13333" t="inlineStr">
        <is>
          <t>KALMAR LÄN</t>
        </is>
      </c>
      <c r="E13333" t="inlineStr">
        <is>
          <t>NYBRO</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7840-2025</t>
        </is>
      </c>
      <c r="B13334" s="1" t="n">
        <v>45706</v>
      </c>
      <c r="C13334" s="1" t="n">
        <v>45715</v>
      </c>
      <c r="D13334" t="inlineStr">
        <is>
          <t>KALMAR LÄN</t>
        </is>
      </c>
      <c r="E13334" t="inlineStr">
        <is>
          <t>VÄSTERVIK</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7884-2025</t>
        </is>
      </c>
      <c r="B13335" s="1" t="n">
        <v>45706</v>
      </c>
      <c r="C13335" s="1" t="n">
        <v>45715</v>
      </c>
      <c r="D13335" t="inlineStr">
        <is>
          <t>KALMAR LÄN</t>
        </is>
      </c>
      <c r="E13335" t="inlineStr">
        <is>
          <t>VÄSTERVIK</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7885-2025</t>
        </is>
      </c>
      <c r="B13336" s="1" t="n">
        <v>45706</v>
      </c>
      <c r="C13336" s="1" t="n">
        <v>45715</v>
      </c>
      <c r="D13336" t="inlineStr">
        <is>
          <t>KALMAR LÄN</t>
        </is>
      </c>
      <c r="E13336" t="inlineStr">
        <is>
          <t>VÄSTERVIK</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7932-2025</t>
        </is>
      </c>
      <c r="B13337" s="1" t="n">
        <v>45707</v>
      </c>
      <c r="C13337" s="1" t="n">
        <v>45715</v>
      </c>
      <c r="D13337" t="inlineStr">
        <is>
          <t>KALMAR LÄN</t>
        </is>
      </c>
      <c r="E13337" t="inlineStr">
        <is>
          <t>VIMMERBY</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8059-2025</t>
        </is>
      </c>
      <c r="B13338" s="1" t="n">
        <v>45707</v>
      </c>
      <c r="C13338" s="1" t="n">
        <v>45715</v>
      </c>
      <c r="D13338" t="inlineStr">
        <is>
          <t>KALMAR LÄN</t>
        </is>
      </c>
      <c r="E13338" t="inlineStr">
        <is>
          <t>VIMMERBY</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8112-2025</t>
        </is>
      </c>
      <c r="B13339" s="1" t="n">
        <v>45707</v>
      </c>
      <c r="C13339" s="1" t="n">
        <v>45715</v>
      </c>
      <c r="D13339" t="inlineStr">
        <is>
          <t>KALMAR LÄN</t>
        </is>
      </c>
      <c r="E13339" t="inlineStr">
        <is>
          <t>EMMABODA</t>
        </is>
      </c>
      <c r="G13339" t="n">
        <v>5.5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8116-2025</t>
        </is>
      </c>
      <c r="B13340" s="1" t="n">
        <v>45707</v>
      </c>
      <c r="C13340" s="1" t="n">
        <v>45715</v>
      </c>
      <c r="D13340" t="inlineStr">
        <is>
          <t>KALMAR LÄN</t>
        </is>
      </c>
      <c r="E13340" t="inlineStr">
        <is>
          <t>HÖGSBY</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8120-2025</t>
        </is>
      </c>
      <c r="B13341" s="1" t="n">
        <v>45707</v>
      </c>
      <c r="C13341" s="1" t="n">
        <v>45715</v>
      </c>
      <c r="D13341" t="inlineStr">
        <is>
          <t>KALMAR LÄN</t>
        </is>
      </c>
      <c r="E13341" t="inlineStr">
        <is>
          <t>KALMAR</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8058-2025</t>
        </is>
      </c>
      <c r="B13342" s="1" t="n">
        <v>45707</v>
      </c>
      <c r="C13342" s="1" t="n">
        <v>45715</v>
      </c>
      <c r="D13342" t="inlineStr">
        <is>
          <t>KALMAR LÄN</t>
        </is>
      </c>
      <c r="E13342" t="inlineStr">
        <is>
          <t>EMMABODA</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8102-2025</t>
        </is>
      </c>
      <c r="B13343" s="1" t="n">
        <v>45707</v>
      </c>
      <c r="C13343" s="1" t="n">
        <v>45715</v>
      </c>
      <c r="D13343" t="inlineStr">
        <is>
          <t>KALMAR LÄN</t>
        </is>
      </c>
      <c r="E13343" t="inlineStr">
        <is>
          <t>TORSÅS</t>
        </is>
      </c>
      <c r="G13343" t="n">
        <v>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8108-2025</t>
        </is>
      </c>
      <c r="B13344" s="1" t="n">
        <v>45707</v>
      </c>
      <c r="C13344" s="1" t="n">
        <v>45715</v>
      </c>
      <c r="D13344" t="inlineStr">
        <is>
          <t>KALMAR LÄN</t>
        </is>
      </c>
      <c r="E13344" t="inlineStr">
        <is>
          <t>HÖGSBY</t>
        </is>
      </c>
      <c r="G13344" t="n">
        <v>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8113-2025</t>
        </is>
      </c>
      <c r="B13345" s="1" t="n">
        <v>45707</v>
      </c>
      <c r="C13345" s="1" t="n">
        <v>45715</v>
      </c>
      <c r="D13345" t="inlineStr">
        <is>
          <t>KALMAR LÄN</t>
        </is>
      </c>
      <c r="E13345" t="inlineStr">
        <is>
          <t>KALMAR</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7984-2025</t>
        </is>
      </c>
      <c r="B13346" s="1" t="n">
        <v>45707</v>
      </c>
      <c r="C13346" s="1" t="n">
        <v>45715</v>
      </c>
      <c r="D13346" t="inlineStr">
        <is>
          <t>KALMAR LÄN</t>
        </is>
      </c>
      <c r="E13346" t="inlineStr">
        <is>
          <t>HÖGSBY</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8096-2025</t>
        </is>
      </c>
      <c r="B13347" s="1" t="n">
        <v>45707</v>
      </c>
      <c r="C13347" s="1" t="n">
        <v>45715</v>
      </c>
      <c r="D13347" t="inlineStr">
        <is>
          <t>KALMAR LÄN</t>
        </is>
      </c>
      <c r="E13347" t="inlineStr">
        <is>
          <t>EMMABODA</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8114-2025</t>
        </is>
      </c>
      <c r="B13348" s="1" t="n">
        <v>45707</v>
      </c>
      <c r="C13348" s="1" t="n">
        <v>45715</v>
      </c>
      <c r="D13348" t="inlineStr">
        <is>
          <t>KALMAR LÄN</t>
        </is>
      </c>
      <c r="E13348" t="inlineStr">
        <is>
          <t>KALMAR</t>
        </is>
      </c>
      <c r="G13348" t="n">
        <v>2.2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8118-2025</t>
        </is>
      </c>
      <c r="B13349" s="1" t="n">
        <v>45707</v>
      </c>
      <c r="C13349" s="1" t="n">
        <v>45715</v>
      </c>
      <c r="D13349" t="inlineStr">
        <is>
          <t>KALMAR LÄN</t>
        </is>
      </c>
      <c r="E13349" t="inlineStr">
        <is>
          <t>HÖGSBY</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8122-2025</t>
        </is>
      </c>
      <c r="B13350" s="1" t="n">
        <v>45707</v>
      </c>
      <c r="C13350" s="1" t="n">
        <v>45715</v>
      </c>
      <c r="D13350" t="inlineStr">
        <is>
          <t>KALMAR LÄN</t>
        </is>
      </c>
      <c r="E13350" t="inlineStr">
        <is>
          <t>KALMAR</t>
        </is>
      </c>
      <c r="G13350" t="n">
        <v>5.1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8284-2025</t>
        </is>
      </c>
      <c r="B13351" s="1" t="n">
        <v>45708</v>
      </c>
      <c r="C13351" s="1" t="n">
        <v>45715</v>
      </c>
      <c r="D13351" t="inlineStr">
        <is>
          <t>KALMAR LÄN</t>
        </is>
      </c>
      <c r="E13351" t="inlineStr">
        <is>
          <t>VÄSTERVIK</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8222-2025</t>
        </is>
      </c>
      <c r="B13352" s="1" t="n">
        <v>45708</v>
      </c>
      <c r="C13352" s="1" t="n">
        <v>45715</v>
      </c>
      <c r="D13352" t="inlineStr">
        <is>
          <t>KALMAR LÄN</t>
        </is>
      </c>
      <c r="E13352" t="inlineStr">
        <is>
          <t>MÖNSTERÅS</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8236-2025</t>
        </is>
      </c>
      <c r="B13353" s="1" t="n">
        <v>45708</v>
      </c>
      <c r="C13353" s="1" t="n">
        <v>45715</v>
      </c>
      <c r="D13353" t="inlineStr">
        <is>
          <t>KALMAR LÄN</t>
        </is>
      </c>
      <c r="E13353" t="inlineStr">
        <is>
          <t>OSKARSHAMN</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8308-2025</t>
        </is>
      </c>
      <c r="B13354" s="1" t="n">
        <v>45708</v>
      </c>
      <c r="C13354" s="1" t="n">
        <v>45715</v>
      </c>
      <c r="D13354" t="inlineStr">
        <is>
          <t>KALMAR LÄN</t>
        </is>
      </c>
      <c r="E13354" t="inlineStr">
        <is>
          <t>MÖNSTERÅS</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8282-2025</t>
        </is>
      </c>
      <c r="B13355" s="1" t="n">
        <v>45708</v>
      </c>
      <c r="C13355" s="1" t="n">
        <v>45715</v>
      </c>
      <c r="D13355" t="inlineStr">
        <is>
          <t>KALMAR LÄN</t>
        </is>
      </c>
      <c r="E13355" t="inlineStr">
        <is>
          <t>OSKARSHAMN</t>
        </is>
      </c>
      <c r="G13355" t="n">
        <v>6.2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8290-2025</t>
        </is>
      </c>
      <c r="B13356" s="1" t="n">
        <v>45708</v>
      </c>
      <c r="C13356" s="1" t="n">
        <v>45715</v>
      </c>
      <c r="D13356" t="inlineStr">
        <is>
          <t>KALMAR LÄN</t>
        </is>
      </c>
      <c r="E13356" t="inlineStr">
        <is>
          <t>HÖGSBY</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8288-2025</t>
        </is>
      </c>
      <c r="B13357" s="1" t="n">
        <v>45708</v>
      </c>
      <c r="C13357" s="1" t="n">
        <v>45715</v>
      </c>
      <c r="D13357" t="inlineStr">
        <is>
          <t>KALMAR LÄN</t>
        </is>
      </c>
      <c r="E13357" t="inlineStr">
        <is>
          <t>OSKARSHAMN</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8300-2025</t>
        </is>
      </c>
      <c r="B13358" s="1" t="n">
        <v>45708</v>
      </c>
      <c r="C13358" s="1" t="n">
        <v>45715</v>
      </c>
      <c r="D13358" t="inlineStr">
        <is>
          <t>KALMAR LÄN</t>
        </is>
      </c>
      <c r="E13358" t="inlineStr">
        <is>
          <t>OSKARSHAMN</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8281-2025</t>
        </is>
      </c>
      <c r="B13359" s="1" t="n">
        <v>45708</v>
      </c>
      <c r="C13359" s="1" t="n">
        <v>45715</v>
      </c>
      <c r="D13359" t="inlineStr">
        <is>
          <t>KALMAR LÄN</t>
        </is>
      </c>
      <c r="E13359" t="inlineStr">
        <is>
          <t>VÄSTERVIK</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8344-2025</t>
        </is>
      </c>
      <c r="B13360" s="1" t="n">
        <v>45708</v>
      </c>
      <c r="C13360" s="1" t="n">
        <v>45715</v>
      </c>
      <c r="D13360" t="inlineStr">
        <is>
          <t>KALMAR LÄN</t>
        </is>
      </c>
      <c r="E13360" t="inlineStr">
        <is>
          <t>TORSÅS</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8348-2025</t>
        </is>
      </c>
      <c r="B13361" s="1" t="n">
        <v>45708</v>
      </c>
      <c r="C13361" s="1" t="n">
        <v>45715</v>
      </c>
      <c r="D13361" t="inlineStr">
        <is>
          <t>KALMAR LÄN</t>
        </is>
      </c>
      <c r="E13361" t="inlineStr">
        <is>
          <t>TORSÅS</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8286-2025</t>
        </is>
      </c>
      <c r="B13362" s="1" t="n">
        <v>45708</v>
      </c>
      <c r="C13362" s="1" t="n">
        <v>45715</v>
      </c>
      <c r="D13362" t="inlineStr">
        <is>
          <t>KALMAR LÄN</t>
        </is>
      </c>
      <c r="E13362" t="inlineStr">
        <is>
          <t>OSKARSHAMN</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8225-2025</t>
        </is>
      </c>
      <c r="B13363" s="1" t="n">
        <v>45708</v>
      </c>
      <c r="C13363" s="1" t="n">
        <v>45715</v>
      </c>
      <c r="D13363" t="inlineStr">
        <is>
          <t>KALMAR LÄN</t>
        </is>
      </c>
      <c r="E13363" t="inlineStr">
        <is>
          <t>KALMAR</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8376-2025</t>
        </is>
      </c>
      <c r="B13364" s="1" t="n">
        <v>45709</v>
      </c>
      <c r="C13364" s="1" t="n">
        <v>45715</v>
      </c>
      <c r="D13364" t="inlineStr">
        <is>
          <t>KALMAR LÄN</t>
        </is>
      </c>
      <c r="E13364" t="inlineStr">
        <is>
          <t>VIMMERBY</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8482-2025</t>
        </is>
      </c>
      <c r="B13365" s="1" t="n">
        <v>45709</v>
      </c>
      <c r="C13365" s="1" t="n">
        <v>45715</v>
      </c>
      <c r="D13365" t="inlineStr">
        <is>
          <t>KALMAR LÄN</t>
        </is>
      </c>
      <c r="E13365" t="inlineStr">
        <is>
          <t>EMMABODA</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8502-2025</t>
        </is>
      </c>
      <c r="B13366" s="1" t="n">
        <v>45709</v>
      </c>
      <c r="C13366" s="1" t="n">
        <v>45715</v>
      </c>
      <c r="D13366" t="inlineStr">
        <is>
          <t>KALMAR LÄN</t>
        </is>
      </c>
      <c r="E13366" t="inlineStr">
        <is>
          <t>NYBRO</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8518-2025</t>
        </is>
      </c>
      <c r="B13367" s="1" t="n">
        <v>45709</v>
      </c>
      <c r="C13367" s="1" t="n">
        <v>45715</v>
      </c>
      <c r="D13367" t="inlineStr">
        <is>
          <t>KALMAR LÄN</t>
        </is>
      </c>
      <c r="E13367" t="inlineStr">
        <is>
          <t>NYBRO</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8511-2025</t>
        </is>
      </c>
      <c r="B13368" s="1" t="n">
        <v>45709</v>
      </c>
      <c r="C13368" s="1" t="n">
        <v>45715</v>
      </c>
      <c r="D13368" t="inlineStr">
        <is>
          <t>KALMAR LÄN</t>
        </is>
      </c>
      <c r="E13368" t="inlineStr">
        <is>
          <t>NYBRO</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8464-2025</t>
        </is>
      </c>
      <c r="B13369" s="1" t="n">
        <v>45709</v>
      </c>
      <c r="C13369" s="1" t="n">
        <v>45715</v>
      </c>
      <c r="D13369" t="inlineStr">
        <is>
          <t>KALMAR LÄN</t>
        </is>
      </c>
      <c r="E13369" t="inlineStr">
        <is>
          <t>OSKARSHAMN</t>
        </is>
      </c>
      <c r="G13369" t="n">
        <v>6.2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8509-2025</t>
        </is>
      </c>
      <c r="B13370" s="1" t="n">
        <v>45709</v>
      </c>
      <c r="C13370" s="1" t="n">
        <v>45715</v>
      </c>
      <c r="D13370" t="inlineStr">
        <is>
          <t>KALMAR LÄN</t>
        </is>
      </c>
      <c r="E13370" t="inlineStr">
        <is>
          <t>VIMMERBY</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8559-2025</t>
        </is>
      </c>
      <c r="B13371" s="1" t="n">
        <v>45709</v>
      </c>
      <c r="C13371" s="1" t="n">
        <v>45715</v>
      </c>
      <c r="D13371" t="inlineStr">
        <is>
          <t>KALMAR LÄN</t>
        </is>
      </c>
      <c r="E13371" t="inlineStr">
        <is>
          <t>VIMMERBY</t>
        </is>
      </c>
      <c r="G13371" t="n">
        <v>8.9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8574-2025</t>
        </is>
      </c>
      <c r="B13372" s="1" t="n">
        <v>45709</v>
      </c>
      <c r="C13372" s="1" t="n">
        <v>45715</v>
      </c>
      <c r="D13372" t="inlineStr">
        <is>
          <t>KALMAR LÄN</t>
        </is>
      </c>
      <c r="E13372" t="inlineStr">
        <is>
          <t>VIMMERBY</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8402-2025</t>
        </is>
      </c>
      <c r="B13373" s="1" t="n">
        <v>45709</v>
      </c>
      <c r="C13373" s="1" t="n">
        <v>45715</v>
      </c>
      <c r="D13373" t="inlineStr">
        <is>
          <t>KALMAR LÄN</t>
        </is>
      </c>
      <c r="E13373" t="inlineStr">
        <is>
          <t>VÄSTERVIK</t>
        </is>
      </c>
      <c r="G13373" t="n">
        <v>4.3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8454-2025</t>
        </is>
      </c>
      <c r="B13374" s="1" t="n">
        <v>45709</v>
      </c>
      <c r="C13374" s="1" t="n">
        <v>45715</v>
      </c>
      <c r="D13374" t="inlineStr">
        <is>
          <t>KALMAR LÄN</t>
        </is>
      </c>
      <c r="E13374" t="inlineStr">
        <is>
          <t>OSKARSHAMN</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8544-2025</t>
        </is>
      </c>
      <c r="B13375" s="1" t="n">
        <v>45709</v>
      </c>
      <c r="C13375" s="1" t="n">
        <v>45715</v>
      </c>
      <c r="D13375" t="inlineStr">
        <is>
          <t>KALMAR LÄN</t>
        </is>
      </c>
      <c r="E13375" t="inlineStr">
        <is>
          <t>VIMMERBY</t>
        </is>
      </c>
      <c r="G13375" t="n">
        <v>6.4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8605-2025</t>
        </is>
      </c>
      <c r="B13376" s="1" t="n">
        <v>45710</v>
      </c>
      <c r="C13376" s="1" t="n">
        <v>45715</v>
      </c>
      <c r="D13376" t="inlineStr">
        <is>
          <t>KALMAR LÄN</t>
        </is>
      </c>
      <c r="E13376" t="inlineStr">
        <is>
          <t>NYBRO</t>
        </is>
      </c>
      <c r="G13376" t="n">
        <v>4.4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8632-2025</t>
        </is>
      </c>
      <c r="B13377" s="1" t="n">
        <v>45711</v>
      </c>
      <c r="C13377" s="1" t="n">
        <v>45715</v>
      </c>
      <c r="D13377" t="inlineStr">
        <is>
          <t>KALMAR LÄN</t>
        </is>
      </c>
      <c r="E13377" t="inlineStr">
        <is>
          <t>MÖNSTERÅS</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8786-2025</t>
        </is>
      </c>
      <c r="B13378" s="1" t="n">
        <v>45712</v>
      </c>
      <c r="C13378" s="1" t="n">
        <v>45715</v>
      </c>
      <c r="D13378" t="inlineStr">
        <is>
          <t>KALMAR LÄN</t>
        </is>
      </c>
      <c r="E13378" t="inlineStr">
        <is>
          <t>HULTSFRED</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8736-2025</t>
        </is>
      </c>
      <c r="B13379" s="1" t="n">
        <v>45712</v>
      </c>
      <c r="C13379" s="1" t="n">
        <v>45715</v>
      </c>
      <c r="D13379" t="inlineStr">
        <is>
          <t>KALMAR LÄN</t>
        </is>
      </c>
      <c r="E13379" t="inlineStr">
        <is>
          <t>HULTSFRED</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8876-2025</t>
        </is>
      </c>
      <c r="B13380" s="1" t="n">
        <v>45713</v>
      </c>
      <c r="C13380" s="1" t="n">
        <v>45715</v>
      </c>
      <c r="D13380" t="inlineStr">
        <is>
          <t>KALMAR LÄN</t>
        </is>
      </c>
      <c r="E13380" t="inlineStr">
        <is>
          <t>HULTSFRED</t>
        </is>
      </c>
      <c r="F13380" t="inlineStr">
        <is>
          <t>Sveaskog</t>
        </is>
      </c>
      <c r="G13380" t="n">
        <v>7.7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8845-2025</t>
        </is>
      </c>
      <c r="B13381" s="1" t="n">
        <v>45713</v>
      </c>
      <c r="C13381" s="1" t="n">
        <v>45715</v>
      </c>
      <c r="D13381" t="inlineStr">
        <is>
          <t>KALMAR LÄN</t>
        </is>
      </c>
      <c r="E13381" t="inlineStr">
        <is>
          <t>KALMAR</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8873-2025</t>
        </is>
      </c>
      <c r="B13382" s="1" t="n">
        <v>45713</v>
      </c>
      <c r="C13382" s="1" t="n">
        <v>45715</v>
      </c>
      <c r="D13382" t="inlineStr">
        <is>
          <t>KALMAR LÄN</t>
        </is>
      </c>
      <c r="E13382" t="inlineStr">
        <is>
          <t>HULTSFRED</t>
        </is>
      </c>
      <c r="F13382" t="inlineStr">
        <is>
          <t>Sveaskog</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8905-2025</t>
        </is>
      </c>
      <c r="B13383" s="1" t="n">
        <v>45713</v>
      </c>
      <c r="C13383" s="1" t="n">
        <v>45715</v>
      </c>
      <c r="D13383" t="inlineStr">
        <is>
          <t>KALMAR LÄN</t>
        </is>
      </c>
      <c r="E13383" t="inlineStr">
        <is>
          <t>TORSÅS</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8945-2025</t>
        </is>
      </c>
      <c r="B13384" s="1" t="n">
        <v>45713</v>
      </c>
      <c r="C13384" s="1" t="n">
        <v>45715</v>
      </c>
      <c r="D13384" t="inlineStr">
        <is>
          <t>KALMAR LÄN</t>
        </is>
      </c>
      <c r="E13384" t="inlineStr">
        <is>
          <t>VIMMERBY</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8975-2025</t>
        </is>
      </c>
      <c r="B13385" s="1" t="n">
        <v>45713</v>
      </c>
      <c r="C13385" s="1" t="n">
        <v>45715</v>
      </c>
      <c r="D13385" t="inlineStr">
        <is>
          <t>KALMAR LÄN</t>
        </is>
      </c>
      <c r="E13385" t="inlineStr">
        <is>
          <t>TORSÅS</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8981-2025</t>
        </is>
      </c>
      <c r="B13386" s="1" t="n">
        <v>45713</v>
      </c>
      <c r="C13386" s="1" t="n">
        <v>45715</v>
      </c>
      <c r="D13386" t="inlineStr">
        <is>
          <t>KALMAR LÄN</t>
        </is>
      </c>
      <c r="E13386" t="inlineStr">
        <is>
          <t>MÖNSTERÅS</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9034-2025</t>
        </is>
      </c>
      <c r="B13387" s="1" t="n">
        <v>45713</v>
      </c>
      <c r="C13387" s="1" t="n">
        <v>45715</v>
      </c>
      <c r="D13387" t="inlineStr">
        <is>
          <t>KALMAR LÄN</t>
        </is>
      </c>
      <c r="E13387" t="inlineStr">
        <is>
          <t>BORGHOLM</t>
        </is>
      </c>
      <c r="F13387" t="inlineStr">
        <is>
          <t>Sveaskog</t>
        </is>
      </c>
      <c r="G13387" t="n">
        <v>6.8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9028-2025</t>
        </is>
      </c>
      <c r="B13388" s="1" t="n">
        <v>45713</v>
      </c>
      <c r="C13388" s="1" t="n">
        <v>45715</v>
      </c>
      <c r="D13388" t="inlineStr">
        <is>
          <t>KALMAR LÄN</t>
        </is>
      </c>
      <c r="E13388" t="inlineStr">
        <is>
          <t>BORGHOLM</t>
        </is>
      </c>
      <c r="F13388" t="inlineStr">
        <is>
          <t>Sveaskog</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9050-2025</t>
        </is>
      </c>
      <c r="B13389" s="1" t="n">
        <v>45713</v>
      </c>
      <c r="C13389" s="1" t="n">
        <v>45715</v>
      </c>
      <c r="D13389" t="inlineStr">
        <is>
          <t>KALMAR LÄN</t>
        </is>
      </c>
      <c r="E13389" t="inlineStr">
        <is>
          <t>BORGHOLM</t>
        </is>
      </c>
      <c r="F13389" t="inlineStr">
        <is>
          <t>Sveaskog</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9044-2025</t>
        </is>
      </c>
      <c r="B13390" s="1" t="n">
        <v>45713</v>
      </c>
      <c r="C13390" s="1" t="n">
        <v>45715</v>
      </c>
      <c r="D13390" t="inlineStr">
        <is>
          <t>KALMAR LÄN</t>
        </is>
      </c>
      <c r="E13390" t="inlineStr">
        <is>
          <t>BORGHOLM</t>
        </is>
      </c>
      <c r="F13390" t="inlineStr">
        <is>
          <t>Sveaskog</t>
        </is>
      </c>
      <c r="G13390" t="n">
        <v>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9076-2025</t>
        </is>
      </c>
      <c r="B13391" s="1" t="n">
        <v>45713</v>
      </c>
      <c r="C13391" s="1" t="n">
        <v>45715</v>
      </c>
      <c r="D13391" t="inlineStr">
        <is>
          <t>KALMAR LÄN</t>
        </is>
      </c>
      <c r="E13391" t="inlineStr">
        <is>
          <t>BORGHOLM</t>
        </is>
      </c>
      <c r="F13391" t="inlineStr">
        <is>
          <t>Sveaskog</t>
        </is>
      </c>
      <c r="G13391" t="n">
        <v>4.2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9094-2025</t>
        </is>
      </c>
      <c r="B13392" s="1" t="n">
        <v>45713</v>
      </c>
      <c r="C13392" s="1" t="n">
        <v>45715</v>
      </c>
      <c r="D13392" t="inlineStr">
        <is>
          <t>KALMAR LÄN</t>
        </is>
      </c>
      <c r="E13392" t="inlineStr">
        <is>
          <t>NYBRO</t>
        </is>
      </c>
      <c r="F13392" t="inlineStr">
        <is>
          <t>Sveaskog</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9124-2025</t>
        </is>
      </c>
      <c r="B13393" s="1" t="n">
        <v>45713</v>
      </c>
      <c r="C13393" s="1" t="n">
        <v>45715</v>
      </c>
      <c r="D13393" t="inlineStr">
        <is>
          <t>KALMAR LÄN</t>
        </is>
      </c>
      <c r="E13393" t="inlineStr">
        <is>
          <t>TORSÅS</t>
        </is>
      </c>
      <c r="G13393" t="n">
        <v>4.2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9128-2025</t>
        </is>
      </c>
      <c r="B13394" s="1" t="n">
        <v>45713</v>
      </c>
      <c r="C13394" s="1" t="n">
        <v>45715</v>
      </c>
      <c r="D13394" t="inlineStr">
        <is>
          <t>KALMAR LÄN</t>
        </is>
      </c>
      <c r="E13394" t="inlineStr">
        <is>
          <t>VIMMERBY</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9101-2025</t>
        </is>
      </c>
      <c r="B13395" s="1" t="n">
        <v>45713</v>
      </c>
      <c r="C13395" s="1" t="n">
        <v>45715</v>
      </c>
      <c r="D13395" t="inlineStr">
        <is>
          <t>KALMAR LÄN</t>
        </is>
      </c>
      <c r="E13395" t="inlineStr">
        <is>
          <t>NYBRO</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9129-2025</t>
        </is>
      </c>
      <c r="B13396" s="1" t="n">
        <v>45713</v>
      </c>
      <c r="C13396" s="1" t="n">
        <v>45715</v>
      </c>
      <c r="D13396" t="inlineStr">
        <is>
          <t>KALMAR LÄN</t>
        </is>
      </c>
      <c r="E13396" t="inlineStr">
        <is>
          <t>VIMMERBY</t>
        </is>
      </c>
      <c r="G13396" t="n">
        <v>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9106-2025</t>
        </is>
      </c>
      <c r="B13397" s="1" t="n">
        <v>45713</v>
      </c>
      <c r="C13397" s="1" t="n">
        <v>45715</v>
      </c>
      <c r="D13397" t="inlineStr">
        <is>
          <t>KALMAR LÄN</t>
        </is>
      </c>
      <c r="E13397" t="inlineStr">
        <is>
          <t>NYBRO</t>
        </is>
      </c>
      <c r="G13397" t="n">
        <v>13.2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8973-2025</t>
        </is>
      </c>
      <c r="B13398" s="1" t="n">
        <v>45713</v>
      </c>
      <c r="C13398" s="1" t="n">
        <v>45715</v>
      </c>
      <c r="D13398" t="inlineStr">
        <is>
          <t>KALMAR LÄN</t>
        </is>
      </c>
      <c r="E13398" t="inlineStr">
        <is>
          <t>OSKARSHAMN</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8995-2025</t>
        </is>
      </c>
      <c r="B13399" s="1" t="n">
        <v>45713</v>
      </c>
      <c r="C13399" s="1" t="n">
        <v>45715</v>
      </c>
      <c r="D13399" t="inlineStr">
        <is>
          <t>KALMAR LÄN</t>
        </is>
      </c>
      <c r="E13399" t="inlineStr">
        <is>
          <t>VÄSTERVIK</t>
        </is>
      </c>
      <c r="F13399" t="inlineStr">
        <is>
          <t>Holmen skog AB</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9132-2025</t>
        </is>
      </c>
      <c r="B13400" s="1" t="n">
        <v>45714</v>
      </c>
      <c r="C13400" s="1" t="n">
        <v>45715</v>
      </c>
      <c r="D13400" t="inlineStr">
        <is>
          <t>KALMAR LÄN</t>
        </is>
      </c>
      <c r="E13400" t="inlineStr">
        <is>
          <t>NYBRO</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9134-2025</t>
        </is>
      </c>
      <c r="B13401" s="1" t="n">
        <v>45714</v>
      </c>
      <c r="C13401" s="1" t="n">
        <v>45715</v>
      </c>
      <c r="D13401" t="inlineStr">
        <is>
          <t>KALMAR LÄN</t>
        </is>
      </c>
      <c r="E13401" t="inlineStr">
        <is>
          <t>NYBRO</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9138-2025</t>
        </is>
      </c>
      <c r="B13402" s="1" t="n">
        <v>45714</v>
      </c>
      <c r="C13402" s="1" t="n">
        <v>45715</v>
      </c>
      <c r="D13402" t="inlineStr">
        <is>
          <t>KALMAR LÄN</t>
        </is>
      </c>
      <c r="E13402" t="inlineStr">
        <is>
          <t>NYBRO</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9325-2025</t>
        </is>
      </c>
      <c r="B13403" s="1" t="n">
        <v>45714</v>
      </c>
      <c r="C13403" s="1" t="n">
        <v>45715</v>
      </c>
      <c r="D13403" t="inlineStr">
        <is>
          <t>KALMAR LÄN</t>
        </is>
      </c>
      <c r="E13403" t="inlineStr">
        <is>
          <t>HULTSFRED</t>
        </is>
      </c>
      <c r="F13403" t="inlineStr">
        <is>
          <t>Sveaskog</t>
        </is>
      </c>
      <c r="G13403" t="n">
        <v>4.8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9329-2025</t>
        </is>
      </c>
      <c r="B13404" s="1" t="n">
        <v>45714</v>
      </c>
      <c r="C13404" s="1" t="n">
        <v>45715</v>
      </c>
      <c r="D13404" t="inlineStr">
        <is>
          <t>KALMAR LÄN</t>
        </is>
      </c>
      <c r="E13404" t="inlineStr">
        <is>
          <t>KALMAR</t>
        </is>
      </c>
      <c r="G13404" t="n">
        <v>4.8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9135-2025</t>
        </is>
      </c>
      <c r="B13405" s="1" t="n">
        <v>45714</v>
      </c>
      <c r="C13405" s="1" t="n">
        <v>45715</v>
      </c>
      <c r="D13405" t="inlineStr">
        <is>
          <t>KALMAR LÄN</t>
        </is>
      </c>
      <c r="E13405" t="inlineStr">
        <is>
          <t>NYBRO</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9215-2025</t>
        </is>
      </c>
      <c r="B13406" s="1" t="n">
        <v>45714</v>
      </c>
      <c r="C13406" s="1" t="n">
        <v>45715</v>
      </c>
      <c r="D13406" t="inlineStr">
        <is>
          <t>KALMAR LÄN</t>
        </is>
      </c>
      <c r="E13406" t="inlineStr">
        <is>
          <t>MÖNSTERÅS</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9269-2025</t>
        </is>
      </c>
      <c r="B13407" s="1" t="n">
        <v>45714</v>
      </c>
      <c r="C13407" s="1" t="n">
        <v>45715</v>
      </c>
      <c r="D13407" t="inlineStr">
        <is>
          <t>KALMAR LÄN</t>
        </is>
      </c>
      <c r="E13407" t="inlineStr">
        <is>
          <t>VÄSTERVIK</t>
        </is>
      </c>
      <c r="F13407" t="inlineStr">
        <is>
          <t>Sveaskog</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9273-2025</t>
        </is>
      </c>
      <c r="B13408" s="1" t="n">
        <v>45714</v>
      </c>
      <c r="C13408" s="1" t="n">
        <v>45715</v>
      </c>
      <c r="D13408" t="inlineStr">
        <is>
          <t>KALMAR LÄN</t>
        </is>
      </c>
      <c r="E13408" t="inlineStr">
        <is>
          <t>EMMABODA</t>
        </is>
      </c>
      <c r="G13408" t="n">
        <v>5.8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9293-2025</t>
        </is>
      </c>
      <c r="B13409" s="1" t="n">
        <v>45714</v>
      </c>
      <c r="C13409" s="1" t="n">
        <v>45715</v>
      </c>
      <c r="D13409" t="inlineStr">
        <is>
          <t>KALMAR LÄN</t>
        </is>
      </c>
      <c r="E13409" t="inlineStr">
        <is>
          <t>HULTSFRED</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9310-2025</t>
        </is>
      </c>
      <c r="B13410" s="1" t="n">
        <v>45714</v>
      </c>
      <c r="C13410" s="1" t="n">
        <v>45715</v>
      </c>
      <c r="D13410" t="inlineStr">
        <is>
          <t>KALMAR LÄN</t>
        </is>
      </c>
      <c r="E13410" t="inlineStr">
        <is>
          <t>BORGHOLM</t>
        </is>
      </c>
      <c r="G13410" t="n">
        <v>2.7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9326-2025</t>
        </is>
      </c>
      <c r="B13411" s="1" t="n">
        <v>45714</v>
      </c>
      <c r="C13411" s="1" t="n">
        <v>45715</v>
      </c>
      <c r="D13411" t="inlineStr">
        <is>
          <t>KALMAR LÄN</t>
        </is>
      </c>
      <c r="E13411" t="inlineStr">
        <is>
          <t>HULTSFRED</t>
        </is>
      </c>
      <c r="F13411" t="inlineStr">
        <is>
          <t>Sveaskog</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9220-2025</t>
        </is>
      </c>
      <c r="B13412" s="1" t="n">
        <v>45714</v>
      </c>
      <c r="C13412" s="1" t="n">
        <v>45715</v>
      </c>
      <c r="D13412" t="inlineStr">
        <is>
          <t>KALMAR LÄN</t>
        </is>
      </c>
      <c r="E13412" t="inlineStr">
        <is>
          <t>MÖNSTERÅS</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9133-2025</t>
        </is>
      </c>
      <c r="B13413" s="1" t="n">
        <v>45714</v>
      </c>
      <c r="C13413" s="1" t="n">
        <v>45715</v>
      </c>
      <c r="D13413" t="inlineStr">
        <is>
          <t>KALMAR LÄN</t>
        </is>
      </c>
      <c r="E13413" t="inlineStr">
        <is>
          <t>NYBRO</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9137-2025</t>
        </is>
      </c>
      <c r="B13414" s="1" t="n">
        <v>45714</v>
      </c>
      <c r="C13414" s="1" t="n">
        <v>45715</v>
      </c>
      <c r="D13414" t="inlineStr">
        <is>
          <t>KALMAR LÄN</t>
        </is>
      </c>
      <c r="E13414" t="inlineStr">
        <is>
          <t>NYBRO</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9263-2025</t>
        </is>
      </c>
      <c r="B13415" s="1" t="n">
        <v>45714</v>
      </c>
      <c r="C13415" s="1" t="n">
        <v>45715</v>
      </c>
      <c r="D13415" t="inlineStr">
        <is>
          <t>KALMAR LÄN</t>
        </is>
      </c>
      <c r="E13415" t="inlineStr">
        <is>
          <t>VÄSTERVIK</t>
        </is>
      </c>
      <c r="F13415" t="inlineStr">
        <is>
          <t>Sveaskog</t>
        </is>
      </c>
      <c r="G13415" t="n">
        <v>5.2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9267-2025</t>
        </is>
      </c>
      <c r="B13416" s="1" t="n">
        <v>45714</v>
      </c>
      <c r="C13416" s="1" t="n">
        <v>45715</v>
      </c>
      <c r="D13416" t="inlineStr">
        <is>
          <t>KALMAR LÄN</t>
        </is>
      </c>
      <c r="E13416" t="inlineStr">
        <is>
          <t>VÄSTERVIK</t>
        </is>
      </c>
      <c r="F13416" t="inlineStr">
        <is>
          <t>Sveaskog</t>
        </is>
      </c>
      <c r="G13416" t="n">
        <v>6.8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9275-2025</t>
        </is>
      </c>
      <c r="B13417" s="1" t="n">
        <v>45714</v>
      </c>
      <c r="C13417" s="1" t="n">
        <v>45715</v>
      </c>
      <c r="D13417" t="inlineStr">
        <is>
          <t>KALMAR LÄN</t>
        </is>
      </c>
      <c r="E13417" t="inlineStr">
        <is>
          <t>EMMABODA</t>
        </is>
      </c>
      <c r="G13417" t="n">
        <v>2.7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9296-2025</t>
        </is>
      </c>
      <c r="B13418" s="1" t="n">
        <v>45714</v>
      </c>
      <c r="C13418" s="1" t="n">
        <v>45715</v>
      </c>
      <c r="D13418" t="inlineStr">
        <is>
          <t>KALMAR LÄN</t>
        </is>
      </c>
      <c r="E13418" t="inlineStr">
        <is>
          <t>HULTSFRED</t>
        </is>
      </c>
      <c r="F13418" t="inlineStr">
        <is>
          <t>Övriga Aktiebolag</t>
        </is>
      </c>
      <c r="G13418" t="n">
        <v>4.8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9328-2025</t>
        </is>
      </c>
      <c r="B13419" s="1" t="n">
        <v>45714</v>
      </c>
      <c r="C13419" s="1" t="n">
        <v>45715</v>
      </c>
      <c r="D13419" t="inlineStr">
        <is>
          <t>KALMAR LÄN</t>
        </is>
      </c>
      <c r="E13419" t="inlineStr">
        <is>
          <t>HULTSFRED</t>
        </is>
      </c>
      <c r="F13419" t="inlineStr">
        <is>
          <t>Sveaskog</t>
        </is>
      </c>
      <c r="G13419" t="n">
        <v>1.8</v>
      </c>
      <c r="H13419" t="n">
        <v>0</v>
      </c>
      <c r="I13419" t="n">
        <v>0</v>
      </c>
      <c r="J13419" t="n">
        <v>0</v>
      </c>
      <c r="K13419" t="n">
        <v>0</v>
      </c>
      <c r="L13419" t="n">
        <v>0</v>
      </c>
      <c r="M13419" t="n">
        <v>0</v>
      </c>
      <c r="N13419" t="n">
        <v>0</v>
      </c>
      <c r="O13419" t="n">
        <v>0</v>
      </c>
      <c r="P13419" t="n">
        <v>0</v>
      </c>
      <c r="Q13419" t="n">
        <v>0</v>
      </c>
      <c r="R13419" s="2" t="inlineStr"/>
    </row>
    <row r="13420">
      <c r="A13420" t="inlineStr">
        <is>
          <t>A 9350-2025</t>
        </is>
      </c>
      <c r="B13420" s="1" t="n">
        <v>45714</v>
      </c>
      <c r="C13420" s="1" t="n">
        <v>45715</v>
      </c>
      <c r="D13420" t="inlineStr">
        <is>
          <t>KALMAR LÄN</t>
        </is>
      </c>
      <c r="E13420" t="inlineStr">
        <is>
          <t>OSKARSHAMN</t>
        </is>
      </c>
      <c r="G13420" t="n">
        <v>1.5</v>
      </c>
      <c r="H13420" t="n">
        <v>0</v>
      </c>
      <c r="I13420" t="n">
        <v>0</v>
      </c>
      <c r="J13420" t="n">
        <v>0</v>
      </c>
      <c r="K13420" t="n">
        <v>0</v>
      </c>
      <c r="L13420" t="n">
        <v>0</v>
      </c>
      <c r="M13420" t="n">
        <v>0</v>
      </c>
      <c r="N13420" t="n">
        <v>0</v>
      </c>
      <c r="O13420" t="n">
        <v>0</v>
      </c>
      <c r="P13420" t="n">
        <v>0</v>
      </c>
      <c r="Q13420" t="n">
        <v>0</v>
      </c>
      <c r="R13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2025-02-27T16:30:52Z</dcterms:created>
  <dcterms:modified xmlns:dcterms="http://purl.org/dc/terms/" xmlns:xsi="http://www.w3.org/2001/XMLSchema-instance" xsi:type="dcterms:W3CDTF">2025-02-27T16:31:05Z</dcterms:modified>
</cp:coreProperties>
</file>